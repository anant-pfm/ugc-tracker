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Dump" sheetId="2" r:id="rId6"/>
    <sheet state="visible" name="Sheet9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tc={4c0efc0d-362e-4f73-bca7-f493a51120be}</author>
  </authors>
  <commentList>
    <comment authorId="0" xr:uid="{4c0efc0d-362e-4f73-bca7-f493a51120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sharedStrings.xml><?xml version="1.0" encoding="utf-8"?>
<sst xmlns="http://schemas.openxmlformats.org/spreadsheetml/2006/main" count="1391" uniqueCount="172">
  <si>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</si>
  <si>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</si>
  <si>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</si>
  <si>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</si>
  <si>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</si>
  <si>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</si>
  <si>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</si>
  <si>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</si>
  <si>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</si>
  <si>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</si>
  <si>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</si>
  <si>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</si>
  <si>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</si>
  <si>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</si>
  <si>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</si>
  <si>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</si>
  <si>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</si>
  <si>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</si>
  <si>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ER Approved Scripts</t>
  </si>
  <si>
    <t>Approval Pending</t>
  </si>
  <si>
    <t>Live Episodes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</si>
  <si>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</si>
  <si>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</si>
  <si>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</si>
  <si>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</si>
  <si>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</si>
  <si>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</si>
  <si>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</si>
  <si>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</si>
  <si>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</si>
  <si>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</si>
  <si>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</si>
  <si>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</si>
  <si>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</si>
  <si>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</si>
  <si>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</si>
  <si>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</si>
  <si>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</si>
  <si>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</si>
  <si>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</si>
  <si>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</si>
  <si>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</si>
  <si>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</si>
  <si>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</si>
  <si>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</si>
  <si>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</si>
  <si>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</si>
  <si>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</si>
  <si>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</si>
  <si>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</si>
  <si>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</si>
  <si>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</si>
  <si>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</si>
  <si>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</si>
  <si>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</si>
  <si>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</si>
  <si>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</si>
  <si>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</si>
  <si>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</si>
  <si>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</si>
  <si>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</si>
  <si>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</si>
  <si>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</si>
  <si>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</si>
  <si>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</si>
  <si>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</si>
  <si>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</si>
  <si>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</si>
  <si>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</si>
  <si>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</si>
  <si>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</si>
  <si>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</si>
  <si>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</si>
  <si>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</si>
  <si>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</si>
  <si>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</si>
  <si>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</si>
  <si>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</si>
  <si>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</si>
  <si>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</si>
  <si>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</si>
  <si>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</si>
  <si>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</si>
  <si>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</si>
  <si>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</si>
  <si>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</si>
  <si>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</si>
  <si>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</si>
  <si>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</si>
  <si>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</si>
  <si>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</si>
  <si>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</si>
  <si>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</si>
  <si>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</si>
  <si>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</si>
  <si>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</si>
  <si>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</si>
  <si>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</si>
  <si>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</si>
  <si>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</si>
  <si>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</si>
  <si>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</si>
  <si>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</si>
  <si>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</si>
  <si>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</si>
  <si>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</si>
  <si>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</si>
  <si>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</si>
  <si>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</si>
  <si>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</si>
  <si>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</si>
  <si>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</si>
  <si>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</si>
  <si>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W2 - May'26</t>
  </si>
  <si>
    <t>W3 - May'26</t>
  </si>
  <si>
    <t>W4 - May'26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</si>
  <si>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</si>
  <si>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</si>
  <si>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</si>
  <si>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</si>
  <si>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</si>
  <si>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</si>
  <si>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</si>
  <si>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</si>
  <si>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</si>
  <si>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</si>
  <si>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</si>
  <si>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</si>
  <si>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</si>
  <si>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</si>
  <si>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</si>
  <si>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</si>
  <si>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</si>
  <si>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</si>
  <si>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</si>
  <si>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</si>
  <si>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</si>
  <si>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</si>
  <si>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</si>
  <si>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</si>
  <si>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</si>
  <si>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</si>
  <si>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</si>
  <si>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</si>
  <si>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</si>
  <si>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</si>
  <si>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</si>
  <si>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</si>
  <si>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</si>
  <si>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Empire of Hidden King (SRGJ) - Production Show_id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</si>
  <si>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</si>
  <si>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</si>
  <si>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</si>
  <si>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</si>
  <si>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</si>
  <si>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</si>
  <si>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</si>
  <si>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</si>
  <si>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</si>
  <si>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</si>
  <si>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</si>
  <si>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Brahmand Ka Rakshak - Production Show</t>
  </si>
  <si>
    <t>Reborn to Rule Production Show_id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</si>
  <si>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</si>
  <si>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</si>
  <si>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</si>
  <si>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</si>
  <si>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</si>
  <si>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</si>
  <si>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</si>
  <si>
    <t>PRoduction status automate</t>
  </si>
  <si>
    <t xml:space="preserve">ER Targets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</si>
</sst>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10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sz val="11.0"/>
      <color rgb="FF1F1F1F"/>
      <name val="Inconsolata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</fills>
  <borders count="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2" fillId="4" fontId="2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vertical="center"/>
    </xf>
    <xf borderId="0" fillId="5" fontId="4" numFmtId="0" xfId="0" applyAlignment="1" applyFont="1">
      <alignment vertical="center"/>
    </xf>
    <xf borderId="1" fillId="3" fontId="2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5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5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5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4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5" fillId="0" fontId="1" numFmtId="3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vertical="center"/>
    </xf>
    <xf borderId="0" fillId="5" fontId="6" numFmtId="0" xfId="0" applyAlignment="1" applyFont="1">
      <alignment horizontal="center"/>
    </xf>
    <xf borderId="5" fillId="0" fontId="1" numFmtId="0" xfId="0" applyAlignment="1" applyBorder="1" applyFont="1">
      <alignment horizontal="center" vertical="center"/>
    </xf>
    <xf borderId="0" fillId="5" fontId="4" numFmtId="164" xfId="0" applyAlignment="1" applyFont="1" applyNumberFormat="1">
      <alignment horizontal="center" readingOrder="0" vertical="center"/>
    </xf>
    <xf borderId="0" fillId="5" fontId="7" numFmtId="0" xfId="0" applyFont="1"/>
    <xf borderId="0" fillId="7" fontId="1" numFmtId="0" xfId="0" applyAlignment="1" applyFill="1" applyFont="1">
      <alignment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5" fillId="8" fontId="1" numFmtId="0" xfId="0" applyAlignment="1" applyBorder="1" applyFont="1">
      <alignment horizontal="center" vertical="center"/>
    </xf>
    <xf borderId="0" fillId="8" fontId="7" numFmtId="0" xfId="0" applyFont="1"/>
    <xf borderId="5" fillId="8" fontId="1" numFmtId="0" xfId="0" applyAlignment="1" applyBorder="1" applyFont="1">
      <alignment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shrinkToFit="0" wrapText="0"/>
    </xf>
    <xf borderId="0" fillId="5" fontId="8" numFmtId="0" xfId="0" applyFont="1"/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ant Kumar" id="{3e7f2226-45fd-46f3-86aa-17e0f7edc79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3e7f2226-45fd-46f3-86aa-17e0f7edc79f}" id="{4c0efc0d-362e-4f73-bca7-f493a51120be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</cols>
  <sheetData>
    <row r="1">
      <c r="A1" s="1"/>
      <c r="B1" s="2"/>
      <c r="C1" s="3"/>
      <c r="D1" s="2"/>
      <c r="E1" s="2"/>
      <c r="F1" s="2"/>
      <c r="G1" s="2"/>
      <c r="H1" s="2"/>
      <c r="I1" s="4"/>
      <c r="J1" s="5"/>
      <c r="K1" s="4"/>
      <c r="L1" s="4"/>
      <c r="M1" s="4"/>
      <c r="N1" s="6"/>
      <c r="O1" s="7"/>
      <c r="P1" s="7"/>
      <c r="Q1" s="7"/>
      <c r="R1" s="8"/>
      <c r="S1" s="7"/>
      <c r="T1" s="9"/>
      <c r="U1" s="10"/>
      <c r="V1" s="7"/>
      <c r="W1" s="9"/>
      <c r="X1" s="11"/>
      <c r="Y1" s="12"/>
    </row>
    <row r="2">
      <c r="A2" s="2"/>
      <c r="B2" s="2"/>
      <c r="C2" s="3"/>
      <c r="D2" s="2"/>
      <c r="E2" s="2"/>
      <c r="F2" s="2"/>
      <c r="G2" s="2"/>
      <c r="H2" s="2"/>
      <c r="I2" s="4"/>
      <c r="J2" s="5"/>
      <c r="K2" s="4"/>
      <c r="L2" s="4"/>
      <c r="M2" s="4"/>
      <c r="N2" s="6" t="s">
        <v>0</v>
      </c>
      <c r="O2" s="7"/>
      <c r="P2" s="7"/>
      <c r="Q2" s="7"/>
      <c r="R2" s="13" t="s">
        <v>1</v>
      </c>
      <c r="S2" s="7"/>
      <c r="T2" s="9"/>
      <c r="U2" s="14" t="s">
        <v>2</v>
      </c>
      <c r="V2" s="7"/>
      <c r="W2" s="9"/>
      <c r="X2" s="15"/>
      <c r="Y2" s="16"/>
    </row>
    <row r="3">
      <c r="A3" s="17"/>
      <c r="B3" s="18"/>
      <c r="C3" s="17"/>
      <c r="D3" s="17"/>
      <c r="E3" s="17"/>
      <c r="F3" s="17"/>
      <c r="G3" s="17"/>
      <c r="H3" s="17"/>
      <c r="I3" s="17"/>
      <c r="J3" s="19"/>
      <c r="K3" s="17"/>
      <c r="L3" s="17"/>
      <c r="M3" s="17"/>
      <c r="N3" s="20"/>
      <c r="O3" s="21"/>
      <c r="P3" s="22"/>
      <c r="Q3" s="23"/>
      <c r="R3" s="24"/>
      <c r="S3" s="24"/>
      <c r="T3" s="25"/>
      <c r="U3" s="26"/>
      <c r="V3" s="26"/>
      <c r="W3" s="27"/>
      <c r="X3" s="28"/>
      <c r="Y3" s="29"/>
    </row>
    <row r="4">
      <c r="A4" s="18" t="s">
        <v>3</v>
      </c>
      <c r="B4" s="18" t="s">
        <v>4</v>
      </c>
      <c r="C4" s="17" t="s">
        <v>5</v>
      </c>
      <c r="D4" s="17" t="s">
        <v>6</v>
      </c>
      <c r="E4" s="17" t="s">
        <v>7</v>
      </c>
      <c r="F4" s="17" t="s">
        <v>8</v>
      </c>
      <c r="G4" s="17" t="s">
        <v>9</v>
      </c>
      <c r="H4" s="17" t="s">
        <v>10</v>
      </c>
      <c r="I4" s="18" t="s">
        <v>11</v>
      </c>
      <c r="J4" s="30" t="s">
        <v>12</v>
      </c>
      <c r="K4" s="18" t="s">
        <v>13</v>
      </c>
      <c r="L4" s="18" t="s">
        <v>14</v>
      </c>
      <c r="M4" s="18" t="s">
        <v>15</v>
      </c>
      <c r="N4" s="20" t="s">
        <v>16</v>
      </c>
      <c r="O4" s="21" t="str">
        <f>CONCATENATE("Scripts Submitted as on ", TEXT(TODAY()-1,"dd-mmm-yyyy"))</f>
        <v>Scripts Submitted as on 16-May-2026</v>
      </c>
      <c r="P4" s="22" t="str">
        <f>CONCATENATE("Scripts Submitted WC as on ", TEXT(TODAY()-1,"dd-mmm-yyyy"))</f>
        <v>Scripts Submitted WC as on 16-May-2026</v>
      </c>
      <c r="Q4" s="23" t="s">
        <v>17</v>
      </c>
      <c r="R4" s="24" t="s">
        <v>16</v>
      </c>
      <c r="S4" s="24" t="s">
        <v>18</v>
      </c>
      <c r="T4" s="25" t="s">
        <v>19</v>
      </c>
      <c r="U4" s="26" t="s">
        <v>16</v>
      </c>
      <c r="V4" s="26" t="s">
        <v>20</v>
      </c>
      <c r="W4" s="27" t="s">
        <v>17</v>
      </c>
      <c r="X4" s="28"/>
      <c r="Y4" s="27" t="s">
        <v>21</v>
      </c>
    </row>
    <row r="5">
      <c r="A5" s="31" t="s">
        <v>22</v>
      </c>
      <c r="B5" s="2" t="s">
        <v>23</v>
      </c>
      <c r="C5" s="3" t="s">
        <v>24</v>
      </c>
      <c r="D5" s="2" t="s">
        <v>25</v>
      </c>
      <c r="E5" s="2" t="s">
        <v>26</v>
      </c>
      <c r="F5" s="2" t="s">
        <v>27</v>
      </c>
      <c r="G5" s="2" t="s">
        <v>28</v>
      </c>
      <c r="H5" s="2"/>
      <c r="I5" s="4">
        <f>SUMIFS(Dump!D:D,Dump!B:B,C5)</f>
        <v>1040</v>
      </c>
      <c r="J5" s="5">
        <f>SUMIFS(Dump!AE:AE,Dump!B:B,C5)</f>
        <v>167.4630556</v>
      </c>
      <c r="K5" s="4">
        <f>SUMPRODUCT(
  (TEXT(Dump!$A$2:$A994,"mmm-yy")=TEXT($Y5,"mmm-yy"))*
  (Dump!$B$2:$B994=$C5)*
  Dump!$D$2:$D994)</f>
        <v>35</v>
      </c>
      <c r="L5" s="4">
        <f>SUMPRODUCT(
  (TEXT(Dump!$A$2:$A994,"mmm-yy")=TEXT($Y5,"mmm-yy"))*
  (Dump!$B$2:$B994=$C5)*
  Dump!$E$2:$E994
)</f>
        <v>98</v>
      </c>
      <c r="M5" s="4">
        <f>SUMPRODUCT(
  (TEXT(Dump!$A$2:$A994,"mmm-yy")=TEXT($Y5,"mmm-yy"))*
  (Dump!$B$2:$B994=$C5)*
  Dump!$P$2:$P994
)</f>
        <v>74</v>
      </c>
      <c r="N5" s="32">
        <v>18.0</v>
      </c>
      <c r="O5" s="33">
        <f>SUMIFS(Dump!$D:$D,Dump!$B:$B,$C5,Dump!$A:$A,$Y5)</f>
        <v>18</v>
      </c>
      <c r="P5" s="33">
        <f>SUMIFS(Dump!R:R,Dump!B:B,C5,Dump!A:A,Y5)</f>
        <v>41129</v>
      </c>
      <c r="Q5" s="34">
        <f t="shared" ref="Q5:Q37" si="1">N5-O5</f>
        <v>0</v>
      </c>
      <c r="R5" s="2"/>
      <c r="S5" s="4">
        <f>SUMIFS(Dump!E:E,Dump!B:B,C5,Dump!A:A,Y5)</f>
        <v>28</v>
      </c>
      <c r="T5" s="35">
        <f t="shared" ref="T5:T37" si="2">R5-S5</f>
        <v>-28</v>
      </c>
      <c r="U5" s="36">
        <v>30.0</v>
      </c>
      <c r="V5" s="4">
        <f>SUMIFS(Dump!P:P,Dump!B:B,C5,Dump!A:A,Y5)</f>
        <v>36</v>
      </c>
      <c r="W5" s="37">
        <f t="shared" ref="W5:W37" si="3">U5-V5</f>
        <v>-6</v>
      </c>
      <c r="X5" s="11"/>
      <c r="Y5" s="38">
        <v>46146.0</v>
      </c>
    </row>
    <row r="6">
      <c r="A6" s="31" t="s">
        <v>22</v>
      </c>
      <c r="B6" s="2" t="s">
        <v>29</v>
      </c>
      <c r="C6" s="3" t="s">
        <v>30</v>
      </c>
      <c r="D6" s="2" t="s">
        <v>31</v>
      </c>
      <c r="E6" s="2" t="s">
        <v>26</v>
      </c>
      <c r="F6" s="2" t="s">
        <v>32</v>
      </c>
      <c r="G6" s="2" t="s">
        <v>33</v>
      </c>
      <c r="I6" s="4">
        <f>SUMIFS(Dump!D:D,Dump!B:B,C6)</f>
        <v>834</v>
      </c>
      <c r="J6" s="5">
        <f>SUMIFS(Dump!AE:AE,Dump!B:B,C6)</f>
        <v>186.0461111</v>
      </c>
      <c r="K6" s="4">
        <f>SUMPRODUCT(
  (TEXT(Dump!$A$2:$A994,"mmm-yy")=TEXT($Y6,"mmm-yy"))*
  (Dump!$B$2:$B994=$C6)*
  Dump!$D$2:$D994)</f>
        <v>32</v>
      </c>
      <c r="L6" s="4">
        <f>SUMPRODUCT(
  (TEXT(Dump!$A$2:$A994,"mmm-yy")=TEXT($Y6,"mmm-yy"))*
  (Dump!$B$2:$B994=$C6)*
  Dump!$E$2:$E994
)</f>
        <v>44</v>
      </c>
      <c r="M6" s="4">
        <f>SUMPRODUCT(
  (TEXT(Dump!$A$2:$A994,"mmm-yy")=TEXT($Y6,"mmm-yy"))*
  (Dump!$B$2:$B994=$C6)*
  Dump!$P$2:$P994
)</f>
        <v>47</v>
      </c>
      <c r="N6" s="32">
        <v>15.0</v>
      </c>
      <c r="O6" s="33">
        <f>SUMIFS(Dump!$D:$D,Dump!$B:$B,$C6,Dump!$A:$A,$Y6)</f>
        <v>15</v>
      </c>
      <c r="P6" s="33">
        <f>SUMIFS(Dump!R:R,Dump!B:B,C6,Dump!A:A,Y6)</f>
        <v>35933</v>
      </c>
      <c r="Q6" s="34">
        <f t="shared" si="1"/>
        <v>0</v>
      </c>
      <c r="S6" s="4">
        <f>SUMIFS(Dump!E:E,Dump!B:B,C6,Dump!A:A,Y6)</f>
        <v>20</v>
      </c>
      <c r="T6" s="35">
        <f t="shared" si="2"/>
        <v>-20</v>
      </c>
      <c r="U6" s="36">
        <v>22.0</v>
      </c>
      <c r="V6" s="4">
        <f>SUMIFS(Dump!P:P,Dump!B:B,C6,Dump!A:A,Y6)</f>
        <v>24</v>
      </c>
      <c r="W6" s="37">
        <f t="shared" si="3"/>
        <v>-2</v>
      </c>
      <c r="X6" s="39"/>
      <c r="Y6" s="38">
        <v>46146.0</v>
      </c>
    </row>
    <row r="7">
      <c r="A7" s="31" t="s">
        <v>22</v>
      </c>
      <c r="B7" s="2" t="s">
        <v>34</v>
      </c>
      <c r="C7" s="3" t="s">
        <v>35</v>
      </c>
      <c r="D7" s="2" t="s">
        <v>36</v>
      </c>
      <c r="E7" s="2" t="s">
        <v>26</v>
      </c>
      <c r="F7" s="2" t="s">
        <v>32</v>
      </c>
      <c r="G7" s="2" t="s">
        <v>37</v>
      </c>
      <c r="I7" s="4">
        <f>SUMIFS(Dump!D:D,Dump!B:B,C7)</f>
        <v>242</v>
      </c>
      <c r="J7" s="5">
        <f>SUMIFS(Dump!AE:AE,Dump!B:B,C7)</f>
        <v>57.02444444</v>
      </c>
      <c r="K7" s="4">
        <f>SUMPRODUCT(
  (TEXT(Dump!$A$2:$A994,"mmm-yy")=TEXT($Y7,"mmm-yy"))*
  (Dump!$B$2:$B994=$C7)*
  Dump!$D$2:$D994)</f>
        <v>31</v>
      </c>
      <c r="L7" s="4">
        <f>SUMPRODUCT(
  (TEXT(Dump!$A$2:$A994,"mmm-yy")=TEXT($Y7,"mmm-yy"))*
  (Dump!$B$2:$B994=$C7)*
  Dump!$E$2:$E994
)</f>
        <v>27</v>
      </c>
      <c r="M7" s="4">
        <f>SUMPRODUCT(
  (TEXT(Dump!$A$2:$A994,"mmm-yy")=TEXT($Y7,"mmm-yy"))*
  (Dump!$B$2:$B994=$C7)*
  Dump!$P$2:$P994
)</f>
        <v>28</v>
      </c>
      <c r="N7" s="32">
        <v>12.0</v>
      </c>
      <c r="O7" s="33">
        <f>SUMIFS(Dump!$D:$D,Dump!$B:$B,$C7,Dump!$A:$A,$Y7)</f>
        <v>12</v>
      </c>
      <c r="P7" s="33">
        <f>SUMIFS(Dump!R:R,Dump!B:B,C7,Dump!A:A,Y7)</f>
        <v>28878</v>
      </c>
      <c r="Q7" s="34">
        <f t="shared" si="1"/>
        <v>0</v>
      </c>
      <c r="S7" s="4">
        <f>SUMIFS(Dump!E:E,Dump!B:B,C7,Dump!A:A,Y7)</f>
        <v>13</v>
      </c>
      <c r="T7" s="35">
        <f t="shared" si="2"/>
        <v>-13</v>
      </c>
      <c r="U7" s="36">
        <v>15.0</v>
      </c>
      <c r="V7" s="4">
        <f>SUMIFS(Dump!P:P,Dump!B:B,C7,Dump!A:A,Y7)</f>
        <v>17</v>
      </c>
      <c r="W7" s="37">
        <f t="shared" si="3"/>
        <v>-2</v>
      </c>
      <c r="X7" s="39"/>
      <c r="Y7" s="38">
        <v>46146.0</v>
      </c>
    </row>
    <row r="8">
      <c r="A8" s="31" t="s">
        <v>22</v>
      </c>
      <c r="B8" s="2" t="s">
        <v>38</v>
      </c>
      <c r="C8" s="3" t="s">
        <v>39</v>
      </c>
      <c r="D8" s="2" t="s">
        <v>40</v>
      </c>
      <c r="E8" s="2"/>
      <c r="F8" s="2" t="s">
        <v>41</v>
      </c>
      <c r="G8" s="2" t="s">
        <v>42</v>
      </c>
      <c r="I8" s="4">
        <f>SUMIFS(Dump!D:D,Dump!B:B,C8)</f>
        <v>102</v>
      </c>
      <c r="J8" s="5">
        <f>SUMIFS(Dump!AE:AE,Dump!B:B,C8)</f>
        <v>237.4583333</v>
      </c>
      <c r="K8" s="4">
        <f>SUMPRODUCT(
  (TEXT(Dump!$A$2:$A994,"mmm-yy")=TEXT($Y8,"mmm-yy"))*
  (Dump!$B$2:$B994=$C8)*
  Dump!$D$2:$D994)</f>
        <v>45</v>
      </c>
      <c r="L8" s="4">
        <f>SUMPRODUCT(
  (TEXT(Dump!$A$2:$A994,"mmm-yy")=TEXT($Y8,"mmm-yy"))*
  (Dump!$B$2:$B994=$C8)*
  Dump!$E$2:$E994
)</f>
        <v>53</v>
      </c>
      <c r="M8" s="4">
        <f>SUMPRODUCT(
  (TEXT(Dump!$A$2:$A994,"mmm-yy")=TEXT($Y8,"mmm-yy"))*
  (Dump!$B$2:$B994=$C8)*
  Dump!$P$2:$P994
)</f>
        <v>29</v>
      </c>
      <c r="N8" s="32">
        <v>20.0</v>
      </c>
      <c r="O8" s="33">
        <f>SUMIFS(Dump!$D:$D,Dump!$B:$B,$C8,Dump!$A:$A,$Y8)</f>
        <v>18</v>
      </c>
      <c r="P8" s="33">
        <f>SUMIFS(Dump!R:R,Dump!B:B,C8,Dump!A:A,Y8)</f>
        <v>45583</v>
      </c>
      <c r="Q8" s="34">
        <f t="shared" si="1"/>
        <v>2</v>
      </c>
      <c r="S8" s="4">
        <f>SUMIFS(Dump!E:E,Dump!B:B,C8,Dump!A:A,Y8)</f>
        <v>22</v>
      </c>
      <c r="T8" s="35">
        <f t="shared" si="2"/>
        <v>-22</v>
      </c>
      <c r="U8" s="36">
        <v>15.0</v>
      </c>
      <c r="V8" s="4">
        <f>SUMIFS(Dump!P:P,Dump!B:B,C8,Dump!A:A,Y8)</f>
        <v>15</v>
      </c>
      <c r="W8" s="37">
        <f t="shared" si="3"/>
        <v>0</v>
      </c>
      <c r="X8" s="39"/>
      <c r="Y8" s="38">
        <v>46146.0</v>
      </c>
    </row>
    <row r="9">
      <c r="A9" s="31" t="s">
        <v>22</v>
      </c>
      <c r="B9" s="2" t="s">
        <v>43</v>
      </c>
      <c r="C9" s="3" t="s">
        <v>44</v>
      </c>
      <c r="D9" s="2" t="s">
        <v>45</v>
      </c>
      <c r="E9" s="2" t="s">
        <v>46</v>
      </c>
      <c r="F9" s="2" t="s">
        <v>27</v>
      </c>
      <c r="G9" s="2" t="s">
        <v>47</v>
      </c>
      <c r="I9" s="4">
        <f>SUMIFS(Dump!D:D,Dump!B:B,C9)</f>
        <v>12</v>
      </c>
      <c r="J9" s="5">
        <f>SUMIFS(Dump!AE:AE,Dump!B:B,C9)</f>
        <v>91.65555556</v>
      </c>
      <c r="K9" s="4">
        <f>SUMPRODUCT(
  (TEXT(Dump!$A$2:$A994,"mmm-yy")=TEXT($Y9,"mmm-yy"))*
  (Dump!$B$2:$B994=$C9)*
  Dump!$D$2:$D994)</f>
        <v>0</v>
      </c>
      <c r="L9" s="4">
        <f>SUMPRODUCT(
  (TEXT(Dump!$A$2:$A994,"mmm-yy")=TEXT($Y9,"mmm-yy"))*
  (Dump!$B$2:$B994=$C9)*
  Dump!$E$2:$E994
)</f>
        <v>0</v>
      </c>
      <c r="M9" s="4">
        <f>SUMPRODUCT(
  (TEXT(Dump!$A$2:$A994,"mmm-yy")=TEXT($Y9,"mmm-yy"))*
  (Dump!$B$2:$B994=$C9)*
  Dump!$P$2:$P994
)</f>
        <v>0</v>
      </c>
      <c r="N9" s="32"/>
      <c r="O9" s="33">
        <f>SUMIFS(Dump!$D:$D,Dump!$B:$B,$C9,Dump!$A:$A,$Y9)</f>
        <v>0</v>
      </c>
      <c r="P9" s="33">
        <f>SUMIFS(Dump!R:R,Dump!B:B,C9,Dump!A:A,Y9)</f>
        <v>0</v>
      </c>
      <c r="Q9" s="34">
        <f t="shared" si="1"/>
        <v>0</v>
      </c>
      <c r="S9" s="4">
        <f>SUMIFS(Dump!E:E,Dump!B:B,C9,Dump!A:A,Y9)</f>
        <v>0</v>
      </c>
      <c r="T9" s="35">
        <f t="shared" si="2"/>
        <v>0</v>
      </c>
      <c r="U9" s="36"/>
      <c r="V9" s="4">
        <f>SUMIFS(Dump!P:P,Dump!B:B,C9,Dump!A:A,Y9)</f>
        <v>0</v>
      </c>
      <c r="W9" s="37">
        <f t="shared" si="3"/>
        <v>0</v>
      </c>
      <c r="X9" s="39"/>
      <c r="Y9" s="38">
        <v>46146.0</v>
      </c>
    </row>
    <row r="10">
      <c r="A10" s="31" t="s">
        <v>22</v>
      </c>
      <c r="B10" s="2" t="s">
        <v>48</v>
      </c>
      <c r="C10" s="3"/>
      <c r="D10" s="2" t="s">
        <v>49</v>
      </c>
      <c r="E10" s="2"/>
      <c r="F10" s="2" t="s">
        <v>27</v>
      </c>
      <c r="G10" s="2" t="s">
        <v>50</v>
      </c>
      <c r="I10" s="4">
        <f>SUMIFS(Dump!D:D,Dump!B:B,C10)</f>
        <v>0</v>
      </c>
      <c r="J10" s="5">
        <f>SUMIFS(Dump!AE:AE,Dump!B:B,C10)</f>
        <v>0</v>
      </c>
      <c r="K10" s="4">
        <f>SUMPRODUCT(
  (TEXT(Dump!$A$2:$A994,"mmm-yy")=TEXT($Y10,"mmm-yy"))*
  (Dump!$B$2:$B994=$C10)*
  Dump!$D$2:$D994)</f>
        <v>0</v>
      </c>
      <c r="L10" s="4">
        <f>SUMPRODUCT(
  (TEXT(Dump!$A$2:$A994,"mmm-yy")=TEXT($Y10,"mmm-yy"))*
  (Dump!$B$2:$B994=$C10)*
  Dump!$E$2:$E994
)</f>
        <v>0</v>
      </c>
      <c r="M10" s="4">
        <f>SUMPRODUCT(
  (TEXT(Dump!$A$2:$A994,"mmm-yy")=TEXT($Y10,"mmm-yy"))*
  (Dump!$B$2:$B994=$C10)*
  Dump!$P$2:$P994
)</f>
        <v>0</v>
      </c>
      <c r="N10" s="32"/>
      <c r="O10" s="33">
        <f>SUMIFS(Dump!$D:$D,Dump!$B:$B,$C10,Dump!$A:$A,$Y10)</f>
        <v>0</v>
      </c>
      <c r="P10" s="33">
        <f>SUMIFS(Dump!R:R,Dump!B:B,C10,Dump!A:A,Y10)</f>
        <v>0</v>
      </c>
      <c r="Q10" s="34">
        <f t="shared" si="1"/>
        <v>0</v>
      </c>
      <c r="S10" s="4">
        <f>SUMIFS(Dump!E:E,Dump!B:B,C10,Dump!A:A,Y10)</f>
        <v>0</v>
      </c>
      <c r="T10" s="35">
        <f t="shared" si="2"/>
        <v>0</v>
      </c>
      <c r="U10" s="36"/>
      <c r="V10" s="4">
        <f>SUMIFS(Dump!P:P,Dump!B:B,C10,Dump!A:A,Y10)</f>
        <v>0</v>
      </c>
      <c r="W10" s="37">
        <f t="shared" si="3"/>
        <v>0</v>
      </c>
      <c r="X10" s="39"/>
      <c r="Y10" s="38">
        <v>46146.0</v>
      </c>
    </row>
    <row r="11">
      <c r="A11" s="31" t="s">
        <v>22</v>
      </c>
      <c r="B11" s="2" t="s">
        <v>51</v>
      </c>
      <c r="C11" s="3"/>
      <c r="D11" s="2" t="s">
        <v>52</v>
      </c>
      <c r="E11" s="2"/>
      <c r="F11" s="2" t="s">
        <v>32</v>
      </c>
      <c r="G11" s="2" t="s">
        <v>53</v>
      </c>
      <c r="I11" s="4">
        <f>SUMIFS(Dump!D:D,Dump!B:B,C11)</f>
        <v>0</v>
      </c>
      <c r="J11" s="5">
        <f>SUMIFS(Dump!AE:AE,Dump!B:B,C11)</f>
        <v>0</v>
      </c>
      <c r="K11" s="4">
        <f>SUMPRODUCT(
  (TEXT(Dump!$A$2:$A994,"mmm-yy")=TEXT($Y11,"mmm-yy"))*
  (Dump!$B$2:$B994=$C11)*
  Dump!$D$2:$D994)</f>
        <v>0</v>
      </c>
      <c r="L11" s="4">
        <f>SUMPRODUCT(
  (TEXT(Dump!$A$2:$A994,"mmm-yy")=TEXT($Y11,"mmm-yy"))*
  (Dump!$B$2:$B994=$C11)*
  Dump!$E$2:$E994
)</f>
        <v>0</v>
      </c>
      <c r="M11" s="4">
        <f>SUMPRODUCT(
  (TEXT(Dump!$A$2:$A994,"mmm-yy")=TEXT($Y11,"mmm-yy"))*
  (Dump!$B$2:$B994=$C11)*
  Dump!$P$2:$P994
)</f>
        <v>0</v>
      </c>
      <c r="N11" s="32"/>
      <c r="O11" s="33">
        <f>SUMIFS(Dump!$D:$D,Dump!$B:$B,$C11,Dump!$A:$A,$Y11)</f>
        <v>0</v>
      </c>
      <c r="P11" s="33">
        <f>SUMIFS(Dump!R:R,Dump!B:B,C11,Dump!A:A,Y11)</f>
        <v>0</v>
      </c>
      <c r="Q11" s="34">
        <f t="shared" si="1"/>
        <v>0</v>
      </c>
      <c r="S11" s="4">
        <f>SUMIFS(Dump!E:E,Dump!B:B,C11,Dump!A:A,Y11)</f>
        <v>0</v>
      </c>
      <c r="T11" s="35">
        <f t="shared" si="2"/>
        <v>0</v>
      </c>
      <c r="U11" s="36"/>
      <c r="V11" s="4">
        <f>SUMIFS(Dump!P:P,Dump!B:B,C11,Dump!A:A,Y11)</f>
        <v>0</v>
      </c>
      <c r="W11" s="37">
        <f t="shared" si="3"/>
        <v>0</v>
      </c>
      <c r="X11" s="39"/>
      <c r="Y11" s="38">
        <v>46146.0</v>
      </c>
    </row>
    <row r="12">
      <c r="A12" s="31" t="s">
        <v>22</v>
      </c>
      <c r="B12" s="2"/>
      <c r="C12" s="3" t="s">
        <v>54</v>
      </c>
      <c r="D12" s="2" t="s">
        <v>55</v>
      </c>
      <c r="E12" s="2" t="s">
        <v>26</v>
      </c>
      <c r="F12" s="2" t="s">
        <v>27</v>
      </c>
      <c r="G12" s="2" t="s">
        <v>56</v>
      </c>
      <c r="I12" s="4">
        <f>SUMIFS(Dump!D:D,Dump!B:B,C12)</f>
        <v>275</v>
      </c>
      <c r="J12" s="5">
        <f>SUMIFS(Dump!AE:AE,Dump!B:B,C12)</f>
        <v>45.01944444</v>
      </c>
      <c r="K12" s="4">
        <f>SUMPRODUCT(
  (TEXT(Dump!$A$2:$A994,"mmm-yy")=TEXT($Y12,"mmm-yy"))*
  (Dump!$B$2:$B994=$C12)*
  Dump!$D$2:$D994)</f>
        <v>81</v>
      </c>
      <c r="L12" s="4">
        <f>SUMPRODUCT(
  (TEXT(Dump!$A$2:$A994,"mmm-yy")=TEXT($Y12,"mmm-yy"))*
  (Dump!$B$2:$B994=$C12)*
  Dump!$E$2:$E994
)</f>
        <v>81</v>
      </c>
      <c r="M12" s="4">
        <f>SUMPRODUCT(
  (TEXT(Dump!$A$2:$A994,"mmm-yy")=TEXT($Y12,"mmm-yy"))*
  (Dump!$B$2:$B994=$C12)*
  Dump!$P$2:$P994
)</f>
        <v>50</v>
      </c>
      <c r="N12" s="32">
        <v>40.0</v>
      </c>
      <c r="O12" s="33">
        <f>SUMIFS(Dump!$D:$D,Dump!$B:$B,$C12,Dump!$A:$A,$Y12)</f>
        <v>30</v>
      </c>
      <c r="P12" s="33">
        <f>SUMIFS(Dump!R:R,Dump!B:B,C12,Dump!A:A,Y12)</f>
        <v>65086</v>
      </c>
      <c r="Q12" s="34">
        <f t="shared" si="1"/>
        <v>10</v>
      </c>
      <c r="S12" s="4">
        <f>SUMIFS(Dump!E:E,Dump!B:B,C12,Dump!A:A,Y12)</f>
        <v>34</v>
      </c>
      <c r="T12" s="35">
        <f t="shared" si="2"/>
        <v>-34</v>
      </c>
      <c r="U12" s="36">
        <v>32.0</v>
      </c>
      <c r="V12" s="4">
        <f>SUMIFS(Dump!P:P,Dump!B:B,C12,Dump!A:A,Y12)</f>
        <v>32</v>
      </c>
      <c r="W12" s="37">
        <f t="shared" si="3"/>
        <v>0</v>
      </c>
      <c r="X12" s="39"/>
      <c r="Y12" s="38">
        <v>46146.0</v>
      </c>
    </row>
    <row r="13">
      <c r="A13" s="31" t="s">
        <v>22</v>
      </c>
      <c r="B13" s="2" t="s">
        <v>57</v>
      </c>
      <c r="C13" s="3"/>
      <c r="D13" s="2" t="s">
        <v>58</v>
      </c>
      <c r="E13" s="2"/>
      <c r="F13" s="2" t="s">
        <v>27</v>
      </c>
      <c r="G13" s="2" t="s">
        <v>59</v>
      </c>
      <c r="I13" s="4">
        <f>SUMIFS(Dump!D:D,Dump!B:B,C13)</f>
        <v>0</v>
      </c>
      <c r="J13" s="5">
        <f>SUMIFS(Dump!AE:AE,Dump!B:B,C13)</f>
        <v>0</v>
      </c>
      <c r="K13" s="4">
        <f>SUMPRODUCT(
  (TEXT(Dump!$A$2:$A994,"mmm-yy")=TEXT($Y13,"mmm-yy"))*
  (Dump!$B$2:$B994=$C13)*
  Dump!$D$2:$D994)</f>
        <v>0</v>
      </c>
      <c r="L13" s="4">
        <f>SUMPRODUCT(
  (TEXT(Dump!$A$2:$A994,"mmm-yy")=TEXT($Y13,"mmm-yy"))*
  (Dump!$B$2:$B994=$C13)*
  Dump!$E$2:$E994
)</f>
        <v>0</v>
      </c>
      <c r="M13" s="4">
        <f>SUMPRODUCT(
  (TEXT(Dump!$A$2:$A994,"mmm-yy")=TEXT($Y13,"mmm-yy"))*
  (Dump!$B$2:$B994=$C13)*
  Dump!$P$2:$P994
)</f>
        <v>0</v>
      </c>
      <c r="N13" s="32"/>
      <c r="O13" s="33">
        <f>SUMIFS(Dump!$D:$D,Dump!$B:$B,$C13,Dump!$A:$A,$Y13)</f>
        <v>0</v>
      </c>
      <c r="P13" s="33">
        <f>SUMIFS(Dump!R:R,Dump!B:B,C13,Dump!A:A,Y13)</f>
        <v>0</v>
      </c>
      <c r="Q13" s="34">
        <f t="shared" si="1"/>
        <v>0</v>
      </c>
      <c r="S13" s="4">
        <f>SUMIFS(Dump!E:E,Dump!B:B,C13,Dump!A:A,Y13)</f>
        <v>0</v>
      </c>
      <c r="T13" s="35">
        <f t="shared" si="2"/>
        <v>0</v>
      </c>
      <c r="U13" s="36"/>
      <c r="V13" s="4">
        <f>SUMIFS(Dump!P:P,Dump!B:B,C13,Dump!A:A,Y13)</f>
        <v>0</v>
      </c>
      <c r="W13" s="37">
        <f t="shared" si="3"/>
        <v>0</v>
      </c>
      <c r="X13" s="39"/>
      <c r="Y13" s="38">
        <v>46146.0</v>
      </c>
    </row>
    <row r="14">
      <c r="A14" s="31" t="s">
        <v>22</v>
      </c>
      <c r="B14" s="2"/>
      <c r="C14" s="3" t="s">
        <v>60</v>
      </c>
      <c r="D14" s="2" t="s">
        <v>61</v>
      </c>
      <c r="E14" s="2" t="s">
        <v>26</v>
      </c>
      <c r="F14" s="2" t="s">
        <v>27</v>
      </c>
      <c r="G14" s="2" t="s">
        <v>59</v>
      </c>
      <c r="I14" s="4">
        <f>SUMIFS(Dump!D:D,Dump!B:B,C14)</f>
        <v>219</v>
      </c>
      <c r="J14" s="5">
        <f>SUMIFS(Dump!AE:AE,Dump!B:B,C14)</f>
        <v>38.56722222</v>
      </c>
      <c r="K14" s="4">
        <f>SUMPRODUCT(
  (TEXT(Dump!$A$2:$A994,"mmm-yy")=TEXT($Y14,"mmm-yy"))*
  (Dump!$B$2:$B994=$C14)*
  Dump!$D$2:$D994)</f>
        <v>0</v>
      </c>
      <c r="L14" s="4">
        <f>SUMPRODUCT(
  (TEXT(Dump!$A$2:$A994,"mmm-yy")=TEXT($Y14,"mmm-yy"))*
  (Dump!$B$2:$B994=$C14)*
  Dump!$E$2:$E994
)</f>
        <v>13</v>
      </c>
      <c r="M14" s="4">
        <f>SUMPRODUCT(
  (TEXT(Dump!$A$2:$A994,"mmm-yy")=TEXT($Y14,"mmm-yy"))*
  (Dump!$B$2:$B994=$C14)*
  Dump!$P$2:$P994
)</f>
        <v>11</v>
      </c>
      <c r="N14" s="32"/>
      <c r="O14" s="33">
        <f>SUMIFS(Dump!$D:$D,Dump!$B:$B,$C14,Dump!$A:$A,$Y14)</f>
        <v>0</v>
      </c>
      <c r="P14" s="33">
        <f>SUMIFS(Dump!R:R,Dump!B:B,C14,Dump!A:A,Y14)</f>
        <v>0</v>
      </c>
      <c r="Q14" s="34">
        <f t="shared" si="1"/>
        <v>0</v>
      </c>
      <c r="S14" s="4">
        <f>SUMIFS(Dump!E:E,Dump!B:B,C14,Dump!A:A,Y14)</f>
        <v>0</v>
      </c>
      <c r="T14" s="35">
        <f t="shared" si="2"/>
        <v>0</v>
      </c>
      <c r="U14" s="36">
        <v>12.0</v>
      </c>
      <c r="V14" s="4">
        <f>SUMIFS(Dump!P:P,Dump!B:B,C14,Dump!A:A,Y14)</f>
        <v>8</v>
      </c>
      <c r="W14" s="37">
        <f t="shared" si="3"/>
        <v>4</v>
      </c>
      <c r="X14" s="39"/>
      <c r="Y14" s="38">
        <v>46146.0</v>
      </c>
    </row>
    <row r="15">
      <c r="A15" s="31" t="s">
        <v>22</v>
      </c>
      <c r="B15" s="2" t="s">
        <v>62</v>
      </c>
      <c r="C15" s="3" t="s">
        <v>63</v>
      </c>
      <c r="D15" s="2" t="s">
        <v>64</v>
      </c>
      <c r="E15" s="2" t="s">
        <v>26</v>
      </c>
      <c r="F15" s="2" t="s">
        <v>32</v>
      </c>
      <c r="G15" s="2"/>
      <c r="I15" s="4">
        <f>SUMIFS(Dump!D:D,Dump!B:B,C15)</f>
        <v>143</v>
      </c>
      <c r="J15" s="5">
        <f>SUMIFS(Dump!AE:AE,Dump!B:B,C15)</f>
        <v>21.775</v>
      </c>
      <c r="K15" s="4">
        <f>SUMPRODUCT(
  (TEXT(Dump!$A$2:$A994,"mmm-yy")=TEXT($Y15,"mmm-yy"))*
  (Dump!$B$2:$B994=$C15)*
  Dump!$D$2:$D994)</f>
        <v>62</v>
      </c>
      <c r="L15" s="4">
        <f>SUMPRODUCT(
  (TEXT(Dump!$A$2:$A994,"mmm-yy")=TEXT($Y15,"mmm-yy"))*
  (Dump!$B$2:$B994=$C15)*
  Dump!$E$2:$E994
)</f>
        <v>45</v>
      </c>
      <c r="M15" s="4">
        <f>SUMPRODUCT(
  (TEXT(Dump!$A$2:$A994,"mmm-yy")=TEXT($Y15,"mmm-yy"))*
  (Dump!$B$2:$B994=$C15)*
  Dump!$P$2:$P994
)</f>
        <v>23</v>
      </c>
      <c r="N15" s="32">
        <v>10.0</v>
      </c>
      <c r="O15" s="33">
        <f>SUMIFS(Dump!$D:$D,Dump!$B:$B,$C15,Dump!$A:$A,$Y15)</f>
        <v>12</v>
      </c>
      <c r="P15" s="33">
        <f>SUMIFS(Dump!R:R,Dump!B:B,C15,Dump!A:A,Y15)</f>
        <v>24413</v>
      </c>
      <c r="Q15" s="34">
        <f t="shared" si="1"/>
        <v>-2</v>
      </c>
      <c r="S15" s="4">
        <f>SUMIFS(Dump!E:E,Dump!B:B,C15,Dump!A:A,Y15)</f>
        <v>13</v>
      </c>
      <c r="T15" s="35">
        <f t="shared" si="2"/>
        <v>-13</v>
      </c>
      <c r="U15" s="36">
        <v>11.0</v>
      </c>
      <c r="V15" s="4">
        <f>SUMIFS(Dump!P:P,Dump!B:B,C15,Dump!A:A,Y15)</f>
        <v>11</v>
      </c>
      <c r="W15" s="37">
        <f t="shared" si="3"/>
        <v>0</v>
      </c>
      <c r="X15" s="39"/>
      <c r="Y15" s="38">
        <v>46146.0</v>
      </c>
    </row>
    <row r="16">
      <c r="A16" s="31" t="s">
        <v>22</v>
      </c>
      <c r="B16" s="2" t="s">
        <v>65</v>
      </c>
      <c r="C16" s="3"/>
      <c r="D16" s="2" t="s">
        <v>66</v>
      </c>
      <c r="E16" s="2"/>
      <c r="F16" s="2" t="s">
        <v>27</v>
      </c>
      <c r="G16" s="2" t="s">
        <v>67</v>
      </c>
      <c r="I16" s="4">
        <f>SUMIFS(Dump!D:D,Dump!B:B,C16)</f>
        <v>0</v>
      </c>
      <c r="J16" s="5">
        <f>SUMIFS(Dump!AE:AE,Dump!B:B,C16)</f>
        <v>0</v>
      </c>
      <c r="K16" s="4">
        <f>SUMPRODUCT(
  (TEXT(Dump!$A$2:$A994,"mmm-yy")=TEXT($Y16,"mmm-yy"))*
  (Dump!$B$2:$B994=$C16)*
  Dump!$D$2:$D994)</f>
        <v>0</v>
      </c>
      <c r="L16" s="4">
        <f>SUMPRODUCT(
  (TEXT(Dump!$A$2:$A994,"mmm-yy")=TEXT($Y16,"mmm-yy"))*
  (Dump!$B$2:$B994=$C16)*
  Dump!$E$2:$E994
)</f>
        <v>0</v>
      </c>
      <c r="M16" s="4">
        <f>SUMPRODUCT(
  (TEXT(Dump!$A$2:$A994,"mmm-yy")=TEXT($Y16,"mmm-yy"))*
  (Dump!$B$2:$B994=$C16)*
  Dump!$P$2:$P994
)</f>
        <v>0</v>
      </c>
      <c r="N16" s="32"/>
      <c r="O16" s="33">
        <f>SUMIFS(Dump!$D:$D,Dump!$B:$B,$C16,Dump!$A:$A,$Y16)</f>
        <v>0</v>
      </c>
      <c r="P16" s="33">
        <f>SUMIFS(Dump!R:R,Dump!B:B,C16,Dump!A:A,Y16)</f>
        <v>0</v>
      </c>
      <c r="Q16" s="34">
        <f t="shared" si="1"/>
        <v>0</v>
      </c>
      <c r="S16" s="4">
        <f>SUMIFS(Dump!E:E,Dump!B:B,C16,Dump!A:A,Y16)</f>
        <v>0</v>
      </c>
      <c r="T16" s="35">
        <f t="shared" si="2"/>
        <v>0</v>
      </c>
      <c r="U16" s="36"/>
      <c r="V16" s="4">
        <f>SUMIFS(Dump!P:P,Dump!B:B,C16,Dump!A:A,Y16)</f>
        <v>0</v>
      </c>
      <c r="W16" s="37">
        <f t="shared" si="3"/>
        <v>0</v>
      </c>
      <c r="X16" s="39"/>
      <c r="Y16" s="38">
        <v>46146.0</v>
      </c>
    </row>
    <row r="17">
      <c r="A17" s="31" t="s">
        <v>22</v>
      </c>
      <c r="B17" s="2" t="s">
        <v>68</v>
      </c>
      <c r="C17" s="3" t="s">
        <v>69</v>
      </c>
      <c r="D17" s="2" t="s">
        <v>70</v>
      </c>
      <c r="E17" s="2" t="s">
        <v>26</v>
      </c>
      <c r="F17" s="2" t="s">
        <v>71</v>
      </c>
      <c r="G17" s="2" t="s">
        <v>72</v>
      </c>
      <c r="I17" s="4">
        <f>SUMIFS(Dump!D:D,Dump!B:B,C17)</f>
        <v>244</v>
      </c>
      <c r="J17" s="5">
        <f>SUMIFS(Dump!AE:AE,Dump!B:B,C17)</f>
        <v>64.17305556</v>
      </c>
      <c r="K17" s="4">
        <f>SUMPRODUCT(
  (TEXT(Dump!$A$2:$A994,"mmm-yy")=TEXT($Y17,"mmm-yy"))*
  (Dump!$B$2:$B994=$C17)*
  Dump!$D$2:$D994)</f>
        <v>1</v>
      </c>
      <c r="L17" s="4">
        <f>SUMPRODUCT(
  (TEXT(Dump!$A$2:$A994,"mmm-yy")=TEXT($Y17,"mmm-yy"))*
  (Dump!$B$2:$B994=$C17)*
  Dump!$E$2:$E994
)</f>
        <v>1</v>
      </c>
      <c r="M17" s="4">
        <f>SUMPRODUCT(
  (TEXT(Dump!$A$2:$A994,"mmm-yy")=TEXT($Y17,"mmm-yy"))*
  (Dump!$B$2:$B994=$C17)*
  Dump!$P$2:$P994
)</f>
        <v>4</v>
      </c>
      <c r="N17" s="32"/>
      <c r="O17" s="33">
        <f>SUMIFS(Dump!$D:$D,Dump!$B:$B,$C17,Dump!$A:$A,$Y17)</f>
        <v>1</v>
      </c>
      <c r="P17" s="33">
        <f>SUMIFS(Dump!R:R,Dump!B:B,C17,Dump!A:A,Y17)</f>
        <v>2732</v>
      </c>
      <c r="Q17" s="34">
        <f t="shared" si="1"/>
        <v>-1</v>
      </c>
      <c r="S17" s="4">
        <f>SUMIFS(Dump!E:E,Dump!B:B,C17,Dump!A:A,Y17)</f>
        <v>1</v>
      </c>
      <c r="T17" s="35">
        <f t="shared" si="2"/>
        <v>-1</v>
      </c>
      <c r="U17" s="36">
        <v>4.0</v>
      </c>
      <c r="V17" s="4">
        <f>SUMIFS(Dump!P:P,Dump!B:B,C17,Dump!A:A,Y17)</f>
        <v>3</v>
      </c>
      <c r="W17" s="37">
        <f t="shared" si="3"/>
        <v>1</v>
      </c>
      <c r="X17" s="39"/>
      <c r="Y17" s="38">
        <v>46146.0</v>
      </c>
    </row>
    <row r="18">
      <c r="A18" s="31" t="s">
        <v>22</v>
      </c>
      <c r="B18" s="2" t="s">
        <v>73</v>
      </c>
      <c r="C18" s="3" t="s">
        <v>74</v>
      </c>
      <c r="D18" s="2" t="s">
        <v>75</v>
      </c>
      <c r="E18" s="2" t="s">
        <v>26</v>
      </c>
      <c r="F18" s="2" t="s">
        <v>32</v>
      </c>
      <c r="G18" s="2" t="s">
        <v>76</v>
      </c>
      <c r="I18" s="4">
        <f>SUMIFS(Dump!D:D,Dump!B:B,C18)</f>
        <v>1257</v>
      </c>
      <c r="J18" s="5">
        <f>SUMIFS(Dump!AE:AE,Dump!B:B,C18)</f>
        <v>200.8291667</v>
      </c>
      <c r="K18" s="4">
        <f>SUMPRODUCT(
  (TEXT(Dump!$A$2:$A994,"mmm-yy")=TEXT($Y18,"mmm-yy"))*
  (Dump!$B$2:$B994=$C18)*
  Dump!$D$2:$D994)</f>
        <v>355</v>
      </c>
      <c r="L18" s="4">
        <f>SUMPRODUCT(
  (TEXT(Dump!$A$2:$A994,"mmm-yy")=TEXT($Y18,"mmm-yy"))*
  (Dump!$B$2:$B994=$C18)*
  Dump!$E$2:$E994
)</f>
        <v>46</v>
      </c>
      <c r="M18" s="4">
        <f>SUMPRODUCT(
  (TEXT(Dump!$A$2:$A994,"mmm-yy")=TEXT($Y18,"mmm-yy"))*
  (Dump!$B$2:$B994=$C18)*
  Dump!$P$2:$P994
)</f>
        <v>42</v>
      </c>
      <c r="N18" s="32">
        <v>18.0</v>
      </c>
      <c r="O18" s="33">
        <f>SUMIFS(Dump!$D:$D,Dump!$B:$B,$C18,Dump!$A:$A,$Y18)</f>
        <v>354</v>
      </c>
      <c r="P18" s="33">
        <f>SUMIFS(Dump!R:R,Dump!B:B,C18,Dump!A:A,Y18)</f>
        <v>882175</v>
      </c>
      <c r="Q18" s="34">
        <f t="shared" si="1"/>
        <v>-336</v>
      </c>
      <c r="S18" s="4">
        <f>SUMIFS(Dump!E:E,Dump!B:B,C18,Dump!A:A,Y18)</f>
        <v>25</v>
      </c>
      <c r="T18" s="35">
        <f t="shared" si="2"/>
        <v>-25</v>
      </c>
      <c r="U18" s="36">
        <v>30.0</v>
      </c>
      <c r="V18" s="4">
        <f>SUMIFS(Dump!P:P,Dump!B:B,C18,Dump!A:A,Y18)</f>
        <v>20</v>
      </c>
      <c r="W18" s="37">
        <f t="shared" si="3"/>
        <v>10</v>
      </c>
      <c r="X18" s="39"/>
      <c r="Y18" s="38">
        <v>46146.0</v>
      </c>
    </row>
    <row r="19">
      <c r="A19" s="31" t="s">
        <v>22</v>
      </c>
      <c r="B19" s="2"/>
      <c r="C19" s="3" t="s">
        <v>77</v>
      </c>
      <c r="D19" s="2" t="s">
        <v>78</v>
      </c>
      <c r="E19" s="2" t="s">
        <v>26</v>
      </c>
      <c r="F19" s="2" t="s">
        <v>27</v>
      </c>
      <c r="G19" s="2" t="s">
        <v>56</v>
      </c>
      <c r="I19" s="4">
        <f>SUMIFS(Dump!D:D,Dump!B:B,C19)</f>
        <v>173</v>
      </c>
      <c r="J19" s="5">
        <f>SUMIFS(Dump!AE:AE,Dump!B:B,C19)</f>
        <v>25.23361111</v>
      </c>
      <c r="K19" s="4">
        <f>SUMPRODUCT(
  (TEXT(Dump!$A$2:$A994,"mmm-yy")=TEXT($Y19,"mmm-yy"))*
  (Dump!$B$2:$B994=$C19)*
  Dump!$D$2:$D994)</f>
        <v>58</v>
      </c>
      <c r="L19" s="4">
        <f>SUMPRODUCT(
  (TEXT(Dump!$A$2:$A994,"mmm-yy")=TEXT($Y19,"mmm-yy"))*
  (Dump!$B$2:$B994=$C19)*
  Dump!$E$2:$E994
)</f>
        <v>66</v>
      </c>
      <c r="M19" s="4">
        <f>SUMPRODUCT(
  (TEXT(Dump!$A$2:$A994,"mmm-yy")=TEXT($Y19,"mmm-yy"))*
  (Dump!$B$2:$B994=$C19)*
  Dump!$P$2:$P994
)</f>
        <v>48</v>
      </c>
      <c r="N19" s="32"/>
      <c r="O19" s="33">
        <f>SUMIFS(Dump!$D:$D,Dump!$B:$B,$C19,Dump!$A:$A,$Y19)</f>
        <v>23</v>
      </c>
      <c r="P19" s="33">
        <f>SUMIFS(Dump!R:R,Dump!B:B,C19,Dump!A:A,Y19)</f>
        <v>56248</v>
      </c>
      <c r="Q19" s="34">
        <f t="shared" si="1"/>
        <v>-23</v>
      </c>
      <c r="S19" s="4">
        <f>SUMIFS(Dump!E:E,Dump!B:B,C19,Dump!A:A,Y19)</f>
        <v>14</v>
      </c>
      <c r="T19" s="35">
        <f t="shared" si="2"/>
        <v>-14</v>
      </c>
      <c r="U19" s="36"/>
      <c r="V19" s="4">
        <f>SUMIFS(Dump!P:P,Dump!B:B,C19,Dump!A:A,Y19)</f>
        <v>24</v>
      </c>
      <c r="W19" s="37">
        <f t="shared" si="3"/>
        <v>-24</v>
      </c>
      <c r="X19" s="39"/>
      <c r="Y19" s="38">
        <v>46146.0</v>
      </c>
    </row>
    <row r="20">
      <c r="A20" s="31" t="s">
        <v>22</v>
      </c>
      <c r="B20" s="2"/>
      <c r="C20" s="3" t="s">
        <v>79</v>
      </c>
      <c r="D20" s="2" t="s">
        <v>80</v>
      </c>
      <c r="E20" s="2" t="s">
        <v>46</v>
      </c>
      <c r="F20" s="2" t="s">
        <v>32</v>
      </c>
      <c r="G20" s="2" t="s">
        <v>81</v>
      </c>
      <c r="I20" s="4">
        <f>SUMIFS(Dump!D:D,Dump!B:B,C20)</f>
        <v>57</v>
      </c>
      <c r="J20" s="5">
        <f>SUMIFS(Dump!AE:AE,Dump!B:B,C20)</f>
        <v>11.64361111</v>
      </c>
      <c r="K20" s="4">
        <f>SUMPRODUCT(
  (TEXT(Dump!$A$2:$A994,"mmm-yy")=TEXT($Y20,"mmm-yy"))*
  (Dump!$B$2:$B994=$C20)*
  Dump!$D$2:$D994)</f>
        <v>0</v>
      </c>
      <c r="L20" s="4">
        <f>SUMPRODUCT(
  (TEXT(Dump!$A$2:$A994,"mmm-yy")=TEXT($Y20,"mmm-yy"))*
  (Dump!$B$2:$B994=$C20)*
  Dump!$E$2:$E994
)</f>
        <v>0</v>
      </c>
      <c r="M20" s="4">
        <f>SUMPRODUCT(
  (TEXT(Dump!$A$2:$A994,"mmm-yy")=TEXT($Y20,"mmm-yy"))*
  (Dump!$B$2:$B994=$C20)*
  Dump!$P$2:$P994
)</f>
        <v>0</v>
      </c>
      <c r="N20" s="32"/>
      <c r="O20" s="33">
        <f>SUMIFS(Dump!$D:$D,Dump!$B:$B,$C20,Dump!$A:$A,$Y20)</f>
        <v>0</v>
      </c>
      <c r="P20" s="33">
        <f>SUMIFS(Dump!R:R,Dump!B:B,C20,Dump!A:A,Y20)</f>
        <v>0</v>
      </c>
      <c r="Q20" s="34">
        <f t="shared" si="1"/>
        <v>0</v>
      </c>
      <c r="S20" s="4">
        <f>SUMIFS(Dump!E:E,Dump!B:B,C20,Dump!A:A,Y20)</f>
        <v>0</v>
      </c>
      <c r="T20" s="35">
        <f t="shared" si="2"/>
        <v>0</v>
      </c>
      <c r="U20" s="36"/>
      <c r="V20" s="4">
        <f>SUMIFS(Dump!P:P,Dump!B:B,C20,Dump!A:A,Y20)</f>
        <v>0</v>
      </c>
      <c r="W20" s="37">
        <f t="shared" si="3"/>
        <v>0</v>
      </c>
      <c r="X20" s="39"/>
      <c r="Y20" s="38">
        <v>46146.0</v>
      </c>
    </row>
    <row r="21">
      <c r="A21" s="31" t="s">
        <v>22</v>
      </c>
      <c r="B21" s="2"/>
      <c r="C21" s="3" t="s">
        <v>82</v>
      </c>
      <c r="D21" s="2" t="s">
        <v>83</v>
      </c>
      <c r="E21" s="2" t="s">
        <v>46</v>
      </c>
      <c r="F21" s="2" t="s">
        <v>41</v>
      </c>
      <c r="G21" s="2"/>
      <c r="I21" s="4">
        <f>SUMIFS(Dump!D:D,Dump!B:B,C21)</f>
        <v>52</v>
      </c>
      <c r="J21" s="5">
        <f>SUMIFS(Dump!AE:AE,Dump!B:B,C21)</f>
        <v>10.99111111</v>
      </c>
      <c r="K21" s="4">
        <f>SUMPRODUCT(
  (TEXT(Dump!$A$2:$A994,"mmm-yy")=TEXT($Y21,"mmm-yy"))*
  (Dump!$B$2:$B994=$C21)*
  Dump!$D$2:$D994)</f>
        <v>0</v>
      </c>
      <c r="L21" s="4">
        <f>SUMPRODUCT(
  (TEXT(Dump!$A$2:$A994,"mmm-yy")=TEXT($Y21,"mmm-yy"))*
  (Dump!$B$2:$B994=$C21)*
  Dump!$E$2:$E994
)</f>
        <v>0</v>
      </c>
      <c r="M21" s="4">
        <f>SUMPRODUCT(
  (TEXT(Dump!$A$2:$A994,"mmm-yy")=TEXT($Y21,"mmm-yy"))*
  (Dump!$B$2:$B994=$C21)*
  Dump!$P$2:$P994
)</f>
        <v>0</v>
      </c>
      <c r="N21" s="32"/>
      <c r="O21" s="33">
        <f>SUMIFS(Dump!$D:$D,Dump!$B:$B,$C21,Dump!$A:$A,$Y21)</f>
        <v>0</v>
      </c>
      <c r="P21" s="33">
        <f>SUMIFS(Dump!R:R,Dump!B:B,C21,Dump!A:A,Y21)</f>
        <v>0</v>
      </c>
      <c r="Q21" s="34">
        <f t="shared" si="1"/>
        <v>0</v>
      </c>
      <c r="S21" s="4">
        <f>SUMIFS(Dump!E:E,Dump!B:B,C21,Dump!A:A,Y21)</f>
        <v>0</v>
      </c>
      <c r="T21" s="35">
        <f t="shared" si="2"/>
        <v>0</v>
      </c>
      <c r="U21" s="36"/>
      <c r="V21" s="4">
        <f>SUMIFS(Dump!P:P,Dump!B:B,C21,Dump!A:A,Y21)</f>
        <v>0</v>
      </c>
      <c r="W21" s="37">
        <f t="shared" si="3"/>
        <v>0</v>
      </c>
      <c r="X21" s="39"/>
      <c r="Y21" s="38">
        <v>46146.0</v>
      </c>
    </row>
    <row r="22">
      <c r="A22" s="31" t="s">
        <v>22</v>
      </c>
      <c r="B22" s="2"/>
      <c r="C22" s="40" t="s">
        <v>84</v>
      </c>
      <c r="D22" s="2" t="s">
        <v>85</v>
      </c>
      <c r="E22" s="2"/>
      <c r="F22" s="2"/>
      <c r="G22" s="2"/>
      <c r="I22" s="4">
        <f>SUMIFS(Dump!D:D,Dump!B:B,C22)</f>
        <v>0</v>
      </c>
      <c r="J22" s="5">
        <f>SUMIFS(Dump!AE:AE,Dump!B:B,C22)</f>
        <v>0</v>
      </c>
      <c r="K22" s="4">
        <f>SUMPRODUCT(
  (TEXT(Dump!$A$2:$A994,"mmm-yy")=TEXT($Y22,"mmm-yy"))*
  (Dump!$B$2:$B994=$C22)*
  Dump!$D$2:$D994)</f>
        <v>0</v>
      </c>
      <c r="L22" s="4">
        <f>SUMPRODUCT(
  (TEXT(Dump!$A$2:$A994,"mmm-yy")=TEXT($Y22,"mmm-yy"))*
  (Dump!$B$2:$B994=$C22)*
  Dump!$E$2:$E994
)</f>
        <v>0</v>
      </c>
      <c r="M22" s="4">
        <f>SUMPRODUCT(
  (TEXT(Dump!$A$2:$A994,"mmm-yy")=TEXT($Y22,"mmm-yy"))*
  (Dump!$B$2:$B994=$C22)*
  Dump!$P$2:$P994
)</f>
        <v>0</v>
      </c>
      <c r="N22" s="32"/>
      <c r="O22" s="33">
        <f>SUMIFS(Dump!$D:$D,Dump!$B:$B,$C22,Dump!$A:$A,$Y22)</f>
        <v>0</v>
      </c>
      <c r="P22" s="33">
        <f>SUMIFS(Dump!R:R,Dump!B:B,C22,Dump!A:A,Y22)</f>
        <v>0</v>
      </c>
      <c r="Q22" s="34">
        <f t="shared" si="1"/>
        <v>0</v>
      </c>
      <c r="S22" s="4">
        <f>SUMIFS(Dump!E:E,Dump!B:B,C22,Dump!A:A,Y22)</f>
        <v>0</v>
      </c>
      <c r="T22" s="35">
        <f t="shared" si="2"/>
        <v>0</v>
      </c>
      <c r="U22" s="36"/>
      <c r="V22" s="4">
        <f>SUMIFS(Dump!P:P,Dump!B:B,C22,Dump!A:A,Y22)</f>
        <v>0</v>
      </c>
      <c r="W22" s="37">
        <f t="shared" si="3"/>
        <v>0</v>
      </c>
      <c r="X22" s="39"/>
      <c r="Y22" s="38">
        <v>46146.0</v>
      </c>
    </row>
    <row r="23">
      <c r="A23" s="31" t="s">
        <v>22</v>
      </c>
      <c r="B23" s="2"/>
      <c r="C23" s="3" t="s">
        <v>86</v>
      </c>
      <c r="D23" s="2" t="s">
        <v>87</v>
      </c>
      <c r="E23" s="2" t="s">
        <v>26</v>
      </c>
      <c r="F23" s="2"/>
      <c r="G23" s="2"/>
      <c r="I23" s="4">
        <f>SUMIFS(Dump!D:D,Dump!B:B,C23)</f>
        <v>82</v>
      </c>
      <c r="J23" s="5">
        <f>SUMIFS(Dump!AE:AE,Dump!B:B,C23)</f>
        <v>9.908333333</v>
      </c>
      <c r="K23" s="4">
        <f>SUMPRODUCT(
  (TEXT(Dump!$A$2:$A994,"mmm-yy")=TEXT($Y23,"mmm-yy"))*
  (Dump!$B$2:$B994=$C23)*
  Dump!$D$2:$D994)</f>
        <v>35</v>
      </c>
      <c r="L23" s="4">
        <f>SUMPRODUCT(
  (TEXT(Dump!$A$2:$A994,"mmm-yy")=TEXT($Y23,"mmm-yy"))*
  (Dump!$B$2:$B994=$C23)*
  Dump!$E$2:$E994
)</f>
        <v>5</v>
      </c>
      <c r="M23" s="4">
        <f>SUMPRODUCT(
  (TEXT(Dump!$A$2:$A994,"mmm-yy")=TEXT($Y23,"mmm-yy"))*
  (Dump!$B$2:$B994=$C23)*
  Dump!$P$2:$P994
)</f>
        <v>0</v>
      </c>
      <c r="N23" s="32">
        <v>20.0</v>
      </c>
      <c r="O23" s="33">
        <f>SUMIFS(Dump!$D:$D,Dump!$B:$B,$C23,Dump!$A:$A,$Y23)</f>
        <v>19</v>
      </c>
      <c r="P23" s="33">
        <f>SUMIFS(Dump!R:R,Dump!B:B,C23,Dump!A:A,Y23)</f>
        <v>41346</v>
      </c>
      <c r="Q23" s="34">
        <f t="shared" si="1"/>
        <v>1</v>
      </c>
      <c r="S23" s="4">
        <f>SUMIFS(Dump!E:E,Dump!B:B,C23,Dump!A:A,Y23)</f>
        <v>0</v>
      </c>
      <c r="T23" s="35">
        <f t="shared" si="2"/>
        <v>0</v>
      </c>
      <c r="U23" s="36"/>
      <c r="V23" s="4">
        <f>SUMIFS(Dump!P:P,Dump!B:B,C23,Dump!A:A,Y23)</f>
        <v>0</v>
      </c>
      <c r="W23" s="37">
        <f t="shared" si="3"/>
        <v>0</v>
      </c>
      <c r="X23" s="39"/>
      <c r="Y23" s="38">
        <v>46146.0</v>
      </c>
    </row>
    <row r="24">
      <c r="A24" s="31" t="s">
        <v>22</v>
      </c>
      <c r="B24" s="2"/>
      <c r="C24" s="3" t="s">
        <v>88</v>
      </c>
      <c r="D24" s="2" t="s">
        <v>89</v>
      </c>
      <c r="E24" s="2" t="s">
        <v>46</v>
      </c>
      <c r="F24" s="2" t="s">
        <v>27</v>
      </c>
      <c r="G24" s="2" t="s">
        <v>47</v>
      </c>
      <c r="I24" s="4">
        <f>SUMIFS(Dump!D:D,Dump!B:B,C24)</f>
        <v>56</v>
      </c>
      <c r="J24" s="5">
        <f>SUMIFS(Dump!AE:AE,Dump!B:B,C24)</f>
        <v>10.39083333</v>
      </c>
      <c r="K24" s="4">
        <f>SUMPRODUCT(
  (TEXT(Dump!$A$2:$A994,"mmm-yy")=TEXT($Y24,"mmm-yy"))*
  (Dump!$B$2:$B994=$C24)*
  Dump!$D$2:$D994)</f>
        <v>0</v>
      </c>
      <c r="L24" s="4">
        <f>SUMPRODUCT(
  (TEXT(Dump!$A$2:$A994,"mmm-yy")=TEXT($Y24,"mmm-yy"))*
  (Dump!$B$2:$B994=$C24)*
  Dump!$E$2:$E994
)</f>
        <v>0</v>
      </c>
      <c r="M24" s="4">
        <f>SUMPRODUCT(
  (TEXT(Dump!$A$2:$A994,"mmm-yy")=TEXT($Y24,"mmm-yy"))*
  (Dump!$B$2:$B994=$C24)*
  Dump!$P$2:$P994
)</f>
        <v>0</v>
      </c>
      <c r="N24" s="32"/>
      <c r="O24" s="33">
        <f>SUMIFS(Dump!$D:$D,Dump!$B:$B,$C24,Dump!$A:$A,$Y24)</f>
        <v>0</v>
      </c>
      <c r="P24" s="33">
        <f>SUMIFS(Dump!R:R,Dump!B:B,C24,Dump!A:A,Y24)</f>
        <v>0</v>
      </c>
      <c r="Q24" s="34">
        <f t="shared" si="1"/>
        <v>0</v>
      </c>
      <c r="S24" s="4">
        <f>SUMIFS(Dump!E:E,Dump!B:B,C24,Dump!A:A,Y24)</f>
        <v>0</v>
      </c>
      <c r="T24" s="35">
        <f t="shared" si="2"/>
        <v>0</v>
      </c>
      <c r="U24" s="36"/>
      <c r="V24" s="4">
        <f>SUMIFS(Dump!P:P,Dump!B:B,C24,Dump!A:A,Y24)</f>
        <v>0</v>
      </c>
      <c r="W24" s="37">
        <f t="shared" si="3"/>
        <v>0</v>
      </c>
      <c r="X24" s="39"/>
      <c r="Y24" s="38">
        <v>46146.0</v>
      </c>
    </row>
    <row r="25">
      <c r="A25" s="31" t="s">
        <v>22</v>
      </c>
      <c r="B25" s="2"/>
      <c r="C25" s="3" t="s">
        <v>90</v>
      </c>
      <c r="D25" s="2" t="s">
        <v>91</v>
      </c>
      <c r="E25" s="2" t="s">
        <v>46</v>
      </c>
      <c r="F25" s="2" t="s">
        <v>32</v>
      </c>
      <c r="G25" s="2" t="s">
        <v>92</v>
      </c>
      <c r="I25" s="4">
        <f>SUMIFS(Dump!D:D,Dump!B:B,C25)</f>
        <v>50</v>
      </c>
      <c r="J25" s="5">
        <f>SUMIFS(Dump!AE:AE,Dump!B:B,C25)</f>
        <v>10.19194444</v>
      </c>
      <c r="K25" s="4">
        <f>SUMPRODUCT(
  (TEXT(Dump!$A$2:$A994,"mmm-yy")=TEXT($Y25,"mmm-yy"))*
  (Dump!$B$2:$B994=$C25)*
  Dump!$D$2:$D994)</f>
        <v>0</v>
      </c>
      <c r="L25" s="4">
        <f>SUMPRODUCT(
  (TEXT(Dump!$A$2:$A994,"mmm-yy")=TEXT($Y25,"mmm-yy"))*
  (Dump!$B$2:$B994=$C25)*
  Dump!$E$2:$E994
)</f>
        <v>0</v>
      </c>
      <c r="M25" s="4">
        <f>SUMPRODUCT(
  (TEXT(Dump!$A$2:$A994,"mmm-yy")=TEXT($Y25,"mmm-yy"))*
  (Dump!$B$2:$B994=$C25)*
  Dump!$P$2:$P994
)</f>
        <v>1</v>
      </c>
      <c r="N25" s="32"/>
      <c r="O25" s="33">
        <f>SUMIFS(Dump!$D:$D,Dump!$B:$B,$C25,Dump!$A:$A,$Y25)</f>
        <v>0</v>
      </c>
      <c r="P25" s="33">
        <f>SUMIFS(Dump!R:R,Dump!B:B,C25,Dump!A:A,Y25)</f>
        <v>0</v>
      </c>
      <c r="Q25" s="34">
        <f t="shared" si="1"/>
        <v>0</v>
      </c>
      <c r="S25" s="4">
        <f>SUMIFS(Dump!E:E,Dump!B:B,C25,Dump!A:A,Y25)</f>
        <v>0</v>
      </c>
      <c r="T25" s="35">
        <f t="shared" si="2"/>
        <v>0</v>
      </c>
      <c r="U25" s="36"/>
      <c r="V25" s="4">
        <f>SUMIFS(Dump!P:P,Dump!B:B,C25,Dump!A:A,Y25)</f>
        <v>1</v>
      </c>
      <c r="W25" s="37">
        <f t="shared" si="3"/>
        <v>-1</v>
      </c>
      <c r="X25" s="39"/>
      <c r="Y25" s="38">
        <v>46146.0</v>
      </c>
    </row>
    <row r="26">
      <c r="A26" s="31" t="s">
        <v>22</v>
      </c>
      <c r="B26" s="2"/>
      <c r="C26" s="3" t="s">
        <v>93</v>
      </c>
      <c r="D26" s="2" t="s">
        <v>94</v>
      </c>
      <c r="E26" s="2" t="s">
        <v>26</v>
      </c>
      <c r="F26" s="2"/>
      <c r="G26" s="2"/>
      <c r="I26" s="4">
        <f>SUMIFS(Dump!D:D,Dump!B:B,C26)</f>
        <v>79</v>
      </c>
      <c r="J26" s="5">
        <f>SUMIFS(Dump!AE:AE,Dump!B:B,C26)</f>
        <v>17.93027778</v>
      </c>
      <c r="K26" s="4">
        <f>SUMPRODUCT(
  (TEXT(Dump!$A$2:$A994,"mmm-yy")=TEXT($Y26,"mmm-yy"))*
  (Dump!$B$2:$B994=$C26)*
  Dump!$D$2:$D994)</f>
        <v>30</v>
      </c>
      <c r="L26" s="4">
        <f>SUMPRODUCT(
  (TEXT(Dump!$A$2:$A994,"mmm-yy")=TEXT($Y26,"mmm-yy"))*
  (Dump!$B$2:$B994=$C26)*
  Dump!$E$2:$E994
)</f>
        <v>34</v>
      </c>
      <c r="M26" s="4">
        <f>SUMPRODUCT(
  (TEXT(Dump!$A$2:$A994,"mmm-yy")=TEXT($Y26,"mmm-yy"))*
  (Dump!$B$2:$B994=$C26)*
  Dump!$P$2:$P994
)</f>
        <v>34</v>
      </c>
      <c r="N26" s="32">
        <v>12.0</v>
      </c>
      <c r="O26" s="33">
        <f>SUMIFS(Dump!$D:$D,Dump!$B:$B,$C26,Dump!$A:$A,$Y26)</f>
        <v>15</v>
      </c>
      <c r="P26" s="33">
        <f>SUMIFS(Dump!R:R,Dump!B:B,C26,Dump!A:A,Y26)</f>
        <v>33622</v>
      </c>
      <c r="Q26" s="34">
        <f t="shared" si="1"/>
        <v>-3</v>
      </c>
      <c r="S26" s="4">
        <f>SUMIFS(Dump!E:E,Dump!B:B,C26,Dump!A:A,Y26)</f>
        <v>19</v>
      </c>
      <c r="T26" s="35">
        <f t="shared" si="2"/>
        <v>-19</v>
      </c>
      <c r="U26" s="36"/>
      <c r="V26" s="4">
        <f>SUMIFS(Dump!P:P,Dump!B:B,C26,Dump!A:A,Y26)</f>
        <v>21</v>
      </c>
      <c r="W26" s="37">
        <f t="shared" si="3"/>
        <v>-21</v>
      </c>
      <c r="X26" s="39"/>
      <c r="Y26" s="38">
        <v>46146.0</v>
      </c>
    </row>
    <row r="27">
      <c r="A27" s="31" t="s">
        <v>22</v>
      </c>
      <c r="B27" s="2"/>
      <c r="C27" s="3" t="s">
        <v>95</v>
      </c>
      <c r="D27" s="2" t="s">
        <v>96</v>
      </c>
      <c r="E27" s="2" t="s">
        <v>46</v>
      </c>
      <c r="F27" s="2" t="s">
        <v>41</v>
      </c>
      <c r="G27" s="2" t="s">
        <v>92</v>
      </c>
      <c r="I27" s="4">
        <f>SUMIFS(Dump!D:D,Dump!B:B,C27)</f>
        <v>50</v>
      </c>
      <c r="J27" s="5">
        <f>SUMIFS(Dump!AE:AE,Dump!B:B,C27)</f>
        <v>10.06555556</v>
      </c>
      <c r="K27" s="4">
        <f>SUMPRODUCT(
  (TEXT(Dump!$A$2:$A994,"mmm-yy")=TEXT($Y27,"mmm-yy"))*
  (Dump!$B$2:$B994=$C27)*
  Dump!$D$2:$D994)</f>
        <v>0</v>
      </c>
      <c r="L27" s="4">
        <f>SUMPRODUCT(
  (TEXT(Dump!$A$2:$A994,"mmm-yy")=TEXT($Y27,"mmm-yy"))*
  (Dump!$B$2:$B994=$C27)*
  Dump!$E$2:$E994
)</f>
        <v>0</v>
      </c>
      <c r="M27" s="4">
        <f>SUMPRODUCT(
  (TEXT(Dump!$A$2:$A994,"mmm-yy")=TEXT($Y27,"mmm-yy"))*
  (Dump!$B$2:$B994=$C27)*
  Dump!$P$2:$P994
)</f>
        <v>0</v>
      </c>
      <c r="N27" s="32"/>
      <c r="O27" s="33">
        <f>SUMIFS(Dump!$D:$D,Dump!$B:$B,$C27,Dump!$A:$A,$Y27)</f>
        <v>0</v>
      </c>
      <c r="P27" s="33">
        <f>SUMIFS(Dump!R:R,Dump!B:B,C27,Dump!A:A,Y27)</f>
        <v>0</v>
      </c>
      <c r="Q27" s="34">
        <f t="shared" si="1"/>
        <v>0</v>
      </c>
      <c r="S27" s="4">
        <f>SUMIFS(Dump!E:E,Dump!B:B,C27,Dump!A:A,Y27)</f>
        <v>0</v>
      </c>
      <c r="T27" s="35">
        <f t="shared" si="2"/>
        <v>0</v>
      </c>
      <c r="U27" s="36"/>
      <c r="V27" s="4">
        <f>SUMIFS(Dump!P:P,Dump!B:B,C27,Dump!A:A,Y27)</f>
        <v>0</v>
      </c>
      <c r="W27" s="37">
        <f t="shared" si="3"/>
        <v>0</v>
      </c>
      <c r="X27" s="39"/>
      <c r="Y27" s="38">
        <v>46146.0</v>
      </c>
    </row>
    <row r="28">
      <c r="A28" s="31" t="s">
        <v>22</v>
      </c>
      <c r="B28" s="2"/>
      <c r="C28" s="3" t="s">
        <v>97</v>
      </c>
      <c r="D28" s="2" t="s">
        <v>98</v>
      </c>
      <c r="E28" s="2" t="s">
        <v>26</v>
      </c>
      <c r="F28" s="2" t="s">
        <v>27</v>
      </c>
      <c r="G28" s="2" t="s">
        <v>81</v>
      </c>
      <c r="I28" s="4">
        <f>SUMIFS(Dump!D:D,Dump!B:B,C28)</f>
        <v>125</v>
      </c>
      <c r="J28" s="5">
        <f>SUMIFS(Dump!AE:AE,Dump!B:B,C28)</f>
        <v>10.79361111</v>
      </c>
      <c r="K28" s="4">
        <f>SUMPRODUCT(
  (TEXT(Dump!$A$2:$A994,"mmm-yy")=TEXT($Y28,"mmm-yy"))*
  (Dump!$B$2:$B994=$C28)*
  Dump!$D$2:$D994)</f>
        <v>75</v>
      </c>
      <c r="L28" s="4">
        <f>SUMPRODUCT(
  (TEXT(Dump!$A$2:$A994,"mmm-yy")=TEXT($Y28,"mmm-yy"))*
  (Dump!$B$2:$B994=$C28)*
  Dump!$E$2:$E994
)</f>
        <v>42</v>
      </c>
      <c r="M28" s="4">
        <f>SUMPRODUCT(
  (TEXT(Dump!$A$2:$A994,"mmm-yy")=TEXT($Y28,"mmm-yy"))*
  (Dump!$B$2:$B994=$C28)*
  Dump!$P$2:$P994
)</f>
        <v>20</v>
      </c>
      <c r="N28" s="32">
        <v>30.0</v>
      </c>
      <c r="O28" s="33">
        <f>SUMIFS(Dump!$D:$D,Dump!$B:$B,$C28,Dump!$A:$A,$Y28)</f>
        <v>29</v>
      </c>
      <c r="P28" s="33">
        <f>SUMIFS(Dump!R:R,Dump!B:B,C28,Dump!A:A,Y28)</f>
        <v>68961</v>
      </c>
      <c r="Q28" s="34">
        <f t="shared" si="1"/>
        <v>1</v>
      </c>
      <c r="S28" s="4">
        <f>SUMIFS(Dump!E:E,Dump!B:B,C28,Dump!A:A,Y28)</f>
        <v>11</v>
      </c>
      <c r="T28" s="35">
        <f t="shared" si="2"/>
        <v>-11</v>
      </c>
      <c r="U28" s="36">
        <v>20.0</v>
      </c>
      <c r="V28" s="4">
        <f>SUMIFS(Dump!P:P,Dump!B:B,C28,Dump!A:A,Y28)</f>
        <v>19</v>
      </c>
      <c r="W28" s="37">
        <f t="shared" si="3"/>
        <v>1</v>
      </c>
      <c r="X28" s="39"/>
      <c r="Y28" s="38">
        <v>46146.0</v>
      </c>
    </row>
    <row r="29">
      <c r="A29" s="31" t="s">
        <v>22</v>
      </c>
      <c r="B29" s="2"/>
      <c r="C29" s="3" t="s">
        <v>99</v>
      </c>
      <c r="D29" s="2" t="s">
        <v>100</v>
      </c>
      <c r="E29" s="2" t="s">
        <v>26</v>
      </c>
      <c r="F29" s="2" t="s">
        <v>27</v>
      </c>
      <c r="G29" s="2"/>
      <c r="I29" s="4">
        <f>SUMIFS(Dump!D:D,Dump!B:B,C29)</f>
        <v>85</v>
      </c>
      <c r="J29" s="5">
        <f>SUMIFS(Dump!AE:AE,Dump!B:B,C29)</f>
        <v>5.431388889</v>
      </c>
      <c r="K29" s="4">
        <f>SUMPRODUCT(
  (TEXT(Dump!$A$2:$A994,"mmm-yy")=TEXT($Y29,"mmm-yy"))*
  (Dump!$B$2:$B994=$C29)*
  Dump!$D$2:$D994)</f>
        <v>60</v>
      </c>
      <c r="L29" s="4">
        <f>SUMPRODUCT(
  (TEXT(Dump!$A$2:$A994,"mmm-yy")=TEXT($Y29,"mmm-yy"))*
  (Dump!$B$2:$B994=$C29)*
  Dump!$E$2:$E994
)</f>
        <v>9</v>
      </c>
      <c r="M29" s="4">
        <f>SUMPRODUCT(
  (TEXT(Dump!$A$2:$A994,"mmm-yy")=TEXT($Y29,"mmm-yy"))*
  (Dump!$B$2:$B994=$C29)*
  Dump!$P$2:$P994
)</f>
        <v>8</v>
      </c>
      <c r="N29" s="32">
        <v>30.0</v>
      </c>
      <c r="O29" s="33">
        <f>SUMIFS(Dump!$D:$D,Dump!$B:$B,$C29,Dump!$A:$A,$Y29)</f>
        <v>30</v>
      </c>
      <c r="P29" s="33">
        <f>SUMIFS(Dump!R:R,Dump!B:B,C29,Dump!A:A,Y29)</f>
        <v>72191</v>
      </c>
      <c r="Q29" s="34">
        <f t="shared" si="1"/>
        <v>0</v>
      </c>
      <c r="S29" s="4">
        <f>SUMIFS(Dump!E:E,Dump!B:B,C29,Dump!A:A,Y29)</f>
        <v>5</v>
      </c>
      <c r="T29" s="35">
        <f t="shared" si="2"/>
        <v>-5</v>
      </c>
      <c r="U29" s="36"/>
      <c r="V29" s="4">
        <f>SUMIFS(Dump!P:P,Dump!B:B,C29,Dump!A:A,Y29)</f>
        <v>5</v>
      </c>
      <c r="W29" s="37">
        <f t="shared" si="3"/>
        <v>-5</v>
      </c>
      <c r="X29" s="39"/>
      <c r="Y29" s="38">
        <v>46146.0</v>
      </c>
    </row>
    <row r="30">
      <c r="A30" s="31" t="s">
        <v>22</v>
      </c>
      <c r="B30" s="2"/>
      <c r="C30" s="3" t="s">
        <v>101</v>
      </c>
      <c r="D30" s="2" t="s">
        <v>102</v>
      </c>
      <c r="E30" s="2" t="s">
        <v>46</v>
      </c>
      <c r="F30" s="2" t="s">
        <v>27</v>
      </c>
      <c r="G30" s="2"/>
      <c r="I30" s="4">
        <f>SUMIFS(Dump!D:D,Dump!B:B,C30)</f>
        <v>75</v>
      </c>
      <c r="J30" s="5">
        <f>SUMIFS(Dump!AE:AE,Dump!B:B,C30)</f>
        <v>10.12472222</v>
      </c>
      <c r="K30" s="4">
        <f>SUMPRODUCT(
  (TEXT(Dump!$A$2:$A994,"mmm-yy")=TEXT($Y30,"mmm-yy"))*
  (Dump!$B$2:$B994=$C30)*
  Dump!$D$2:$D994)</f>
        <v>23</v>
      </c>
      <c r="L30" s="4">
        <f>SUMPRODUCT(
  (TEXT(Dump!$A$2:$A994,"mmm-yy")=TEXT($Y30,"mmm-yy"))*
  (Dump!$B$2:$B994=$C30)*
  Dump!$E$2:$E994
)</f>
        <v>11</v>
      </c>
      <c r="M30" s="4">
        <f>SUMPRODUCT(
  (TEXT(Dump!$A$2:$A994,"mmm-yy")=TEXT($Y30,"mmm-yy"))*
  (Dump!$B$2:$B994=$C30)*
  Dump!$P$2:$P994
)</f>
        <v>0</v>
      </c>
      <c r="N30" s="32"/>
      <c r="O30" s="33">
        <f>SUMIFS(Dump!$D:$D,Dump!$B:$B,$C30,Dump!$A:$A,$Y30)</f>
        <v>0</v>
      </c>
      <c r="P30" s="33">
        <f>SUMIFS(Dump!R:R,Dump!B:B,C30,Dump!A:A,Y30)</f>
        <v>0</v>
      </c>
      <c r="Q30" s="34">
        <f t="shared" si="1"/>
        <v>0</v>
      </c>
      <c r="S30" s="4">
        <f>SUMIFS(Dump!E:E,Dump!B:B,C30,Dump!A:A,Y30)</f>
        <v>0</v>
      </c>
      <c r="T30" s="35">
        <f t="shared" si="2"/>
        <v>0</v>
      </c>
      <c r="U30" s="36"/>
      <c r="V30" s="4">
        <f>SUMIFS(Dump!P:P,Dump!B:B,C30,Dump!A:A,Y30)</f>
        <v>0</v>
      </c>
      <c r="W30" s="37">
        <f t="shared" si="3"/>
        <v>0</v>
      </c>
      <c r="X30" s="39"/>
      <c r="Y30" s="38">
        <v>46146.0</v>
      </c>
    </row>
    <row r="31">
      <c r="A31" s="31" t="s">
        <v>22</v>
      </c>
      <c r="B31" s="2"/>
      <c r="C31" s="3" t="s">
        <v>103</v>
      </c>
      <c r="D31" s="2" t="s">
        <v>104</v>
      </c>
      <c r="E31" s="2"/>
      <c r="F31" s="2"/>
      <c r="G31" s="2"/>
      <c r="I31" s="4">
        <f>SUMIFS(Dump!D:D,Dump!B:B,C31)</f>
        <v>8</v>
      </c>
      <c r="J31" s="5">
        <f>SUMIFS(Dump!AE:AE,Dump!B:B,C31)</f>
        <v>1.161388889</v>
      </c>
      <c r="K31" s="4">
        <f>SUMPRODUCT(
  (TEXT(Dump!$A$2:$A994,"mmm-yy")=TEXT($Y31,"mmm-yy"))*
  (Dump!$B$2:$B994=$C31)*
  Dump!$D$2:$D994)</f>
        <v>0</v>
      </c>
      <c r="L31" s="4">
        <f>SUMPRODUCT(
  (TEXT(Dump!$A$2:$A994,"mmm-yy")=TEXT($Y31,"mmm-yy"))*
  (Dump!$B$2:$B994=$C31)*
  Dump!$E$2:$E994
)</f>
        <v>0</v>
      </c>
      <c r="M31" s="4">
        <f>SUMPRODUCT(
  (TEXT(Dump!$A$2:$A994,"mmm-yy")=TEXT($Y31,"mmm-yy"))*
  (Dump!$B$2:$B994=$C31)*
  Dump!$P$2:$P994
)</f>
        <v>0</v>
      </c>
      <c r="N31" s="32"/>
      <c r="O31" s="33">
        <f>SUMIFS(Dump!$D:$D,Dump!$B:$B,$C31,Dump!$A:$A,$Y31)</f>
        <v>0</v>
      </c>
      <c r="P31" s="33">
        <f>SUMIFS(Dump!R:R,Dump!B:B,C31,Dump!A:A,Y31)</f>
        <v>0</v>
      </c>
      <c r="Q31" s="34">
        <f t="shared" si="1"/>
        <v>0</v>
      </c>
      <c r="S31" s="4">
        <f>SUMIFS(Dump!E:E,Dump!B:B,C31,Dump!A:A,Y31)</f>
        <v>0</v>
      </c>
      <c r="T31" s="35">
        <f t="shared" si="2"/>
        <v>0</v>
      </c>
      <c r="U31" s="36"/>
      <c r="V31" s="4">
        <f>SUMIFS(Dump!P:P,Dump!B:B,C31,Dump!A:A,Y31)</f>
        <v>0</v>
      </c>
      <c r="W31" s="37">
        <f t="shared" si="3"/>
        <v>0</v>
      </c>
      <c r="X31" s="39"/>
      <c r="Y31" s="38">
        <v>46146.0</v>
      </c>
    </row>
    <row r="32">
      <c r="A32" s="31" t="s">
        <v>22</v>
      </c>
      <c r="B32" s="2"/>
      <c r="C32" s="3" t="s">
        <v>105</v>
      </c>
      <c r="D32" s="2" t="s">
        <v>106</v>
      </c>
      <c r="E32" s="2" t="s">
        <v>26</v>
      </c>
      <c r="F32" s="2"/>
      <c r="G32" s="2"/>
      <c r="I32" s="4">
        <f>SUMIFS(Dump!D:D,Dump!B:B,C32)</f>
        <v>45</v>
      </c>
      <c r="J32" s="5">
        <f>SUMIFS(Dump!AE:AE,Dump!B:B,C32)</f>
        <v>7.171111111</v>
      </c>
      <c r="K32" s="4">
        <f>SUMPRODUCT(
  (TEXT(Dump!$A$2:$A994,"mmm-yy")=TEXT($Y32,"mmm-yy"))*
  (Dump!$B$2:$B994=$C32)*
  Dump!$D$2:$D994)</f>
        <v>30</v>
      </c>
      <c r="L32" s="4">
        <f>SUMPRODUCT(
  (TEXT(Dump!$A$2:$A994,"mmm-yy")=TEXT($Y32,"mmm-yy"))*
  (Dump!$B$2:$B994=$C32)*
  Dump!$E$2:$E994
)</f>
        <v>27</v>
      </c>
      <c r="M32" s="4">
        <f>SUMPRODUCT(
  (TEXT(Dump!$A$2:$A994,"mmm-yy")=TEXT($Y32,"mmm-yy"))*
  (Dump!$B$2:$B994=$C32)*
  Dump!$P$2:$P994
)</f>
        <v>34</v>
      </c>
      <c r="N32" s="32">
        <v>10.0</v>
      </c>
      <c r="O32" s="33">
        <f>SUMIFS(Dump!$D:$D,Dump!$B:$B,$C32,Dump!$A:$A,$Y32)</f>
        <v>20</v>
      </c>
      <c r="P32" s="33">
        <f>SUMIFS(Dump!R:R,Dump!B:B,C32,Dump!A:A,Y32)</f>
        <v>43065</v>
      </c>
      <c r="Q32" s="34">
        <f t="shared" si="1"/>
        <v>-10</v>
      </c>
      <c r="S32" s="4">
        <f>SUMIFS(Dump!E:E,Dump!B:B,C32,Dump!A:A,Y32)</f>
        <v>12</v>
      </c>
      <c r="T32" s="35">
        <f t="shared" si="2"/>
        <v>-12</v>
      </c>
      <c r="U32" s="36">
        <v>17.0</v>
      </c>
      <c r="V32" s="4">
        <f>SUMIFS(Dump!P:P,Dump!B:B,C32,Dump!A:A,Y32)</f>
        <v>14</v>
      </c>
      <c r="W32" s="37">
        <f t="shared" si="3"/>
        <v>3</v>
      </c>
      <c r="X32" s="39"/>
      <c r="Y32" s="38">
        <v>46146.0</v>
      </c>
    </row>
    <row r="33">
      <c r="A33" s="31" t="s">
        <v>22</v>
      </c>
      <c r="B33" s="2"/>
      <c r="C33" s="3" t="s">
        <v>107</v>
      </c>
      <c r="D33" s="2" t="s">
        <v>108</v>
      </c>
      <c r="E33" s="2"/>
      <c r="F33" s="2"/>
      <c r="G33" s="2"/>
      <c r="I33" s="4">
        <f>SUMIFS(Dump!D:D,Dump!B:B,C33)</f>
        <v>44</v>
      </c>
      <c r="J33" s="5">
        <f>SUMIFS(Dump!AE:AE,Dump!B:B,C33)</f>
        <v>0</v>
      </c>
      <c r="K33" s="4">
        <f>SUMPRODUCT(
  (TEXT(Dump!$A$2:$A994,"mmm-yy")=TEXT($Y33,"mmm-yy"))*
  (Dump!$B$2:$B994=$C33)*
  Dump!$D$2:$D994)</f>
        <v>21</v>
      </c>
      <c r="L33" s="4">
        <f>SUMPRODUCT(
  (TEXT(Dump!$A$2:$A994,"mmm-yy")=TEXT($Y33,"mmm-yy"))*
  (Dump!$B$2:$B994=$C33)*
  Dump!$E$2:$E994
)</f>
        <v>15</v>
      </c>
      <c r="M33" s="4">
        <f>SUMPRODUCT(
  (TEXT(Dump!$A$2:$A994,"mmm-yy")=TEXT($Y33,"mmm-yy"))*
  (Dump!$B$2:$B994=$C33)*
  Dump!$P$2:$P994
)</f>
        <v>0</v>
      </c>
      <c r="N33" s="32"/>
      <c r="O33" s="33">
        <f>SUMIFS(Dump!$D:$D,Dump!$B:$B,$C33,Dump!$A:$A,$Y33)</f>
        <v>13</v>
      </c>
      <c r="P33" s="33">
        <f>SUMIFS(Dump!R:R,Dump!B:B,C33,Dump!A:A,Y33)</f>
        <v>30909</v>
      </c>
      <c r="Q33" s="34">
        <f t="shared" si="1"/>
        <v>-13</v>
      </c>
      <c r="S33" s="4">
        <f>SUMIFS(Dump!E:E,Dump!B:B,C33,Dump!A:A,Y33)</f>
        <v>0</v>
      </c>
      <c r="T33" s="35">
        <f t="shared" si="2"/>
        <v>0</v>
      </c>
      <c r="U33" s="36"/>
      <c r="V33" s="4">
        <f>SUMIFS(Dump!P:P,Dump!B:B,C33,Dump!A:A,Y33)</f>
        <v>0</v>
      </c>
      <c r="W33" s="37">
        <f t="shared" si="3"/>
        <v>0</v>
      </c>
      <c r="X33" s="39"/>
      <c r="Y33" s="38">
        <v>46146.0</v>
      </c>
    </row>
    <row r="34">
      <c r="A34" s="31" t="s">
        <v>22</v>
      </c>
      <c r="B34" s="2"/>
      <c r="C34" s="3" t="str">
        <f t="shared" ref="C34:C37" si="4">IFERROR(VLOOKUP(D34,Sheet3!L:M,2,0),"")</f>
        <v/>
      </c>
      <c r="D34" s="2" t="s">
        <v>109</v>
      </c>
      <c r="E34" s="2"/>
      <c r="F34" s="2"/>
      <c r="G34" s="2"/>
      <c r="I34" s="4">
        <f>SUMIFS(Dump!D:D,Dump!B:B,C34)</f>
        <v>0</v>
      </c>
      <c r="J34" s="5">
        <f>SUMIFS(Dump!AE:AE,Dump!B:B,C34)</f>
        <v>0</v>
      </c>
      <c r="K34" s="4">
        <f>SUMPRODUCT(
  (TEXT(Dump!$A$2:$A994,"mmm-yy")=TEXT($Y34,"mmm-yy"))*
  (Dump!$B$2:$B994=$C34)*
  Dump!$D$2:$D994)</f>
        <v>0</v>
      </c>
      <c r="L34" s="4">
        <f>SUMPRODUCT(
  (TEXT(Dump!$A$2:$A994,"mmm-yy")=TEXT($Y34,"mmm-yy"))*
  (Dump!$B$2:$B994=$C34)*
  Dump!$E$2:$E994
)</f>
        <v>0</v>
      </c>
      <c r="M34" s="4">
        <f>SUMPRODUCT(
  (TEXT(Dump!$A$2:$A994,"mmm-yy")=TEXT($Y34,"mmm-yy"))*
  (Dump!$B$2:$B994=$C34)*
  Dump!$P$2:$P994
)</f>
        <v>0</v>
      </c>
      <c r="N34" s="32"/>
      <c r="O34" s="33">
        <f>SUMIFS(Dump!$D:$D,Dump!$B:$B,$C34,Dump!$A:$A,$Y34)</f>
        <v>0</v>
      </c>
      <c r="P34" s="33">
        <f>SUMIFS(Dump!R:R,Dump!B:B,C34,Dump!A:A,Y34)</f>
        <v>0</v>
      </c>
      <c r="Q34" s="34">
        <f t="shared" si="1"/>
        <v>0</v>
      </c>
      <c r="S34" s="4">
        <f>SUMIFS(Dump!E:E,Dump!B:B,C34,Dump!A:A,Y34)</f>
        <v>0</v>
      </c>
      <c r="T34" s="35">
        <f t="shared" si="2"/>
        <v>0</v>
      </c>
      <c r="U34" s="36"/>
      <c r="V34" s="4">
        <f>SUMIFS(Dump!P:P,Dump!B:B,C34,Dump!A:A,Y34)</f>
        <v>0</v>
      </c>
      <c r="W34" s="37">
        <f t="shared" si="3"/>
        <v>0</v>
      </c>
      <c r="X34" s="39"/>
      <c r="Y34" s="38">
        <v>46146.0</v>
      </c>
    </row>
    <row r="35">
      <c r="A35" s="31" t="s">
        <v>22</v>
      </c>
      <c r="B35" s="2"/>
      <c r="C35" s="3" t="str">
        <f t="shared" si="4"/>
        <v/>
      </c>
      <c r="D35" s="2" t="s">
        <v>110</v>
      </c>
      <c r="E35" s="2"/>
      <c r="F35" s="2"/>
      <c r="G35" s="2"/>
      <c r="I35" s="4">
        <f>SUMIFS(Dump!D:D,Dump!B:B,C35)</f>
        <v>0</v>
      </c>
      <c r="J35" s="5">
        <f>SUMIFS(Dump!AE:AE,Dump!B:B,C35)</f>
        <v>0</v>
      </c>
      <c r="K35" s="4">
        <f>SUMPRODUCT(
  (TEXT(Dump!$A$2:$A994,"mmm-yy")=TEXT($Y35,"mmm-yy"))*
  (Dump!$B$2:$B994=$C35)*
  Dump!$D$2:$D994)</f>
        <v>0</v>
      </c>
      <c r="L35" s="4">
        <f>SUMPRODUCT(
  (TEXT(Dump!$A$2:$A994,"mmm-yy")=TEXT($Y35,"mmm-yy"))*
  (Dump!$B$2:$B994=$C35)*
  Dump!$E$2:$E994
)</f>
        <v>0</v>
      </c>
      <c r="M35" s="4">
        <f>SUMPRODUCT(
  (TEXT(Dump!$A$2:$A994,"mmm-yy")=TEXT($Y35,"mmm-yy"))*
  (Dump!$B$2:$B994=$C35)*
  Dump!$P$2:$P994
)</f>
        <v>0</v>
      </c>
      <c r="N35" s="32"/>
      <c r="O35" s="33">
        <f>SUMIFS(Dump!$D:$D,Dump!$B:$B,$C35,Dump!$A:$A,$Y35)</f>
        <v>0</v>
      </c>
      <c r="P35" s="33">
        <f>SUMIFS(Dump!R:R,Dump!B:B,C35,Dump!A:A,Y35)</f>
        <v>0</v>
      </c>
      <c r="Q35" s="34">
        <f t="shared" si="1"/>
        <v>0</v>
      </c>
      <c r="S35" s="4">
        <f>SUMIFS(Dump!E:E,Dump!B:B,C35,Dump!A:A,Y35)</f>
        <v>0</v>
      </c>
      <c r="T35" s="35">
        <f t="shared" si="2"/>
        <v>0</v>
      </c>
      <c r="U35" s="36"/>
      <c r="V35" s="4">
        <f>SUMIFS(Dump!P:P,Dump!B:B,C35,Dump!A:A,Y35)</f>
        <v>0</v>
      </c>
      <c r="W35" s="37">
        <f t="shared" si="3"/>
        <v>0</v>
      </c>
      <c r="X35" s="39"/>
      <c r="Y35" s="38">
        <v>46146.0</v>
      </c>
    </row>
    <row r="36">
      <c r="A36" s="31" t="s">
        <v>22</v>
      </c>
      <c r="B36" s="2"/>
      <c r="C36" s="3" t="str">
        <f t="shared" si="4"/>
        <v/>
      </c>
      <c r="D36" s="2" t="s">
        <v>111</v>
      </c>
      <c r="E36" s="2"/>
      <c r="F36" s="2" t="str">
        <f t="shared" ref="F36:F37" si="5">IFERROR(VLOOKUP($D36,Sheet3!$N:$Q,3,0),"")</f>
        <v/>
      </c>
      <c r="G36" s="2" t="str">
        <f t="shared" ref="G36:G37" si="6">IFERROR(VLOOKUP($D36,Sheet3!$N:$Q,4,0),"")</f>
        <v/>
      </c>
      <c r="I36" s="4">
        <f>SUMIFS(Dump!D:D,Dump!B:B,C36)</f>
        <v>0</v>
      </c>
      <c r="J36" s="5">
        <f>SUMIFS(Dump!AE:AE,Dump!B:B,C36)</f>
        <v>0</v>
      </c>
      <c r="K36" s="4">
        <f>SUMPRODUCT(
  (TEXT(Dump!$A$2:$A994,"mmm-yy")=TEXT($Y36,"mmm-yy"))*
  (Dump!$B$2:$B994=$C36)*
  Dump!$D$2:$D994)</f>
        <v>0</v>
      </c>
      <c r="L36" s="4">
        <f>SUMPRODUCT(
  (TEXT(Dump!$A$2:$A994,"mmm-yy")=TEXT($Y36,"mmm-yy"))*
  (Dump!$B$2:$B994=$C36)*
  Dump!$E$2:$E994
)</f>
        <v>0</v>
      </c>
      <c r="M36" s="4">
        <f>SUMPRODUCT(
  (TEXT(Dump!$A$2:$A994,"mmm-yy")=TEXT($Y36,"mmm-yy"))*
  (Dump!$B$2:$B994=$C36)*
  Dump!$P$2:$P994
)</f>
        <v>0</v>
      </c>
      <c r="N36" s="32"/>
      <c r="O36" s="33">
        <f>SUMIFS(Dump!$D:$D,Dump!$B:$B,$C36,Dump!$A:$A,$Y36)</f>
        <v>0</v>
      </c>
      <c r="P36" s="33">
        <f>SUMIFS(Dump!R:R,Dump!B:B,C36,Dump!A:A,Y36)</f>
        <v>0</v>
      </c>
      <c r="Q36" s="34">
        <f t="shared" si="1"/>
        <v>0</v>
      </c>
      <c r="S36" s="4">
        <f>SUMIFS(Dump!E:E,Dump!B:B,C36,Dump!A:A,Y36)</f>
        <v>0</v>
      </c>
      <c r="T36" s="35">
        <f t="shared" si="2"/>
        <v>0</v>
      </c>
      <c r="U36" s="36"/>
      <c r="V36" s="4">
        <f>SUMIFS(Dump!P:P,Dump!B:B,C36,Dump!A:A,Y36)</f>
        <v>0</v>
      </c>
      <c r="W36" s="37">
        <f t="shared" si="3"/>
        <v>0</v>
      </c>
      <c r="X36" s="39"/>
      <c r="Y36" s="38">
        <v>46146.0</v>
      </c>
    </row>
    <row r="37">
      <c r="A37" s="31" t="s">
        <v>22</v>
      </c>
      <c r="B37" s="2"/>
      <c r="C37" s="3" t="str">
        <f t="shared" si="4"/>
        <v/>
      </c>
      <c r="D37" s="2" t="s">
        <v>112</v>
      </c>
      <c r="E37" s="2"/>
      <c r="F37" s="2" t="str">
        <f t="shared" si="5"/>
        <v/>
      </c>
      <c r="G37" s="2" t="str">
        <f t="shared" si="6"/>
        <v/>
      </c>
      <c r="I37" s="4">
        <f>SUMIFS(Dump!D:D,Dump!B:B,C37)</f>
        <v>0</v>
      </c>
      <c r="J37" s="5">
        <f>SUMIFS(Dump!AE:AE,Dump!B:B,C37)</f>
        <v>0</v>
      </c>
      <c r="K37" s="4">
        <f>SUMPRODUCT(
  (TEXT(Dump!$A$2:$A994,"mmm-yy")=TEXT($Y37,"mmm-yy"))*
  (Dump!$B$2:$B994=$C37)*
  Dump!$D$2:$D994)</f>
        <v>0</v>
      </c>
      <c r="L37" s="4">
        <f>SUMPRODUCT(
  (TEXT(Dump!$A$2:$A994,"mmm-yy")=TEXT($Y37,"mmm-yy"))*
  (Dump!$B$2:$B994=$C37)*
  Dump!$E$2:$E994
)</f>
        <v>0</v>
      </c>
      <c r="M37" s="4">
        <f>SUMPRODUCT(
  (TEXT(Dump!$A$2:$A994,"mmm-yy")=TEXT($Y37,"mmm-yy"))*
  (Dump!$B$2:$B994=$C37)*
  Dump!$P$2:$P994
)</f>
        <v>0</v>
      </c>
      <c r="N37" s="32"/>
      <c r="O37" s="33">
        <f>SUMIFS(Dump!$D:$D,Dump!$B:$B,$C37,Dump!$A:$A,$Y37)</f>
        <v>0</v>
      </c>
      <c r="P37" s="33">
        <f>SUMIFS(Dump!R:R,Dump!B:B,C37,Dump!A:A,Y37)</f>
        <v>0</v>
      </c>
      <c r="Q37" s="34">
        <f t="shared" si="1"/>
        <v>0</v>
      </c>
      <c r="S37" s="4">
        <f>SUMIFS(Dump!E:E,Dump!B:B,C37,Dump!A:A,Y37)</f>
        <v>0</v>
      </c>
      <c r="T37" s="35">
        <f t="shared" si="2"/>
        <v>0</v>
      </c>
      <c r="U37" s="36"/>
      <c r="V37" s="4">
        <f>SUMIFS(Dump!P:P,Dump!B:B,C37,Dump!A:A,Y37)</f>
        <v>0</v>
      </c>
      <c r="W37" s="37">
        <f t="shared" si="3"/>
        <v>0</v>
      </c>
      <c r="X37" s="39"/>
      <c r="Y37" s="38">
        <v>46146.0</v>
      </c>
    </row>
    <row r="38">
      <c r="A38" s="41"/>
      <c r="B38" s="42"/>
      <c r="C38" s="43"/>
      <c r="D38" s="42"/>
      <c r="E38" s="42"/>
      <c r="F38" s="42"/>
      <c r="G38" s="42"/>
      <c r="H38" s="42"/>
      <c r="I38" s="44"/>
      <c r="J38" s="45"/>
      <c r="K38" s="44">
        <f>SUMPRODUCT(
  (TEXT(Dump!$A$2:$A994,"mmm-yy")=TEXT($Y38,"mmm-yy"))*
  (Dump!$B$2:$B994=$C38)*
  Dump!$D$2:$D994)</f>
        <v>0</v>
      </c>
      <c r="L38" s="44">
        <f>SUMPRODUCT(
  (TEXT(Dump!$A$2:$A994,"mmm-yy")=TEXT($Y38,"mmm-yy"))*
  (Dump!$B$2:$B994=$C38)*
  Dump!$E$2:$E994
)</f>
        <v>0</v>
      </c>
      <c r="M38" s="44">
        <f>SUMPRODUCT(
  (TEXT(Dump!$A$2:$A994,"mmm-yy")=TEXT($Y38,"mmm-yy"))*
  (Dump!$B$2:$B994=$C38)*
  Dump!$P$2:$P994
)</f>
        <v>0</v>
      </c>
      <c r="N38" s="46"/>
      <c r="O38" s="47"/>
      <c r="P38" s="47"/>
      <c r="Q38" s="48"/>
      <c r="R38" s="49"/>
      <c r="S38" s="44"/>
      <c r="T38" s="50"/>
      <c r="U38" s="49"/>
      <c r="V38" s="44"/>
      <c r="W38" s="48"/>
      <c r="X38" s="42"/>
      <c r="Y38" s="51"/>
    </row>
    <row r="39">
      <c r="A39" s="31" t="s">
        <v>113</v>
      </c>
      <c r="B39" s="2" t="s">
        <v>23</v>
      </c>
      <c r="C39" s="3" t="s">
        <v>24</v>
      </c>
      <c r="D39" s="2" t="s">
        <v>25</v>
      </c>
      <c r="E39" s="2" t="s">
        <v>26</v>
      </c>
      <c r="F39" s="2" t="s">
        <v>27</v>
      </c>
      <c r="G39" s="2" t="s">
        <v>28</v>
      </c>
      <c r="H39" s="2"/>
      <c r="I39" s="4">
        <f>SUMIFS(Dump!D:D,Dump!B:B,C39)</f>
        <v>1040</v>
      </c>
      <c r="J39" s="5">
        <f>SUMIFS(Dump!AE:AE,Dump!B:B,C39)</f>
        <v>167.4630556</v>
      </c>
      <c r="K39" s="4">
        <f>SUMPRODUCT(
  (TEXT(Dump!$A$2:$A994,"mmm-yy")=TEXT($Y39,"mmm-yy"))*
  (Dump!$B$2:$B994=$C39)*
  Dump!$D$2:$D994)</f>
        <v>35</v>
      </c>
      <c r="L39" s="4">
        <f>SUMPRODUCT(
  (TEXT(Dump!$A$2:$A994,"mmm-yy")=TEXT($Y39,"mmm-yy"))*
  (Dump!$B$2:$B994=$C39)*
  Dump!$E$2:$E994
)</f>
        <v>98</v>
      </c>
      <c r="M39" s="4">
        <f>SUMPRODUCT(
  (TEXT(Dump!$A$2:$A994,"mmm-yy")=TEXT($Y39,"mmm-yy"))*
  (Dump!$B$2:$B994=$C39)*
  Dump!$P$2:$P994
)</f>
        <v>74</v>
      </c>
      <c r="N39" s="32">
        <v>15.0</v>
      </c>
      <c r="O39" s="33">
        <f>SUMIFS(Dump!$D:$D,Dump!$B:$B,$C39,Dump!$A:$A,$Y39)</f>
        <v>17</v>
      </c>
      <c r="P39" s="33">
        <f>SUMIFS(Dump!R:R,Dump!B:B,C39,Dump!A:A,Y39)</f>
        <v>40968</v>
      </c>
      <c r="Q39" s="34">
        <f t="shared" ref="Q39:Q71" si="7">N39-O39</f>
        <v>-2</v>
      </c>
      <c r="S39" s="4">
        <f>SUMIFS(Dump!E:E,Dump!B:B,C39,Dump!A:A,Y39)</f>
        <v>70</v>
      </c>
      <c r="T39" s="35">
        <f t="shared" ref="T39:T71" si="8">R39-S39</f>
        <v>-70</v>
      </c>
      <c r="U39" s="32">
        <v>30.0</v>
      </c>
      <c r="V39" s="4">
        <f>SUMIFS(Dump!P:P,Dump!B:B,C39,Dump!A:A,Y39)</f>
        <v>38</v>
      </c>
      <c r="W39" s="37">
        <f t="shared" ref="W39:W71" si="9">U39-V39</f>
        <v>-8</v>
      </c>
      <c r="X39" s="11"/>
      <c r="Y39" s="52">
        <v>46153.0</v>
      </c>
    </row>
    <row r="40">
      <c r="A40" s="31" t="s">
        <v>113</v>
      </c>
      <c r="B40" s="2" t="s">
        <v>29</v>
      </c>
      <c r="C40" s="3" t="s">
        <v>30</v>
      </c>
      <c r="D40" s="2" t="s">
        <v>31</v>
      </c>
      <c r="E40" s="2" t="s">
        <v>26</v>
      </c>
      <c r="F40" s="2" t="s">
        <v>32</v>
      </c>
      <c r="G40" s="2" t="s">
        <v>33</v>
      </c>
      <c r="I40" s="4">
        <f>SUMIFS(Dump!D:D,Dump!B:B,C40)</f>
        <v>834</v>
      </c>
      <c r="J40" s="5">
        <f>SUMIFS(Dump!AE:AE,Dump!B:B,C40)</f>
        <v>186.0461111</v>
      </c>
      <c r="K40" s="4">
        <f>SUMPRODUCT(
  (TEXT(Dump!$A$2:$A994,"mmm-yy")=TEXT($Y40,"mmm-yy"))*
  (Dump!$B$2:$B994=$C40)*
  Dump!$D$2:$D994)</f>
        <v>32</v>
      </c>
      <c r="L40" s="4">
        <f>SUMPRODUCT(
  (TEXT(Dump!$A$2:$A994,"mmm-yy")=TEXT($Y40,"mmm-yy"))*
  (Dump!$B$2:$B994=$C40)*
  Dump!$E$2:$E994
)</f>
        <v>44</v>
      </c>
      <c r="M40" s="4">
        <f>SUMPRODUCT(
  (TEXT(Dump!$A$2:$A994,"mmm-yy")=TEXT($Y40,"mmm-yy"))*
  (Dump!$B$2:$B994=$C40)*
  Dump!$P$2:$P994
)</f>
        <v>47</v>
      </c>
      <c r="N40" s="32">
        <v>15.0</v>
      </c>
      <c r="O40" s="33">
        <f>SUMIFS(Dump!$D:$D,Dump!$B:$B,$C40,Dump!$A:$A,$Y40)</f>
        <v>17</v>
      </c>
      <c r="P40" s="33">
        <f>SUMIFS(Dump!R:R,Dump!B:B,C40,Dump!A:A,Y40)</f>
        <v>40713</v>
      </c>
      <c r="Q40" s="34">
        <f t="shared" si="7"/>
        <v>-2</v>
      </c>
      <c r="S40" s="4">
        <f>SUMIFS(Dump!E:E,Dump!B:B,C40,Dump!A:A,Y40)</f>
        <v>24</v>
      </c>
      <c r="T40" s="35">
        <f t="shared" si="8"/>
        <v>-24</v>
      </c>
      <c r="U40" s="32">
        <v>22.0</v>
      </c>
      <c r="V40" s="4">
        <f>SUMIFS(Dump!P:P,Dump!B:B,C40,Dump!A:A,Y40)</f>
        <v>23</v>
      </c>
      <c r="W40" s="37">
        <f t="shared" si="9"/>
        <v>-1</v>
      </c>
      <c r="X40" s="39"/>
      <c r="Y40" s="52">
        <v>46153.0</v>
      </c>
    </row>
    <row r="41">
      <c r="A41" s="31" t="s">
        <v>113</v>
      </c>
      <c r="B41" s="2" t="s">
        <v>34</v>
      </c>
      <c r="C41" s="3" t="s">
        <v>35</v>
      </c>
      <c r="D41" s="2" t="s">
        <v>36</v>
      </c>
      <c r="E41" s="2" t="s">
        <v>26</v>
      </c>
      <c r="F41" s="2" t="s">
        <v>32</v>
      </c>
      <c r="G41" s="2" t="s">
        <v>37</v>
      </c>
      <c r="I41" s="4">
        <f>SUMIFS(Dump!D:D,Dump!B:B,C41)</f>
        <v>242</v>
      </c>
      <c r="J41" s="5">
        <f>SUMIFS(Dump!AE:AE,Dump!B:B,C41)</f>
        <v>57.02444444</v>
      </c>
      <c r="K41" s="4">
        <f>SUMPRODUCT(
  (TEXT(Dump!$A$2:$A994,"mmm-yy")=TEXT($Y41,"mmm-yy"))*
  (Dump!$B$2:$B994=$C41)*
  Dump!$D$2:$D994)</f>
        <v>31</v>
      </c>
      <c r="L41" s="4">
        <f>SUMPRODUCT(
  (TEXT(Dump!$A$2:$A994,"mmm-yy")=TEXT($Y41,"mmm-yy"))*
  (Dump!$B$2:$B994=$C41)*
  Dump!$E$2:$E994
)</f>
        <v>27</v>
      </c>
      <c r="M41" s="4">
        <f>SUMPRODUCT(
  (TEXT(Dump!$A$2:$A994,"mmm-yy")=TEXT($Y41,"mmm-yy"))*
  (Dump!$B$2:$B994=$C41)*
  Dump!$P$2:$P994
)</f>
        <v>28</v>
      </c>
      <c r="N41" s="32">
        <v>12.0</v>
      </c>
      <c r="O41" s="33">
        <f>SUMIFS(Dump!$D:$D,Dump!$B:$B,$C41,Dump!$A:$A,$Y41)</f>
        <v>19</v>
      </c>
      <c r="P41" s="33">
        <f>SUMIFS(Dump!R:R,Dump!B:B,C41,Dump!A:A,Y41)</f>
        <v>43733</v>
      </c>
      <c r="Q41" s="34">
        <f t="shared" si="7"/>
        <v>-7</v>
      </c>
      <c r="S41" s="4">
        <f>SUMIFS(Dump!E:E,Dump!B:B,C41,Dump!A:A,Y41)</f>
        <v>14</v>
      </c>
      <c r="T41" s="35">
        <f t="shared" si="8"/>
        <v>-14</v>
      </c>
      <c r="U41" s="32">
        <v>15.0</v>
      </c>
      <c r="V41" s="4">
        <f>SUMIFS(Dump!P:P,Dump!B:B,C41,Dump!A:A,Y41)</f>
        <v>11</v>
      </c>
      <c r="W41" s="37">
        <f t="shared" si="9"/>
        <v>4</v>
      </c>
      <c r="X41" s="39"/>
      <c r="Y41" s="52">
        <v>46153.0</v>
      </c>
    </row>
    <row r="42">
      <c r="A42" s="31" t="s">
        <v>113</v>
      </c>
      <c r="B42" s="2" t="s">
        <v>38</v>
      </c>
      <c r="C42" s="3" t="s">
        <v>39</v>
      </c>
      <c r="D42" s="2" t="s">
        <v>40</v>
      </c>
      <c r="E42" s="2" t="s">
        <v>26</v>
      </c>
      <c r="F42" s="2" t="s">
        <v>41</v>
      </c>
      <c r="G42" s="2" t="s">
        <v>42</v>
      </c>
      <c r="I42" s="4">
        <f>SUMIFS(Dump!D:D,Dump!B:B,C42)</f>
        <v>102</v>
      </c>
      <c r="J42" s="5">
        <f>SUMIFS(Dump!AE:AE,Dump!B:B,C42)</f>
        <v>237.4583333</v>
      </c>
      <c r="K42" s="4">
        <f>SUMPRODUCT(
  (TEXT(Dump!$A$2:$A994,"mmm-yy")=TEXT($Y42,"mmm-yy"))*
  (Dump!$B$2:$B994=$C42)*
  Dump!$D$2:$D994)</f>
        <v>45</v>
      </c>
      <c r="L42" s="4">
        <f>SUMPRODUCT(
  (TEXT(Dump!$A$2:$A994,"mmm-yy")=TEXT($Y42,"mmm-yy"))*
  (Dump!$B$2:$B994=$C42)*
  Dump!$E$2:$E994
)</f>
        <v>53</v>
      </c>
      <c r="M42" s="4">
        <f>SUMPRODUCT(
  (TEXT(Dump!$A$2:$A994,"mmm-yy")=TEXT($Y42,"mmm-yy"))*
  (Dump!$B$2:$B994=$C42)*
  Dump!$P$2:$P994
)</f>
        <v>29</v>
      </c>
      <c r="N42" s="32">
        <v>25.0</v>
      </c>
      <c r="O42" s="33">
        <f>SUMIFS(Dump!$D:$D,Dump!$B:$B,$C42,Dump!$A:$A,$Y42)</f>
        <v>27</v>
      </c>
      <c r="P42" s="33">
        <f>SUMIFS(Dump!R:R,Dump!B:B,C42,Dump!A:A,Y42)</f>
        <v>78423</v>
      </c>
      <c r="Q42" s="34">
        <f t="shared" si="7"/>
        <v>-2</v>
      </c>
      <c r="S42" s="4">
        <f>SUMIFS(Dump!E:E,Dump!B:B,C42,Dump!A:A,Y42)</f>
        <v>31</v>
      </c>
      <c r="T42" s="35">
        <f t="shared" si="8"/>
        <v>-31</v>
      </c>
      <c r="U42" s="32">
        <v>15.0</v>
      </c>
      <c r="V42" s="4">
        <f>SUMIFS(Dump!P:P,Dump!B:B,C42,Dump!A:A,Y42)</f>
        <v>14</v>
      </c>
      <c r="W42" s="37">
        <f t="shared" si="9"/>
        <v>1</v>
      </c>
      <c r="X42" s="39"/>
      <c r="Y42" s="52">
        <v>46153.0</v>
      </c>
    </row>
    <row r="43">
      <c r="A43" s="31" t="s">
        <v>113</v>
      </c>
      <c r="B43" s="2" t="s">
        <v>43</v>
      </c>
      <c r="C43" s="3" t="s">
        <v>44</v>
      </c>
      <c r="D43" s="2" t="s">
        <v>45</v>
      </c>
      <c r="E43" s="2" t="s">
        <v>46</v>
      </c>
      <c r="F43" s="2" t="s">
        <v>27</v>
      </c>
      <c r="G43" s="2" t="s">
        <v>47</v>
      </c>
      <c r="I43" s="4">
        <f>SUMIFS(Dump!D:D,Dump!B:B,C43)</f>
        <v>12</v>
      </c>
      <c r="J43" s="5">
        <f>SUMIFS(Dump!AE:AE,Dump!B:B,C43)</f>
        <v>91.65555556</v>
      </c>
      <c r="K43" s="4">
        <f>SUMPRODUCT(
  (TEXT(Dump!$A$2:$A994,"mmm-yy")=TEXT($Y43,"mmm-yy"))*
  (Dump!$B$2:$B994=$C43)*
  Dump!$D$2:$D994)</f>
        <v>0</v>
      </c>
      <c r="L43" s="4">
        <f>SUMPRODUCT(
  (TEXT(Dump!$A$2:$A994,"mmm-yy")=TEXT($Y43,"mmm-yy"))*
  (Dump!$B$2:$B994=$C43)*
  Dump!$E$2:$E994
)</f>
        <v>0</v>
      </c>
      <c r="M43" s="4">
        <f>SUMPRODUCT(
  (TEXT(Dump!$A$2:$A994,"mmm-yy")=TEXT($Y43,"mmm-yy"))*
  (Dump!$B$2:$B994=$C43)*
  Dump!$P$2:$P994
)</f>
        <v>0</v>
      </c>
      <c r="N43" s="32"/>
      <c r="O43" s="33">
        <f>SUMIFS(Dump!$D:$D,Dump!$B:$B,$C43,Dump!$A:$A,$Y43)</f>
        <v>0</v>
      </c>
      <c r="P43" s="33">
        <f>SUMIFS(Dump!R:R,Dump!B:B,C43,Dump!A:A,Y43)</f>
        <v>0</v>
      </c>
      <c r="Q43" s="34">
        <f t="shared" si="7"/>
        <v>0</v>
      </c>
      <c r="S43" s="4">
        <f>SUMIFS(Dump!E:E,Dump!B:B,C43,Dump!A:A,Y43)</f>
        <v>0</v>
      </c>
      <c r="T43" s="35">
        <f t="shared" si="8"/>
        <v>0</v>
      </c>
      <c r="U43" s="32"/>
      <c r="V43" s="4">
        <f>SUMIFS(Dump!P:P,Dump!B:B,C43,Dump!A:A,Y43)</f>
        <v>0</v>
      </c>
      <c r="W43" s="37">
        <f t="shared" si="9"/>
        <v>0</v>
      </c>
      <c r="X43" s="39"/>
      <c r="Y43" s="52">
        <v>46153.0</v>
      </c>
    </row>
    <row r="44">
      <c r="A44" s="31" t="s">
        <v>113</v>
      </c>
      <c r="B44" s="2" t="s">
        <v>48</v>
      </c>
      <c r="C44" s="3"/>
      <c r="D44" s="2" t="s">
        <v>49</v>
      </c>
      <c r="E44" s="2"/>
      <c r="F44" s="2" t="s">
        <v>27</v>
      </c>
      <c r="G44" s="2" t="s">
        <v>50</v>
      </c>
      <c r="I44" s="4">
        <f>SUMIFS(Dump!D:D,Dump!B:B,C44)</f>
        <v>0</v>
      </c>
      <c r="J44" s="5">
        <f>SUMIFS(Dump!AE:AE,Dump!B:B,C44)</f>
        <v>0</v>
      </c>
      <c r="K44" s="4">
        <f>SUMPRODUCT(
  (TEXT(Dump!$A$2:$A994,"mmm-yy")=TEXT($Y44,"mmm-yy"))*
  (Dump!$B$2:$B994=$C44)*
  Dump!$D$2:$D994)</f>
        <v>0</v>
      </c>
      <c r="L44" s="4">
        <f>SUMPRODUCT(
  (TEXT(Dump!$A$2:$A994,"mmm-yy")=TEXT($Y44,"mmm-yy"))*
  (Dump!$B$2:$B994=$C44)*
  Dump!$E$2:$E994
)</f>
        <v>0</v>
      </c>
      <c r="M44" s="4">
        <f>SUMPRODUCT(
  (TEXT(Dump!$A$2:$A994,"mmm-yy")=TEXT($Y44,"mmm-yy"))*
  (Dump!$B$2:$B994=$C44)*
  Dump!$P$2:$P994
)</f>
        <v>0</v>
      </c>
      <c r="N44" s="32"/>
      <c r="O44" s="33">
        <f>SUMIFS(Dump!$D:$D,Dump!$B:$B,$C44,Dump!$A:$A,$Y44)</f>
        <v>0</v>
      </c>
      <c r="P44" s="33">
        <f>SUMIFS(Dump!R:R,Dump!B:B,C44,Dump!A:A,Y44)</f>
        <v>0</v>
      </c>
      <c r="Q44" s="34">
        <f t="shared" si="7"/>
        <v>0</v>
      </c>
      <c r="S44" s="4">
        <f>SUMIFS(Dump!E:E,Dump!B:B,C44,Dump!A:A,Y44)</f>
        <v>0</v>
      </c>
      <c r="T44" s="35">
        <f t="shared" si="8"/>
        <v>0</v>
      </c>
      <c r="U44" s="32"/>
      <c r="V44" s="4">
        <f>SUMIFS(Dump!P:P,Dump!B:B,C44,Dump!A:A,Y44)</f>
        <v>0</v>
      </c>
      <c r="W44" s="37">
        <f t="shared" si="9"/>
        <v>0</v>
      </c>
      <c r="X44" s="39"/>
      <c r="Y44" s="52">
        <v>46153.0</v>
      </c>
    </row>
    <row r="45">
      <c r="A45" s="31" t="s">
        <v>113</v>
      </c>
      <c r="B45" s="2" t="s">
        <v>51</v>
      </c>
      <c r="C45" s="3"/>
      <c r="D45" s="2" t="s">
        <v>52</v>
      </c>
      <c r="E45" s="2"/>
      <c r="F45" s="2" t="s">
        <v>32</v>
      </c>
      <c r="G45" s="2" t="s">
        <v>53</v>
      </c>
      <c r="I45" s="4">
        <f>SUMIFS(Dump!D:D,Dump!B:B,C45)</f>
        <v>0</v>
      </c>
      <c r="J45" s="5">
        <f>SUMIFS(Dump!AE:AE,Dump!B:B,C45)</f>
        <v>0</v>
      </c>
      <c r="K45" s="4">
        <f>SUMPRODUCT(
  (TEXT(Dump!$A$2:$A994,"mmm-yy")=TEXT($Y45,"mmm-yy"))*
  (Dump!$B$2:$B994=$C45)*
  Dump!$D$2:$D994)</f>
        <v>0</v>
      </c>
      <c r="L45" s="4">
        <f>SUMPRODUCT(
  (TEXT(Dump!$A$2:$A994,"mmm-yy")=TEXT($Y45,"mmm-yy"))*
  (Dump!$B$2:$B994=$C45)*
  Dump!$E$2:$E994
)</f>
        <v>0</v>
      </c>
      <c r="M45" s="4">
        <f>SUMPRODUCT(
  (TEXT(Dump!$A$2:$A994,"mmm-yy")=TEXT($Y45,"mmm-yy"))*
  (Dump!$B$2:$B994=$C45)*
  Dump!$P$2:$P994
)</f>
        <v>0</v>
      </c>
      <c r="N45" s="32"/>
      <c r="O45" s="33">
        <f>SUMIFS(Dump!$D:$D,Dump!$B:$B,$C45,Dump!$A:$A,$Y45)</f>
        <v>0</v>
      </c>
      <c r="P45" s="33">
        <f>SUMIFS(Dump!R:R,Dump!B:B,C45,Dump!A:A,Y45)</f>
        <v>0</v>
      </c>
      <c r="Q45" s="34">
        <f t="shared" si="7"/>
        <v>0</v>
      </c>
      <c r="S45" s="4">
        <f>SUMIFS(Dump!E:E,Dump!B:B,C45,Dump!A:A,Y45)</f>
        <v>0</v>
      </c>
      <c r="T45" s="35">
        <f t="shared" si="8"/>
        <v>0</v>
      </c>
      <c r="U45" s="32"/>
      <c r="V45" s="4">
        <f>SUMIFS(Dump!P:P,Dump!B:B,C45,Dump!A:A,Y45)</f>
        <v>0</v>
      </c>
      <c r="W45" s="37">
        <f t="shared" si="9"/>
        <v>0</v>
      </c>
      <c r="X45" s="39"/>
      <c r="Y45" s="52">
        <v>46153.0</v>
      </c>
    </row>
    <row r="46">
      <c r="A46" s="31" t="s">
        <v>113</v>
      </c>
      <c r="B46" s="2"/>
      <c r="C46" s="3" t="s">
        <v>54</v>
      </c>
      <c r="D46" s="2" t="s">
        <v>55</v>
      </c>
      <c r="E46" s="2" t="s">
        <v>26</v>
      </c>
      <c r="F46" s="2" t="s">
        <v>27</v>
      </c>
      <c r="G46" s="2" t="s">
        <v>56</v>
      </c>
      <c r="I46" s="4">
        <f>SUMIFS(Dump!D:D,Dump!B:B,C46)</f>
        <v>275</v>
      </c>
      <c r="J46" s="5">
        <f>SUMIFS(Dump!AE:AE,Dump!B:B,C46)</f>
        <v>45.01944444</v>
      </c>
      <c r="K46" s="4">
        <f>SUMPRODUCT(
  (TEXT(Dump!$A$2:$A994,"mmm-yy")=TEXT($Y46,"mmm-yy"))*
  (Dump!$B$2:$B994=$C46)*
  Dump!$D$2:$D994)</f>
        <v>81</v>
      </c>
      <c r="L46" s="4">
        <f>SUMPRODUCT(
  (TEXT(Dump!$A$2:$A994,"mmm-yy")=TEXT($Y46,"mmm-yy"))*
  (Dump!$B$2:$B994=$C46)*
  Dump!$E$2:$E994
)</f>
        <v>81</v>
      </c>
      <c r="M46" s="4">
        <f>SUMPRODUCT(
  (TEXT(Dump!$A$2:$A994,"mmm-yy")=TEXT($Y46,"mmm-yy"))*
  (Dump!$B$2:$B994=$C46)*
  Dump!$P$2:$P994
)</f>
        <v>50</v>
      </c>
      <c r="N46" s="32">
        <v>40.0</v>
      </c>
      <c r="O46" s="33">
        <f>SUMIFS(Dump!$D:$D,Dump!$B:$B,$C46,Dump!$A:$A,$Y46)</f>
        <v>51</v>
      </c>
      <c r="P46" s="33">
        <f>SUMIFS(Dump!R:R,Dump!B:B,C46,Dump!A:A,Y46)</f>
        <v>106606</v>
      </c>
      <c r="Q46" s="34">
        <f t="shared" si="7"/>
        <v>-11</v>
      </c>
      <c r="S46" s="4">
        <f>SUMIFS(Dump!E:E,Dump!B:B,C46,Dump!A:A,Y46)</f>
        <v>47</v>
      </c>
      <c r="T46" s="35">
        <f t="shared" si="8"/>
        <v>-47</v>
      </c>
      <c r="U46" s="32">
        <v>10.0</v>
      </c>
      <c r="V46" s="4">
        <f>SUMIFS(Dump!P:P,Dump!B:B,C46,Dump!A:A,Y46)</f>
        <v>18</v>
      </c>
      <c r="W46" s="37">
        <f t="shared" si="9"/>
        <v>-8</v>
      </c>
      <c r="X46" s="39"/>
      <c r="Y46" s="52">
        <v>46153.0</v>
      </c>
    </row>
    <row r="47">
      <c r="A47" s="31" t="s">
        <v>113</v>
      </c>
      <c r="B47" s="2" t="s">
        <v>57</v>
      </c>
      <c r="C47" s="3"/>
      <c r="D47" s="2" t="s">
        <v>58</v>
      </c>
      <c r="E47" s="2"/>
      <c r="F47" s="2" t="s">
        <v>27</v>
      </c>
      <c r="G47" s="2" t="s">
        <v>59</v>
      </c>
      <c r="I47" s="4">
        <f>SUMIFS(Dump!D:D,Dump!B:B,C47)</f>
        <v>0</v>
      </c>
      <c r="J47" s="5">
        <f>SUMIFS(Dump!AE:AE,Dump!B:B,C47)</f>
        <v>0</v>
      </c>
      <c r="K47" s="4">
        <f>SUMPRODUCT(
  (TEXT(Dump!$A$2:$A994,"mmm-yy")=TEXT($Y47,"mmm-yy"))*
  (Dump!$B$2:$B994=$C47)*
  Dump!$D$2:$D994)</f>
        <v>0</v>
      </c>
      <c r="L47" s="4">
        <f>SUMPRODUCT(
  (TEXT(Dump!$A$2:$A994,"mmm-yy")=TEXT($Y47,"mmm-yy"))*
  (Dump!$B$2:$B994=$C47)*
  Dump!$E$2:$E994
)</f>
        <v>0</v>
      </c>
      <c r="M47" s="4">
        <f>SUMPRODUCT(
  (TEXT(Dump!$A$2:$A994,"mmm-yy")=TEXT($Y47,"mmm-yy"))*
  (Dump!$B$2:$B994=$C47)*
  Dump!$P$2:$P994
)</f>
        <v>0</v>
      </c>
      <c r="N47" s="32"/>
      <c r="O47" s="33">
        <f>SUMIFS(Dump!$D:$D,Dump!$B:$B,$C47,Dump!$A:$A,$Y47)</f>
        <v>0</v>
      </c>
      <c r="P47" s="33">
        <f>SUMIFS(Dump!R:R,Dump!B:B,C47,Dump!A:A,Y47)</f>
        <v>0</v>
      </c>
      <c r="Q47" s="34">
        <f t="shared" si="7"/>
        <v>0</v>
      </c>
      <c r="S47" s="4">
        <f>SUMIFS(Dump!E:E,Dump!B:B,C47,Dump!A:A,Y47)</f>
        <v>0</v>
      </c>
      <c r="T47" s="35">
        <f t="shared" si="8"/>
        <v>0</v>
      </c>
      <c r="U47" s="32"/>
      <c r="V47" s="4">
        <f>SUMIFS(Dump!P:P,Dump!B:B,C47,Dump!A:A,Y47)</f>
        <v>0</v>
      </c>
      <c r="W47" s="37">
        <f t="shared" si="9"/>
        <v>0</v>
      </c>
      <c r="X47" s="39"/>
      <c r="Y47" s="52">
        <v>46153.0</v>
      </c>
    </row>
    <row r="48">
      <c r="A48" s="31" t="s">
        <v>113</v>
      </c>
      <c r="B48" s="2"/>
      <c r="C48" s="3" t="s">
        <v>60</v>
      </c>
      <c r="D48" s="2" t="s">
        <v>61</v>
      </c>
      <c r="E48" s="2" t="s">
        <v>26</v>
      </c>
      <c r="F48" s="2" t="s">
        <v>27</v>
      </c>
      <c r="G48" s="2" t="s">
        <v>59</v>
      </c>
      <c r="I48" s="4">
        <f>SUMIFS(Dump!D:D,Dump!B:B,C48)</f>
        <v>219</v>
      </c>
      <c r="J48" s="5">
        <f>SUMIFS(Dump!AE:AE,Dump!B:B,C48)</f>
        <v>38.56722222</v>
      </c>
      <c r="K48" s="4">
        <f>SUMPRODUCT(
  (TEXT(Dump!$A$2:$A994,"mmm-yy")=TEXT($Y48,"mmm-yy"))*
  (Dump!$B$2:$B994=$C48)*
  Dump!$D$2:$D994)</f>
        <v>0</v>
      </c>
      <c r="L48" s="4">
        <f>SUMPRODUCT(
  (TEXT(Dump!$A$2:$A994,"mmm-yy")=TEXT($Y48,"mmm-yy"))*
  (Dump!$B$2:$B994=$C48)*
  Dump!$E$2:$E994
)</f>
        <v>13</v>
      </c>
      <c r="M48" s="4">
        <f>SUMPRODUCT(
  (TEXT(Dump!$A$2:$A994,"mmm-yy")=TEXT($Y48,"mmm-yy"))*
  (Dump!$B$2:$B994=$C48)*
  Dump!$P$2:$P994
)</f>
        <v>11</v>
      </c>
      <c r="N48" s="32"/>
      <c r="O48" s="33">
        <f>SUMIFS(Dump!$D:$D,Dump!$B:$B,$C48,Dump!$A:$A,$Y48)</f>
        <v>0</v>
      </c>
      <c r="P48" s="33">
        <f>SUMIFS(Dump!R:R,Dump!B:B,C48,Dump!A:A,Y48)</f>
        <v>0</v>
      </c>
      <c r="Q48" s="34">
        <f t="shared" si="7"/>
        <v>0</v>
      </c>
      <c r="S48" s="4">
        <f>SUMIFS(Dump!E:E,Dump!B:B,C48,Dump!A:A,Y48)</f>
        <v>13</v>
      </c>
      <c r="T48" s="35">
        <f t="shared" si="8"/>
        <v>-13</v>
      </c>
      <c r="U48" s="32">
        <v>12.0</v>
      </c>
      <c r="V48" s="4">
        <f>SUMIFS(Dump!P:P,Dump!B:B,C48,Dump!A:A,Y48)</f>
        <v>3</v>
      </c>
      <c r="W48" s="37">
        <f t="shared" si="9"/>
        <v>9</v>
      </c>
      <c r="X48" s="39"/>
      <c r="Y48" s="52">
        <v>46153.0</v>
      </c>
    </row>
    <row r="49">
      <c r="A49" s="31" t="s">
        <v>113</v>
      </c>
      <c r="B49" s="2" t="s">
        <v>62</v>
      </c>
      <c r="C49" s="3" t="s">
        <v>63</v>
      </c>
      <c r="D49" s="2" t="s">
        <v>64</v>
      </c>
      <c r="E49" s="2" t="s">
        <v>26</v>
      </c>
      <c r="F49" s="2" t="s">
        <v>32</v>
      </c>
      <c r="G49" s="2"/>
      <c r="I49" s="4">
        <f>SUMIFS(Dump!D:D,Dump!B:B,C49)</f>
        <v>143</v>
      </c>
      <c r="J49" s="5">
        <f>SUMIFS(Dump!AE:AE,Dump!B:B,C49)</f>
        <v>21.775</v>
      </c>
      <c r="K49" s="4">
        <f>SUMPRODUCT(
  (TEXT(Dump!$A$2:$A994,"mmm-yy")=TEXT($Y49,"mmm-yy"))*
  (Dump!$B$2:$B994=$C49)*
  Dump!$D$2:$D994)</f>
        <v>62</v>
      </c>
      <c r="L49" s="4">
        <f>SUMPRODUCT(
  (TEXT(Dump!$A$2:$A994,"mmm-yy")=TEXT($Y49,"mmm-yy"))*
  (Dump!$B$2:$B994=$C49)*
  Dump!$E$2:$E994
)</f>
        <v>45</v>
      </c>
      <c r="M49" s="4">
        <f>SUMPRODUCT(
  (TEXT(Dump!$A$2:$A994,"mmm-yy")=TEXT($Y49,"mmm-yy"))*
  (Dump!$B$2:$B994=$C49)*
  Dump!$P$2:$P994
)</f>
        <v>23</v>
      </c>
      <c r="N49" s="32">
        <v>15.0</v>
      </c>
      <c r="O49" s="33">
        <f>SUMIFS(Dump!$D:$D,Dump!$B:$B,$C49,Dump!$A:$A,$Y49)</f>
        <v>50</v>
      </c>
      <c r="P49" s="33">
        <f>SUMIFS(Dump!R:R,Dump!B:B,C49,Dump!A:A,Y49)</f>
        <v>98653</v>
      </c>
      <c r="Q49" s="34">
        <f t="shared" si="7"/>
        <v>-35</v>
      </c>
      <c r="S49" s="4">
        <f>SUMIFS(Dump!E:E,Dump!B:B,C49,Dump!A:A,Y49)</f>
        <v>32</v>
      </c>
      <c r="T49" s="35">
        <f t="shared" si="8"/>
        <v>-32</v>
      </c>
      <c r="U49" s="32">
        <v>14.0</v>
      </c>
      <c r="V49" s="4">
        <f>SUMIFS(Dump!P:P,Dump!B:B,C49,Dump!A:A,Y49)</f>
        <v>12</v>
      </c>
      <c r="W49" s="37">
        <f t="shared" si="9"/>
        <v>2</v>
      </c>
      <c r="X49" s="39"/>
      <c r="Y49" s="52">
        <v>46153.0</v>
      </c>
    </row>
    <row r="50">
      <c r="A50" s="31" t="s">
        <v>113</v>
      </c>
      <c r="B50" s="2" t="s">
        <v>65</v>
      </c>
      <c r="C50" s="3"/>
      <c r="D50" s="2" t="s">
        <v>66</v>
      </c>
      <c r="E50" s="2"/>
      <c r="F50" s="2" t="s">
        <v>27</v>
      </c>
      <c r="G50" s="2" t="s">
        <v>67</v>
      </c>
      <c r="I50" s="4">
        <f>SUMIFS(Dump!D:D,Dump!B:B,C50)</f>
        <v>0</v>
      </c>
      <c r="J50" s="5">
        <f>SUMIFS(Dump!AE:AE,Dump!B:B,C50)</f>
        <v>0</v>
      </c>
      <c r="K50" s="4">
        <f>SUMPRODUCT(
  (TEXT(Dump!$A$2:$A994,"mmm-yy")=TEXT($Y50,"mmm-yy"))*
  (Dump!$B$2:$B994=$C50)*
  Dump!$D$2:$D994)</f>
        <v>0</v>
      </c>
      <c r="L50" s="4">
        <f>SUMPRODUCT(
  (TEXT(Dump!$A$2:$A994,"mmm-yy")=TEXT($Y50,"mmm-yy"))*
  (Dump!$B$2:$B994=$C50)*
  Dump!$E$2:$E994
)</f>
        <v>0</v>
      </c>
      <c r="M50" s="4">
        <f>SUMPRODUCT(
  (TEXT(Dump!$A$2:$A994,"mmm-yy")=TEXT($Y50,"mmm-yy"))*
  (Dump!$B$2:$B994=$C50)*
  Dump!$P$2:$P994
)</f>
        <v>0</v>
      </c>
      <c r="N50" s="32"/>
      <c r="O50" s="33">
        <f>SUMIFS(Dump!$D:$D,Dump!$B:$B,$C50,Dump!$A:$A,$Y50)</f>
        <v>0</v>
      </c>
      <c r="P50" s="33">
        <f>SUMIFS(Dump!R:R,Dump!B:B,C50,Dump!A:A,Y50)</f>
        <v>0</v>
      </c>
      <c r="Q50" s="34">
        <f t="shared" si="7"/>
        <v>0</v>
      </c>
      <c r="S50" s="4">
        <f>SUMIFS(Dump!E:E,Dump!B:B,C50,Dump!A:A,Y50)</f>
        <v>0</v>
      </c>
      <c r="T50" s="35">
        <f t="shared" si="8"/>
        <v>0</v>
      </c>
      <c r="U50" s="32"/>
      <c r="V50" s="4">
        <f>SUMIFS(Dump!P:P,Dump!B:B,C50,Dump!A:A,Y50)</f>
        <v>0</v>
      </c>
      <c r="W50" s="37">
        <f t="shared" si="9"/>
        <v>0</v>
      </c>
      <c r="X50" s="39"/>
      <c r="Y50" s="52">
        <v>46153.0</v>
      </c>
    </row>
    <row r="51">
      <c r="A51" s="31" t="s">
        <v>113</v>
      </c>
      <c r="B51" s="2" t="s">
        <v>68</v>
      </c>
      <c r="C51" s="3" t="s">
        <v>69</v>
      </c>
      <c r="D51" s="2" t="s">
        <v>70</v>
      </c>
      <c r="E51" s="2" t="s">
        <v>26</v>
      </c>
      <c r="F51" s="2" t="s">
        <v>71</v>
      </c>
      <c r="G51" s="2" t="s">
        <v>72</v>
      </c>
      <c r="I51" s="4">
        <f>SUMIFS(Dump!D:D,Dump!B:B,C51)</f>
        <v>244</v>
      </c>
      <c r="J51" s="5">
        <f>SUMIFS(Dump!AE:AE,Dump!B:B,C51)</f>
        <v>64.17305556</v>
      </c>
      <c r="K51" s="4">
        <f>SUMPRODUCT(
  (TEXT(Dump!$A$2:$A994,"mmm-yy")=TEXT($Y51,"mmm-yy"))*
  (Dump!$B$2:$B994=$C51)*
  Dump!$D$2:$D994)</f>
        <v>1</v>
      </c>
      <c r="L51" s="4">
        <f>SUMPRODUCT(
  (TEXT(Dump!$A$2:$A994,"mmm-yy")=TEXT($Y51,"mmm-yy"))*
  (Dump!$B$2:$B994=$C51)*
  Dump!$E$2:$E994
)</f>
        <v>1</v>
      </c>
      <c r="M51" s="4">
        <f>SUMPRODUCT(
  (TEXT(Dump!$A$2:$A994,"mmm-yy")=TEXT($Y51,"mmm-yy"))*
  (Dump!$B$2:$B994=$C51)*
  Dump!$P$2:$P994
)</f>
        <v>4</v>
      </c>
      <c r="N51" s="32">
        <v>13.0</v>
      </c>
      <c r="O51" s="33">
        <f>SUMIFS(Dump!$D:$D,Dump!$B:$B,$C51,Dump!$A:$A,$Y51)</f>
        <v>0</v>
      </c>
      <c r="P51" s="33">
        <f>SUMIFS(Dump!R:R,Dump!B:B,C51,Dump!A:A,Y51)</f>
        <v>0</v>
      </c>
      <c r="Q51" s="34">
        <f t="shared" si="7"/>
        <v>13</v>
      </c>
      <c r="S51" s="4">
        <f>SUMIFS(Dump!E:E,Dump!B:B,C51,Dump!A:A,Y51)</f>
        <v>0</v>
      </c>
      <c r="T51" s="35">
        <f t="shared" si="8"/>
        <v>0</v>
      </c>
      <c r="U51" s="32">
        <v>7.0</v>
      </c>
      <c r="V51" s="4">
        <f>SUMIFS(Dump!P:P,Dump!B:B,C51,Dump!A:A,Y51)</f>
        <v>1</v>
      </c>
      <c r="W51" s="37">
        <f t="shared" si="9"/>
        <v>6</v>
      </c>
      <c r="X51" s="39"/>
      <c r="Y51" s="52">
        <v>46153.0</v>
      </c>
    </row>
    <row r="52">
      <c r="A52" s="31" t="s">
        <v>113</v>
      </c>
      <c r="B52" s="2" t="s">
        <v>73</v>
      </c>
      <c r="C52" s="3" t="s">
        <v>74</v>
      </c>
      <c r="D52" s="2" t="s">
        <v>75</v>
      </c>
      <c r="E52" s="2" t="s">
        <v>26</v>
      </c>
      <c r="F52" s="2" t="s">
        <v>32</v>
      </c>
      <c r="G52" s="2" t="s">
        <v>76</v>
      </c>
      <c r="I52" s="4">
        <f>SUMIFS(Dump!D:D,Dump!B:B,C52)</f>
        <v>1257</v>
      </c>
      <c r="J52" s="5">
        <f>SUMIFS(Dump!AE:AE,Dump!B:B,C52)</f>
        <v>200.8291667</v>
      </c>
      <c r="K52" s="4">
        <f>SUMPRODUCT(
  (TEXT(Dump!$A$2:$A994,"mmm-yy")=TEXT($Y52,"mmm-yy"))*
  (Dump!$B$2:$B994=$C52)*
  Dump!$D$2:$D994)</f>
        <v>355</v>
      </c>
      <c r="L52" s="4">
        <f>SUMPRODUCT(
  (TEXT(Dump!$A$2:$A994,"mmm-yy")=TEXT($Y52,"mmm-yy"))*
  (Dump!$B$2:$B994=$C52)*
  Dump!$E$2:$E994
)</f>
        <v>46</v>
      </c>
      <c r="M52" s="4">
        <f>SUMPRODUCT(
  (TEXT(Dump!$A$2:$A994,"mmm-yy")=TEXT($Y52,"mmm-yy"))*
  (Dump!$B$2:$B994=$C52)*
  Dump!$P$2:$P994
)</f>
        <v>42</v>
      </c>
      <c r="N52" s="32">
        <v>0.0</v>
      </c>
      <c r="O52" s="33">
        <f>SUMIFS(Dump!$D:$D,Dump!$B:$B,$C52,Dump!$A:$A,$Y52)</f>
        <v>1</v>
      </c>
      <c r="P52" s="33">
        <f>SUMIFS(Dump!R:R,Dump!B:B,C52,Dump!A:A,Y52)</f>
        <v>3118</v>
      </c>
      <c r="Q52" s="34">
        <f t="shared" si="7"/>
        <v>-1</v>
      </c>
      <c r="S52" s="4">
        <f>SUMIFS(Dump!E:E,Dump!B:B,C52,Dump!A:A,Y52)</f>
        <v>21</v>
      </c>
      <c r="T52" s="35">
        <f t="shared" si="8"/>
        <v>-21</v>
      </c>
      <c r="U52" s="32">
        <v>24.0</v>
      </c>
      <c r="V52" s="4">
        <f>SUMIFS(Dump!P:P,Dump!B:B,C52,Dump!A:A,Y52)</f>
        <v>22</v>
      </c>
      <c r="W52" s="37">
        <f t="shared" si="9"/>
        <v>2</v>
      </c>
      <c r="X52" s="39"/>
      <c r="Y52" s="52">
        <v>46153.0</v>
      </c>
    </row>
    <row r="53">
      <c r="A53" s="31" t="s">
        <v>113</v>
      </c>
      <c r="B53" s="2"/>
      <c r="C53" s="3" t="s">
        <v>77</v>
      </c>
      <c r="D53" s="2" t="s">
        <v>78</v>
      </c>
      <c r="E53" s="2" t="s">
        <v>26</v>
      </c>
      <c r="F53" s="2" t="s">
        <v>27</v>
      </c>
      <c r="G53" s="2" t="s">
        <v>56</v>
      </c>
      <c r="I53" s="4">
        <f>SUMIFS(Dump!D:D,Dump!B:B,C53)</f>
        <v>173</v>
      </c>
      <c r="J53" s="5">
        <f>SUMIFS(Dump!AE:AE,Dump!B:B,C53)</f>
        <v>25.23361111</v>
      </c>
      <c r="K53" s="4">
        <f>SUMPRODUCT(
  (TEXT(Dump!$A$2:$A994,"mmm-yy")=TEXT($Y53,"mmm-yy"))*
  (Dump!$B$2:$B994=$C53)*
  Dump!$D$2:$D994)</f>
        <v>58</v>
      </c>
      <c r="L53" s="4">
        <f>SUMPRODUCT(
  (TEXT(Dump!$A$2:$A994,"mmm-yy")=TEXT($Y53,"mmm-yy"))*
  (Dump!$B$2:$B994=$C53)*
  Dump!$E$2:$E994
)</f>
        <v>66</v>
      </c>
      <c r="M53" s="4">
        <f>SUMPRODUCT(
  (TEXT(Dump!$A$2:$A994,"mmm-yy")=TEXT($Y53,"mmm-yy"))*
  (Dump!$B$2:$B994=$C53)*
  Dump!$P$2:$P994
)</f>
        <v>48</v>
      </c>
      <c r="N53" s="32">
        <v>35.0</v>
      </c>
      <c r="O53" s="33">
        <f>SUMIFS(Dump!$D:$D,Dump!$B:$B,$C53,Dump!$A:$A,$Y53)</f>
        <v>35</v>
      </c>
      <c r="P53" s="33">
        <f>SUMIFS(Dump!R:R,Dump!B:B,C53,Dump!A:A,Y53)</f>
        <v>83820</v>
      </c>
      <c r="Q53" s="34">
        <f t="shared" si="7"/>
        <v>0</v>
      </c>
      <c r="S53" s="4">
        <f>SUMIFS(Dump!E:E,Dump!B:B,C53,Dump!A:A,Y53)</f>
        <v>52</v>
      </c>
      <c r="T53" s="35">
        <f t="shared" si="8"/>
        <v>-52</v>
      </c>
      <c r="U53" s="32"/>
      <c r="V53" s="4">
        <f>SUMIFS(Dump!P:P,Dump!B:B,C53,Dump!A:A,Y53)</f>
        <v>24</v>
      </c>
      <c r="W53" s="37">
        <f t="shared" si="9"/>
        <v>-24</v>
      </c>
      <c r="X53" s="39"/>
      <c r="Y53" s="52">
        <v>46153.0</v>
      </c>
    </row>
    <row r="54">
      <c r="A54" s="31" t="s">
        <v>113</v>
      </c>
      <c r="B54" s="2"/>
      <c r="C54" s="3" t="s">
        <v>79</v>
      </c>
      <c r="D54" s="2" t="s">
        <v>80</v>
      </c>
      <c r="E54" s="2" t="s">
        <v>46</v>
      </c>
      <c r="F54" s="2" t="s">
        <v>32</v>
      </c>
      <c r="G54" s="2" t="s">
        <v>81</v>
      </c>
      <c r="I54" s="4">
        <f>SUMIFS(Dump!D:D,Dump!B:B,C54)</f>
        <v>57</v>
      </c>
      <c r="J54" s="5">
        <f>SUMIFS(Dump!AE:AE,Dump!B:B,C54)</f>
        <v>11.64361111</v>
      </c>
      <c r="K54" s="4">
        <f>SUMPRODUCT(
  (TEXT(Dump!$A$2:$A994,"mmm-yy")=TEXT($Y54,"mmm-yy"))*
  (Dump!$B$2:$B994=$C54)*
  Dump!$D$2:$D994)</f>
        <v>0</v>
      </c>
      <c r="L54" s="4">
        <f>SUMPRODUCT(
  (TEXT(Dump!$A$2:$A994,"mmm-yy")=TEXT($Y54,"mmm-yy"))*
  (Dump!$B$2:$B994=$C54)*
  Dump!$E$2:$E994
)</f>
        <v>0</v>
      </c>
      <c r="M54" s="4">
        <f>SUMPRODUCT(
  (TEXT(Dump!$A$2:$A994,"mmm-yy")=TEXT($Y54,"mmm-yy"))*
  (Dump!$B$2:$B994=$C54)*
  Dump!$P$2:$P994
)</f>
        <v>0</v>
      </c>
      <c r="N54" s="32"/>
      <c r="O54" s="33">
        <f>SUMIFS(Dump!$D:$D,Dump!$B:$B,$C54,Dump!$A:$A,$Y54)</f>
        <v>0</v>
      </c>
      <c r="P54" s="33">
        <f>SUMIFS(Dump!R:R,Dump!B:B,C54,Dump!A:A,Y54)</f>
        <v>0</v>
      </c>
      <c r="Q54" s="34">
        <f t="shared" si="7"/>
        <v>0</v>
      </c>
      <c r="S54" s="4">
        <f>SUMIFS(Dump!E:E,Dump!B:B,C54,Dump!A:A,Y54)</f>
        <v>0</v>
      </c>
      <c r="T54" s="35">
        <f t="shared" si="8"/>
        <v>0</v>
      </c>
      <c r="U54" s="32"/>
      <c r="V54" s="4">
        <f>SUMIFS(Dump!P:P,Dump!B:B,C54,Dump!A:A,Y54)</f>
        <v>0</v>
      </c>
      <c r="W54" s="37">
        <f t="shared" si="9"/>
        <v>0</v>
      </c>
      <c r="X54" s="39"/>
      <c r="Y54" s="52">
        <v>46153.0</v>
      </c>
    </row>
    <row r="55">
      <c r="A55" s="31" t="s">
        <v>113</v>
      </c>
      <c r="B55" s="2"/>
      <c r="C55" s="3" t="s">
        <v>82</v>
      </c>
      <c r="D55" s="2" t="s">
        <v>83</v>
      </c>
      <c r="E55" s="2" t="s">
        <v>46</v>
      </c>
      <c r="F55" s="2" t="s">
        <v>41</v>
      </c>
      <c r="G55" s="2"/>
      <c r="I55" s="4">
        <f>SUMIFS(Dump!D:D,Dump!B:B,C55)</f>
        <v>52</v>
      </c>
      <c r="J55" s="5">
        <f>SUMIFS(Dump!AE:AE,Dump!B:B,C55)</f>
        <v>10.99111111</v>
      </c>
      <c r="K55" s="4">
        <f>SUMPRODUCT(
  (TEXT(Dump!$A$2:$A994,"mmm-yy")=TEXT($Y55,"mmm-yy"))*
  (Dump!$B$2:$B994=$C55)*
  Dump!$D$2:$D994)</f>
        <v>0</v>
      </c>
      <c r="L55" s="4">
        <f>SUMPRODUCT(
  (TEXT(Dump!$A$2:$A994,"mmm-yy")=TEXT($Y55,"mmm-yy"))*
  (Dump!$B$2:$B994=$C55)*
  Dump!$E$2:$E994
)</f>
        <v>0</v>
      </c>
      <c r="M55" s="4">
        <f>SUMPRODUCT(
  (TEXT(Dump!$A$2:$A994,"mmm-yy")=TEXT($Y55,"mmm-yy"))*
  (Dump!$B$2:$B994=$C55)*
  Dump!$P$2:$P994
)</f>
        <v>0</v>
      </c>
      <c r="N55" s="32"/>
      <c r="O55" s="33">
        <f>SUMIFS(Dump!$D:$D,Dump!$B:$B,$C55,Dump!$A:$A,$Y55)</f>
        <v>0</v>
      </c>
      <c r="P55" s="33">
        <f>SUMIFS(Dump!R:R,Dump!B:B,C55,Dump!A:A,Y55)</f>
        <v>0</v>
      </c>
      <c r="Q55" s="34">
        <f t="shared" si="7"/>
        <v>0</v>
      </c>
      <c r="S55" s="4">
        <f>SUMIFS(Dump!E:E,Dump!B:B,C55,Dump!A:A,Y55)</f>
        <v>0</v>
      </c>
      <c r="T55" s="35">
        <f t="shared" si="8"/>
        <v>0</v>
      </c>
      <c r="U55" s="32"/>
      <c r="V55" s="4">
        <f>SUMIFS(Dump!P:P,Dump!B:B,C55,Dump!A:A,Y55)</f>
        <v>0</v>
      </c>
      <c r="W55" s="37">
        <f t="shared" si="9"/>
        <v>0</v>
      </c>
      <c r="X55" s="39"/>
      <c r="Y55" s="52">
        <v>46153.0</v>
      </c>
    </row>
    <row r="56">
      <c r="A56" s="31" t="s">
        <v>113</v>
      </c>
      <c r="B56" s="2"/>
      <c r="C56" s="3" t="s">
        <v>84</v>
      </c>
      <c r="D56" s="2" t="s">
        <v>85</v>
      </c>
      <c r="E56" s="2"/>
      <c r="F56" s="2"/>
      <c r="G56" s="2"/>
      <c r="I56" s="4">
        <f>SUMIFS(Dump!D:D,Dump!B:B,C56)</f>
        <v>0</v>
      </c>
      <c r="J56" s="5">
        <f>SUMIFS(Dump!AE:AE,Dump!B:B,C56)</f>
        <v>0</v>
      </c>
      <c r="K56" s="4">
        <f>SUMPRODUCT(
  (TEXT(Dump!$A$2:$A994,"mmm-yy")=TEXT($Y56,"mmm-yy"))*
  (Dump!$B$2:$B994=$C56)*
  Dump!$D$2:$D994)</f>
        <v>0</v>
      </c>
      <c r="L56" s="4">
        <f>SUMPRODUCT(
  (TEXT(Dump!$A$2:$A994,"mmm-yy")=TEXT($Y56,"mmm-yy"))*
  (Dump!$B$2:$B994=$C56)*
  Dump!$E$2:$E994
)</f>
        <v>0</v>
      </c>
      <c r="M56" s="4">
        <f>SUMPRODUCT(
  (TEXT(Dump!$A$2:$A994,"mmm-yy")=TEXT($Y56,"mmm-yy"))*
  (Dump!$B$2:$B994=$C56)*
  Dump!$P$2:$P994
)</f>
        <v>0</v>
      </c>
      <c r="N56" s="32"/>
      <c r="O56" s="33">
        <f>SUMIFS(Dump!$D:$D,Dump!$B:$B,$C56,Dump!$A:$A,$Y56)</f>
        <v>0</v>
      </c>
      <c r="P56" s="33">
        <f>SUMIFS(Dump!R:R,Dump!B:B,C56,Dump!A:A,Y56)</f>
        <v>0</v>
      </c>
      <c r="Q56" s="34">
        <f t="shared" si="7"/>
        <v>0</v>
      </c>
      <c r="S56" s="4">
        <f>SUMIFS(Dump!E:E,Dump!B:B,C56,Dump!A:A,Y56)</f>
        <v>0</v>
      </c>
      <c r="T56" s="35">
        <f t="shared" si="8"/>
        <v>0</v>
      </c>
      <c r="U56" s="32"/>
      <c r="V56" s="4">
        <f>SUMIFS(Dump!P:P,Dump!B:B,C56,Dump!A:A,Y56)</f>
        <v>0</v>
      </c>
      <c r="W56" s="37">
        <f t="shared" si="9"/>
        <v>0</v>
      </c>
      <c r="X56" s="39"/>
      <c r="Y56" s="52">
        <v>46153.0</v>
      </c>
    </row>
    <row r="57">
      <c r="A57" s="31" t="s">
        <v>113</v>
      </c>
      <c r="B57" s="2"/>
      <c r="C57" s="3" t="s">
        <v>86</v>
      </c>
      <c r="D57" s="2" t="s">
        <v>87</v>
      </c>
      <c r="E57" s="2" t="s">
        <v>26</v>
      </c>
      <c r="F57" s="2"/>
      <c r="G57" s="2"/>
      <c r="I57" s="4">
        <f>SUMIFS(Dump!D:D,Dump!B:B,C57)</f>
        <v>82</v>
      </c>
      <c r="J57" s="5">
        <f>SUMIFS(Dump!AE:AE,Dump!B:B,C57)</f>
        <v>9.908333333</v>
      </c>
      <c r="K57" s="4">
        <f>SUMPRODUCT(
  (TEXT(Dump!$A$2:$A994,"mmm-yy")=TEXT($Y57,"mmm-yy"))*
  (Dump!$B$2:$B994=$C57)*
  Dump!$D$2:$D994)</f>
        <v>35</v>
      </c>
      <c r="L57" s="4">
        <f>SUMPRODUCT(
  (TEXT(Dump!$A$2:$A994,"mmm-yy")=TEXT($Y57,"mmm-yy"))*
  (Dump!$B$2:$B994=$C57)*
  Dump!$E$2:$E994
)</f>
        <v>5</v>
      </c>
      <c r="M57" s="4">
        <f>SUMPRODUCT(
  (TEXT(Dump!$A$2:$A994,"mmm-yy")=TEXT($Y57,"mmm-yy"))*
  (Dump!$B$2:$B994=$C57)*
  Dump!$P$2:$P994
)</f>
        <v>0</v>
      </c>
      <c r="N57" s="32">
        <v>50.0</v>
      </c>
      <c r="O57" s="33">
        <f>SUMIFS(Dump!$D:$D,Dump!$B:$B,$C57,Dump!$A:$A,$Y57)</f>
        <v>16</v>
      </c>
      <c r="P57" s="33">
        <f>SUMIFS(Dump!R:R,Dump!B:B,C57,Dump!A:A,Y57)</f>
        <v>34974</v>
      </c>
      <c r="Q57" s="34">
        <f t="shared" si="7"/>
        <v>34</v>
      </c>
      <c r="S57" s="4">
        <f>SUMIFS(Dump!E:E,Dump!B:B,C57,Dump!A:A,Y57)</f>
        <v>5</v>
      </c>
      <c r="T57" s="35">
        <f t="shared" si="8"/>
        <v>-5</v>
      </c>
      <c r="U57" s="32">
        <v>20.0</v>
      </c>
      <c r="V57" s="4">
        <f>SUMIFS(Dump!P:P,Dump!B:B,C57,Dump!A:A,Y57)</f>
        <v>0</v>
      </c>
      <c r="W57" s="37">
        <f t="shared" si="9"/>
        <v>20</v>
      </c>
      <c r="X57" s="39"/>
      <c r="Y57" s="52">
        <v>46153.0</v>
      </c>
    </row>
    <row r="58">
      <c r="A58" s="31" t="s">
        <v>113</v>
      </c>
      <c r="B58" s="2"/>
      <c r="C58" s="3" t="s">
        <v>88</v>
      </c>
      <c r="D58" s="2" t="s">
        <v>89</v>
      </c>
      <c r="E58" s="2" t="s">
        <v>46</v>
      </c>
      <c r="F58" s="2" t="s">
        <v>27</v>
      </c>
      <c r="G58" s="2" t="s">
        <v>47</v>
      </c>
      <c r="I58" s="4">
        <f>SUMIFS(Dump!D:D,Dump!B:B,C58)</f>
        <v>56</v>
      </c>
      <c r="J58" s="5">
        <f>SUMIFS(Dump!AE:AE,Dump!B:B,C58)</f>
        <v>10.39083333</v>
      </c>
      <c r="K58" s="4">
        <f>SUMPRODUCT(
  (TEXT(Dump!$A$2:$A994,"mmm-yy")=TEXT($Y58,"mmm-yy"))*
  (Dump!$B$2:$B994=$C58)*
  Dump!$D$2:$D994)</f>
        <v>0</v>
      </c>
      <c r="L58" s="4">
        <f>SUMPRODUCT(
  (TEXT(Dump!$A$2:$A994,"mmm-yy")=TEXT($Y58,"mmm-yy"))*
  (Dump!$B$2:$B994=$C58)*
  Dump!$E$2:$E994
)</f>
        <v>0</v>
      </c>
      <c r="M58" s="4">
        <f>SUMPRODUCT(
  (TEXT(Dump!$A$2:$A994,"mmm-yy")=TEXT($Y58,"mmm-yy"))*
  (Dump!$B$2:$B994=$C58)*
  Dump!$P$2:$P994
)</f>
        <v>0</v>
      </c>
      <c r="N58" s="32"/>
      <c r="O58" s="33">
        <f>SUMIFS(Dump!$D:$D,Dump!$B:$B,$C58,Dump!$A:$A,$Y58)</f>
        <v>0</v>
      </c>
      <c r="P58" s="33">
        <f>SUMIFS(Dump!R:R,Dump!B:B,C58,Dump!A:A,Y58)</f>
        <v>0</v>
      </c>
      <c r="Q58" s="34">
        <f t="shared" si="7"/>
        <v>0</v>
      </c>
      <c r="S58" s="4">
        <f>SUMIFS(Dump!E:E,Dump!B:B,C58,Dump!A:A,Y58)</f>
        <v>0</v>
      </c>
      <c r="T58" s="35">
        <f t="shared" si="8"/>
        <v>0</v>
      </c>
      <c r="U58" s="32"/>
      <c r="V58" s="4">
        <f>SUMIFS(Dump!P:P,Dump!B:B,C58,Dump!A:A,Y58)</f>
        <v>0</v>
      </c>
      <c r="W58" s="37">
        <f t="shared" si="9"/>
        <v>0</v>
      </c>
      <c r="X58" s="39"/>
      <c r="Y58" s="52">
        <v>46153.0</v>
      </c>
    </row>
    <row r="59">
      <c r="A59" s="31" t="s">
        <v>113</v>
      </c>
      <c r="B59" s="2"/>
      <c r="C59" s="3" t="s">
        <v>90</v>
      </c>
      <c r="D59" s="2" t="s">
        <v>91</v>
      </c>
      <c r="E59" s="2" t="s">
        <v>46</v>
      </c>
      <c r="F59" s="2" t="s">
        <v>32</v>
      </c>
      <c r="G59" s="2" t="s">
        <v>92</v>
      </c>
      <c r="I59" s="4">
        <f>SUMIFS(Dump!D:D,Dump!B:B,C59)</f>
        <v>50</v>
      </c>
      <c r="J59" s="5">
        <f>SUMIFS(Dump!AE:AE,Dump!B:B,C59)</f>
        <v>10.19194444</v>
      </c>
      <c r="K59" s="4">
        <f>SUMPRODUCT(
  (TEXT(Dump!$A$2:$A994,"mmm-yy")=TEXT($Y59,"mmm-yy"))*
  (Dump!$B$2:$B994=$C59)*
  Dump!$D$2:$D994)</f>
        <v>0</v>
      </c>
      <c r="L59" s="4">
        <f>SUMPRODUCT(
  (TEXT(Dump!$A$2:$A994,"mmm-yy")=TEXT($Y59,"mmm-yy"))*
  (Dump!$B$2:$B994=$C59)*
  Dump!$E$2:$E994
)</f>
        <v>0</v>
      </c>
      <c r="M59" s="4">
        <f>SUMPRODUCT(
  (TEXT(Dump!$A$2:$A994,"mmm-yy")=TEXT($Y59,"mmm-yy"))*
  (Dump!$B$2:$B994=$C59)*
  Dump!$P$2:$P994
)</f>
        <v>1</v>
      </c>
      <c r="N59" s="32"/>
      <c r="O59" s="33">
        <f>SUMIFS(Dump!$D:$D,Dump!$B:$B,$C59,Dump!$A:$A,$Y59)</f>
        <v>0</v>
      </c>
      <c r="P59" s="33">
        <f>SUMIFS(Dump!R:R,Dump!B:B,C59,Dump!A:A,Y59)</f>
        <v>0</v>
      </c>
      <c r="Q59" s="34">
        <f t="shared" si="7"/>
        <v>0</v>
      </c>
      <c r="S59" s="4">
        <f>SUMIFS(Dump!E:E,Dump!B:B,C59,Dump!A:A,Y59)</f>
        <v>0</v>
      </c>
      <c r="T59" s="35">
        <f t="shared" si="8"/>
        <v>0</v>
      </c>
      <c r="U59" s="32"/>
      <c r="V59" s="4">
        <f>SUMIFS(Dump!P:P,Dump!B:B,C59,Dump!A:A,Y59)</f>
        <v>0</v>
      </c>
      <c r="W59" s="37">
        <f t="shared" si="9"/>
        <v>0</v>
      </c>
      <c r="X59" s="39"/>
      <c r="Y59" s="52">
        <v>46153.0</v>
      </c>
    </row>
    <row r="60">
      <c r="A60" s="31" t="s">
        <v>113</v>
      </c>
      <c r="B60" s="2"/>
      <c r="C60" s="3" t="s">
        <v>93</v>
      </c>
      <c r="D60" s="2" t="s">
        <v>94</v>
      </c>
      <c r="E60" s="2" t="s">
        <v>26</v>
      </c>
      <c r="F60" s="2"/>
      <c r="G60" s="2"/>
      <c r="I60" s="4">
        <f>SUMIFS(Dump!D:D,Dump!B:B,C60)</f>
        <v>79</v>
      </c>
      <c r="J60" s="5">
        <f>SUMIFS(Dump!AE:AE,Dump!B:B,C60)</f>
        <v>17.93027778</v>
      </c>
      <c r="K60" s="4">
        <f>SUMPRODUCT(
  (TEXT(Dump!$A$2:$A994,"mmm-yy")=TEXT($Y60,"mmm-yy"))*
  (Dump!$B$2:$B994=$C60)*
  Dump!$D$2:$D994)</f>
        <v>30</v>
      </c>
      <c r="L60" s="4">
        <f>SUMPRODUCT(
  (TEXT(Dump!$A$2:$A994,"mmm-yy")=TEXT($Y60,"mmm-yy"))*
  (Dump!$B$2:$B994=$C60)*
  Dump!$E$2:$E994
)</f>
        <v>34</v>
      </c>
      <c r="M60" s="4">
        <f>SUMPRODUCT(
  (TEXT(Dump!$A$2:$A994,"mmm-yy")=TEXT($Y60,"mmm-yy"))*
  (Dump!$B$2:$B994=$C60)*
  Dump!$P$2:$P994
)</f>
        <v>34</v>
      </c>
      <c r="N60" s="32">
        <v>15.0</v>
      </c>
      <c r="O60" s="33">
        <f>SUMIFS(Dump!$D:$D,Dump!$B:$B,$C60,Dump!$A:$A,$Y60)</f>
        <v>15</v>
      </c>
      <c r="P60" s="33">
        <f>SUMIFS(Dump!R:R,Dump!B:B,C60,Dump!A:A,Y60)</f>
        <v>32933</v>
      </c>
      <c r="Q60" s="34">
        <f t="shared" si="7"/>
        <v>0</v>
      </c>
      <c r="S60" s="4">
        <f>SUMIFS(Dump!E:E,Dump!B:B,C60,Dump!A:A,Y60)</f>
        <v>15</v>
      </c>
      <c r="T60" s="35">
        <f t="shared" si="8"/>
        <v>-15</v>
      </c>
      <c r="U60" s="32">
        <v>25.0</v>
      </c>
      <c r="V60" s="4">
        <f>SUMIFS(Dump!P:P,Dump!B:B,C60,Dump!A:A,Y60)</f>
        <v>13</v>
      </c>
      <c r="W60" s="37">
        <f t="shared" si="9"/>
        <v>12</v>
      </c>
      <c r="X60" s="39"/>
      <c r="Y60" s="52">
        <v>46153.0</v>
      </c>
    </row>
    <row r="61">
      <c r="A61" s="31" t="s">
        <v>113</v>
      </c>
      <c r="B61" s="2"/>
      <c r="C61" s="3" t="s">
        <v>95</v>
      </c>
      <c r="D61" s="2" t="s">
        <v>96</v>
      </c>
      <c r="E61" s="2" t="s">
        <v>46</v>
      </c>
      <c r="F61" s="2" t="s">
        <v>41</v>
      </c>
      <c r="G61" s="2" t="s">
        <v>92</v>
      </c>
      <c r="I61" s="4">
        <f>SUMIFS(Dump!D:D,Dump!B:B,C61)</f>
        <v>50</v>
      </c>
      <c r="J61" s="5">
        <f>SUMIFS(Dump!AE:AE,Dump!B:B,C61)</f>
        <v>10.06555556</v>
      </c>
      <c r="K61" s="4">
        <f>SUMPRODUCT(
  (TEXT(Dump!$A$2:$A994,"mmm-yy")=TEXT($Y61,"mmm-yy"))*
  (Dump!$B$2:$B994=$C61)*
  Dump!$D$2:$D994)</f>
        <v>0</v>
      </c>
      <c r="L61" s="4">
        <f>SUMPRODUCT(
  (TEXT(Dump!$A$2:$A994,"mmm-yy")=TEXT($Y61,"mmm-yy"))*
  (Dump!$B$2:$B994=$C61)*
  Dump!$E$2:$E994
)</f>
        <v>0</v>
      </c>
      <c r="M61" s="4">
        <f>SUMPRODUCT(
  (TEXT(Dump!$A$2:$A994,"mmm-yy")=TEXT($Y61,"mmm-yy"))*
  (Dump!$B$2:$B994=$C61)*
  Dump!$P$2:$P994
)</f>
        <v>0</v>
      </c>
      <c r="N61" s="32"/>
      <c r="O61" s="33">
        <f>SUMIFS(Dump!$D:$D,Dump!$B:$B,$C61,Dump!$A:$A,$Y61)</f>
        <v>0</v>
      </c>
      <c r="P61" s="33">
        <f>SUMIFS(Dump!R:R,Dump!B:B,C61,Dump!A:A,Y61)</f>
        <v>0</v>
      </c>
      <c r="Q61" s="34">
        <f t="shared" si="7"/>
        <v>0</v>
      </c>
      <c r="S61" s="4">
        <f>SUMIFS(Dump!E:E,Dump!B:B,C61,Dump!A:A,Y61)</f>
        <v>0</v>
      </c>
      <c r="T61" s="35">
        <f t="shared" si="8"/>
        <v>0</v>
      </c>
      <c r="U61" s="32"/>
      <c r="V61" s="4">
        <f>SUMIFS(Dump!P:P,Dump!B:B,C61,Dump!A:A,Y61)</f>
        <v>0</v>
      </c>
      <c r="W61" s="37">
        <f t="shared" si="9"/>
        <v>0</v>
      </c>
      <c r="X61" s="39"/>
      <c r="Y61" s="52">
        <v>46153.0</v>
      </c>
    </row>
    <row r="62">
      <c r="A62" s="31" t="s">
        <v>113</v>
      </c>
      <c r="B62" s="2"/>
      <c r="C62" s="3" t="s">
        <v>97</v>
      </c>
      <c r="D62" s="2" t="s">
        <v>98</v>
      </c>
      <c r="E62" s="2" t="s">
        <v>26</v>
      </c>
      <c r="F62" s="2" t="s">
        <v>27</v>
      </c>
      <c r="G62" s="2" t="s">
        <v>81</v>
      </c>
      <c r="I62" s="4">
        <f>SUMIFS(Dump!D:D,Dump!B:B,C62)</f>
        <v>125</v>
      </c>
      <c r="J62" s="5">
        <f>SUMIFS(Dump!AE:AE,Dump!B:B,C62)</f>
        <v>10.79361111</v>
      </c>
      <c r="K62" s="4">
        <f>SUMPRODUCT(
  (TEXT(Dump!$A$2:$A994,"mmm-yy")=TEXT($Y62,"mmm-yy"))*
  (Dump!$B$2:$B994=$C62)*
  Dump!$D$2:$D994)</f>
        <v>75</v>
      </c>
      <c r="L62" s="4">
        <f>SUMPRODUCT(
  (TEXT(Dump!$A$2:$A994,"mmm-yy")=TEXT($Y62,"mmm-yy"))*
  (Dump!$B$2:$B994=$C62)*
  Dump!$E$2:$E994
)</f>
        <v>42</v>
      </c>
      <c r="M62" s="4">
        <f>SUMPRODUCT(
  (TEXT(Dump!$A$2:$A994,"mmm-yy")=TEXT($Y62,"mmm-yy"))*
  (Dump!$B$2:$B994=$C62)*
  Dump!$P$2:$P994
)</f>
        <v>20</v>
      </c>
      <c r="N62" s="32">
        <v>45.0</v>
      </c>
      <c r="O62" s="33">
        <f>SUMIFS(Dump!$D:$D,Dump!$B:$B,$C62,Dump!$A:$A,$Y62)</f>
        <v>46</v>
      </c>
      <c r="P62" s="33">
        <f>SUMIFS(Dump!R:R,Dump!B:B,C62,Dump!A:A,Y62)</f>
        <v>106794</v>
      </c>
      <c r="Q62" s="34">
        <f t="shared" si="7"/>
        <v>-1</v>
      </c>
      <c r="S62" s="4">
        <f>SUMIFS(Dump!E:E,Dump!B:B,C62,Dump!A:A,Y62)</f>
        <v>31</v>
      </c>
      <c r="T62" s="35">
        <f t="shared" si="8"/>
        <v>-31</v>
      </c>
      <c r="U62" s="32">
        <v>20.0</v>
      </c>
      <c r="V62" s="4">
        <f>SUMIFS(Dump!P:P,Dump!B:B,C62,Dump!A:A,Y62)</f>
        <v>1</v>
      </c>
      <c r="W62" s="37">
        <f t="shared" si="9"/>
        <v>19</v>
      </c>
      <c r="X62" s="39"/>
      <c r="Y62" s="52">
        <v>46153.0</v>
      </c>
    </row>
    <row r="63">
      <c r="A63" s="31" t="s">
        <v>113</v>
      </c>
      <c r="B63" s="2"/>
      <c r="C63" s="3" t="s">
        <v>99</v>
      </c>
      <c r="D63" s="2" t="s">
        <v>100</v>
      </c>
      <c r="E63" s="2" t="s">
        <v>26</v>
      </c>
      <c r="F63" s="2" t="s">
        <v>27</v>
      </c>
      <c r="G63" s="2"/>
      <c r="I63" s="4">
        <f>SUMIFS(Dump!D:D,Dump!B:B,C63)</f>
        <v>85</v>
      </c>
      <c r="J63" s="5">
        <f>SUMIFS(Dump!AE:AE,Dump!B:B,C63)</f>
        <v>5.431388889</v>
      </c>
      <c r="K63" s="4">
        <f>SUMPRODUCT(
  (TEXT(Dump!$A$2:$A994,"mmm-yy")=TEXT($Y63,"mmm-yy"))*
  (Dump!$B$2:$B994=$C63)*
  Dump!$D$2:$D994)</f>
        <v>60</v>
      </c>
      <c r="L63" s="4">
        <f>SUMPRODUCT(
  (TEXT(Dump!$A$2:$A994,"mmm-yy")=TEXT($Y63,"mmm-yy"))*
  (Dump!$B$2:$B994=$C63)*
  Dump!$E$2:$E994
)</f>
        <v>9</v>
      </c>
      <c r="M63" s="4">
        <f>SUMPRODUCT(
  (TEXT(Dump!$A$2:$A994,"mmm-yy")=TEXT($Y63,"mmm-yy"))*
  (Dump!$B$2:$B994=$C63)*
  Dump!$P$2:$P994
)</f>
        <v>8</v>
      </c>
      <c r="N63" s="32">
        <v>30.0</v>
      </c>
      <c r="O63" s="33">
        <f>SUMIFS(Dump!$D:$D,Dump!$B:$B,$C63,Dump!$A:$A,$Y63)</f>
        <v>30</v>
      </c>
      <c r="P63" s="33">
        <f>SUMIFS(Dump!R:R,Dump!B:B,C63,Dump!A:A,Y63)</f>
        <v>69830</v>
      </c>
      <c r="Q63" s="34">
        <f t="shared" si="7"/>
        <v>0</v>
      </c>
      <c r="S63" s="4">
        <f>SUMIFS(Dump!E:E,Dump!B:B,C63,Dump!A:A,Y63)</f>
        <v>4</v>
      </c>
      <c r="T63" s="35">
        <f t="shared" si="8"/>
        <v>-4</v>
      </c>
      <c r="U63" s="32"/>
      <c r="V63" s="4">
        <f>SUMIFS(Dump!P:P,Dump!B:B,C63,Dump!A:A,Y63)</f>
        <v>3</v>
      </c>
      <c r="W63" s="37">
        <f t="shared" si="9"/>
        <v>-3</v>
      </c>
      <c r="X63" s="39"/>
      <c r="Y63" s="52">
        <v>46153.0</v>
      </c>
    </row>
    <row r="64">
      <c r="A64" s="31" t="s">
        <v>113</v>
      </c>
      <c r="B64" s="2"/>
      <c r="C64" s="3" t="s">
        <v>101</v>
      </c>
      <c r="D64" s="2" t="s">
        <v>102</v>
      </c>
      <c r="E64" s="2" t="s">
        <v>26</v>
      </c>
      <c r="F64" s="2" t="s">
        <v>27</v>
      </c>
      <c r="G64" s="2"/>
      <c r="I64" s="4">
        <f>SUMIFS(Dump!D:D,Dump!B:B,C64)</f>
        <v>75</v>
      </c>
      <c r="J64" s="5">
        <f>SUMIFS(Dump!AE:AE,Dump!B:B,C64)</f>
        <v>10.12472222</v>
      </c>
      <c r="K64" s="4">
        <f>SUMPRODUCT(
  (TEXT(Dump!$A$2:$A994,"mmm-yy")=TEXT($Y64,"mmm-yy"))*
  (Dump!$B$2:$B994=$C64)*
  Dump!$D$2:$D994)</f>
        <v>23</v>
      </c>
      <c r="L64" s="4">
        <f>SUMPRODUCT(
  (TEXT(Dump!$A$2:$A994,"mmm-yy")=TEXT($Y64,"mmm-yy"))*
  (Dump!$B$2:$B994=$C64)*
  Dump!$E$2:$E994
)</f>
        <v>11</v>
      </c>
      <c r="M64" s="4">
        <f>SUMPRODUCT(
  (TEXT(Dump!$A$2:$A994,"mmm-yy")=TEXT($Y64,"mmm-yy"))*
  (Dump!$B$2:$B994=$C64)*
  Dump!$P$2:$P994
)</f>
        <v>0</v>
      </c>
      <c r="N64" s="32">
        <v>15.0</v>
      </c>
      <c r="O64" s="33">
        <f>SUMIFS(Dump!$D:$D,Dump!$B:$B,$C64,Dump!$A:$A,$Y64)</f>
        <v>23</v>
      </c>
      <c r="P64" s="33">
        <f>SUMIFS(Dump!R:R,Dump!B:B,C64,Dump!A:A,Y64)</f>
        <v>56814</v>
      </c>
      <c r="Q64" s="34">
        <f t="shared" si="7"/>
        <v>-8</v>
      </c>
      <c r="S64" s="4">
        <f>SUMIFS(Dump!E:E,Dump!B:B,C64,Dump!A:A,Y64)</f>
        <v>11</v>
      </c>
      <c r="T64" s="35">
        <f t="shared" si="8"/>
        <v>-11</v>
      </c>
      <c r="U64" s="32"/>
      <c r="V64" s="4">
        <f>SUMIFS(Dump!P:P,Dump!B:B,C64,Dump!A:A,Y64)</f>
        <v>0</v>
      </c>
      <c r="W64" s="37">
        <f t="shared" si="9"/>
        <v>0</v>
      </c>
      <c r="X64" s="39"/>
      <c r="Y64" s="52">
        <v>46153.0</v>
      </c>
    </row>
    <row r="65">
      <c r="A65" s="31" t="s">
        <v>113</v>
      </c>
      <c r="B65" s="2"/>
      <c r="C65" s="3" t="s">
        <v>103</v>
      </c>
      <c r="D65" s="2" t="s">
        <v>104</v>
      </c>
      <c r="E65" s="2"/>
      <c r="F65" s="2"/>
      <c r="G65" s="2"/>
      <c r="I65" s="4">
        <f>SUMIFS(Dump!D:D,Dump!B:B,C65)</f>
        <v>8</v>
      </c>
      <c r="J65" s="5">
        <f>SUMIFS(Dump!AE:AE,Dump!B:B,C65)</f>
        <v>1.161388889</v>
      </c>
      <c r="K65" s="4">
        <f>SUMPRODUCT(
  (TEXT(Dump!$A$2:$A994,"mmm-yy")=TEXT($Y65,"mmm-yy"))*
  (Dump!$B$2:$B994=$C65)*
  Dump!$D$2:$D994)</f>
        <v>0</v>
      </c>
      <c r="L65" s="4">
        <f>SUMPRODUCT(
  (TEXT(Dump!$A$2:$A994,"mmm-yy")=TEXT($Y65,"mmm-yy"))*
  (Dump!$B$2:$B994=$C65)*
  Dump!$E$2:$E994
)</f>
        <v>0</v>
      </c>
      <c r="M65" s="4">
        <f>SUMPRODUCT(
  (TEXT(Dump!$A$2:$A994,"mmm-yy")=TEXT($Y65,"mmm-yy"))*
  (Dump!$B$2:$B994=$C65)*
  Dump!$P$2:$P994
)</f>
        <v>0</v>
      </c>
      <c r="N65" s="32"/>
      <c r="O65" s="33">
        <f>SUMIFS(Dump!$D:$D,Dump!$B:$B,$C65,Dump!$A:$A,$Y65)</f>
        <v>0</v>
      </c>
      <c r="P65" s="33">
        <f>SUMIFS(Dump!R:R,Dump!B:B,C65,Dump!A:A,Y65)</f>
        <v>0</v>
      </c>
      <c r="Q65" s="34">
        <f t="shared" si="7"/>
        <v>0</v>
      </c>
      <c r="S65" s="4">
        <f>SUMIFS(Dump!E:E,Dump!B:B,C65,Dump!A:A,Y65)</f>
        <v>0</v>
      </c>
      <c r="T65" s="35">
        <f t="shared" si="8"/>
        <v>0</v>
      </c>
      <c r="U65" s="32"/>
      <c r="V65" s="4">
        <f>SUMIFS(Dump!P:P,Dump!B:B,C65,Dump!A:A,Y65)</f>
        <v>0</v>
      </c>
      <c r="W65" s="37">
        <f t="shared" si="9"/>
        <v>0</v>
      </c>
      <c r="X65" s="39"/>
      <c r="Y65" s="52">
        <v>46153.0</v>
      </c>
    </row>
    <row r="66">
      <c r="A66" s="31" t="s">
        <v>113</v>
      </c>
      <c r="B66" s="2"/>
      <c r="C66" s="3" t="s">
        <v>105</v>
      </c>
      <c r="D66" s="2" t="s">
        <v>106</v>
      </c>
      <c r="E66" s="2" t="s">
        <v>26</v>
      </c>
      <c r="F66" s="2"/>
      <c r="G66" s="2"/>
      <c r="I66" s="4">
        <f>SUMIFS(Dump!D:D,Dump!B:B,C66)</f>
        <v>45</v>
      </c>
      <c r="J66" s="5">
        <f>SUMIFS(Dump!AE:AE,Dump!B:B,C66)</f>
        <v>7.171111111</v>
      </c>
      <c r="K66" s="4">
        <f>SUMPRODUCT(
  (TEXT(Dump!$A$2:$A994,"mmm-yy")=TEXT($Y66,"mmm-yy"))*
  (Dump!$B$2:$B994=$C66)*
  Dump!$D$2:$D994)</f>
        <v>30</v>
      </c>
      <c r="L66" s="4">
        <f>SUMPRODUCT(
  (TEXT(Dump!$A$2:$A994,"mmm-yy")=TEXT($Y66,"mmm-yy"))*
  (Dump!$B$2:$B994=$C66)*
  Dump!$E$2:$E994
)</f>
        <v>27</v>
      </c>
      <c r="M66" s="4">
        <f>SUMPRODUCT(
  (TEXT(Dump!$A$2:$A994,"mmm-yy")=TEXT($Y66,"mmm-yy"))*
  (Dump!$B$2:$B994=$C66)*
  Dump!$P$2:$P994
)</f>
        <v>34</v>
      </c>
      <c r="N66" s="32">
        <v>15.0</v>
      </c>
      <c r="O66" s="33">
        <f>SUMIFS(Dump!$D:$D,Dump!$B:$B,$C66,Dump!$A:$A,$Y66)</f>
        <v>10</v>
      </c>
      <c r="P66" s="33">
        <f>SUMIFS(Dump!R:R,Dump!B:B,C66,Dump!A:A,Y66)</f>
        <v>19121</v>
      </c>
      <c r="Q66" s="34">
        <f t="shared" si="7"/>
        <v>5</v>
      </c>
      <c r="S66" s="4">
        <f>SUMIFS(Dump!E:E,Dump!B:B,C66,Dump!A:A,Y66)</f>
        <v>15</v>
      </c>
      <c r="T66" s="35">
        <f t="shared" si="8"/>
        <v>-15</v>
      </c>
      <c r="U66" s="32">
        <v>17.0</v>
      </c>
      <c r="V66" s="4">
        <f>SUMIFS(Dump!P:P,Dump!B:B,C66,Dump!A:A,Y66)</f>
        <v>20</v>
      </c>
      <c r="W66" s="37">
        <f t="shared" si="9"/>
        <v>-3</v>
      </c>
      <c r="X66" s="39"/>
      <c r="Y66" s="52">
        <v>46153.0</v>
      </c>
    </row>
    <row r="67">
      <c r="A67" s="31" t="s">
        <v>113</v>
      </c>
      <c r="B67" s="2"/>
      <c r="C67" s="3" t="s">
        <v>107</v>
      </c>
      <c r="D67" s="2" t="s">
        <v>108</v>
      </c>
      <c r="E67" s="2"/>
      <c r="F67" s="2"/>
      <c r="G67" s="2"/>
      <c r="I67" s="4">
        <f>SUMIFS(Dump!D:D,Dump!B:B,C67)</f>
        <v>44</v>
      </c>
      <c r="J67" s="5">
        <f>SUMIFS(Dump!AE:AE,Dump!B:B,C67)</f>
        <v>0</v>
      </c>
      <c r="K67" s="4">
        <f>SUMPRODUCT(
  (TEXT(Dump!$A$2:$A994,"mmm-yy")=TEXT($Y67,"mmm-yy"))*
  (Dump!$B$2:$B994=$C67)*
  Dump!$D$2:$D994)</f>
        <v>21</v>
      </c>
      <c r="L67" s="4">
        <f>SUMPRODUCT(
  (TEXT(Dump!$A$2:$A994,"mmm-yy")=TEXT($Y67,"mmm-yy"))*
  (Dump!$B$2:$B994=$C67)*
  Dump!$E$2:$E994
)</f>
        <v>15</v>
      </c>
      <c r="M67" s="4">
        <f>SUMPRODUCT(
  (TEXT(Dump!$A$2:$A994,"mmm-yy")=TEXT($Y67,"mmm-yy"))*
  (Dump!$B$2:$B994=$C67)*
  Dump!$P$2:$P994
)</f>
        <v>0</v>
      </c>
      <c r="N67" s="32"/>
      <c r="O67" s="33">
        <f>SUMIFS(Dump!$D:$D,Dump!$B:$B,$C67,Dump!$A:$A,$Y67)</f>
        <v>8</v>
      </c>
      <c r="P67" s="33">
        <f>SUMIFS(Dump!R:R,Dump!B:B,C67,Dump!A:A,Y67)</f>
        <v>19570</v>
      </c>
      <c r="Q67" s="34">
        <f t="shared" si="7"/>
        <v>-8</v>
      </c>
      <c r="S67" s="4">
        <f>SUMIFS(Dump!E:E,Dump!B:B,C67,Dump!A:A,Y67)</f>
        <v>15</v>
      </c>
      <c r="T67" s="35">
        <f t="shared" si="8"/>
        <v>-15</v>
      </c>
      <c r="U67" s="32">
        <v>5.0</v>
      </c>
      <c r="V67" s="4">
        <f>SUMIFS(Dump!P:P,Dump!B:B,C67,Dump!A:A,Y67)</f>
        <v>0</v>
      </c>
      <c r="W67" s="37">
        <f t="shared" si="9"/>
        <v>5</v>
      </c>
      <c r="X67" s="39"/>
      <c r="Y67" s="52">
        <v>46153.0</v>
      </c>
    </row>
    <row r="68">
      <c r="A68" s="31" t="s">
        <v>113</v>
      </c>
      <c r="B68" s="2"/>
      <c r="C68" s="3" t="str">
        <f t="shared" ref="C68:C71" si="10">IFERROR(VLOOKUP(D68,Sheet3!L:M,2,0),"")</f>
        <v/>
      </c>
      <c r="D68" s="2" t="s">
        <v>109</v>
      </c>
      <c r="E68" s="2"/>
      <c r="F68" s="2"/>
      <c r="G68" s="2"/>
      <c r="I68" s="4">
        <f>SUMIFS(Dump!D:D,Dump!B:B,C68)</f>
        <v>0</v>
      </c>
      <c r="J68" s="5">
        <f>SUMIFS(Dump!AE:AE,Dump!B:B,C68)</f>
        <v>0</v>
      </c>
      <c r="K68" s="4">
        <f>SUMPRODUCT(
  (TEXT(Dump!$A$2:$A994,"mmm-yy")=TEXT($Y68,"mmm-yy"))*
  (Dump!$B$2:$B994=$C68)*
  Dump!$D$2:$D994)</f>
        <v>0</v>
      </c>
      <c r="L68" s="4">
        <f>SUMPRODUCT(
  (TEXT(Dump!$A$2:$A994,"mmm-yy")=TEXT($Y68,"mmm-yy"))*
  (Dump!$B$2:$B994=$C68)*
  Dump!$E$2:$E994
)</f>
        <v>0</v>
      </c>
      <c r="M68" s="4">
        <f>SUMPRODUCT(
  (TEXT(Dump!$A$2:$A994,"mmm-yy")=TEXT($Y68,"mmm-yy"))*
  (Dump!$B$2:$B994=$C68)*
  Dump!$P$2:$P994
)</f>
        <v>0</v>
      </c>
      <c r="N68" s="32"/>
      <c r="O68" s="33">
        <f>SUMIFS(Dump!$D:$D,Dump!$B:$B,$C68,Dump!$A:$A,$Y68)</f>
        <v>0</v>
      </c>
      <c r="P68" s="33">
        <f>SUMIFS(Dump!R:R,Dump!B:B,C68,Dump!A:A,Y68)</f>
        <v>0</v>
      </c>
      <c r="Q68" s="34">
        <f t="shared" si="7"/>
        <v>0</v>
      </c>
      <c r="S68" s="4">
        <f>SUMIFS(Dump!E:E,Dump!B:B,C68,Dump!A:A,Y68)</f>
        <v>0</v>
      </c>
      <c r="T68" s="35">
        <f t="shared" si="8"/>
        <v>0</v>
      </c>
      <c r="U68" s="32"/>
      <c r="V68" s="4">
        <f>SUMIFS(Dump!P:P,Dump!B:B,C68,Dump!A:A,Y68)</f>
        <v>0</v>
      </c>
      <c r="W68" s="37">
        <f t="shared" si="9"/>
        <v>0</v>
      </c>
      <c r="X68" s="39"/>
      <c r="Y68" s="52">
        <v>46153.0</v>
      </c>
    </row>
    <row r="69">
      <c r="A69" s="31" t="s">
        <v>113</v>
      </c>
      <c r="B69" s="2"/>
      <c r="C69" s="3" t="str">
        <f t="shared" si="10"/>
        <v/>
      </c>
      <c r="D69" s="2" t="s">
        <v>110</v>
      </c>
      <c r="E69" s="2"/>
      <c r="F69" s="2"/>
      <c r="G69" s="2"/>
      <c r="I69" s="4">
        <f>SUMIFS(Dump!D:D,Dump!B:B,C69)</f>
        <v>0</v>
      </c>
      <c r="J69" s="5">
        <f>SUMIFS(Dump!AE:AE,Dump!B:B,C69)</f>
        <v>0</v>
      </c>
      <c r="K69" s="4">
        <f>SUMPRODUCT(
  (TEXT(Dump!$A$2:$A994,"mmm-yy")=TEXT($Y69,"mmm-yy"))*
  (Dump!$B$2:$B994=$C69)*
  Dump!$D$2:$D994)</f>
        <v>0</v>
      </c>
      <c r="L69" s="4">
        <f>SUMPRODUCT(
  (TEXT(Dump!$A$2:$A994,"mmm-yy")=TEXT($Y69,"mmm-yy"))*
  (Dump!$B$2:$B994=$C69)*
  Dump!$E$2:$E994
)</f>
        <v>0</v>
      </c>
      <c r="M69" s="4">
        <f>SUMPRODUCT(
  (TEXT(Dump!$A$2:$A994,"mmm-yy")=TEXT($Y69,"mmm-yy"))*
  (Dump!$B$2:$B994=$C69)*
  Dump!$P$2:$P994
)</f>
        <v>0</v>
      </c>
      <c r="N69" s="32"/>
      <c r="O69" s="33">
        <f>SUMIFS(Dump!$D:$D,Dump!$B:$B,$C69,Dump!$A:$A,$Y69)</f>
        <v>0</v>
      </c>
      <c r="P69" s="33">
        <f>SUMIFS(Dump!R:R,Dump!B:B,C69,Dump!A:A,Y69)</f>
        <v>0</v>
      </c>
      <c r="Q69" s="34">
        <f t="shared" si="7"/>
        <v>0</v>
      </c>
      <c r="S69" s="4">
        <f>SUMIFS(Dump!E:E,Dump!B:B,C69,Dump!A:A,Y69)</f>
        <v>0</v>
      </c>
      <c r="T69" s="35">
        <f t="shared" si="8"/>
        <v>0</v>
      </c>
      <c r="U69" s="32"/>
      <c r="V69" s="4">
        <f>SUMIFS(Dump!P:P,Dump!B:B,C69,Dump!A:A,Y69)</f>
        <v>0</v>
      </c>
      <c r="W69" s="37">
        <f t="shared" si="9"/>
        <v>0</v>
      </c>
      <c r="X69" s="39"/>
      <c r="Y69" s="52">
        <v>46153.0</v>
      </c>
    </row>
    <row r="70">
      <c r="A70" s="31" t="s">
        <v>113</v>
      </c>
      <c r="B70" s="2"/>
      <c r="C70" s="3" t="str">
        <f t="shared" si="10"/>
        <v/>
      </c>
      <c r="D70" s="2" t="s">
        <v>111</v>
      </c>
      <c r="E70" s="2"/>
      <c r="F70" s="2" t="str">
        <f t="shared" ref="F70:F71" si="11">IFERROR(VLOOKUP($D70,Sheet3!$N:$Q,3,0),"")</f>
        <v/>
      </c>
      <c r="G70" s="2" t="str">
        <f t="shared" ref="G70:G71" si="12">IFERROR(VLOOKUP($D70,Sheet3!$N:$Q,4,0),"")</f>
        <v/>
      </c>
      <c r="I70" s="4">
        <f>SUMIFS(Dump!D:D,Dump!B:B,C70)</f>
        <v>0</v>
      </c>
      <c r="J70" s="5">
        <f>SUMIFS(Dump!AE:AE,Dump!B:B,C70)</f>
        <v>0</v>
      </c>
      <c r="K70" s="4">
        <f>SUMPRODUCT(
  (TEXT(Dump!$A$2:$A994,"mmm-yy")=TEXT($Y70,"mmm-yy"))*
  (Dump!$B$2:$B994=$C70)*
  Dump!$D$2:$D994)</f>
        <v>0</v>
      </c>
      <c r="L70" s="4">
        <f>SUMPRODUCT(
  (TEXT(Dump!$A$2:$A994,"mmm-yy")=TEXT($Y70,"mmm-yy"))*
  (Dump!$B$2:$B994=$C70)*
  Dump!$E$2:$E994
)</f>
        <v>0</v>
      </c>
      <c r="M70" s="4">
        <f>SUMPRODUCT(
  (TEXT(Dump!$A$2:$A994,"mmm-yy")=TEXT($Y70,"mmm-yy"))*
  (Dump!$B$2:$B994=$C70)*
  Dump!$P$2:$P994
)</f>
        <v>0</v>
      </c>
      <c r="N70" s="32"/>
      <c r="O70" s="33">
        <f>SUMIFS(Dump!$D:$D,Dump!$B:$B,$C70,Dump!$A:$A,$Y70)</f>
        <v>0</v>
      </c>
      <c r="P70" s="33">
        <f>SUMIFS(Dump!R:R,Dump!B:B,C70,Dump!A:A,Y70)</f>
        <v>0</v>
      </c>
      <c r="Q70" s="34">
        <f t="shared" si="7"/>
        <v>0</v>
      </c>
      <c r="S70" s="4">
        <f>SUMIFS(Dump!E:E,Dump!B:B,C70,Dump!A:A,Y70)</f>
        <v>0</v>
      </c>
      <c r="T70" s="35">
        <f t="shared" si="8"/>
        <v>0</v>
      </c>
      <c r="U70" s="32"/>
      <c r="V70" s="4">
        <f>SUMIFS(Dump!P:P,Dump!B:B,C70,Dump!A:A,Y70)</f>
        <v>0</v>
      </c>
      <c r="W70" s="37">
        <f t="shared" si="9"/>
        <v>0</v>
      </c>
      <c r="X70" s="39"/>
      <c r="Y70" s="52">
        <v>46153.0</v>
      </c>
    </row>
    <row r="71">
      <c r="A71" s="31" t="s">
        <v>113</v>
      </c>
      <c r="B71" s="2"/>
      <c r="C71" s="3" t="str">
        <f t="shared" si="10"/>
        <v/>
      </c>
      <c r="D71" s="2" t="s">
        <v>112</v>
      </c>
      <c r="E71" s="2"/>
      <c r="F71" s="2" t="str">
        <f t="shared" si="11"/>
        <v/>
      </c>
      <c r="G71" s="2" t="str">
        <f t="shared" si="12"/>
        <v/>
      </c>
      <c r="I71" s="4">
        <f>SUMIFS(Dump!D:D,Dump!B:B,C71)</f>
        <v>0</v>
      </c>
      <c r="J71" s="5">
        <f>SUMIFS(Dump!AE:AE,Dump!B:B,C71)</f>
        <v>0</v>
      </c>
      <c r="K71" s="4">
        <f>SUMPRODUCT(
  (TEXT(Dump!$A$2:$A994,"mmm-yy")=TEXT($Y71,"mmm-yy"))*
  (Dump!$B$2:$B994=$C71)*
  Dump!$D$2:$D994)</f>
        <v>0</v>
      </c>
      <c r="L71" s="4">
        <f>SUMPRODUCT(
  (TEXT(Dump!$A$2:$A994,"mmm-yy")=TEXT($Y71,"mmm-yy"))*
  (Dump!$B$2:$B994=$C71)*
  Dump!$E$2:$E994
)</f>
        <v>0</v>
      </c>
      <c r="M71" s="4">
        <f>SUMPRODUCT(
  (TEXT(Dump!$A$2:$A994,"mmm-yy")=TEXT($Y71,"mmm-yy"))*
  (Dump!$B$2:$B994=$C71)*
  Dump!$P$2:$P994
)</f>
        <v>0</v>
      </c>
      <c r="N71" s="32"/>
      <c r="O71" s="33">
        <f>SUMIFS(Dump!$D:$D,Dump!$B:$B,$C71,Dump!$A:$A,$Y71)</f>
        <v>0</v>
      </c>
      <c r="P71" s="33">
        <f>SUMIFS(Dump!R:R,Dump!B:B,C71,Dump!A:A,Y71)</f>
        <v>0</v>
      </c>
      <c r="Q71" s="34">
        <f t="shared" si="7"/>
        <v>0</v>
      </c>
      <c r="S71" s="4">
        <f>SUMIFS(Dump!E:E,Dump!B:B,C71,Dump!A:A,Y71)</f>
        <v>0</v>
      </c>
      <c r="T71" s="35">
        <f t="shared" si="8"/>
        <v>0</v>
      </c>
      <c r="U71" s="32"/>
      <c r="V71" s="4">
        <f>SUMIFS(Dump!P:P,Dump!B:B,C71,Dump!A:A,Y71)</f>
        <v>0</v>
      </c>
      <c r="W71" s="37">
        <f t="shared" si="9"/>
        <v>0</v>
      </c>
      <c r="X71" s="39"/>
      <c r="Y71" s="52">
        <v>46153.0</v>
      </c>
    </row>
    <row r="72">
      <c r="A72" s="41"/>
      <c r="B72" s="42"/>
      <c r="C72" s="43"/>
      <c r="D72" s="42"/>
      <c r="E72" s="42"/>
      <c r="F72" s="42"/>
      <c r="G72" s="42"/>
      <c r="H72" s="42"/>
      <c r="I72" s="44"/>
      <c r="J72" s="45"/>
      <c r="K72" s="44">
        <f>SUMPRODUCT(
  (TEXT(Dump!$A$2:$A994,"mmm-yy")=TEXT($Y72,"mmm-yy"))*
  (Dump!$B$2:$B994=$C72)*
  Dump!$D$2:$D994)</f>
        <v>0</v>
      </c>
      <c r="L72" s="44">
        <f>SUMPRODUCT(
  (TEXT(Dump!$A$2:$A994,"mmm-yy")=TEXT($Y72,"mmm-yy"))*
  (Dump!$B$2:$B994=$C72)*
  Dump!$E$2:$E994
)</f>
        <v>0</v>
      </c>
      <c r="M72" s="44">
        <f>SUMPRODUCT(
  (TEXT(Dump!$A$2:$A994,"mmm-yy")=TEXT($Y72,"mmm-yy"))*
  (Dump!$B$2:$B994=$C72)*
  Dump!$P$2:$P994
)</f>
        <v>0</v>
      </c>
      <c r="N72" s="46"/>
      <c r="O72" s="47"/>
      <c r="P72" s="47"/>
      <c r="Q72" s="48"/>
      <c r="R72" s="49"/>
      <c r="S72" s="44"/>
      <c r="T72" s="50"/>
      <c r="U72" s="49"/>
      <c r="V72" s="44"/>
      <c r="W72" s="48"/>
      <c r="X72" s="42"/>
      <c r="Y72" s="51"/>
    </row>
    <row r="73">
      <c r="A73" s="31" t="s">
        <v>114</v>
      </c>
      <c r="B73" s="2" t="s">
        <v>23</v>
      </c>
      <c r="C73" s="3" t="s">
        <v>24</v>
      </c>
      <c r="D73" s="2" t="s">
        <v>25</v>
      </c>
      <c r="E73" s="2" t="s">
        <v>26</v>
      </c>
      <c r="F73" s="2" t="s">
        <v>27</v>
      </c>
      <c r="G73" s="2" t="s">
        <v>28</v>
      </c>
      <c r="H73" s="2"/>
      <c r="I73" s="4">
        <f>SUMIFS(Dump!D:D,Dump!B:B,C73)</f>
        <v>1040</v>
      </c>
      <c r="J73" s="5">
        <f>SUMIFS(Dump!AE:AE,Dump!B:B,C73)</f>
        <v>167.4630556</v>
      </c>
      <c r="K73" s="4">
        <f>SUMPRODUCT(
  (TEXT(Dump!$A$2:$A994,"mmm-yy")=TEXT($Y73,"mmm-yy"))*
  (Dump!$B$2:$B994=$C73)*
  Dump!$D$2:$D994)</f>
        <v>35</v>
      </c>
      <c r="L73" s="4">
        <f>SUMPRODUCT(
  (TEXT(Dump!$A$2:$A994,"mmm-yy")=TEXT($Y73,"mmm-yy"))*
  (Dump!$B$2:$B994=$C73)*
  Dump!$E$2:$E994
)</f>
        <v>98</v>
      </c>
      <c r="M73" s="4">
        <f>SUMPRODUCT(
  (TEXT(Dump!$A$2:$A994,"mmm-yy")=TEXT($Y73,"mmm-yy"))*
  (Dump!$B$2:$B994=$C73)*
  Dump!$P$2:$P994
)</f>
        <v>74</v>
      </c>
      <c r="N73" s="32" t="str">
        <f t="shared" ref="N73:N105" si="13">IFERROR(VLOOKUP(C73,Sheet10!F:M,8,0),"")</f>
        <v/>
      </c>
      <c r="O73" s="33">
        <f>SUMIFS(Dump!$D:$D,Dump!$B:$B,$C73,Dump!$A:$A,$Y73)</f>
        <v>0</v>
      </c>
      <c r="P73" s="33">
        <f>SUMIFS(Dump!R:R,Dump!B:B,C73,Dump!A:A,Y73)</f>
        <v>0</v>
      </c>
      <c r="Q73" s="34">
        <f t="shared" ref="Q73:Q105" si="14">N73-O73</f>
        <v>0</v>
      </c>
      <c r="S73" s="4">
        <f>SUMIFS(Dump!E:E,Dump!B:B,C73,Dump!A:A,Y73)</f>
        <v>0</v>
      </c>
      <c r="T73" s="35">
        <f t="shared" ref="T73:T105" si="15">R73-S73</f>
        <v>0</v>
      </c>
      <c r="V73" s="4">
        <f>SUMIFS(Dump!P:P,Dump!B:B,C73,Dump!A:A,Y73)</f>
        <v>0</v>
      </c>
      <c r="W73" s="37">
        <f t="shared" ref="W73:W105" si="16">U73-V73</f>
        <v>0</v>
      </c>
      <c r="X73" s="11"/>
      <c r="Y73" s="52">
        <v>46160.0</v>
      </c>
    </row>
    <row r="74">
      <c r="A74" s="31" t="s">
        <v>114</v>
      </c>
      <c r="B74" s="2" t="s">
        <v>29</v>
      </c>
      <c r="C74" s="3" t="s">
        <v>30</v>
      </c>
      <c r="D74" s="2" t="s">
        <v>31</v>
      </c>
      <c r="E74" s="2" t="s">
        <v>26</v>
      </c>
      <c r="F74" s="2" t="s">
        <v>32</v>
      </c>
      <c r="G74" s="2" t="s">
        <v>33</v>
      </c>
      <c r="I74" s="4">
        <f>SUMIFS(Dump!D:D,Dump!B:B,C74)</f>
        <v>834</v>
      </c>
      <c r="J74" s="5">
        <f>SUMIFS(Dump!AE:AE,Dump!B:B,C74)</f>
        <v>186.0461111</v>
      </c>
      <c r="K74" s="4">
        <f>SUMPRODUCT(
  (TEXT(Dump!$A$2:$A994,"mmm-yy")=TEXT($Y74,"mmm-yy"))*
  (Dump!$B$2:$B994=$C74)*
  Dump!$D$2:$D994)</f>
        <v>32</v>
      </c>
      <c r="L74" s="4">
        <f>SUMPRODUCT(
  (TEXT(Dump!$A$2:$A994,"mmm-yy")=TEXT($Y74,"mmm-yy"))*
  (Dump!$B$2:$B994=$C74)*
  Dump!$E$2:$E994
)</f>
        <v>44</v>
      </c>
      <c r="M74" s="4">
        <f>SUMPRODUCT(
  (TEXT(Dump!$A$2:$A994,"mmm-yy")=TEXT($Y74,"mmm-yy"))*
  (Dump!$B$2:$B994=$C74)*
  Dump!$P$2:$P994
)</f>
        <v>47</v>
      </c>
      <c r="N74" s="32" t="str">
        <f t="shared" si="13"/>
        <v/>
      </c>
      <c r="O74" s="33">
        <f>SUMIFS(Dump!$D:$D,Dump!$B:$B,$C74,Dump!$A:$A,$Y74)</f>
        <v>0</v>
      </c>
      <c r="P74" s="33">
        <f>SUMIFS(Dump!R:R,Dump!B:B,C74,Dump!A:A,Y74)</f>
        <v>0</v>
      </c>
      <c r="Q74" s="34">
        <f t="shared" si="14"/>
        <v>0</v>
      </c>
      <c r="S74" s="4">
        <f>SUMIFS(Dump!E:E,Dump!B:B,C74,Dump!A:A,Y74)</f>
        <v>0</v>
      </c>
      <c r="T74" s="35">
        <f t="shared" si="15"/>
        <v>0</v>
      </c>
      <c r="V74" s="4">
        <f>SUMIFS(Dump!P:P,Dump!B:B,C74,Dump!A:A,Y74)</f>
        <v>0</v>
      </c>
      <c r="W74" s="37">
        <f t="shared" si="16"/>
        <v>0</v>
      </c>
      <c r="X74" s="39"/>
      <c r="Y74" s="52">
        <v>46160.0</v>
      </c>
    </row>
    <row r="75">
      <c r="A75" s="31" t="s">
        <v>114</v>
      </c>
      <c r="B75" s="2" t="s">
        <v>34</v>
      </c>
      <c r="C75" s="3" t="s">
        <v>35</v>
      </c>
      <c r="D75" s="2" t="s">
        <v>36</v>
      </c>
      <c r="E75" s="2" t="s">
        <v>26</v>
      </c>
      <c r="F75" s="2" t="s">
        <v>32</v>
      </c>
      <c r="G75" s="2" t="s">
        <v>37</v>
      </c>
      <c r="I75" s="4">
        <f>SUMIFS(Dump!D:D,Dump!B:B,C75)</f>
        <v>242</v>
      </c>
      <c r="J75" s="5">
        <f>SUMIFS(Dump!AE:AE,Dump!B:B,C75)</f>
        <v>57.02444444</v>
      </c>
      <c r="K75" s="4">
        <f>SUMPRODUCT(
  (TEXT(Dump!$A$2:$A994,"mmm-yy")=TEXT($Y75,"mmm-yy"))*
  (Dump!$B$2:$B994=$C75)*
  Dump!$D$2:$D994)</f>
        <v>31</v>
      </c>
      <c r="L75" s="4">
        <f>SUMPRODUCT(
  (TEXT(Dump!$A$2:$A994,"mmm-yy")=TEXT($Y75,"mmm-yy"))*
  (Dump!$B$2:$B994=$C75)*
  Dump!$E$2:$E994
)</f>
        <v>27</v>
      </c>
      <c r="M75" s="4">
        <f>SUMPRODUCT(
  (TEXT(Dump!$A$2:$A994,"mmm-yy")=TEXT($Y75,"mmm-yy"))*
  (Dump!$B$2:$B994=$C75)*
  Dump!$P$2:$P994
)</f>
        <v>28</v>
      </c>
      <c r="N75" s="32" t="str">
        <f t="shared" si="13"/>
        <v/>
      </c>
      <c r="O75" s="33">
        <f>SUMIFS(Dump!$D:$D,Dump!$B:$B,$C75,Dump!$A:$A,$Y75)</f>
        <v>0</v>
      </c>
      <c r="P75" s="33">
        <f>SUMIFS(Dump!R:R,Dump!B:B,C75,Dump!A:A,Y75)</f>
        <v>0</v>
      </c>
      <c r="Q75" s="34">
        <f t="shared" si="14"/>
        <v>0</v>
      </c>
      <c r="S75" s="4">
        <f>SUMIFS(Dump!E:E,Dump!B:B,C75,Dump!A:A,Y75)</f>
        <v>0</v>
      </c>
      <c r="T75" s="35">
        <f t="shared" si="15"/>
        <v>0</v>
      </c>
      <c r="V75" s="4">
        <f>SUMIFS(Dump!P:P,Dump!B:B,C75,Dump!A:A,Y75)</f>
        <v>0</v>
      </c>
      <c r="W75" s="37">
        <f t="shared" si="16"/>
        <v>0</v>
      </c>
      <c r="X75" s="39"/>
      <c r="Y75" s="52">
        <v>46160.0</v>
      </c>
    </row>
    <row r="76">
      <c r="A76" s="31" t="s">
        <v>114</v>
      </c>
      <c r="B76" s="2" t="s">
        <v>38</v>
      </c>
      <c r="C76" s="3" t="s">
        <v>39</v>
      </c>
      <c r="D76" s="2" t="s">
        <v>40</v>
      </c>
      <c r="E76" s="2"/>
      <c r="F76" s="2" t="s">
        <v>41</v>
      </c>
      <c r="G76" s="2" t="s">
        <v>42</v>
      </c>
      <c r="I76" s="4">
        <f>SUMIFS(Dump!D:D,Dump!B:B,C76)</f>
        <v>102</v>
      </c>
      <c r="J76" s="5">
        <f>SUMIFS(Dump!AE:AE,Dump!B:B,C76)</f>
        <v>237.4583333</v>
      </c>
      <c r="K76" s="4">
        <f>SUMPRODUCT(
  (TEXT(Dump!$A$2:$A994,"mmm-yy")=TEXT($Y76,"mmm-yy"))*
  (Dump!$B$2:$B994=$C76)*
  Dump!$D$2:$D994)</f>
        <v>45</v>
      </c>
      <c r="L76" s="4">
        <f>SUMPRODUCT(
  (TEXT(Dump!$A$2:$A994,"mmm-yy")=TEXT($Y76,"mmm-yy"))*
  (Dump!$B$2:$B994=$C76)*
  Dump!$E$2:$E994
)</f>
        <v>53</v>
      </c>
      <c r="M76" s="4">
        <f>SUMPRODUCT(
  (TEXT(Dump!$A$2:$A994,"mmm-yy")=TEXT($Y76,"mmm-yy"))*
  (Dump!$B$2:$B994=$C76)*
  Dump!$P$2:$P994
)</f>
        <v>29</v>
      </c>
      <c r="N76" s="32" t="str">
        <f t="shared" si="13"/>
        <v/>
      </c>
      <c r="O76" s="33">
        <f>SUMIFS(Dump!$D:$D,Dump!$B:$B,$C76,Dump!$A:$A,$Y76)</f>
        <v>0</v>
      </c>
      <c r="P76" s="33">
        <f>SUMIFS(Dump!R:R,Dump!B:B,C76,Dump!A:A,Y76)</f>
        <v>0</v>
      </c>
      <c r="Q76" s="34">
        <f t="shared" si="14"/>
        <v>0</v>
      </c>
      <c r="S76" s="4">
        <f>SUMIFS(Dump!E:E,Dump!B:B,C76,Dump!A:A,Y76)</f>
        <v>0</v>
      </c>
      <c r="T76" s="35">
        <f t="shared" si="15"/>
        <v>0</v>
      </c>
      <c r="V76" s="4">
        <f>SUMIFS(Dump!P:P,Dump!B:B,C76,Dump!A:A,Y76)</f>
        <v>0</v>
      </c>
      <c r="W76" s="37">
        <f t="shared" si="16"/>
        <v>0</v>
      </c>
      <c r="X76" s="39"/>
      <c r="Y76" s="52">
        <v>46160.0</v>
      </c>
    </row>
    <row r="77">
      <c r="A77" s="31" t="s">
        <v>114</v>
      </c>
      <c r="B77" s="2" t="s">
        <v>43</v>
      </c>
      <c r="C77" s="3" t="s">
        <v>44</v>
      </c>
      <c r="D77" s="2" t="s">
        <v>45</v>
      </c>
      <c r="E77" s="2" t="s">
        <v>46</v>
      </c>
      <c r="F77" s="2" t="s">
        <v>27</v>
      </c>
      <c r="G77" s="2" t="s">
        <v>47</v>
      </c>
      <c r="I77" s="4">
        <f>SUMIFS(Dump!D:D,Dump!B:B,C77)</f>
        <v>12</v>
      </c>
      <c r="J77" s="5">
        <f>SUMIFS(Dump!AE:AE,Dump!B:B,C77)</f>
        <v>91.65555556</v>
      </c>
      <c r="K77" s="4">
        <f>SUMPRODUCT(
  (TEXT(Dump!$A$2:$A994,"mmm-yy")=TEXT($Y77,"mmm-yy"))*
  (Dump!$B$2:$B994=$C77)*
  Dump!$D$2:$D994)</f>
        <v>0</v>
      </c>
      <c r="L77" s="4">
        <f>SUMPRODUCT(
  (TEXT(Dump!$A$2:$A994,"mmm-yy")=TEXT($Y77,"mmm-yy"))*
  (Dump!$B$2:$B994=$C77)*
  Dump!$E$2:$E994
)</f>
        <v>0</v>
      </c>
      <c r="M77" s="4">
        <f>SUMPRODUCT(
  (TEXT(Dump!$A$2:$A994,"mmm-yy")=TEXT($Y77,"mmm-yy"))*
  (Dump!$B$2:$B994=$C77)*
  Dump!$P$2:$P994
)</f>
        <v>0</v>
      </c>
      <c r="N77" s="32" t="str">
        <f t="shared" si="13"/>
        <v/>
      </c>
      <c r="O77" s="33">
        <f>SUMIFS(Dump!$D:$D,Dump!$B:$B,$C77,Dump!$A:$A,$Y77)</f>
        <v>0</v>
      </c>
      <c r="P77" s="33">
        <f>SUMIFS(Dump!R:R,Dump!B:B,C77,Dump!A:A,Y77)</f>
        <v>0</v>
      </c>
      <c r="Q77" s="34">
        <f t="shared" si="14"/>
        <v>0</v>
      </c>
      <c r="S77" s="4">
        <f>SUMIFS(Dump!E:E,Dump!B:B,C77,Dump!A:A,Y77)</f>
        <v>0</v>
      </c>
      <c r="T77" s="35">
        <f t="shared" si="15"/>
        <v>0</v>
      </c>
      <c r="V77" s="4">
        <f>SUMIFS(Dump!P:P,Dump!B:B,C77,Dump!A:A,Y77)</f>
        <v>0</v>
      </c>
      <c r="W77" s="37">
        <f t="shared" si="16"/>
        <v>0</v>
      </c>
      <c r="X77" s="39"/>
      <c r="Y77" s="52">
        <v>46160.0</v>
      </c>
    </row>
    <row r="78">
      <c r="A78" s="31" t="s">
        <v>114</v>
      </c>
      <c r="B78" s="2" t="s">
        <v>48</v>
      </c>
      <c r="C78" s="3"/>
      <c r="D78" s="2" t="s">
        <v>49</v>
      </c>
      <c r="E78" s="2"/>
      <c r="F78" s="2" t="s">
        <v>27</v>
      </c>
      <c r="G78" s="2" t="s">
        <v>50</v>
      </c>
      <c r="I78" s="4">
        <f>SUMIFS(Dump!D:D,Dump!B:B,C78)</f>
        <v>0</v>
      </c>
      <c r="J78" s="5">
        <f>SUMIFS(Dump!AE:AE,Dump!B:B,C78)</f>
        <v>0</v>
      </c>
      <c r="K78" s="4">
        <f>SUMPRODUCT(
  (TEXT(Dump!$A$2:$A994,"mmm-yy")=TEXT($Y78,"mmm-yy"))*
  (Dump!$B$2:$B994=$C78)*
  Dump!$D$2:$D994)</f>
        <v>0</v>
      </c>
      <c r="L78" s="4">
        <f>SUMPRODUCT(
  (TEXT(Dump!$A$2:$A994,"mmm-yy")=TEXT($Y78,"mmm-yy"))*
  (Dump!$B$2:$B994=$C78)*
  Dump!$E$2:$E994
)</f>
        <v>0</v>
      </c>
      <c r="M78" s="4">
        <f>SUMPRODUCT(
  (TEXT(Dump!$A$2:$A994,"mmm-yy")=TEXT($Y78,"mmm-yy"))*
  (Dump!$B$2:$B994=$C78)*
  Dump!$P$2:$P994
)</f>
        <v>0</v>
      </c>
      <c r="N78" s="32" t="str">
        <f t="shared" si="13"/>
        <v/>
      </c>
      <c r="O78" s="33">
        <f>SUMIFS(Dump!$D:$D,Dump!$B:$B,$C78,Dump!$A:$A,$Y78)</f>
        <v>0</v>
      </c>
      <c r="P78" s="33">
        <f>SUMIFS(Dump!R:R,Dump!B:B,C78,Dump!A:A,Y78)</f>
        <v>0</v>
      </c>
      <c r="Q78" s="34">
        <f t="shared" si="14"/>
        <v>0</v>
      </c>
      <c r="S78" s="4">
        <f>SUMIFS(Dump!E:E,Dump!B:B,C78,Dump!A:A,Y78)</f>
        <v>0</v>
      </c>
      <c r="T78" s="35">
        <f t="shared" si="15"/>
        <v>0</v>
      </c>
      <c r="V78" s="4">
        <f>SUMIFS(Dump!P:P,Dump!B:B,C78,Dump!A:A,Y78)</f>
        <v>0</v>
      </c>
      <c r="W78" s="37">
        <f t="shared" si="16"/>
        <v>0</v>
      </c>
      <c r="X78" s="39"/>
      <c r="Y78" s="52">
        <v>46160.0</v>
      </c>
    </row>
    <row r="79">
      <c r="A79" s="31" t="s">
        <v>114</v>
      </c>
      <c r="B79" s="2" t="s">
        <v>51</v>
      </c>
      <c r="C79" s="3"/>
      <c r="D79" s="2" t="s">
        <v>52</v>
      </c>
      <c r="E79" s="2"/>
      <c r="F79" s="2" t="s">
        <v>32</v>
      </c>
      <c r="G79" s="2" t="s">
        <v>53</v>
      </c>
      <c r="I79" s="4">
        <f>SUMIFS(Dump!D:D,Dump!B:B,C79)</f>
        <v>0</v>
      </c>
      <c r="J79" s="5">
        <f>SUMIFS(Dump!AE:AE,Dump!B:B,C79)</f>
        <v>0</v>
      </c>
      <c r="K79" s="4">
        <f>SUMPRODUCT(
  (TEXT(Dump!$A$2:$A994,"mmm-yy")=TEXT($Y79,"mmm-yy"))*
  (Dump!$B$2:$B994=$C79)*
  Dump!$D$2:$D994)</f>
        <v>0</v>
      </c>
      <c r="L79" s="4">
        <f>SUMPRODUCT(
  (TEXT(Dump!$A$2:$A994,"mmm-yy")=TEXT($Y79,"mmm-yy"))*
  (Dump!$B$2:$B994=$C79)*
  Dump!$E$2:$E994
)</f>
        <v>0</v>
      </c>
      <c r="M79" s="4">
        <f>SUMPRODUCT(
  (TEXT(Dump!$A$2:$A994,"mmm-yy")=TEXT($Y79,"mmm-yy"))*
  (Dump!$B$2:$B994=$C79)*
  Dump!$P$2:$P994
)</f>
        <v>0</v>
      </c>
      <c r="N79" s="32" t="str">
        <f t="shared" si="13"/>
        <v/>
      </c>
      <c r="O79" s="33">
        <f>SUMIFS(Dump!$D:$D,Dump!$B:$B,$C79,Dump!$A:$A,$Y79)</f>
        <v>0</v>
      </c>
      <c r="P79" s="33">
        <f>SUMIFS(Dump!R:R,Dump!B:B,C79,Dump!A:A,Y79)</f>
        <v>0</v>
      </c>
      <c r="Q79" s="34">
        <f t="shared" si="14"/>
        <v>0</v>
      </c>
      <c r="S79" s="4">
        <f>SUMIFS(Dump!E:E,Dump!B:B,C79,Dump!A:A,Y79)</f>
        <v>0</v>
      </c>
      <c r="T79" s="35">
        <f t="shared" si="15"/>
        <v>0</v>
      </c>
      <c r="V79" s="4">
        <f>SUMIFS(Dump!P:P,Dump!B:B,C79,Dump!A:A,Y79)</f>
        <v>0</v>
      </c>
      <c r="W79" s="37">
        <f t="shared" si="16"/>
        <v>0</v>
      </c>
      <c r="X79" s="39"/>
      <c r="Y79" s="52">
        <v>46160.0</v>
      </c>
    </row>
    <row r="80">
      <c r="A80" s="31" t="s">
        <v>114</v>
      </c>
      <c r="B80" s="2"/>
      <c r="C80" s="3" t="s">
        <v>54</v>
      </c>
      <c r="D80" s="2" t="s">
        <v>55</v>
      </c>
      <c r="E80" s="2" t="s">
        <v>26</v>
      </c>
      <c r="F80" s="2" t="s">
        <v>27</v>
      </c>
      <c r="G80" s="2" t="s">
        <v>56</v>
      </c>
      <c r="I80" s="4">
        <f>SUMIFS(Dump!D:D,Dump!B:B,C80)</f>
        <v>275</v>
      </c>
      <c r="J80" s="5">
        <f>SUMIFS(Dump!AE:AE,Dump!B:B,C80)</f>
        <v>45.01944444</v>
      </c>
      <c r="K80" s="4">
        <f>SUMPRODUCT(
  (TEXT(Dump!$A$2:$A994,"mmm-yy")=TEXT($Y80,"mmm-yy"))*
  (Dump!$B$2:$B994=$C80)*
  Dump!$D$2:$D994)</f>
        <v>81</v>
      </c>
      <c r="L80" s="4">
        <f>SUMPRODUCT(
  (TEXT(Dump!$A$2:$A994,"mmm-yy")=TEXT($Y80,"mmm-yy"))*
  (Dump!$B$2:$B994=$C80)*
  Dump!$E$2:$E994
)</f>
        <v>81</v>
      </c>
      <c r="M80" s="4">
        <f>SUMPRODUCT(
  (TEXT(Dump!$A$2:$A994,"mmm-yy")=TEXT($Y80,"mmm-yy"))*
  (Dump!$B$2:$B994=$C80)*
  Dump!$P$2:$P994
)</f>
        <v>50</v>
      </c>
      <c r="N80" s="32" t="str">
        <f t="shared" si="13"/>
        <v/>
      </c>
      <c r="O80" s="33">
        <f>SUMIFS(Dump!$D:$D,Dump!$B:$B,$C80,Dump!$A:$A,$Y80)</f>
        <v>0</v>
      </c>
      <c r="P80" s="33">
        <f>SUMIFS(Dump!R:R,Dump!B:B,C80,Dump!A:A,Y80)</f>
        <v>0</v>
      </c>
      <c r="Q80" s="34">
        <f t="shared" si="14"/>
        <v>0</v>
      </c>
      <c r="S80" s="4">
        <f>SUMIFS(Dump!E:E,Dump!B:B,C80,Dump!A:A,Y80)</f>
        <v>0</v>
      </c>
      <c r="T80" s="35">
        <f t="shared" si="15"/>
        <v>0</v>
      </c>
      <c r="V80" s="4">
        <f>SUMIFS(Dump!P:P,Dump!B:B,C80,Dump!A:A,Y80)</f>
        <v>0</v>
      </c>
      <c r="W80" s="37">
        <f t="shared" si="16"/>
        <v>0</v>
      </c>
      <c r="X80" s="39"/>
      <c r="Y80" s="52">
        <v>46160.0</v>
      </c>
    </row>
    <row r="81">
      <c r="A81" s="31" t="s">
        <v>114</v>
      </c>
      <c r="B81" s="2" t="s">
        <v>57</v>
      </c>
      <c r="C81" s="3"/>
      <c r="D81" s="2" t="s">
        <v>58</v>
      </c>
      <c r="E81" s="2"/>
      <c r="F81" s="2" t="s">
        <v>27</v>
      </c>
      <c r="G81" s="2" t="s">
        <v>59</v>
      </c>
      <c r="I81" s="4">
        <f>SUMIFS(Dump!D:D,Dump!B:B,C81)</f>
        <v>0</v>
      </c>
      <c r="J81" s="5">
        <f>SUMIFS(Dump!AE:AE,Dump!B:B,C81)</f>
        <v>0</v>
      </c>
      <c r="K81" s="4">
        <f>SUMPRODUCT(
  (TEXT(Dump!$A$2:$A994,"mmm-yy")=TEXT($Y81,"mmm-yy"))*
  (Dump!$B$2:$B994=$C81)*
  Dump!$D$2:$D994)</f>
        <v>0</v>
      </c>
      <c r="L81" s="4">
        <f>SUMPRODUCT(
  (TEXT(Dump!$A$2:$A994,"mmm-yy")=TEXT($Y81,"mmm-yy"))*
  (Dump!$B$2:$B994=$C81)*
  Dump!$E$2:$E994
)</f>
        <v>0</v>
      </c>
      <c r="M81" s="4">
        <f>SUMPRODUCT(
  (TEXT(Dump!$A$2:$A994,"mmm-yy")=TEXT($Y81,"mmm-yy"))*
  (Dump!$B$2:$B994=$C81)*
  Dump!$P$2:$P994
)</f>
        <v>0</v>
      </c>
      <c r="N81" s="32" t="str">
        <f t="shared" si="13"/>
        <v/>
      </c>
      <c r="O81" s="33">
        <f>SUMIFS(Dump!$D:$D,Dump!$B:$B,$C81,Dump!$A:$A,$Y81)</f>
        <v>0</v>
      </c>
      <c r="P81" s="33">
        <f>SUMIFS(Dump!R:R,Dump!B:B,C81,Dump!A:A,Y81)</f>
        <v>0</v>
      </c>
      <c r="Q81" s="34">
        <f t="shared" si="14"/>
        <v>0</v>
      </c>
      <c r="S81" s="4">
        <f>SUMIFS(Dump!E:E,Dump!B:B,C81,Dump!A:A,Y81)</f>
        <v>0</v>
      </c>
      <c r="T81" s="35">
        <f t="shared" si="15"/>
        <v>0</v>
      </c>
      <c r="V81" s="4">
        <f>SUMIFS(Dump!P:P,Dump!B:B,C81,Dump!A:A,Y81)</f>
        <v>0</v>
      </c>
      <c r="W81" s="37">
        <f t="shared" si="16"/>
        <v>0</v>
      </c>
      <c r="X81" s="39"/>
      <c r="Y81" s="52">
        <v>46160.0</v>
      </c>
    </row>
    <row r="82">
      <c r="A82" s="31" t="s">
        <v>114</v>
      </c>
      <c r="B82" s="2"/>
      <c r="C82" s="3" t="s">
        <v>60</v>
      </c>
      <c r="D82" s="2" t="s">
        <v>61</v>
      </c>
      <c r="E82" s="2" t="s">
        <v>26</v>
      </c>
      <c r="F82" s="2" t="s">
        <v>27</v>
      </c>
      <c r="G82" s="2" t="s">
        <v>59</v>
      </c>
      <c r="I82" s="4">
        <f>SUMIFS(Dump!D:D,Dump!B:B,C82)</f>
        <v>219</v>
      </c>
      <c r="J82" s="5">
        <f>SUMIFS(Dump!AE:AE,Dump!B:B,C82)</f>
        <v>38.56722222</v>
      </c>
      <c r="K82" s="4">
        <f>SUMPRODUCT(
  (TEXT(Dump!$A$2:$A994,"mmm-yy")=TEXT($Y82,"mmm-yy"))*
  (Dump!$B$2:$B994=$C82)*
  Dump!$D$2:$D994)</f>
        <v>0</v>
      </c>
      <c r="L82" s="4">
        <f>SUMPRODUCT(
  (TEXT(Dump!$A$2:$A994,"mmm-yy")=TEXT($Y82,"mmm-yy"))*
  (Dump!$B$2:$B994=$C82)*
  Dump!$E$2:$E994
)</f>
        <v>13</v>
      </c>
      <c r="M82" s="4">
        <f>SUMPRODUCT(
  (TEXT(Dump!$A$2:$A994,"mmm-yy")=TEXT($Y82,"mmm-yy"))*
  (Dump!$B$2:$B994=$C82)*
  Dump!$P$2:$P994
)</f>
        <v>11</v>
      </c>
      <c r="N82" s="32" t="str">
        <f t="shared" si="13"/>
        <v/>
      </c>
      <c r="O82" s="33">
        <f>SUMIFS(Dump!$D:$D,Dump!$B:$B,$C82,Dump!$A:$A,$Y82)</f>
        <v>0</v>
      </c>
      <c r="P82" s="33">
        <f>SUMIFS(Dump!R:R,Dump!B:B,C82,Dump!A:A,Y82)</f>
        <v>0</v>
      </c>
      <c r="Q82" s="34">
        <f t="shared" si="14"/>
        <v>0</v>
      </c>
      <c r="S82" s="4">
        <f>SUMIFS(Dump!E:E,Dump!B:B,C82,Dump!A:A,Y82)</f>
        <v>0</v>
      </c>
      <c r="T82" s="35">
        <f t="shared" si="15"/>
        <v>0</v>
      </c>
      <c r="V82" s="4">
        <f>SUMIFS(Dump!P:P,Dump!B:B,C82,Dump!A:A,Y82)</f>
        <v>0</v>
      </c>
      <c r="W82" s="37">
        <f t="shared" si="16"/>
        <v>0</v>
      </c>
      <c r="X82" s="39"/>
      <c r="Y82" s="52">
        <v>46160.0</v>
      </c>
    </row>
    <row r="83">
      <c r="A83" s="31" t="s">
        <v>114</v>
      </c>
      <c r="B83" s="2" t="s">
        <v>62</v>
      </c>
      <c r="C83" s="3" t="s">
        <v>63</v>
      </c>
      <c r="D83" s="2" t="s">
        <v>64</v>
      </c>
      <c r="E83" s="2" t="s">
        <v>26</v>
      </c>
      <c r="F83" s="2" t="s">
        <v>32</v>
      </c>
      <c r="G83" s="2"/>
      <c r="I83" s="4">
        <f>SUMIFS(Dump!D:D,Dump!B:B,C83)</f>
        <v>143</v>
      </c>
      <c r="J83" s="5">
        <f>SUMIFS(Dump!AE:AE,Dump!B:B,C83)</f>
        <v>21.775</v>
      </c>
      <c r="K83" s="4">
        <f>SUMPRODUCT(
  (TEXT(Dump!$A$2:$A994,"mmm-yy")=TEXT($Y83,"mmm-yy"))*
  (Dump!$B$2:$B994=$C83)*
  Dump!$D$2:$D994)</f>
        <v>62</v>
      </c>
      <c r="L83" s="4">
        <f>SUMPRODUCT(
  (TEXT(Dump!$A$2:$A994,"mmm-yy")=TEXT($Y83,"mmm-yy"))*
  (Dump!$B$2:$B994=$C83)*
  Dump!$E$2:$E994
)</f>
        <v>45</v>
      </c>
      <c r="M83" s="4">
        <f>SUMPRODUCT(
  (TEXT(Dump!$A$2:$A994,"mmm-yy")=TEXT($Y83,"mmm-yy"))*
  (Dump!$B$2:$B994=$C83)*
  Dump!$P$2:$P994
)</f>
        <v>23</v>
      </c>
      <c r="N83" s="32" t="str">
        <f t="shared" si="13"/>
        <v/>
      </c>
      <c r="O83" s="33">
        <f>SUMIFS(Dump!$D:$D,Dump!$B:$B,$C83,Dump!$A:$A,$Y83)</f>
        <v>0</v>
      </c>
      <c r="P83" s="33">
        <f>SUMIFS(Dump!R:R,Dump!B:B,C83,Dump!A:A,Y83)</f>
        <v>0</v>
      </c>
      <c r="Q83" s="34">
        <f t="shared" si="14"/>
        <v>0</v>
      </c>
      <c r="S83" s="4">
        <f>SUMIFS(Dump!E:E,Dump!B:B,C83,Dump!A:A,Y83)</f>
        <v>0</v>
      </c>
      <c r="T83" s="35">
        <f t="shared" si="15"/>
        <v>0</v>
      </c>
      <c r="V83" s="4">
        <f>SUMIFS(Dump!P:P,Dump!B:B,C83,Dump!A:A,Y83)</f>
        <v>0</v>
      </c>
      <c r="W83" s="37">
        <f t="shared" si="16"/>
        <v>0</v>
      </c>
      <c r="X83" s="39"/>
      <c r="Y83" s="52">
        <v>46160.0</v>
      </c>
    </row>
    <row r="84">
      <c r="A84" s="31" t="s">
        <v>114</v>
      </c>
      <c r="B84" s="2" t="s">
        <v>65</v>
      </c>
      <c r="C84" s="3"/>
      <c r="D84" s="2" t="s">
        <v>66</v>
      </c>
      <c r="E84" s="2"/>
      <c r="F84" s="2" t="s">
        <v>27</v>
      </c>
      <c r="G84" s="2" t="s">
        <v>67</v>
      </c>
      <c r="I84" s="4">
        <f>SUMIFS(Dump!D:D,Dump!B:B,C84)</f>
        <v>0</v>
      </c>
      <c r="J84" s="5">
        <f>SUMIFS(Dump!AE:AE,Dump!B:B,C84)</f>
        <v>0</v>
      </c>
      <c r="K84" s="4">
        <f>SUMPRODUCT(
  (TEXT(Dump!$A$2:$A994,"mmm-yy")=TEXT($Y84,"mmm-yy"))*
  (Dump!$B$2:$B994=$C84)*
  Dump!$D$2:$D994)</f>
        <v>0</v>
      </c>
      <c r="L84" s="4">
        <f>SUMPRODUCT(
  (TEXT(Dump!$A$2:$A994,"mmm-yy")=TEXT($Y84,"mmm-yy"))*
  (Dump!$B$2:$B994=$C84)*
  Dump!$E$2:$E994
)</f>
        <v>0</v>
      </c>
      <c r="M84" s="4">
        <f>SUMPRODUCT(
  (TEXT(Dump!$A$2:$A994,"mmm-yy")=TEXT($Y84,"mmm-yy"))*
  (Dump!$B$2:$B994=$C84)*
  Dump!$P$2:$P994
)</f>
        <v>0</v>
      </c>
      <c r="N84" s="32" t="str">
        <f t="shared" si="13"/>
        <v/>
      </c>
      <c r="O84" s="33">
        <f>SUMIFS(Dump!$D:$D,Dump!$B:$B,$C84,Dump!$A:$A,$Y84)</f>
        <v>0</v>
      </c>
      <c r="P84" s="33">
        <f>SUMIFS(Dump!R:R,Dump!B:B,C84,Dump!A:A,Y84)</f>
        <v>0</v>
      </c>
      <c r="Q84" s="34">
        <f t="shared" si="14"/>
        <v>0</v>
      </c>
      <c r="S84" s="4">
        <f>SUMIFS(Dump!E:E,Dump!B:B,C84,Dump!A:A,Y84)</f>
        <v>0</v>
      </c>
      <c r="T84" s="35">
        <f t="shared" si="15"/>
        <v>0</v>
      </c>
      <c r="V84" s="4">
        <f>SUMIFS(Dump!P:P,Dump!B:B,C84,Dump!A:A,Y84)</f>
        <v>0</v>
      </c>
      <c r="W84" s="37">
        <f t="shared" si="16"/>
        <v>0</v>
      </c>
      <c r="X84" s="39"/>
      <c r="Y84" s="52">
        <v>46160.0</v>
      </c>
    </row>
    <row r="85">
      <c r="A85" s="31" t="s">
        <v>114</v>
      </c>
      <c r="B85" s="2" t="s">
        <v>68</v>
      </c>
      <c r="C85" s="3" t="s">
        <v>69</v>
      </c>
      <c r="D85" s="2" t="s">
        <v>70</v>
      </c>
      <c r="E85" s="2" t="s">
        <v>26</v>
      </c>
      <c r="F85" s="2" t="s">
        <v>71</v>
      </c>
      <c r="G85" s="2" t="s">
        <v>72</v>
      </c>
      <c r="I85" s="4">
        <f>SUMIFS(Dump!D:D,Dump!B:B,C85)</f>
        <v>244</v>
      </c>
      <c r="J85" s="5">
        <f>SUMIFS(Dump!AE:AE,Dump!B:B,C85)</f>
        <v>64.17305556</v>
      </c>
      <c r="K85" s="4">
        <f>SUMPRODUCT(
  (TEXT(Dump!$A$2:$A994,"mmm-yy")=TEXT($Y85,"mmm-yy"))*
  (Dump!$B$2:$B994=$C85)*
  Dump!$D$2:$D994)</f>
        <v>1</v>
      </c>
      <c r="L85" s="4">
        <f>SUMPRODUCT(
  (TEXT(Dump!$A$2:$A994,"mmm-yy")=TEXT($Y85,"mmm-yy"))*
  (Dump!$B$2:$B994=$C85)*
  Dump!$E$2:$E994
)</f>
        <v>1</v>
      </c>
      <c r="M85" s="4">
        <f>SUMPRODUCT(
  (TEXT(Dump!$A$2:$A994,"mmm-yy")=TEXT($Y85,"mmm-yy"))*
  (Dump!$B$2:$B994=$C85)*
  Dump!$P$2:$P994
)</f>
        <v>4</v>
      </c>
      <c r="N85" s="32" t="str">
        <f t="shared" si="13"/>
        <v/>
      </c>
      <c r="O85" s="33">
        <f>SUMIFS(Dump!$D:$D,Dump!$B:$B,$C85,Dump!$A:$A,$Y85)</f>
        <v>0</v>
      </c>
      <c r="P85" s="33">
        <f>SUMIFS(Dump!R:R,Dump!B:B,C85,Dump!A:A,Y85)</f>
        <v>0</v>
      </c>
      <c r="Q85" s="34">
        <f t="shared" si="14"/>
        <v>0</v>
      </c>
      <c r="S85" s="4">
        <f>SUMIFS(Dump!E:E,Dump!B:B,C85,Dump!A:A,Y85)</f>
        <v>0</v>
      </c>
      <c r="T85" s="35">
        <f t="shared" si="15"/>
        <v>0</v>
      </c>
      <c r="V85" s="4">
        <f>SUMIFS(Dump!P:P,Dump!B:B,C85,Dump!A:A,Y85)</f>
        <v>0</v>
      </c>
      <c r="W85" s="37">
        <f t="shared" si="16"/>
        <v>0</v>
      </c>
      <c r="X85" s="39"/>
      <c r="Y85" s="52">
        <v>46160.0</v>
      </c>
    </row>
    <row r="86">
      <c r="A86" s="31" t="s">
        <v>114</v>
      </c>
      <c r="B86" s="2" t="s">
        <v>73</v>
      </c>
      <c r="C86" s="3" t="s">
        <v>74</v>
      </c>
      <c r="D86" s="2" t="s">
        <v>75</v>
      </c>
      <c r="E86" s="2" t="s">
        <v>26</v>
      </c>
      <c r="F86" s="2" t="s">
        <v>32</v>
      </c>
      <c r="G86" s="2" t="s">
        <v>76</v>
      </c>
      <c r="I86" s="4">
        <f>SUMIFS(Dump!D:D,Dump!B:B,C86)</f>
        <v>1257</v>
      </c>
      <c r="J86" s="5">
        <f>SUMIFS(Dump!AE:AE,Dump!B:B,C86)</f>
        <v>200.8291667</v>
      </c>
      <c r="K86" s="4">
        <f>SUMPRODUCT(
  (TEXT(Dump!$A$2:$A994,"mmm-yy")=TEXT($Y86,"mmm-yy"))*
  (Dump!$B$2:$B994=$C86)*
  Dump!$D$2:$D994)</f>
        <v>355</v>
      </c>
      <c r="L86" s="4">
        <f>SUMPRODUCT(
  (TEXT(Dump!$A$2:$A994,"mmm-yy")=TEXT($Y86,"mmm-yy"))*
  (Dump!$B$2:$B994=$C86)*
  Dump!$E$2:$E994
)</f>
        <v>46</v>
      </c>
      <c r="M86" s="4">
        <f>SUMPRODUCT(
  (TEXT(Dump!$A$2:$A994,"mmm-yy")=TEXT($Y86,"mmm-yy"))*
  (Dump!$B$2:$B994=$C86)*
  Dump!$P$2:$P994
)</f>
        <v>42</v>
      </c>
      <c r="N86" s="32" t="str">
        <f t="shared" si="13"/>
        <v/>
      </c>
      <c r="O86" s="33">
        <f>SUMIFS(Dump!$D:$D,Dump!$B:$B,$C86,Dump!$A:$A,$Y86)</f>
        <v>0</v>
      </c>
      <c r="P86" s="33">
        <f>SUMIFS(Dump!R:R,Dump!B:B,C86,Dump!A:A,Y86)</f>
        <v>0</v>
      </c>
      <c r="Q86" s="34">
        <f t="shared" si="14"/>
        <v>0</v>
      </c>
      <c r="S86" s="4">
        <f>SUMIFS(Dump!E:E,Dump!B:B,C86,Dump!A:A,Y86)</f>
        <v>0</v>
      </c>
      <c r="T86" s="35">
        <f t="shared" si="15"/>
        <v>0</v>
      </c>
      <c r="V86" s="4">
        <f>SUMIFS(Dump!P:P,Dump!B:B,C86,Dump!A:A,Y86)</f>
        <v>0</v>
      </c>
      <c r="W86" s="37">
        <f t="shared" si="16"/>
        <v>0</v>
      </c>
      <c r="X86" s="39"/>
      <c r="Y86" s="52">
        <v>46160.0</v>
      </c>
    </row>
    <row r="87">
      <c r="A87" s="31" t="s">
        <v>114</v>
      </c>
      <c r="B87" s="2"/>
      <c r="C87" s="3" t="s">
        <v>77</v>
      </c>
      <c r="D87" s="2" t="s">
        <v>78</v>
      </c>
      <c r="E87" s="2" t="s">
        <v>26</v>
      </c>
      <c r="F87" s="2" t="s">
        <v>27</v>
      </c>
      <c r="G87" s="2" t="s">
        <v>56</v>
      </c>
      <c r="I87" s="4">
        <f>SUMIFS(Dump!D:D,Dump!B:B,C87)</f>
        <v>173</v>
      </c>
      <c r="J87" s="5">
        <f>SUMIFS(Dump!AE:AE,Dump!B:B,C87)</f>
        <v>25.23361111</v>
      </c>
      <c r="K87" s="4">
        <f>SUMPRODUCT(
  (TEXT(Dump!$A$2:$A994,"mmm-yy")=TEXT($Y87,"mmm-yy"))*
  (Dump!$B$2:$B994=$C87)*
  Dump!$D$2:$D994)</f>
        <v>58</v>
      </c>
      <c r="L87" s="4">
        <f>SUMPRODUCT(
  (TEXT(Dump!$A$2:$A994,"mmm-yy")=TEXT($Y87,"mmm-yy"))*
  (Dump!$B$2:$B994=$C87)*
  Dump!$E$2:$E994
)</f>
        <v>66</v>
      </c>
      <c r="M87" s="4">
        <f>SUMPRODUCT(
  (TEXT(Dump!$A$2:$A994,"mmm-yy")=TEXT($Y87,"mmm-yy"))*
  (Dump!$B$2:$B994=$C87)*
  Dump!$P$2:$P994
)</f>
        <v>48</v>
      </c>
      <c r="N87" s="32" t="str">
        <f t="shared" si="13"/>
        <v/>
      </c>
      <c r="O87" s="33">
        <f>SUMIFS(Dump!$D:$D,Dump!$B:$B,$C87,Dump!$A:$A,$Y87)</f>
        <v>0</v>
      </c>
      <c r="P87" s="33">
        <f>SUMIFS(Dump!R:R,Dump!B:B,C87,Dump!A:A,Y87)</f>
        <v>0</v>
      </c>
      <c r="Q87" s="34">
        <f t="shared" si="14"/>
        <v>0</v>
      </c>
      <c r="S87" s="4">
        <f>SUMIFS(Dump!E:E,Dump!B:B,C87,Dump!A:A,Y87)</f>
        <v>0</v>
      </c>
      <c r="T87" s="35">
        <f t="shared" si="15"/>
        <v>0</v>
      </c>
      <c r="V87" s="4">
        <f>SUMIFS(Dump!P:P,Dump!B:B,C87,Dump!A:A,Y87)</f>
        <v>0</v>
      </c>
      <c r="W87" s="37">
        <f t="shared" si="16"/>
        <v>0</v>
      </c>
      <c r="X87" s="39"/>
      <c r="Y87" s="52">
        <v>46160.0</v>
      </c>
    </row>
    <row r="88">
      <c r="A88" s="31" t="s">
        <v>114</v>
      </c>
      <c r="B88" s="2"/>
      <c r="C88" s="3" t="s">
        <v>79</v>
      </c>
      <c r="D88" s="2" t="s">
        <v>80</v>
      </c>
      <c r="E88" s="2" t="s">
        <v>46</v>
      </c>
      <c r="F88" s="2" t="s">
        <v>32</v>
      </c>
      <c r="G88" s="2" t="s">
        <v>81</v>
      </c>
      <c r="I88" s="4">
        <f>SUMIFS(Dump!D:D,Dump!B:B,C88)</f>
        <v>57</v>
      </c>
      <c r="J88" s="5">
        <f>SUMIFS(Dump!AE:AE,Dump!B:B,C88)</f>
        <v>11.64361111</v>
      </c>
      <c r="K88" s="4">
        <f>SUMPRODUCT(
  (TEXT(Dump!$A$2:$A994,"mmm-yy")=TEXT($Y88,"mmm-yy"))*
  (Dump!$B$2:$B994=$C88)*
  Dump!$D$2:$D994)</f>
        <v>0</v>
      </c>
      <c r="L88" s="4">
        <f>SUMPRODUCT(
  (TEXT(Dump!$A$2:$A994,"mmm-yy")=TEXT($Y88,"mmm-yy"))*
  (Dump!$B$2:$B994=$C88)*
  Dump!$E$2:$E994
)</f>
        <v>0</v>
      </c>
      <c r="M88" s="4">
        <f>SUMPRODUCT(
  (TEXT(Dump!$A$2:$A994,"mmm-yy")=TEXT($Y88,"mmm-yy"))*
  (Dump!$B$2:$B994=$C88)*
  Dump!$P$2:$P994
)</f>
        <v>0</v>
      </c>
      <c r="N88" s="32" t="str">
        <f t="shared" si="13"/>
        <v/>
      </c>
      <c r="O88" s="33">
        <f>SUMIFS(Dump!$D:$D,Dump!$B:$B,$C88,Dump!$A:$A,$Y88)</f>
        <v>0</v>
      </c>
      <c r="P88" s="33">
        <f>SUMIFS(Dump!R:R,Dump!B:B,C88,Dump!A:A,Y88)</f>
        <v>0</v>
      </c>
      <c r="Q88" s="34">
        <f t="shared" si="14"/>
        <v>0</v>
      </c>
      <c r="S88" s="4">
        <f>SUMIFS(Dump!E:E,Dump!B:B,C88,Dump!A:A,Y88)</f>
        <v>0</v>
      </c>
      <c r="T88" s="35">
        <f t="shared" si="15"/>
        <v>0</v>
      </c>
      <c r="V88" s="4">
        <f>SUMIFS(Dump!P:P,Dump!B:B,C88,Dump!A:A,Y88)</f>
        <v>0</v>
      </c>
      <c r="W88" s="37">
        <f t="shared" si="16"/>
        <v>0</v>
      </c>
      <c r="X88" s="39"/>
      <c r="Y88" s="52">
        <v>46160.0</v>
      </c>
    </row>
    <row r="89">
      <c r="A89" s="31" t="s">
        <v>114</v>
      </c>
      <c r="B89" s="2"/>
      <c r="C89" s="3" t="s">
        <v>82</v>
      </c>
      <c r="D89" s="2" t="s">
        <v>83</v>
      </c>
      <c r="E89" s="2" t="s">
        <v>46</v>
      </c>
      <c r="F89" s="2" t="s">
        <v>41</v>
      </c>
      <c r="G89" s="2"/>
      <c r="I89" s="4">
        <f>SUMIFS(Dump!D:D,Dump!B:B,C89)</f>
        <v>52</v>
      </c>
      <c r="J89" s="5">
        <f>SUMIFS(Dump!AE:AE,Dump!B:B,C89)</f>
        <v>10.99111111</v>
      </c>
      <c r="K89" s="4">
        <f>SUMPRODUCT(
  (TEXT(Dump!$A$2:$A994,"mmm-yy")=TEXT($Y89,"mmm-yy"))*
  (Dump!$B$2:$B994=$C89)*
  Dump!$D$2:$D994)</f>
        <v>0</v>
      </c>
      <c r="L89" s="4">
        <f>SUMPRODUCT(
  (TEXT(Dump!$A$2:$A994,"mmm-yy")=TEXT($Y89,"mmm-yy"))*
  (Dump!$B$2:$B994=$C89)*
  Dump!$E$2:$E994
)</f>
        <v>0</v>
      </c>
      <c r="M89" s="4">
        <f>SUMPRODUCT(
  (TEXT(Dump!$A$2:$A994,"mmm-yy")=TEXT($Y89,"mmm-yy"))*
  (Dump!$B$2:$B994=$C89)*
  Dump!$P$2:$P994
)</f>
        <v>0</v>
      </c>
      <c r="N89" s="32" t="str">
        <f t="shared" si="13"/>
        <v/>
      </c>
      <c r="O89" s="33">
        <f>SUMIFS(Dump!$D:$D,Dump!$B:$B,$C89,Dump!$A:$A,$Y89)</f>
        <v>0</v>
      </c>
      <c r="P89" s="33">
        <f>SUMIFS(Dump!R:R,Dump!B:B,C89,Dump!A:A,Y89)</f>
        <v>0</v>
      </c>
      <c r="Q89" s="34">
        <f t="shared" si="14"/>
        <v>0</v>
      </c>
      <c r="S89" s="4">
        <f>SUMIFS(Dump!E:E,Dump!B:B,C89,Dump!A:A,Y89)</f>
        <v>0</v>
      </c>
      <c r="T89" s="35">
        <f t="shared" si="15"/>
        <v>0</v>
      </c>
      <c r="V89" s="4">
        <f>SUMIFS(Dump!P:P,Dump!B:B,C89,Dump!A:A,Y89)</f>
        <v>0</v>
      </c>
      <c r="W89" s="37">
        <f t="shared" si="16"/>
        <v>0</v>
      </c>
      <c r="X89" s="39"/>
      <c r="Y89" s="52">
        <v>46160.0</v>
      </c>
    </row>
    <row r="90">
      <c r="A90" s="31" t="s">
        <v>114</v>
      </c>
      <c r="B90" s="2"/>
      <c r="C90" s="3" t="s">
        <v>84</v>
      </c>
      <c r="D90" s="2" t="s">
        <v>85</v>
      </c>
      <c r="E90" s="2"/>
      <c r="F90" s="2"/>
      <c r="G90" s="2"/>
      <c r="I90" s="4">
        <f>SUMIFS(Dump!D:D,Dump!B:B,C90)</f>
        <v>0</v>
      </c>
      <c r="J90" s="5">
        <f>SUMIFS(Dump!AE:AE,Dump!B:B,C90)</f>
        <v>0</v>
      </c>
      <c r="K90" s="4">
        <f>SUMPRODUCT(
  (TEXT(Dump!$A$2:$A994,"mmm-yy")=TEXT($Y90,"mmm-yy"))*
  (Dump!$B$2:$B994=$C90)*
  Dump!$D$2:$D994)</f>
        <v>0</v>
      </c>
      <c r="L90" s="4">
        <f>SUMPRODUCT(
  (TEXT(Dump!$A$2:$A994,"mmm-yy")=TEXT($Y90,"mmm-yy"))*
  (Dump!$B$2:$B994=$C90)*
  Dump!$E$2:$E994
)</f>
        <v>0</v>
      </c>
      <c r="M90" s="4">
        <f>SUMPRODUCT(
  (TEXT(Dump!$A$2:$A994,"mmm-yy")=TEXT($Y90,"mmm-yy"))*
  (Dump!$B$2:$B994=$C90)*
  Dump!$P$2:$P994
)</f>
        <v>0</v>
      </c>
      <c r="N90" s="32" t="str">
        <f t="shared" si="13"/>
        <v/>
      </c>
      <c r="O90" s="33">
        <f>SUMIFS(Dump!$D:$D,Dump!$B:$B,$C90,Dump!$A:$A,$Y90)</f>
        <v>0</v>
      </c>
      <c r="P90" s="33">
        <f>SUMIFS(Dump!R:R,Dump!B:B,C90,Dump!A:A,Y90)</f>
        <v>0</v>
      </c>
      <c r="Q90" s="34">
        <f t="shared" si="14"/>
        <v>0</v>
      </c>
      <c r="S90" s="4">
        <f>SUMIFS(Dump!E:E,Dump!B:B,C90,Dump!A:A,Y90)</f>
        <v>0</v>
      </c>
      <c r="T90" s="35">
        <f t="shared" si="15"/>
        <v>0</v>
      </c>
      <c r="V90" s="4">
        <f>SUMIFS(Dump!P:P,Dump!B:B,C90,Dump!A:A,Y90)</f>
        <v>0</v>
      </c>
      <c r="W90" s="37">
        <f t="shared" si="16"/>
        <v>0</v>
      </c>
      <c r="X90" s="39"/>
      <c r="Y90" s="52">
        <v>46160.0</v>
      </c>
    </row>
    <row r="91">
      <c r="A91" s="31" t="s">
        <v>114</v>
      </c>
      <c r="B91" s="2"/>
      <c r="C91" s="3" t="s">
        <v>86</v>
      </c>
      <c r="D91" s="2" t="s">
        <v>87</v>
      </c>
      <c r="E91" s="2" t="s">
        <v>26</v>
      </c>
      <c r="F91" s="2"/>
      <c r="G91" s="2"/>
      <c r="I91" s="4">
        <f>SUMIFS(Dump!D:D,Dump!B:B,C91)</f>
        <v>82</v>
      </c>
      <c r="J91" s="5">
        <f>SUMIFS(Dump!AE:AE,Dump!B:B,C91)</f>
        <v>9.908333333</v>
      </c>
      <c r="K91" s="4">
        <f>SUMPRODUCT(
  (TEXT(Dump!$A$2:$A994,"mmm-yy")=TEXT($Y91,"mmm-yy"))*
  (Dump!$B$2:$B994=$C91)*
  Dump!$D$2:$D994)</f>
        <v>35</v>
      </c>
      <c r="L91" s="4">
        <f>SUMPRODUCT(
  (TEXT(Dump!$A$2:$A994,"mmm-yy")=TEXT($Y91,"mmm-yy"))*
  (Dump!$B$2:$B994=$C91)*
  Dump!$E$2:$E994
)</f>
        <v>5</v>
      </c>
      <c r="M91" s="4">
        <f>SUMPRODUCT(
  (TEXT(Dump!$A$2:$A994,"mmm-yy")=TEXT($Y91,"mmm-yy"))*
  (Dump!$B$2:$B994=$C91)*
  Dump!$P$2:$P994
)</f>
        <v>0</v>
      </c>
      <c r="N91" s="32" t="str">
        <f t="shared" si="13"/>
        <v/>
      </c>
      <c r="O91" s="33">
        <f>SUMIFS(Dump!$D:$D,Dump!$B:$B,$C91,Dump!$A:$A,$Y91)</f>
        <v>0</v>
      </c>
      <c r="P91" s="33">
        <f>SUMIFS(Dump!R:R,Dump!B:B,C91,Dump!A:A,Y91)</f>
        <v>0</v>
      </c>
      <c r="Q91" s="34">
        <f t="shared" si="14"/>
        <v>0</v>
      </c>
      <c r="S91" s="4">
        <f>SUMIFS(Dump!E:E,Dump!B:B,C91,Dump!A:A,Y91)</f>
        <v>0</v>
      </c>
      <c r="T91" s="35">
        <f t="shared" si="15"/>
        <v>0</v>
      </c>
      <c r="V91" s="4">
        <f>SUMIFS(Dump!P:P,Dump!B:B,C91,Dump!A:A,Y91)</f>
        <v>0</v>
      </c>
      <c r="W91" s="37">
        <f t="shared" si="16"/>
        <v>0</v>
      </c>
      <c r="X91" s="39"/>
      <c r="Y91" s="52">
        <v>46160.0</v>
      </c>
    </row>
    <row r="92">
      <c r="A92" s="31" t="s">
        <v>114</v>
      </c>
      <c r="B92" s="2"/>
      <c r="C92" s="3" t="s">
        <v>88</v>
      </c>
      <c r="D92" s="2" t="s">
        <v>89</v>
      </c>
      <c r="E92" s="2" t="s">
        <v>46</v>
      </c>
      <c r="F92" s="2" t="s">
        <v>27</v>
      </c>
      <c r="G92" s="2" t="s">
        <v>47</v>
      </c>
      <c r="I92" s="4">
        <f>SUMIFS(Dump!D:D,Dump!B:B,C92)</f>
        <v>56</v>
      </c>
      <c r="J92" s="5">
        <f>SUMIFS(Dump!AE:AE,Dump!B:B,C92)</f>
        <v>10.39083333</v>
      </c>
      <c r="K92" s="4">
        <f>SUMPRODUCT(
  (TEXT(Dump!$A$2:$A994,"mmm-yy")=TEXT($Y92,"mmm-yy"))*
  (Dump!$B$2:$B994=$C92)*
  Dump!$D$2:$D994)</f>
        <v>0</v>
      </c>
      <c r="L92" s="4">
        <f>SUMPRODUCT(
  (TEXT(Dump!$A$2:$A994,"mmm-yy")=TEXT($Y92,"mmm-yy"))*
  (Dump!$B$2:$B994=$C92)*
  Dump!$E$2:$E994
)</f>
        <v>0</v>
      </c>
      <c r="M92" s="4">
        <f>SUMPRODUCT(
  (TEXT(Dump!$A$2:$A994,"mmm-yy")=TEXT($Y92,"mmm-yy"))*
  (Dump!$B$2:$B994=$C92)*
  Dump!$P$2:$P994
)</f>
        <v>0</v>
      </c>
      <c r="N92" s="32" t="str">
        <f t="shared" si="13"/>
        <v/>
      </c>
      <c r="O92" s="33">
        <f>SUMIFS(Dump!$D:$D,Dump!$B:$B,$C92,Dump!$A:$A,$Y92)</f>
        <v>0</v>
      </c>
      <c r="P92" s="33">
        <f>SUMIFS(Dump!R:R,Dump!B:B,C92,Dump!A:A,Y92)</f>
        <v>0</v>
      </c>
      <c r="Q92" s="34">
        <f t="shared" si="14"/>
        <v>0</v>
      </c>
      <c r="S92" s="4">
        <f>SUMIFS(Dump!E:E,Dump!B:B,C92,Dump!A:A,Y92)</f>
        <v>0</v>
      </c>
      <c r="T92" s="35">
        <f t="shared" si="15"/>
        <v>0</v>
      </c>
      <c r="V92" s="4">
        <f>SUMIFS(Dump!P:P,Dump!B:B,C92,Dump!A:A,Y92)</f>
        <v>0</v>
      </c>
      <c r="W92" s="37">
        <f t="shared" si="16"/>
        <v>0</v>
      </c>
      <c r="X92" s="39"/>
      <c r="Y92" s="52">
        <v>46160.0</v>
      </c>
    </row>
    <row r="93">
      <c r="A93" s="31" t="s">
        <v>114</v>
      </c>
      <c r="B93" s="2"/>
      <c r="C93" s="3" t="s">
        <v>90</v>
      </c>
      <c r="D93" s="2" t="s">
        <v>91</v>
      </c>
      <c r="E93" s="2" t="s">
        <v>46</v>
      </c>
      <c r="F93" s="2" t="s">
        <v>32</v>
      </c>
      <c r="G93" s="2" t="s">
        <v>92</v>
      </c>
      <c r="I93" s="4">
        <f>SUMIFS(Dump!D:D,Dump!B:B,C93)</f>
        <v>50</v>
      </c>
      <c r="J93" s="5">
        <f>SUMIFS(Dump!AE:AE,Dump!B:B,C93)</f>
        <v>10.19194444</v>
      </c>
      <c r="K93" s="4">
        <f>SUMPRODUCT(
  (TEXT(Dump!$A$2:$A994,"mmm-yy")=TEXT($Y93,"mmm-yy"))*
  (Dump!$B$2:$B994=$C93)*
  Dump!$D$2:$D994)</f>
        <v>0</v>
      </c>
      <c r="L93" s="4">
        <f>SUMPRODUCT(
  (TEXT(Dump!$A$2:$A994,"mmm-yy")=TEXT($Y93,"mmm-yy"))*
  (Dump!$B$2:$B994=$C93)*
  Dump!$E$2:$E994
)</f>
        <v>0</v>
      </c>
      <c r="M93" s="4">
        <f>SUMPRODUCT(
  (TEXT(Dump!$A$2:$A994,"mmm-yy")=TEXT($Y93,"mmm-yy"))*
  (Dump!$B$2:$B994=$C93)*
  Dump!$P$2:$P994
)</f>
        <v>1</v>
      </c>
      <c r="N93" s="32" t="str">
        <f t="shared" si="13"/>
        <v/>
      </c>
      <c r="O93" s="33">
        <f>SUMIFS(Dump!$D:$D,Dump!$B:$B,$C93,Dump!$A:$A,$Y93)</f>
        <v>0</v>
      </c>
      <c r="P93" s="33">
        <f>SUMIFS(Dump!R:R,Dump!B:B,C93,Dump!A:A,Y93)</f>
        <v>0</v>
      </c>
      <c r="Q93" s="34">
        <f t="shared" si="14"/>
        <v>0</v>
      </c>
      <c r="S93" s="4">
        <f>SUMIFS(Dump!E:E,Dump!B:B,C93,Dump!A:A,Y93)</f>
        <v>0</v>
      </c>
      <c r="T93" s="35">
        <f t="shared" si="15"/>
        <v>0</v>
      </c>
      <c r="V93" s="4">
        <f>SUMIFS(Dump!P:P,Dump!B:B,C93,Dump!A:A,Y93)</f>
        <v>0</v>
      </c>
      <c r="W93" s="37">
        <f t="shared" si="16"/>
        <v>0</v>
      </c>
      <c r="X93" s="39"/>
      <c r="Y93" s="52">
        <v>46160.0</v>
      </c>
    </row>
    <row r="94">
      <c r="A94" s="31" t="s">
        <v>114</v>
      </c>
      <c r="B94" s="2"/>
      <c r="C94" s="3" t="s">
        <v>93</v>
      </c>
      <c r="D94" s="2" t="s">
        <v>94</v>
      </c>
      <c r="E94" s="2" t="s">
        <v>26</v>
      </c>
      <c r="F94" s="2"/>
      <c r="G94" s="2"/>
      <c r="I94" s="4">
        <f>SUMIFS(Dump!D:D,Dump!B:B,C94)</f>
        <v>79</v>
      </c>
      <c r="J94" s="5">
        <f>SUMIFS(Dump!AE:AE,Dump!B:B,C94)</f>
        <v>17.93027778</v>
      </c>
      <c r="K94" s="4">
        <f>SUMPRODUCT(
  (TEXT(Dump!$A$2:$A994,"mmm-yy")=TEXT($Y94,"mmm-yy"))*
  (Dump!$B$2:$B994=$C94)*
  Dump!$D$2:$D994)</f>
        <v>30</v>
      </c>
      <c r="L94" s="4">
        <f>SUMPRODUCT(
  (TEXT(Dump!$A$2:$A994,"mmm-yy")=TEXT($Y94,"mmm-yy"))*
  (Dump!$B$2:$B994=$C94)*
  Dump!$E$2:$E994
)</f>
        <v>34</v>
      </c>
      <c r="M94" s="4">
        <f>SUMPRODUCT(
  (TEXT(Dump!$A$2:$A994,"mmm-yy")=TEXT($Y94,"mmm-yy"))*
  (Dump!$B$2:$B994=$C94)*
  Dump!$P$2:$P994
)</f>
        <v>34</v>
      </c>
      <c r="N94" s="32" t="str">
        <f t="shared" si="13"/>
        <v/>
      </c>
      <c r="O94" s="33">
        <f>SUMIFS(Dump!$D:$D,Dump!$B:$B,$C94,Dump!$A:$A,$Y94)</f>
        <v>0</v>
      </c>
      <c r="P94" s="33">
        <f>SUMIFS(Dump!R:R,Dump!B:B,C94,Dump!A:A,Y94)</f>
        <v>0</v>
      </c>
      <c r="Q94" s="34">
        <f t="shared" si="14"/>
        <v>0</v>
      </c>
      <c r="S94" s="4">
        <f>SUMIFS(Dump!E:E,Dump!B:B,C94,Dump!A:A,Y94)</f>
        <v>0</v>
      </c>
      <c r="T94" s="35">
        <f t="shared" si="15"/>
        <v>0</v>
      </c>
      <c r="V94" s="4">
        <f>SUMIFS(Dump!P:P,Dump!B:B,C94,Dump!A:A,Y94)</f>
        <v>0</v>
      </c>
      <c r="W94" s="37">
        <f t="shared" si="16"/>
        <v>0</v>
      </c>
      <c r="X94" s="39"/>
      <c r="Y94" s="52">
        <v>46160.0</v>
      </c>
    </row>
    <row r="95">
      <c r="A95" s="31" t="s">
        <v>114</v>
      </c>
      <c r="B95" s="2"/>
      <c r="C95" s="3" t="s">
        <v>95</v>
      </c>
      <c r="D95" s="2" t="s">
        <v>96</v>
      </c>
      <c r="E95" s="2" t="s">
        <v>46</v>
      </c>
      <c r="F95" s="2" t="s">
        <v>41</v>
      </c>
      <c r="G95" s="2" t="s">
        <v>92</v>
      </c>
      <c r="I95" s="4">
        <f>SUMIFS(Dump!D:D,Dump!B:B,C95)</f>
        <v>50</v>
      </c>
      <c r="J95" s="5">
        <f>SUMIFS(Dump!AE:AE,Dump!B:B,C95)</f>
        <v>10.06555556</v>
      </c>
      <c r="K95" s="4">
        <f>SUMPRODUCT(
  (TEXT(Dump!$A$2:$A994,"mmm-yy")=TEXT($Y95,"mmm-yy"))*
  (Dump!$B$2:$B994=$C95)*
  Dump!$D$2:$D994)</f>
        <v>0</v>
      </c>
      <c r="L95" s="4">
        <f>SUMPRODUCT(
  (TEXT(Dump!$A$2:$A994,"mmm-yy")=TEXT($Y95,"mmm-yy"))*
  (Dump!$B$2:$B994=$C95)*
  Dump!$E$2:$E994
)</f>
        <v>0</v>
      </c>
      <c r="M95" s="4">
        <f>SUMPRODUCT(
  (TEXT(Dump!$A$2:$A994,"mmm-yy")=TEXT($Y95,"mmm-yy"))*
  (Dump!$B$2:$B994=$C95)*
  Dump!$P$2:$P994
)</f>
        <v>0</v>
      </c>
      <c r="N95" s="32" t="str">
        <f t="shared" si="13"/>
        <v/>
      </c>
      <c r="O95" s="33">
        <f>SUMIFS(Dump!$D:$D,Dump!$B:$B,$C95,Dump!$A:$A,$Y95)</f>
        <v>0</v>
      </c>
      <c r="P95" s="33">
        <f>SUMIFS(Dump!R:R,Dump!B:B,C95,Dump!A:A,Y95)</f>
        <v>0</v>
      </c>
      <c r="Q95" s="34">
        <f t="shared" si="14"/>
        <v>0</v>
      </c>
      <c r="S95" s="4">
        <f>SUMIFS(Dump!E:E,Dump!B:B,C95,Dump!A:A,Y95)</f>
        <v>0</v>
      </c>
      <c r="T95" s="35">
        <f t="shared" si="15"/>
        <v>0</v>
      </c>
      <c r="V95" s="4">
        <f>SUMIFS(Dump!P:P,Dump!B:B,C95,Dump!A:A,Y95)</f>
        <v>0</v>
      </c>
      <c r="W95" s="37">
        <f t="shared" si="16"/>
        <v>0</v>
      </c>
      <c r="X95" s="39"/>
      <c r="Y95" s="52">
        <v>46160.0</v>
      </c>
    </row>
    <row r="96">
      <c r="A96" s="31" t="s">
        <v>114</v>
      </c>
      <c r="B96" s="2"/>
      <c r="C96" s="3" t="s">
        <v>97</v>
      </c>
      <c r="D96" s="2" t="s">
        <v>98</v>
      </c>
      <c r="E96" s="2" t="s">
        <v>26</v>
      </c>
      <c r="F96" s="2" t="s">
        <v>27</v>
      </c>
      <c r="G96" s="2" t="s">
        <v>81</v>
      </c>
      <c r="I96" s="4">
        <f>SUMIFS(Dump!D:D,Dump!B:B,C96)</f>
        <v>125</v>
      </c>
      <c r="J96" s="5">
        <f>SUMIFS(Dump!AE:AE,Dump!B:B,C96)</f>
        <v>10.79361111</v>
      </c>
      <c r="K96" s="4">
        <f>SUMPRODUCT(
  (TEXT(Dump!$A$2:$A994,"mmm-yy")=TEXT($Y96,"mmm-yy"))*
  (Dump!$B$2:$B994=$C96)*
  Dump!$D$2:$D994)</f>
        <v>75</v>
      </c>
      <c r="L96" s="4">
        <f>SUMPRODUCT(
  (TEXT(Dump!$A$2:$A994,"mmm-yy")=TEXT($Y96,"mmm-yy"))*
  (Dump!$B$2:$B994=$C96)*
  Dump!$E$2:$E994
)</f>
        <v>42</v>
      </c>
      <c r="M96" s="4">
        <f>SUMPRODUCT(
  (TEXT(Dump!$A$2:$A994,"mmm-yy")=TEXT($Y96,"mmm-yy"))*
  (Dump!$B$2:$B994=$C96)*
  Dump!$P$2:$P994
)</f>
        <v>20</v>
      </c>
      <c r="N96" s="32" t="str">
        <f t="shared" si="13"/>
        <v/>
      </c>
      <c r="O96" s="33">
        <f>SUMIFS(Dump!$D:$D,Dump!$B:$B,$C96,Dump!$A:$A,$Y96)</f>
        <v>0</v>
      </c>
      <c r="P96" s="33">
        <f>SUMIFS(Dump!R:R,Dump!B:B,C96,Dump!A:A,Y96)</f>
        <v>0</v>
      </c>
      <c r="Q96" s="34">
        <f t="shared" si="14"/>
        <v>0</v>
      </c>
      <c r="S96" s="4">
        <f>SUMIFS(Dump!E:E,Dump!B:B,C96,Dump!A:A,Y96)</f>
        <v>0</v>
      </c>
      <c r="T96" s="35">
        <f t="shared" si="15"/>
        <v>0</v>
      </c>
      <c r="V96" s="4">
        <f>SUMIFS(Dump!P:P,Dump!B:B,C96,Dump!A:A,Y96)</f>
        <v>0</v>
      </c>
      <c r="W96" s="37">
        <f t="shared" si="16"/>
        <v>0</v>
      </c>
      <c r="X96" s="39"/>
      <c r="Y96" s="52">
        <v>46160.0</v>
      </c>
    </row>
    <row r="97">
      <c r="A97" s="31" t="s">
        <v>114</v>
      </c>
      <c r="B97" s="2"/>
      <c r="C97" s="3" t="s">
        <v>99</v>
      </c>
      <c r="D97" s="2" t="s">
        <v>100</v>
      </c>
      <c r="E97" s="2" t="s">
        <v>26</v>
      </c>
      <c r="F97" s="2" t="s">
        <v>27</v>
      </c>
      <c r="G97" s="2"/>
      <c r="I97" s="4">
        <f>SUMIFS(Dump!D:D,Dump!B:B,C97)</f>
        <v>85</v>
      </c>
      <c r="J97" s="5">
        <f>SUMIFS(Dump!AE:AE,Dump!B:B,C97)</f>
        <v>5.431388889</v>
      </c>
      <c r="K97" s="4">
        <f>SUMPRODUCT(
  (TEXT(Dump!$A$2:$A994,"mmm-yy")=TEXT($Y97,"mmm-yy"))*
  (Dump!$B$2:$B994=$C97)*
  Dump!$D$2:$D994)</f>
        <v>60</v>
      </c>
      <c r="L97" s="4">
        <f>SUMPRODUCT(
  (TEXT(Dump!$A$2:$A994,"mmm-yy")=TEXT($Y97,"mmm-yy"))*
  (Dump!$B$2:$B994=$C97)*
  Dump!$E$2:$E994
)</f>
        <v>9</v>
      </c>
      <c r="M97" s="4">
        <f>SUMPRODUCT(
  (TEXT(Dump!$A$2:$A994,"mmm-yy")=TEXT($Y97,"mmm-yy"))*
  (Dump!$B$2:$B994=$C97)*
  Dump!$P$2:$P994
)</f>
        <v>8</v>
      </c>
      <c r="N97" s="32" t="str">
        <f t="shared" si="13"/>
        <v/>
      </c>
      <c r="O97" s="33">
        <f>SUMIFS(Dump!$D:$D,Dump!$B:$B,$C97,Dump!$A:$A,$Y97)</f>
        <v>0</v>
      </c>
      <c r="P97" s="33">
        <f>SUMIFS(Dump!R:R,Dump!B:B,C97,Dump!A:A,Y97)</f>
        <v>0</v>
      </c>
      <c r="Q97" s="34">
        <f t="shared" si="14"/>
        <v>0</v>
      </c>
      <c r="S97" s="4">
        <f>SUMIFS(Dump!E:E,Dump!B:B,C97,Dump!A:A,Y97)</f>
        <v>0</v>
      </c>
      <c r="T97" s="35">
        <f t="shared" si="15"/>
        <v>0</v>
      </c>
      <c r="V97" s="4">
        <f>SUMIFS(Dump!P:P,Dump!B:B,C97,Dump!A:A,Y97)</f>
        <v>0</v>
      </c>
      <c r="W97" s="37">
        <f t="shared" si="16"/>
        <v>0</v>
      </c>
      <c r="X97" s="39"/>
      <c r="Y97" s="52">
        <v>46160.0</v>
      </c>
    </row>
    <row r="98">
      <c r="A98" s="31" t="s">
        <v>114</v>
      </c>
      <c r="B98" s="2"/>
      <c r="C98" s="3" t="s">
        <v>101</v>
      </c>
      <c r="D98" s="2" t="s">
        <v>102</v>
      </c>
      <c r="E98" s="2" t="s">
        <v>46</v>
      </c>
      <c r="F98" s="2" t="s">
        <v>27</v>
      </c>
      <c r="G98" s="2"/>
      <c r="I98" s="4">
        <f>SUMIFS(Dump!D:D,Dump!B:B,C98)</f>
        <v>75</v>
      </c>
      <c r="J98" s="5">
        <f>SUMIFS(Dump!AE:AE,Dump!B:B,C98)</f>
        <v>10.12472222</v>
      </c>
      <c r="K98" s="4">
        <f>SUMPRODUCT(
  (TEXT(Dump!$A$2:$A994,"mmm-yy")=TEXT($Y98,"mmm-yy"))*
  (Dump!$B$2:$B994=$C98)*
  Dump!$D$2:$D994)</f>
        <v>23</v>
      </c>
      <c r="L98" s="4">
        <f>SUMPRODUCT(
  (TEXT(Dump!$A$2:$A994,"mmm-yy")=TEXT($Y98,"mmm-yy"))*
  (Dump!$B$2:$B994=$C98)*
  Dump!$E$2:$E994
)</f>
        <v>11</v>
      </c>
      <c r="M98" s="4">
        <f>SUMPRODUCT(
  (TEXT(Dump!$A$2:$A994,"mmm-yy")=TEXT($Y98,"mmm-yy"))*
  (Dump!$B$2:$B994=$C98)*
  Dump!$P$2:$P994
)</f>
        <v>0</v>
      </c>
      <c r="N98" s="32" t="str">
        <f t="shared" si="13"/>
        <v/>
      </c>
      <c r="O98" s="33">
        <f>SUMIFS(Dump!$D:$D,Dump!$B:$B,$C98,Dump!$A:$A,$Y98)</f>
        <v>0</v>
      </c>
      <c r="P98" s="33">
        <f>SUMIFS(Dump!R:R,Dump!B:B,C98,Dump!A:A,Y98)</f>
        <v>0</v>
      </c>
      <c r="Q98" s="34">
        <f t="shared" si="14"/>
        <v>0</v>
      </c>
      <c r="S98" s="4">
        <f>SUMIFS(Dump!E:E,Dump!B:B,C98,Dump!A:A,Y98)</f>
        <v>0</v>
      </c>
      <c r="T98" s="35">
        <f t="shared" si="15"/>
        <v>0</v>
      </c>
      <c r="V98" s="4">
        <f>SUMIFS(Dump!P:P,Dump!B:B,C98,Dump!A:A,Y98)</f>
        <v>0</v>
      </c>
      <c r="W98" s="37">
        <f t="shared" si="16"/>
        <v>0</v>
      </c>
      <c r="X98" s="39"/>
      <c r="Y98" s="52">
        <v>46160.0</v>
      </c>
    </row>
    <row r="99">
      <c r="A99" s="31" t="s">
        <v>114</v>
      </c>
      <c r="B99" s="2"/>
      <c r="C99" s="3" t="s">
        <v>103</v>
      </c>
      <c r="D99" s="2" t="s">
        <v>104</v>
      </c>
      <c r="E99" s="2"/>
      <c r="F99" s="2"/>
      <c r="G99" s="2"/>
      <c r="I99" s="4">
        <f>SUMIFS(Dump!D:D,Dump!B:B,C99)</f>
        <v>8</v>
      </c>
      <c r="J99" s="5">
        <f>SUMIFS(Dump!AE:AE,Dump!B:B,C99)</f>
        <v>1.161388889</v>
      </c>
      <c r="K99" s="4">
        <f>SUMPRODUCT(
  (TEXT(Dump!$A$2:$A994,"mmm-yy")=TEXT($Y99,"mmm-yy"))*
  (Dump!$B$2:$B994=$C99)*
  Dump!$D$2:$D994)</f>
        <v>0</v>
      </c>
      <c r="L99" s="4">
        <f>SUMPRODUCT(
  (TEXT(Dump!$A$2:$A994,"mmm-yy")=TEXT($Y99,"mmm-yy"))*
  (Dump!$B$2:$B994=$C99)*
  Dump!$E$2:$E994
)</f>
        <v>0</v>
      </c>
      <c r="M99" s="4">
        <f>SUMPRODUCT(
  (TEXT(Dump!$A$2:$A994,"mmm-yy")=TEXT($Y99,"mmm-yy"))*
  (Dump!$B$2:$B994=$C99)*
  Dump!$P$2:$P994
)</f>
        <v>0</v>
      </c>
      <c r="N99" s="32" t="str">
        <f t="shared" si="13"/>
        <v/>
      </c>
      <c r="O99" s="33">
        <f>SUMIFS(Dump!$D:$D,Dump!$B:$B,$C99,Dump!$A:$A,$Y99)</f>
        <v>0</v>
      </c>
      <c r="P99" s="33">
        <f>SUMIFS(Dump!R:R,Dump!B:B,C99,Dump!A:A,Y99)</f>
        <v>0</v>
      </c>
      <c r="Q99" s="34">
        <f t="shared" si="14"/>
        <v>0</v>
      </c>
      <c r="S99" s="4">
        <f>SUMIFS(Dump!E:E,Dump!B:B,C99,Dump!A:A,Y99)</f>
        <v>0</v>
      </c>
      <c r="T99" s="35">
        <f t="shared" si="15"/>
        <v>0</v>
      </c>
      <c r="V99" s="4">
        <f>SUMIFS(Dump!P:P,Dump!B:B,C99,Dump!A:A,Y99)</f>
        <v>0</v>
      </c>
      <c r="W99" s="37">
        <f t="shared" si="16"/>
        <v>0</v>
      </c>
      <c r="X99" s="39"/>
      <c r="Y99" s="52">
        <v>46160.0</v>
      </c>
    </row>
    <row r="100">
      <c r="A100" s="31" t="s">
        <v>114</v>
      </c>
      <c r="B100" s="2"/>
      <c r="C100" s="3" t="s">
        <v>105</v>
      </c>
      <c r="D100" s="2" t="s">
        <v>106</v>
      </c>
      <c r="E100" s="2" t="s">
        <v>26</v>
      </c>
      <c r="F100" s="2"/>
      <c r="G100" s="2"/>
      <c r="I100" s="4">
        <f>SUMIFS(Dump!D:D,Dump!B:B,C100)</f>
        <v>45</v>
      </c>
      <c r="J100" s="5">
        <f>SUMIFS(Dump!AE:AE,Dump!B:B,C100)</f>
        <v>7.171111111</v>
      </c>
      <c r="K100" s="4">
        <f>SUMPRODUCT(
  (TEXT(Dump!$A$2:$A994,"mmm-yy")=TEXT($Y100,"mmm-yy"))*
  (Dump!$B$2:$B994=$C100)*
  Dump!$D$2:$D994)</f>
        <v>30</v>
      </c>
      <c r="L100" s="4">
        <f>SUMPRODUCT(
  (TEXT(Dump!$A$2:$A994,"mmm-yy")=TEXT($Y100,"mmm-yy"))*
  (Dump!$B$2:$B994=$C100)*
  Dump!$E$2:$E994
)</f>
        <v>27</v>
      </c>
      <c r="M100" s="4">
        <f>SUMPRODUCT(
  (TEXT(Dump!$A$2:$A994,"mmm-yy")=TEXT($Y100,"mmm-yy"))*
  (Dump!$B$2:$B994=$C100)*
  Dump!$P$2:$P994
)</f>
        <v>34</v>
      </c>
      <c r="N100" s="32" t="str">
        <f t="shared" si="13"/>
        <v/>
      </c>
      <c r="O100" s="33">
        <f>SUMIFS(Dump!$D:$D,Dump!$B:$B,$C100,Dump!$A:$A,$Y100)</f>
        <v>0</v>
      </c>
      <c r="P100" s="33">
        <f>SUMIFS(Dump!R:R,Dump!B:B,C100,Dump!A:A,Y100)</f>
        <v>0</v>
      </c>
      <c r="Q100" s="34">
        <f t="shared" si="14"/>
        <v>0</v>
      </c>
      <c r="S100" s="4">
        <f>SUMIFS(Dump!E:E,Dump!B:B,C100,Dump!A:A,Y100)</f>
        <v>0</v>
      </c>
      <c r="T100" s="35">
        <f t="shared" si="15"/>
        <v>0</v>
      </c>
      <c r="V100" s="4">
        <f>SUMIFS(Dump!P:P,Dump!B:B,C100,Dump!A:A,Y100)</f>
        <v>0</v>
      </c>
      <c r="W100" s="37">
        <f t="shared" si="16"/>
        <v>0</v>
      </c>
      <c r="X100" s="39"/>
      <c r="Y100" s="52">
        <v>46160.0</v>
      </c>
    </row>
    <row r="101">
      <c r="A101" s="31" t="s">
        <v>114</v>
      </c>
      <c r="B101" s="2"/>
      <c r="C101" s="3" t="s">
        <v>107</v>
      </c>
      <c r="D101" s="2" t="s">
        <v>108</v>
      </c>
      <c r="E101" s="2"/>
      <c r="F101" s="2"/>
      <c r="G101" s="2"/>
      <c r="I101" s="4">
        <f>SUMIFS(Dump!D:D,Dump!B:B,C101)</f>
        <v>44</v>
      </c>
      <c r="J101" s="5">
        <f>SUMIFS(Dump!AE:AE,Dump!B:B,C101)</f>
        <v>0</v>
      </c>
      <c r="K101" s="4">
        <f>SUMPRODUCT(
  (TEXT(Dump!$A$2:$A994,"mmm-yy")=TEXT($Y101,"mmm-yy"))*
  (Dump!$B$2:$B994=$C101)*
  Dump!$D$2:$D994)</f>
        <v>21</v>
      </c>
      <c r="L101" s="4">
        <f>SUMPRODUCT(
  (TEXT(Dump!$A$2:$A994,"mmm-yy")=TEXT($Y101,"mmm-yy"))*
  (Dump!$B$2:$B994=$C101)*
  Dump!$E$2:$E994
)</f>
        <v>15</v>
      </c>
      <c r="M101" s="4">
        <f>SUMPRODUCT(
  (TEXT(Dump!$A$2:$A994,"mmm-yy")=TEXT($Y101,"mmm-yy"))*
  (Dump!$B$2:$B994=$C101)*
  Dump!$P$2:$P994
)</f>
        <v>0</v>
      </c>
      <c r="N101" s="32" t="str">
        <f t="shared" si="13"/>
        <v/>
      </c>
      <c r="O101" s="33">
        <f>SUMIFS(Dump!$D:$D,Dump!$B:$B,$C101,Dump!$A:$A,$Y101)</f>
        <v>0</v>
      </c>
      <c r="P101" s="33">
        <f>SUMIFS(Dump!R:R,Dump!B:B,C101,Dump!A:A,Y101)</f>
        <v>0</v>
      </c>
      <c r="Q101" s="34">
        <f t="shared" si="14"/>
        <v>0</v>
      </c>
      <c r="S101" s="4">
        <f>SUMIFS(Dump!E:E,Dump!B:B,C101,Dump!A:A,Y101)</f>
        <v>0</v>
      </c>
      <c r="T101" s="35">
        <f t="shared" si="15"/>
        <v>0</v>
      </c>
      <c r="V101" s="4">
        <f>SUMIFS(Dump!P:P,Dump!B:B,C101,Dump!A:A,Y101)</f>
        <v>0</v>
      </c>
      <c r="W101" s="37">
        <f t="shared" si="16"/>
        <v>0</v>
      </c>
      <c r="X101" s="39"/>
      <c r="Y101" s="52">
        <v>46160.0</v>
      </c>
    </row>
    <row r="102">
      <c r="A102" s="31" t="s">
        <v>114</v>
      </c>
      <c r="B102" s="2"/>
      <c r="C102" s="3" t="str">
        <f t="shared" ref="C102:C105" si="17">IFERROR(VLOOKUP(D102,Sheet3!L:M,2,0),"")</f>
        <v/>
      </c>
      <c r="D102" s="2" t="s">
        <v>109</v>
      </c>
      <c r="E102" s="2"/>
      <c r="F102" s="2"/>
      <c r="G102" s="2"/>
      <c r="I102" s="4">
        <f>SUMIFS(Dump!D:D,Dump!B:B,C102)</f>
        <v>0</v>
      </c>
      <c r="J102" s="5">
        <f>SUMIFS(Dump!AE:AE,Dump!B:B,C102)</f>
        <v>0</v>
      </c>
      <c r="K102" s="4">
        <f>SUMPRODUCT(
  (TEXT(Dump!$A$2:$A994,"mmm-yy")=TEXT($Y102,"mmm-yy"))*
  (Dump!$B$2:$B994=$C102)*
  Dump!$D$2:$D994)</f>
        <v>0</v>
      </c>
      <c r="L102" s="4">
        <f>SUMPRODUCT(
  (TEXT(Dump!$A$2:$A994,"mmm-yy")=TEXT($Y102,"mmm-yy"))*
  (Dump!$B$2:$B994=$C102)*
  Dump!$E$2:$E994
)</f>
        <v>0</v>
      </c>
      <c r="M102" s="4">
        <f>SUMPRODUCT(
  (TEXT(Dump!$A$2:$A994,"mmm-yy")=TEXT($Y102,"mmm-yy"))*
  (Dump!$B$2:$B994=$C102)*
  Dump!$P$2:$P994
)</f>
        <v>0</v>
      </c>
      <c r="N102" s="32" t="str">
        <f t="shared" si="13"/>
        <v/>
      </c>
      <c r="O102" s="33">
        <f>SUMIFS(Dump!$D:$D,Dump!$B:$B,$C102,Dump!$A:$A,$Y102)</f>
        <v>0</v>
      </c>
      <c r="P102" s="33">
        <f>SUMIFS(Dump!R:R,Dump!B:B,C102,Dump!A:A,Y102)</f>
        <v>0</v>
      </c>
      <c r="Q102" s="34">
        <f t="shared" si="14"/>
        <v>0</v>
      </c>
      <c r="S102" s="4">
        <f>SUMIFS(Dump!E:E,Dump!B:B,C102,Dump!A:A,Y102)</f>
        <v>0</v>
      </c>
      <c r="T102" s="35">
        <f t="shared" si="15"/>
        <v>0</v>
      </c>
      <c r="V102" s="4">
        <f>SUMIFS(Dump!P:P,Dump!B:B,C102,Dump!A:A,Y102)</f>
        <v>0</v>
      </c>
      <c r="W102" s="37">
        <f t="shared" si="16"/>
        <v>0</v>
      </c>
      <c r="X102" s="39"/>
      <c r="Y102" s="52">
        <v>46160.0</v>
      </c>
    </row>
    <row r="103">
      <c r="A103" s="31" t="s">
        <v>114</v>
      </c>
      <c r="B103" s="2"/>
      <c r="C103" s="3" t="str">
        <f t="shared" si="17"/>
        <v/>
      </c>
      <c r="D103" s="2" t="s">
        <v>110</v>
      </c>
      <c r="E103" s="2"/>
      <c r="F103" s="2"/>
      <c r="G103" s="2"/>
      <c r="I103" s="4">
        <f>SUMIFS(Dump!D:D,Dump!B:B,C103)</f>
        <v>0</v>
      </c>
      <c r="J103" s="5">
        <f>SUMIFS(Dump!AE:AE,Dump!B:B,C103)</f>
        <v>0</v>
      </c>
      <c r="K103" s="4">
        <f>SUMPRODUCT(
  (TEXT(Dump!$A$2:$A994,"mmm-yy")=TEXT($Y103,"mmm-yy"))*
  (Dump!$B$2:$B994=$C103)*
  Dump!$D$2:$D994)</f>
        <v>0</v>
      </c>
      <c r="L103" s="4">
        <f>SUMPRODUCT(
  (TEXT(Dump!$A$2:$A994,"mmm-yy")=TEXT($Y103,"mmm-yy"))*
  (Dump!$B$2:$B994=$C103)*
  Dump!$E$2:$E994
)</f>
        <v>0</v>
      </c>
      <c r="M103" s="4">
        <f>SUMPRODUCT(
  (TEXT(Dump!$A$2:$A994,"mmm-yy")=TEXT($Y103,"mmm-yy"))*
  (Dump!$B$2:$B994=$C103)*
  Dump!$P$2:$P994
)</f>
        <v>0</v>
      </c>
      <c r="N103" s="32" t="str">
        <f t="shared" si="13"/>
        <v/>
      </c>
      <c r="O103" s="33">
        <f>SUMIFS(Dump!$D:$D,Dump!$B:$B,$C103,Dump!$A:$A,$Y103)</f>
        <v>0</v>
      </c>
      <c r="P103" s="33">
        <f>SUMIFS(Dump!R:R,Dump!B:B,C103,Dump!A:A,Y103)</f>
        <v>0</v>
      </c>
      <c r="Q103" s="34">
        <f t="shared" si="14"/>
        <v>0</v>
      </c>
      <c r="S103" s="4">
        <f>SUMIFS(Dump!E:E,Dump!B:B,C103,Dump!A:A,Y103)</f>
        <v>0</v>
      </c>
      <c r="T103" s="35">
        <f t="shared" si="15"/>
        <v>0</v>
      </c>
      <c r="V103" s="4">
        <f>SUMIFS(Dump!P:P,Dump!B:B,C103,Dump!A:A,Y103)</f>
        <v>0</v>
      </c>
      <c r="W103" s="37">
        <f t="shared" si="16"/>
        <v>0</v>
      </c>
      <c r="X103" s="39"/>
      <c r="Y103" s="52">
        <v>46160.0</v>
      </c>
    </row>
    <row r="104">
      <c r="A104" s="31" t="s">
        <v>114</v>
      </c>
      <c r="B104" s="2"/>
      <c r="C104" s="3" t="str">
        <f t="shared" si="17"/>
        <v/>
      </c>
      <c r="D104" s="2" t="s">
        <v>111</v>
      </c>
      <c r="E104" s="2"/>
      <c r="F104" s="2" t="str">
        <f t="shared" ref="F104:F105" si="18">IFERROR(VLOOKUP($D104,Sheet3!$N:$Q,3,0),"")</f>
        <v/>
      </c>
      <c r="G104" s="2" t="str">
        <f t="shared" ref="G104:G105" si="19">IFERROR(VLOOKUP($D104,Sheet3!$N:$Q,4,0),"")</f>
        <v/>
      </c>
      <c r="I104" s="4">
        <f>SUMIFS(Dump!D:D,Dump!B:B,C104)</f>
        <v>0</v>
      </c>
      <c r="J104" s="5">
        <f>SUMIFS(Dump!AE:AE,Dump!B:B,C104)</f>
        <v>0</v>
      </c>
      <c r="K104" s="4">
        <f>SUMPRODUCT(
  (TEXT(Dump!$A$2:$A994,"mmm-yy")=TEXT($Y104,"mmm-yy"))*
  (Dump!$B$2:$B994=$C104)*
  Dump!$D$2:$D994)</f>
        <v>0</v>
      </c>
      <c r="L104" s="4">
        <f>SUMPRODUCT(
  (TEXT(Dump!$A$2:$A994,"mmm-yy")=TEXT($Y104,"mmm-yy"))*
  (Dump!$B$2:$B994=$C104)*
  Dump!$E$2:$E994
)</f>
        <v>0</v>
      </c>
      <c r="M104" s="4">
        <f>SUMPRODUCT(
  (TEXT(Dump!$A$2:$A994,"mmm-yy")=TEXT($Y104,"mmm-yy"))*
  (Dump!$B$2:$B994=$C104)*
  Dump!$P$2:$P994
)</f>
        <v>0</v>
      </c>
      <c r="N104" s="32" t="str">
        <f t="shared" si="13"/>
        <v/>
      </c>
      <c r="O104" s="33">
        <f>SUMIFS(Dump!$D:$D,Dump!$B:$B,$C104,Dump!$A:$A,$Y104)</f>
        <v>0</v>
      </c>
      <c r="P104" s="33">
        <f>SUMIFS(Dump!R:R,Dump!B:B,C104,Dump!A:A,Y104)</f>
        <v>0</v>
      </c>
      <c r="Q104" s="34">
        <f t="shared" si="14"/>
        <v>0</v>
      </c>
      <c r="S104" s="4">
        <f>SUMIFS(Dump!E:E,Dump!B:B,C104,Dump!A:A,Y104)</f>
        <v>0</v>
      </c>
      <c r="T104" s="35">
        <f t="shared" si="15"/>
        <v>0</v>
      </c>
      <c r="V104" s="4">
        <f>SUMIFS(Dump!P:P,Dump!B:B,C104,Dump!A:A,Y104)</f>
        <v>0</v>
      </c>
      <c r="W104" s="37">
        <f t="shared" si="16"/>
        <v>0</v>
      </c>
      <c r="X104" s="39"/>
      <c r="Y104" s="52">
        <v>46160.0</v>
      </c>
    </row>
    <row r="105">
      <c r="A105" s="31" t="s">
        <v>114</v>
      </c>
      <c r="B105" s="2"/>
      <c r="C105" s="3" t="str">
        <f t="shared" si="17"/>
        <v/>
      </c>
      <c r="D105" s="2" t="s">
        <v>112</v>
      </c>
      <c r="E105" s="2"/>
      <c r="F105" s="2" t="str">
        <f t="shared" si="18"/>
        <v/>
      </c>
      <c r="G105" s="2" t="str">
        <f t="shared" si="19"/>
        <v/>
      </c>
      <c r="I105" s="4">
        <f>SUMIFS(Dump!D:D,Dump!B:B,C105)</f>
        <v>0</v>
      </c>
      <c r="J105" s="5">
        <f>SUMIFS(Dump!AE:AE,Dump!B:B,C105)</f>
        <v>0</v>
      </c>
      <c r="K105" s="4">
        <f>SUMPRODUCT(
  (TEXT(Dump!$A$2:$A994,"mmm-yy")=TEXT($Y105,"mmm-yy"))*
  (Dump!$B$2:$B994=$C105)*
  Dump!$D$2:$D994)</f>
        <v>0</v>
      </c>
      <c r="L105" s="4">
        <f>SUMPRODUCT(
  (TEXT(Dump!$A$2:$A994,"mmm-yy")=TEXT($Y105,"mmm-yy"))*
  (Dump!$B$2:$B994=$C105)*
  Dump!$E$2:$E994
)</f>
        <v>0</v>
      </c>
      <c r="M105" s="4">
        <f>SUMPRODUCT(
  (TEXT(Dump!$A$2:$A994,"mmm-yy")=TEXT($Y105,"mmm-yy"))*
  (Dump!$B$2:$B994=$C105)*
  Dump!$P$2:$P994
)</f>
        <v>0</v>
      </c>
      <c r="N105" s="32" t="str">
        <f t="shared" si="13"/>
        <v/>
      </c>
      <c r="O105" s="33">
        <f>SUMIFS(Dump!$D:$D,Dump!$B:$B,$C105,Dump!$A:$A,$Y105)</f>
        <v>0</v>
      </c>
      <c r="P105" s="33">
        <f>SUMIFS(Dump!R:R,Dump!B:B,C105,Dump!A:A,Y105)</f>
        <v>0</v>
      </c>
      <c r="Q105" s="34">
        <f t="shared" si="14"/>
        <v>0</v>
      </c>
      <c r="S105" s="4">
        <f>SUMIFS(Dump!E:E,Dump!B:B,C105,Dump!A:A,Y105)</f>
        <v>0</v>
      </c>
      <c r="T105" s="35">
        <f t="shared" si="15"/>
        <v>0</v>
      </c>
      <c r="V105" s="4">
        <f>SUMIFS(Dump!P:P,Dump!B:B,C105,Dump!A:A,Y105)</f>
        <v>0</v>
      </c>
      <c r="W105" s="37">
        <f t="shared" si="16"/>
        <v>0</v>
      </c>
      <c r="X105" s="39"/>
      <c r="Y105" s="52">
        <v>46160.0</v>
      </c>
    </row>
    <row r="106">
      <c r="A106" s="41"/>
      <c r="B106" s="42"/>
      <c r="C106" s="43"/>
      <c r="D106" s="42"/>
      <c r="E106" s="42"/>
      <c r="F106" s="42"/>
      <c r="G106" s="42"/>
      <c r="H106" s="42"/>
      <c r="I106" s="44"/>
      <c r="J106" s="45"/>
      <c r="K106" s="44">
        <f>SUMPRODUCT(
  (TEXT(Dump!$A$2:$A994,"mmm-yy")=TEXT($Y106,"mmm-yy"))*
  (Dump!$B$2:$B994=$C106)*
  Dump!$D$2:$D994)</f>
        <v>0</v>
      </c>
      <c r="L106" s="44">
        <f>SUMPRODUCT(
  (TEXT(Dump!$A$2:$A994,"mmm-yy")=TEXT($Y106,"mmm-yy"))*
  (Dump!$B$2:$B994=$C106)*
  Dump!$E$2:$E994
)</f>
        <v>0</v>
      </c>
      <c r="M106" s="44">
        <f>SUMPRODUCT(
  (TEXT(Dump!$A$2:$A994,"mmm-yy")=TEXT($Y106,"mmm-yy"))*
  (Dump!$B$2:$B994=$C106)*
  Dump!$P$2:$P994
)</f>
        <v>0</v>
      </c>
      <c r="N106" s="46"/>
      <c r="O106" s="47"/>
      <c r="P106" s="47"/>
      <c r="Q106" s="48"/>
      <c r="R106" s="49"/>
      <c r="S106" s="44"/>
      <c r="T106" s="50"/>
      <c r="U106" s="49"/>
      <c r="V106" s="44"/>
      <c r="W106" s="48"/>
      <c r="X106" s="42"/>
      <c r="Y106" s="51"/>
    </row>
    <row r="107">
      <c r="A107" s="31" t="s">
        <v>115</v>
      </c>
      <c r="B107" s="2" t="s">
        <v>23</v>
      </c>
      <c r="C107" s="3" t="s">
        <v>24</v>
      </c>
      <c r="D107" s="2" t="s">
        <v>25</v>
      </c>
      <c r="E107" s="2" t="s">
        <v>26</v>
      </c>
      <c r="F107" s="2" t="s">
        <v>27</v>
      </c>
      <c r="G107" s="2" t="s">
        <v>28</v>
      </c>
      <c r="H107" s="2"/>
      <c r="I107" s="4">
        <f>SUMIFS(Dump!D:D,Dump!B:B,C107)</f>
        <v>1040</v>
      </c>
      <c r="J107" s="5">
        <f>SUMIFS(Dump!AE:AE,Dump!B:B,C107)</f>
        <v>167.4630556</v>
      </c>
      <c r="K107" s="4">
        <f>SUMPRODUCT(
  (TEXT(Dump!$A$2:$A994,"mmm-yy")=TEXT($Y107,"mmm-yy"))*
  (Dump!$B$2:$B994=$C107)*
  Dump!$D$2:$D994)</f>
        <v>35</v>
      </c>
      <c r="L107" s="4">
        <f>SUMPRODUCT(
  (TEXT(Dump!$A$2:$A994,"mmm-yy")=TEXT($Y107,"mmm-yy"))*
  (Dump!$B$2:$B994=$C107)*
  Dump!$E$2:$E994
)</f>
        <v>98</v>
      </c>
      <c r="M107" s="4">
        <f>SUMPRODUCT(
  (TEXT(Dump!$A$2:$A994,"mmm-yy")=TEXT($Y107,"mmm-yy"))*
  (Dump!$B$2:$B994=$C107)*
  Dump!$P$2:$P994
)</f>
        <v>74</v>
      </c>
      <c r="N107" s="32" t="str">
        <f t="shared" ref="N107:N139" si="20">IFERROR(VLOOKUP(C107,Sheet10!F:M,8,0),"")</f>
        <v/>
      </c>
      <c r="O107" s="33">
        <f>SUMIFS(Dump!$D:$D,Dump!$B:$B,$C107,Dump!$A:$A,$Y107)</f>
        <v>0</v>
      </c>
      <c r="P107" s="33">
        <f>SUMIFS(Dump!R:R,Dump!B:B,C107,Dump!A:A,Y107)</f>
        <v>0</v>
      </c>
      <c r="Q107" s="34">
        <f t="shared" ref="Q107:Q994" si="21">N107-O107</f>
        <v>0</v>
      </c>
      <c r="S107" s="4">
        <f>SUMIFS(Dump!E:E,Dump!B:B,C107,Dump!A:A,Y107)</f>
        <v>0</v>
      </c>
      <c r="T107" s="35">
        <f t="shared" ref="T107:T994" si="22">R107-S107</f>
        <v>0</v>
      </c>
      <c r="V107" s="4">
        <f>SUMIFS(Dump!P:P,Dump!B:B,C107,Dump!A:A,Y107)</f>
        <v>0</v>
      </c>
      <c r="W107" s="37">
        <f t="shared" ref="W107:W994" si="23">U107-V107</f>
        <v>0</v>
      </c>
      <c r="X107" s="11"/>
      <c r="Y107" s="52">
        <v>46167.0</v>
      </c>
    </row>
    <row r="108">
      <c r="A108" s="31" t="s">
        <v>115</v>
      </c>
      <c r="B108" s="2" t="s">
        <v>29</v>
      </c>
      <c r="C108" s="3" t="s">
        <v>30</v>
      </c>
      <c r="D108" s="2" t="s">
        <v>31</v>
      </c>
      <c r="E108" s="2" t="s">
        <v>26</v>
      </c>
      <c r="F108" s="2" t="s">
        <v>32</v>
      </c>
      <c r="G108" s="2" t="s">
        <v>33</v>
      </c>
      <c r="I108" s="4">
        <f>SUMIFS(Dump!D:D,Dump!B:B,C108)</f>
        <v>834</v>
      </c>
      <c r="J108" s="5">
        <f>SUMIFS(Dump!AE:AE,Dump!B:B,C108)</f>
        <v>186.0461111</v>
      </c>
      <c r="K108" s="4">
        <f>SUMPRODUCT(
  (TEXT(Dump!$A$2:$A994,"mmm-yy")=TEXT($Y108,"mmm-yy"))*
  (Dump!$B$2:$B994=$C108)*
  Dump!$D$2:$D994)</f>
        <v>32</v>
      </c>
      <c r="L108" s="4">
        <f>SUMPRODUCT(
  (TEXT(Dump!$A$2:$A994,"mmm-yy")=TEXT($Y108,"mmm-yy"))*
  (Dump!$B$2:$B994=$C108)*
  Dump!$E$2:$E994
)</f>
        <v>44</v>
      </c>
      <c r="M108" s="4">
        <f>SUMPRODUCT(
  (TEXT(Dump!$A$2:$A994,"mmm-yy")=TEXT($Y108,"mmm-yy"))*
  (Dump!$B$2:$B994=$C108)*
  Dump!$P$2:$P994
)</f>
        <v>47</v>
      </c>
      <c r="N108" s="32" t="str">
        <f t="shared" si="20"/>
        <v/>
      </c>
      <c r="O108" s="33">
        <f>SUMIFS(Dump!$D:$D,Dump!$B:$B,$C108,Dump!$A:$A,$Y108)</f>
        <v>0</v>
      </c>
      <c r="P108" s="33">
        <f>SUMIFS(Dump!R:R,Dump!B:B,C108,Dump!A:A,Y108)</f>
        <v>0</v>
      </c>
      <c r="Q108" s="34">
        <f t="shared" si="21"/>
        <v>0</v>
      </c>
      <c r="S108" s="4">
        <f>SUMIFS(Dump!E:E,Dump!B:B,C108,Dump!A:A,Y108)</f>
        <v>0</v>
      </c>
      <c r="T108" s="35">
        <f t="shared" si="22"/>
        <v>0</v>
      </c>
      <c r="V108" s="4">
        <f>SUMIFS(Dump!P:P,Dump!B:B,C108,Dump!A:A,Y108)</f>
        <v>0</v>
      </c>
      <c r="W108" s="37">
        <f t="shared" si="23"/>
        <v>0</v>
      </c>
      <c r="X108" s="39"/>
      <c r="Y108" s="52">
        <v>46167.0</v>
      </c>
    </row>
    <row r="109">
      <c r="A109" s="31" t="s">
        <v>115</v>
      </c>
      <c r="B109" s="2" t="s">
        <v>34</v>
      </c>
      <c r="C109" s="3" t="s">
        <v>35</v>
      </c>
      <c r="D109" s="2" t="s">
        <v>36</v>
      </c>
      <c r="E109" s="2" t="s">
        <v>26</v>
      </c>
      <c r="F109" s="2" t="s">
        <v>32</v>
      </c>
      <c r="G109" s="2" t="s">
        <v>37</v>
      </c>
      <c r="I109" s="4">
        <f>SUMIFS(Dump!D:D,Dump!B:B,C109)</f>
        <v>242</v>
      </c>
      <c r="J109" s="5">
        <f>SUMIFS(Dump!AE:AE,Dump!B:B,C109)</f>
        <v>57.02444444</v>
      </c>
      <c r="K109" s="4">
        <f>SUMPRODUCT(
  (TEXT(Dump!$A$2:$A994,"mmm-yy")=TEXT($Y109,"mmm-yy"))*
  (Dump!$B$2:$B994=$C109)*
  Dump!$D$2:$D994)</f>
        <v>31</v>
      </c>
      <c r="L109" s="4">
        <f>SUMPRODUCT(
  (TEXT(Dump!$A$2:$A994,"mmm-yy")=TEXT($Y109,"mmm-yy"))*
  (Dump!$B$2:$B994=$C109)*
  Dump!$E$2:$E994
)</f>
        <v>27</v>
      </c>
      <c r="M109" s="4">
        <f>SUMPRODUCT(
  (TEXT(Dump!$A$2:$A994,"mmm-yy")=TEXT($Y109,"mmm-yy"))*
  (Dump!$B$2:$B994=$C109)*
  Dump!$P$2:$P994
)</f>
        <v>28</v>
      </c>
      <c r="N109" s="32" t="str">
        <f t="shared" si="20"/>
        <v/>
      </c>
      <c r="O109" s="33">
        <f>SUMIFS(Dump!$D:$D,Dump!$B:$B,$C109,Dump!$A:$A,$Y109)</f>
        <v>0</v>
      </c>
      <c r="P109" s="33">
        <f>SUMIFS(Dump!R:R,Dump!B:B,C109,Dump!A:A,Y109)</f>
        <v>0</v>
      </c>
      <c r="Q109" s="34">
        <f t="shared" si="21"/>
        <v>0</v>
      </c>
      <c r="S109" s="4">
        <f>SUMIFS(Dump!E:E,Dump!B:B,C109,Dump!A:A,Y109)</f>
        <v>0</v>
      </c>
      <c r="T109" s="35">
        <f t="shared" si="22"/>
        <v>0</v>
      </c>
      <c r="V109" s="4">
        <f>SUMIFS(Dump!P:P,Dump!B:B,C109,Dump!A:A,Y109)</f>
        <v>0</v>
      </c>
      <c r="W109" s="37">
        <f t="shared" si="23"/>
        <v>0</v>
      </c>
      <c r="X109" s="39"/>
      <c r="Y109" s="52">
        <v>46167.0</v>
      </c>
    </row>
    <row r="110">
      <c r="A110" s="31" t="s">
        <v>115</v>
      </c>
      <c r="B110" s="2" t="s">
        <v>38</v>
      </c>
      <c r="C110" s="3" t="s">
        <v>39</v>
      </c>
      <c r="D110" s="2" t="s">
        <v>40</v>
      </c>
      <c r="E110" s="2"/>
      <c r="F110" s="2" t="s">
        <v>41</v>
      </c>
      <c r="G110" s="2" t="s">
        <v>42</v>
      </c>
      <c r="I110" s="4">
        <f>SUMIFS(Dump!D:D,Dump!B:B,C110)</f>
        <v>102</v>
      </c>
      <c r="J110" s="5">
        <f>SUMIFS(Dump!AE:AE,Dump!B:B,C110)</f>
        <v>237.4583333</v>
      </c>
      <c r="K110" s="4">
        <f>SUMPRODUCT(
  (TEXT(Dump!$A$2:$A994,"mmm-yy")=TEXT($Y110,"mmm-yy"))*
  (Dump!$B$2:$B994=$C110)*
  Dump!$D$2:$D994)</f>
        <v>45</v>
      </c>
      <c r="L110" s="4">
        <f>SUMPRODUCT(
  (TEXT(Dump!$A$2:$A994,"mmm-yy")=TEXT($Y110,"mmm-yy"))*
  (Dump!$B$2:$B994=$C110)*
  Dump!$E$2:$E994
)</f>
        <v>53</v>
      </c>
      <c r="M110" s="4">
        <f>SUMPRODUCT(
  (TEXT(Dump!$A$2:$A994,"mmm-yy")=TEXT($Y110,"mmm-yy"))*
  (Dump!$B$2:$B994=$C110)*
  Dump!$P$2:$P994
)</f>
        <v>29</v>
      </c>
      <c r="N110" s="32" t="str">
        <f t="shared" si="20"/>
        <v/>
      </c>
      <c r="O110" s="33">
        <f>SUMIFS(Dump!$D:$D,Dump!$B:$B,$C110,Dump!$A:$A,$Y110)</f>
        <v>0</v>
      </c>
      <c r="P110" s="33">
        <f>SUMIFS(Dump!R:R,Dump!B:B,C110,Dump!A:A,Y110)</f>
        <v>0</v>
      </c>
      <c r="Q110" s="34">
        <f t="shared" si="21"/>
        <v>0</v>
      </c>
      <c r="S110" s="4">
        <f>SUMIFS(Dump!E:E,Dump!B:B,C110,Dump!A:A,Y110)</f>
        <v>0</v>
      </c>
      <c r="T110" s="35">
        <f t="shared" si="22"/>
        <v>0</v>
      </c>
      <c r="V110" s="4">
        <f>SUMIFS(Dump!P:P,Dump!B:B,C110,Dump!A:A,Y110)</f>
        <v>0</v>
      </c>
      <c r="W110" s="37">
        <f t="shared" si="23"/>
        <v>0</v>
      </c>
      <c r="X110" s="39"/>
      <c r="Y110" s="52">
        <v>46167.0</v>
      </c>
    </row>
    <row r="111">
      <c r="A111" s="31" t="s">
        <v>115</v>
      </c>
      <c r="B111" s="2" t="s">
        <v>43</v>
      </c>
      <c r="C111" s="3" t="s">
        <v>44</v>
      </c>
      <c r="D111" s="2" t="s">
        <v>45</v>
      </c>
      <c r="E111" s="2" t="s">
        <v>46</v>
      </c>
      <c r="F111" s="2" t="s">
        <v>27</v>
      </c>
      <c r="G111" s="2" t="s">
        <v>47</v>
      </c>
      <c r="I111" s="4">
        <f>SUMIFS(Dump!D:D,Dump!B:B,C111)</f>
        <v>12</v>
      </c>
      <c r="J111" s="5">
        <f>SUMIFS(Dump!AE:AE,Dump!B:B,C111)</f>
        <v>91.65555556</v>
      </c>
      <c r="K111" s="4">
        <f>SUMPRODUCT(
  (TEXT(Dump!$A$2:$A994,"mmm-yy")=TEXT($Y111,"mmm-yy"))*
  (Dump!$B$2:$B994=$C111)*
  Dump!$D$2:$D994)</f>
        <v>0</v>
      </c>
      <c r="L111" s="4">
        <f>SUMPRODUCT(
  (TEXT(Dump!$A$2:$A994,"mmm-yy")=TEXT($Y111,"mmm-yy"))*
  (Dump!$B$2:$B994=$C111)*
  Dump!$E$2:$E994
)</f>
        <v>0</v>
      </c>
      <c r="M111" s="4">
        <f>SUMPRODUCT(
  (TEXT(Dump!$A$2:$A994,"mmm-yy")=TEXT($Y111,"mmm-yy"))*
  (Dump!$B$2:$B994=$C111)*
  Dump!$P$2:$P994
)</f>
        <v>0</v>
      </c>
      <c r="N111" s="32" t="str">
        <f t="shared" si="20"/>
        <v/>
      </c>
      <c r="O111" s="33">
        <f>SUMIFS(Dump!$D:$D,Dump!$B:$B,$C111,Dump!$A:$A,$Y111)</f>
        <v>0</v>
      </c>
      <c r="P111" s="33">
        <f>SUMIFS(Dump!R:R,Dump!B:B,C111,Dump!A:A,Y111)</f>
        <v>0</v>
      </c>
      <c r="Q111" s="34">
        <f t="shared" si="21"/>
        <v>0</v>
      </c>
      <c r="S111" s="4">
        <f>SUMIFS(Dump!E:E,Dump!B:B,C111,Dump!A:A,Y111)</f>
        <v>0</v>
      </c>
      <c r="T111" s="35">
        <f t="shared" si="22"/>
        <v>0</v>
      </c>
      <c r="V111" s="4">
        <f>SUMIFS(Dump!P:P,Dump!B:B,C111,Dump!A:A,Y111)</f>
        <v>0</v>
      </c>
      <c r="W111" s="37">
        <f t="shared" si="23"/>
        <v>0</v>
      </c>
      <c r="X111" s="39"/>
      <c r="Y111" s="52">
        <v>46167.0</v>
      </c>
    </row>
    <row r="112">
      <c r="A112" s="31" t="s">
        <v>115</v>
      </c>
      <c r="B112" s="2" t="s">
        <v>48</v>
      </c>
      <c r="C112" s="3"/>
      <c r="D112" s="2" t="s">
        <v>49</v>
      </c>
      <c r="E112" s="2"/>
      <c r="F112" s="2" t="s">
        <v>27</v>
      </c>
      <c r="G112" s="2" t="s">
        <v>50</v>
      </c>
      <c r="I112" s="4">
        <f>SUMIFS(Dump!D:D,Dump!B:B,C112)</f>
        <v>0</v>
      </c>
      <c r="J112" s="5">
        <f>SUMIFS(Dump!AE:AE,Dump!B:B,C112)</f>
        <v>0</v>
      </c>
      <c r="K112" s="4">
        <f>SUMPRODUCT(
  (TEXT(Dump!$A$2:$A994,"mmm-yy")=TEXT($Y112,"mmm-yy"))*
  (Dump!$B$2:$B994=$C112)*
  Dump!$D$2:$D994)</f>
        <v>0</v>
      </c>
      <c r="L112" s="4">
        <f>SUMPRODUCT(
  (TEXT(Dump!$A$2:$A994,"mmm-yy")=TEXT($Y112,"mmm-yy"))*
  (Dump!$B$2:$B994=$C112)*
  Dump!$E$2:$E994
)</f>
        <v>0</v>
      </c>
      <c r="M112" s="4">
        <f>SUMPRODUCT(
  (TEXT(Dump!$A$2:$A994,"mmm-yy")=TEXT($Y112,"mmm-yy"))*
  (Dump!$B$2:$B994=$C112)*
  Dump!$P$2:$P994
)</f>
        <v>0</v>
      </c>
      <c r="N112" s="32" t="str">
        <f t="shared" si="20"/>
        <v/>
      </c>
      <c r="O112" s="33">
        <f>SUMIFS(Dump!$D:$D,Dump!$B:$B,$C112,Dump!$A:$A,$Y112)</f>
        <v>0</v>
      </c>
      <c r="P112" s="33">
        <f>SUMIFS(Dump!R:R,Dump!B:B,C112,Dump!A:A,Y112)</f>
        <v>0</v>
      </c>
      <c r="Q112" s="34">
        <f t="shared" si="21"/>
        <v>0</v>
      </c>
      <c r="S112" s="4">
        <f>SUMIFS(Dump!E:E,Dump!B:B,C112,Dump!A:A,Y112)</f>
        <v>0</v>
      </c>
      <c r="T112" s="35">
        <f t="shared" si="22"/>
        <v>0</v>
      </c>
      <c r="V112" s="4">
        <f>SUMIFS(Dump!P:P,Dump!B:B,C112,Dump!A:A,Y112)</f>
        <v>0</v>
      </c>
      <c r="W112" s="37">
        <f t="shared" si="23"/>
        <v>0</v>
      </c>
      <c r="X112" s="39"/>
      <c r="Y112" s="52">
        <v>46167.0</v>
      </c>
    </row>
    <row r="113">
      <c r="A113" s="31" t="s">
        <v>115</v>
      </c>
      <c r="B113" s="2" t="s">
        <v>51</v>
      </c>
      <c r="C113" s="3"/>
      <c r="D113" s="2" t="s">
        <v>52</v>
      </c>
      <c r="E113" s="2"/>
      <c r="F113" s="2" t="s">
        <v>32</v>
      </c>
      <c r="G113" s="2" t="s">
        <v>53</v>
      </c>
      <c r="I113" s="4">
        <f>SUMIFS(Dump!D:D,Dump!B:B,C113)</f>
        <v>0</v>
      </c>
      <c r="J113" s="5">
        <f>SUMIFS(Dump!AE:AE,Dump!B:B,C113)</f>
        <v>0</v>
      </c>
      <c r="K113" s="4">
        <f>SUMPRODUCT(
  (TEXT(Dump!$A$2:$A994,"mmm-yy")=TEXT($Y113,"mmm-yy"))*
  (Dump!$B$2:$B994=$C113)*
  Dump!$D$2:$D994)</f>
        <v>0</v>
      </c>
      <c r="L113" s="4">
        <f>SUMPRODUCT(
  (TEXT(Dump!$A$2:$A994,"mmm-yy")=TEXT($Y113,"mmm-yy"))*
  (Dump!$B$2:$B994=$C113)*
  Dump!$E$2:$E994
)</f>
        <v>0</v>
      </c>
      <c r="M113" s="4">
        <f>SUMPRODUCT(
  (TEXT(Dump!$A$2:$A994,"mmm-yy")=TEXT($Y113,"mmm-yy"))*
  (Dump!$B$2:$B994=$C113)*
  Dump!$P$2:$P994
)</f>
        <v>0</v>
      </c>
      <c r="N113" s="32" t="str">
        <f t="shared" si="20"/>
        <v/>
      </c>
      <c r="O113" s="33">
        <f>SUMIFS(Dump!$D:$D,Dump!$B:$B,$C113,Dump!$A:$A,$Y113)</f>
        <v>0</v>
      </c>
      <c r="P113" s="33">
        <f>SUMIFS(Dump!R:R,Dump!B:B,C113,Dump!A:A,Y113)</f>
        <v>0</v>
      </c>
      <c r="Q113" s="34">
        <f t="shared" si="21"/>
        <v>0</v>
      </c>
      <c r="S113" s="4">
        <f>SUMIFS(Dump!E:E,Dump!B:B,C113,Dump!A:A,Y113)</f>
        <v>0</v>
      </c>
      <c r="T113" s="35">
        <f t="shared" si="22"/>
        <v>0</v>
      </c>
      <c r="V113" s="4">
        <f>SUMIFS(Dump!P:P,Dump!B:B,C113,Dump!A:A,Y113)</f>
        <v>0</v>
      </c>
      <c r="W113" s="37">
        <f t="shared" si="23"/>
        <v>0</v>
      </c>
      <c r="X113" s="39"/>
      <c r="Y113" s="52">
        <v>46167.0</v>
      </c>
    </row>
    <row r="114">
      <c r="A114" s="31" t="s">
        <v>115</v>
      </c>
      <c r="B114" s="2"/>
      <c r="C114" s="3" t="s">
        <v>54</v>
      </c>
      <c r="D114" s="2" t="s">
        <v>55</v>
      </c>
      <c r="E114" s="2" t="s">
        <v>26</v>
      </c>
      <c r="F114" s="2" t="s">
        <v>27</v>
      </c>
      <c r="G114" s="2" t="s">
        <v>56</v>
      </c>
      <c r="I114" s="4">
        <f>SUMIFS(Dump!D:D,Dump!B:B,C114)</f>
        <v>275</v>
      </c>
      <c r="J114" s="5">
        <f>SUMIFS(Dump!AE:AE,Dump!B:B,C114)</f>
        <v>45.01944444</v>
      </c>
      <c r="K114" s="4">
        <f>SUMPRODUCT(
  (TEXT(Dump!$A$2:$A994,"mmm-yy")=TEXT($Y114,"mmm-yy"))*
  (Dump!$B$2:$B994=$C114)*
  Dump!$D$2:$D994)</f>
        <v>81</v>
      </c>
      <c r="L114" s="4">
        <f>SUMPRODUCT(
  (TEXT(Dump!$A$2:$A994,"mmm-yy")=TEXT($Y114,"mmm-yy"))*
  (Dump!$B$2:$B994=$C114)*
  Dump!$E$2:$E994
)</f>
        <v>81</v>
      </c>
      <c r="M114" s="4">
        <f>SUMPRODUCT(
  (TEXT(Dump!$A$2:$A994,"mmm-yy")=TEXT($Y114,"mmm-yy"))*
  (Dump!$B$2:$B994=$C114)*
  Dump!$P$2:$P994
)</f>
        <v>50</v>
      </c>
      <c r="N114" s="32" t="str">
        <f t="shared" si="20"/>
        <v/>
      </c>
      <c r="O114" s="33">
        <f>SUMIFS(Dump!$D:$D,Dump!$B:$B,$C114,Dump!$A:$A,$Y114)</f>
        <v>0</v>
      </c>
      <c r="P114" s="33">
        <f>SUMIFS(Dump!R:R,Dump!B:B,C114,Dump!A:A,Y114)</f>
        <v>0</v>
      </c>
      <c r="Q114" s="34">
        <f t="shared" si="21"/>
        <v>0</v>
      </c>
      <c r="S114" s="4">
        <f>SUMIFS(Dump!E:E,Dump!B:B,C114,Dump!A:A,Y114)</f>
        <v>0</v>
      </c>
      <c r="T114" s="35">
        <f t="shared" si="22"/>
        <v>0</v>
      </c>
      <c r="V114" s="4">
        <f>SUMIFS(Dump!P:P,Dump!B:B,C114,Dump!A:A,Y114)</f>
        <v>0</v>
      </c>
      <c r="W114" s="37">
        <f t="shared" si="23"/>
        <v>0</v>
      </c>
      <c r="X114" s="39"/>
      <c r="Y114" s="52">
        <v>46167.0</v>
      </c>
    </row>
    <row r="115">
      <c r="A115" s="31" t="s">
        <v>115</v>
      </c>
      <c r="B115" s="2" t="s">
        <v>57</v>
      </c>
      <c r="C115" s="3"/>
      <c r="D115" s="2" t="s">
        <v>58</v>
      </c>
      <c r="E115" s="2"/>
      <c r="F115" s="2" t="s">
        <v>27</v>
      </c>
      <c r="G115" s="2" t="s">
        <v>59</v>
      </c>
      <c r="I115" s="4">
        <f>SUMIFS(Dump!D:D,Dump!B:B,C115)</f>
        <v>0</v>
      </c>
      <c r="J115" s="5">
        <f>SUMIFS(Dump!AE:AE,Dump!B:B,C115)</f>
        <v>0</v>
      </c>
      <c r="K115" s="4">
        <f>SUMPRODUCT(
  (TEXT(Dump!$A$2:$A994,"mmm-yy")=TEXT($Y115,"mmm-yy"))*
  (Dump!$B$2:$B994=$C115)*
  Dump!$D$2:$D994)</f>
        <v>0</v>
      </c>
      <c r="L115" s="4">
        <f>SUMPRODUCT(
  (TEXT(Dump!$A$2:$A994,"mmm-yy")=TEXT($Y115,"mmm-yy"))*
  (Dump!$B$2:$B994=$C115)*
  Dump!$E$2:$E994
)</f>
        <v>0</v>
      </c>
      <c r="M115" s="4">
        <f>SUMPRODUCT(
  (TEXT(Dump!$A$2:$A994,"mmm-yy")=TEXT($Y115,"mmm-yy"))*
  (Dump!$B$2:$B994=$C115)*
  Dump!$P$2:$P994
)</f>
        <v>0</v>
      </c>
      <c r="N115" s="32" t="str">
        <f t="shared" si="20"/>
        <v/>
      </c>
      <c r="O115" s="33">
        <f>SUMIFS(Dump!$D:$D,Dump!$B:$B,$C115,Dump!$A:$A,$Y115)</f>
        <v>0</v>
      </c>
      <c r="P115" s="33">
        <f>SUMIFS(Dump!R:R,Dump!B:B,C115,Dump!A:A,Y115)</f>
        <v>0</v>
      </c>
      <c r="Q115" s="34">
        <f t="shared" si="21"/>
        <v>0</v>
      </c>
      <c r="S115" s="4">
        <f>SUMIFS(Dump!E:E,Dump!B:B,C115,Dump!A:A,Y115)</f>
        <v>0</v>
      </c>
      <c r="T115" s="35">
        <f t="shared" si="22"/>
        <v>0</v>
      </c>
      <c r="V115" s="4">
        <f>SUMIFS(Dump!P:P,Dump!B:B,C115,Dump!A:A,Y115)</f>
        <v>0</v>
      </c>
      <c r="W115" s="37">
        <f t="shared" si="23"/>
        <v>0</v>
      </c>
      <c r="X115" s="39"/>
      <c r="Y115" s="52">
        <v>46167.0</v>
      </c>
    </row>
    <row r="116">
      <c r="A116" s="31" t="s">
        <v>115</v>
      </c>
      <c r="B116" s="2"/>
      <c r="C116" s="3" t="s">
        <v>60</v>
      </c>
      <c r="D116" s="2" t="s">
        <v>61</v>
      </c>
      <c r="E116" s="2" t="s">
        <v>26</v>
      </c>
      <c r="F116" s="2" t="s">
        <v>27</v>
      </c>
      <c r="G116" s="2" t="s">
        <v>59</v>
      </c>
      <c r="I116" s="4">
        <f>SUMIFS(Dump!D:D,Dump!B:B,C116)</f>
        <v>219</v>
      </c>
      <c r="J116" s="5">
        <f>SUMIFS(Dump!AE:AE,Dump!B:B,C116)</f>
        <v>38.56722222</v>
      </c>
      <c r="K116" s="4">
        <f>SUMPRODUCT(
  (TEXT(Dump!$A$2:$A994,"mmm-yy")=TEXT($Y116,"mmm-yy"))*
  (Dump!$B$2:$B994=$C116)*
  Dump!$D$2:$D994)</f>
        <v>0</v>
      </c>
      <c r="L116" s="4">
        <f>SUMPRODUCT(
  (TEXT(Dump!$A$2:$A994,"mmm-yy")=TEXT($Y116,"mmm-yy"))*
  (Dump!$B$2:$B994=$C116)*
  Dump!$E$2:$E994
)</f>
        <v>13</v>
      </c>
      <c r="M116" s="4">
        <f>SUMPRODUCT(
  (TEXT(Dump!$A$2:$A994,"mmm-yy")=TEXT($Y116,"mmm-yy"))*
  (Dump!$B$2:$B994=$C116)*
  Dump!$P$2:$P994
)</f>
        <v>11</v>
      </c>
      <c r="N116" s="32" t="str">
        <f t="shared" si="20"/>
        <v/>
      </c>
      <c r="O116" s="33">
        <f>SUMIFS(Dump!$D:$D,Dump!$B:$B,$C116,Dump!$A:$A,$Y116)</f>
        <v>0</v>
      </c>
      <c r="P116" s="33">
        <f>SUMIFS(Dump!R:R,Dump!B:B,C116,Dump!A:A,Y116)</f>
        <v>0</v>
      </c>
      <c r="Q116" s="34">
        <f t="shared" si="21"/>
        <v>0</v>
      </c>
      <c r="S116" s="4">
        <f>SUMIFS(Dump!E:E,Dump!B:B,C116,Dump!A:A,Y116)</f>
        <v>0</v>
      </c>
      <c r="T116" s="35">
        <f t="shared" si="22"/>
        <v>0</v>
      </c>
      <c r="V116" s="4">
        <f>SUMIFS(Dump!P:P,Dump!B:B,C116,Dump!A:A,Y116)</f>
        <v>0</v>
      </c>
      <c r="W116" s="37">
        <f t="shared" si="23"/>
        <v>0</v>
      </c>
      <c r="X116" s="39"/>
      <c r="Y116" s="52">
        <v>46167.0</v>
      </c>
    </row>
    <row r="117">
      <c r="A117" s="31" t="s">
        <v>115</v>
      </c>
      <c r="B117" s="2" t="s">
        <v>62</v>
      </c>
      <c r="C117" s="3" t="s">
        <v>63</v>
      </c>
      <c r="D117" s="2" t="s">
        <v>64</v>
      </c>
      <c r="E117" s="2" t="s">
        <v>26</v>
      </c>
      <c r="F117" s="2" t="s">
        <v>32</v>
      </c>
      <c r="G117" s="2"/>
      <c r="I117" s="4">
        <f>SUMIFS(Dump!D:D,Dump!B:B,C117)</f>
        <v>143</v>
      </c>
      <c r="J117" s="5">
        <f>SUMIFS(Dump!AE:AE,Dump!B:B,C117)</f>
        <v>21.775</v>
      </c>
      <c r="K117" s="4">
        <f>SUMPRODUCT(
  (TEXT(Dump!$A$2:$A994,"mmm-yy")=TEXT($Y117,"mmm-yy"))*
  (Dump!$B$2:$B994=$C117)*
  Dump!$D$2:$D994)</f>
        <v>62</v>
      </c>
      <c r="L117" s="4">
        <f>SUMPRODUCT(
  (TEXT(Dump!$A$2:$A994,"mmm-yy")=TEXT($Y117,"mmm-yy"))*
  (Dump!$B$2:$B994=$C117)*
  Dump!$E$2:$E994
)</f>
        <v>45</v>
      </c>
      <c r="M117" s="4">
        <f>SUMPRODUCT(
  (TEXT(Dump!$A$2:$A994,"mmm-yy")=TEXT($Y117,"mmm-yy"))*
  (Dump!$B$2:$B994=$C117)*
  Dump!$P$2:$P994
)</f>
        <v>23</v>
      </c>
      <c r="N117" s="32" t="str">
        <f t="shared" si="20"/>
        <v/>
      </c>
      <c r="O117" s="33">
        <f>SUMIFS(Dump!$D:$D,Dump!$B:$B,$C117,Dump!$A:$A,$Y117)</f>
        <v>0</v>
      </c>
      <c r="P117" s="33">
        <f>SUMIFS(Dump!R:R,Dump!B:B,C117,Dump!A:A,Y117)</f>
        <v>0</v>
      </c>
      <c r="Q117" s="34">
        <f t="shared" si="21"/>
        <v>0</v>
      </c>
      <c r="S117" s="4">
        <f>SUMIFS(Dump!E:E,Dump!B:B,C117,Dump!A:A,Y117)</f>
        <v>0</v>
      </c>
      <c r="T117" s="35">
        <f t="shared" si="22"/>
        <v>0</v>
      </c>
      <c r="V117" s="4">
        <f>SUMIFS(Dump!P:P,Dump!B:B,C117,Dump!A:A,Y117)</f>
        <v>0</v>
      </c>
      <c r="W117" s="37">
        <f t="shared" si="23"/>
        <v>0</v>
      </c>
      <c r="X117" s="39"/>
      <c r="Y117" s="52">
        <v>46167.0</v>
      </c>
    </row>
    <row r="118">
      <c r="A118" s="31" t="s">
        <v>115</v>
      </c>
      <c r="B118" s="2" t="s">
        <v>65</v>
      </c>
      <c r="C118" s="3"/>
      <c r="D118" s="2" t="s">
        <v>66</v>
      </c>
      <c r="E118" s="2"/>
      <c r="F118" s="2" t="s">
        <v>27</v>
      </c>
      <c r="G118" s="2" t="s">
        <v>67</v>
      </c>
      <c r="I118" s="4">
        <f>SUMIFS(Dump!D:D,Dump!B:B,C118)</f>
        <v>0</v>
      </c>
      <c r="J118" s="5">
        <f>SUMIFS(Dump!AE:AE,Dump!B:B,C118)</f>
        <v>0</v>
      </c>
      <c r="K118" s="4">
        <f>SUMPRODUCT(
  (TEXT(Dump!$A$2:$A994,"mmm-yy")=TEXT($Y118,"mmm-yy"))*
  (Dump!$B$2:$B994=$C118)*
  Dump!$D$2:$D994)</f>
        <v>0</v>
      </c>
      <c r="L118" s="4">
        <f>SUMPRODUCT(
  (TEXT(Dump!$A$2:$A994,"mmm-yy")=TEXT($Y118,"mmm-yy"))*
  (Dump!$B$2:$B994=$C118)*
  Dump!$E$2:$E994
)</f>
        <v>0</v>
      </c>
      <c r="M118" s="4">
        <f>SUMPRODUCT(
  (TEXT(Dump!$A$2:$A994,"mmm-yy")=TEXT($Y118,"mmm-yy"))*
  (Dump!$B$2:$B994=$C118)*
  Dump!$P$2:$P994
)</f>
        <v>0</v>
      </c>
      <c r="N118" s="32" t="str">
        <f t="shared" si="20"/>
        <v/>
      </c>
      <c r="O118" s="33">
        <f>SUMIFS(Dump!$D:$D,Dump!$B:$B,$C118,Dump!$A:$A,$Y118)</f>
        <v>0</v>
      </c>
      <c r="P118" s="33">
        <f>SUMIFS(Dump!R:R,Dump!B:B,C118,Dump!A:A,Y118)</f>
        <v>0</v>
      </c>
      <c r="Q118" s="34">
        <f t="shared" si="21"/>
        <v>0</v>
      </c>
      <c r="S118" s="4">
        <f>SUMIFS(Dump!E:E,Dump!B:B,C118,Dump!A:A,Y118)</f>
        <v>0</v>
      </c>
      <c r="T118" s="35">
        <f t="shared" si="22"/>
        <v>0</v>
      </c>
      <c r="V118" s="4">
        <f>SUMIFS(Dump!P:P,Dump!B:B,C118,Dump!A:A,Y118)</f>
        <v>0</v>
      </c>
      <c r="W118" s="37">
        <f t="shared" si="23"/>
        <v>0</v>
      </c>
      <c r="X118" s="39"/>
      <c r="Y118" s="52">
        <v>46167.0</v>
      </c>
    </row>
    <row r="119">
      <c r="A119" s="31" t="s">
        <v>115</v>
      </c>
      <c r="B119" s="2" t="s">
        <v>68</v>
      </c>
      <c r="C119" s="3" t="s">
        <v>69</v>
      </c>
      <c r="D119" s="2" t="s">
        <v>70</v>
      </c>
      <c r="E119" s="2" t="s">
        <v>26</v>
      </c>
      <c r="F119" s="2" t="s">
        <v>71</v>
      </c>
      <c r="G119" s="2" t="s">
        <v>72</v>
      </c>
      <c r="I119" s="4">
        <f>SUMIFS(Dump!D:D,Dump!B:B,C119)</f>
        <v>244</v>
      </c>
      <c r="J119" s="5">
        <f>SUMIFS(Dump!AE:AE,Dump!B:B,C119)</f>
        <v>64.17305556</v>
      </c>
      <c r="K119" s="4">
        <f>SUMPRODUCT(
  (TEXT(Dump!$A$2:$A994,"mmm-yy")=TEXT($Y119,"mmm-yy"))*
  (Dump!$B$2:$B994=$C119)*
  Dump!$D$2:$D994)</f>
        <v>1</v>
      </c>
      <c r="L119" s="4">
        <f>SUMPRODUCT(
  (TEXT(Dump!$A$2:$A994,"mmm-yy")=TEXT($Y119,"mmm-yy"))*
  (Dump!$B$2:$B994=$C119)*
  Dump!$E$2:$E994
)</f>
        <v>1</v>
      </c>
      <c r="M119" s="4">
        <f>SUMPRODUCT(
  (TEXT(Dump!$A$2:$A994,"mmm-yy")=TEXT($Y119,"mmm-yy"))*
  (Dump!$B$2:$B994=$C119)*
  Dump!$P$2:$P994
)</f>
        <v>4</v>
      </c>
      <c r="N119" s="32" t="str">
        <f t="shared" si="20"/>
        <v/>
      </c>
      <c r="O119" s="33">
        <f>SUMIFS(Dump!$D:$D,Dump!$B:$B,$C119,Dump!$A:$A,$Y119)</f>
        <v>0</v>
      </c>
      <c r="P119" s="33">
        <f>SUMIFS(Dump!R:R,Dump!B:B,C119,Dump!A:A,Y119)</f>
        <v>0</v>
      </c>
      <c r="Q119" s="34">
        <f t="shared" si="21"/>
        <v>0</v>
      </c>
      <c r="S119" s="4">
        <f>SUMIFS(Dump!E:E,Dump!B:B,C119,Dump!A:A,Y119)</f>
        <v>0</v>
      </c>
      <c r="T119" s="35">
        <f t="shared" si="22"/>
        <v>0</v>
      </c>
      <c r="V119" s="4">
        <f>SUMIFS(Dump!P:P,Dump!B:B,C119,Dump!A:A,Y119)</f>
        <v>0</v>
      </c>
      <c r="W119" s="37">
        <f t="shared" si="23"/>
        <v>0</v>
      </c>
      <c r="X119" s="39"/>
      <c r="Y119" s="52">
        <v>46167.0</v>
      </c>
    </row>
    <row r="120">
      <c r="A120" s="31" t="s">
        <v>115</v>
      </c>
      <c r="B120" s="2" t="s">
        <v>73</v>
      </c>
      <c r="C120" s="3" t="s">
        <v>74</v>
      </c>
      <c r="D120" s="2" t="s">
        <v>75</v>
      </c>
      <c r="E120" s="2" t="s">
        <v>26</v>
      </c>
      <c r="F120" s="2" t="s">
        <v>32</v>
      </c>
      <c r="G120" s="2" t="s">
        <v>76</v>
      </c>
      <c r="I120" s="4">
        <f>SUMIFS(Dump!D:D,Dump!B:B,C120)</f>
        <v>1257</v>
      </c>
      <c r="J120" s="5">
        <f>SUMIFS(Dump!AE:AE,Dump!B:B,C120)</f>
        <v>200.8291667</v>
      </c>
      <c r="K120" s="4">
        <f>SUMPRODUCT(
  (TEXT(Dump!$A$2:$A994,"mmm-yy")=TEXT($Y120,"mmm-yy"))*
  (Dump!$B$2:$B994=$C120)*
  Dump!$D$2:$D994)</f>
        <v>355</v>
      </c>
      <c r="L120" s="4">
        <f>SUMPRODUCT(
  (TEXT(Dump!$A$2:$A994,"mmm-yy")=TEXT($Y120,"mmm-yy"))*
  (Dump!$B$2:$B994=$C120)*
  Dump!$E$2:$E994
)</f>
        <v>46</v>
      </c>
      <c r="M120" s="4">
        <f>SUMPRODUCT(
  (TEXT(Dump!$A$2:$A994,"mmm-yy")=TEXT($Y120,"mmm-yy"))*
  (Dump!$B$2:$B994=$C120)*
  Dump!$P$2:$P994
)</f>
        <v>42</v>
      </c>
      <c r="N120" s="32" t="str">
        <f t="shared" si="20"/>
        <v/>
      </c>
      <c r="O120" s="33">
        <f>SUMIFS(Dump!$D:$D,Dump!$B:$B,$C120,Dump!$A:$A,$Y120)</f>
        <v>0</v>
      </c>
      <c r="P120" s="33">
        <f>SUMIFS(Dump!R:R,Dump!B:B,C120,Dump!A:A,Y120)</f>
        <v>0</v>
      </c>
      <c r="Q120" s="34">
        <f t="shared" si="21"/>
        <v>0</v>
      </c>
      <c r="S120" s="4">
        <f>SUMIFS(Dump!E:E,Dump!B:B,C120,Dump!A:A,Y120)</f>
        <v>0</v>
      </c>
      <c r="T120" s="35">
        <f t="shared" si="22"/>
        <v>0</v>
      </c>
      <c r="V120" s="4">
        <f>SUMIFS(Dump!P:P,Dump!B:B,C120,Dump!A:A,Y120)</f>
        <v>0</v>
      </c>
      <c r="W120" s="37">
        <f t="shared" si="23"/>
        <v>0</v>
      </c>
      <c r="X120" s="39"/>
      <c r="Y120" s="52">
        <v>46167.0</v>
      </c>
    </row>
    <row r="121">
      <c r="A121" s="31" t="s">
        <v>115</v>
      </c>
      <c r="B121" s="2"/>
      <c r="C121" s="3" t="s">
        <v>77</v>
      </c>
      <c r="D121" s="2" t="s">
        <v>78</v>
      </c>
      <c r="E121" s="2" t="s">
        <v>26</v>
      </c>
      <c r="F121" s="2" t="s">
        <v>27</v>
      </c>
      <c r="G121" s="2" t="s">
        <v>56</v>
      </c>
      <c r="I121" s="4">
        <f>SUMIFS(Dump!D:D,Dump!B:B,C121)</f>
        <v>173</v>
      </c>
      <c r="J121" s="5">
        <f>SUMIFS(Dump!AE:AE,Dump!B:B,C121)</f>
        <v>25.23361111</v>
      </c>
      <c r="K121" s="4">
        <f>SUMPRODUCT(
  (TEXT(Dump!$A$2:$A994,"mmm-yy")=TEXT($Y121,"mmm-yy"))*
  (Dump!$B$2:$B994=$C121)*
  Dump!$D$2:$D994)</f>
        <v>58</v>
      </c>
      <c r="L121" s="4">
        <f>SUMPRODUCT(
  (TEXT(Dump!$A$2:$A994,"mmm-yy")=TEXT($Y121,"mmm-yy"))*
  (Dump!$B$2:$B994=$C121)*
  Dump!$E$2:$E994
)</f>
        <v>66</v>
      </c>
      <c r="M121" s="4">
        <f>SUMPRODUCT(
  (TEXT(Dump!$A$2:$A994,"mmm-yy")=TEXT($Y121,"mmm-yy"))*
  (Dump!$B$2:$B994=$C121)*
  Dump!$P$2:$P994
)</f>
        <v>48</v>
      </c>
      <c r="N121" s="32" t="str">
        <f t="shared" si="20"/>
        <v/>
      </c>
      <c r="O121" s="33">
        <f>SUMIFS(Dump!$D:$D,Dump!$B:$B,$C121,Dump!$A:$A,$Y121)</f>
        <v>0</v>
      </c>
      <c r="P121" s="33">
        <f>SUMIFS(Dump!R:R,Dump!B:B,C121,Dump!A:A,Y121)</f>
        <v>0</v>
      </c>
      <c r="Q121" s="34">
        <f t="shared" si="21"/>
        <v>0</v>
      </c>
      <c r="S121" s="4">
        <f>SUMIFS(Dump!E:E,Dump!B:B,C121,Dump!A:A,Y121)</f>
        <v>0</v>
      </c>
      <c r="T121" s="35">
        <f t="shared" si="22"/>
        <v>0</v>
      </c>
      <c r="V121" s="4">
        <f>SUMIFS(Dump!P:P,Dump!B:B,C121,Dump!A:A,Y121)</f>
        <v>0</v>
      </c>
      <c r="W121" s="37">
        <f t="shared" si="23"/>
        <v>0</v>
      </c>
      <c r="X121" s="39"/>
      <c r="Y121" s="52">
        <v>46167.0</v>
      </c>
    </row>
    <row r="122">
      <c r="A122" s="31" t="s">
        <v>115</v>
      </c>
      <c r="B122" s="2"/>
      <c r="C122" s="3" t="s">
        <v>79</v>
      </c>
      <c r="D122" s="2" t="s">
        <v>80</v>
      </c>
      <c r="E122" s="2" t="s">
        <v>46</v>
      </c>
      <c r="F122" s="2" t="s">
        <v>32</v>
      </c>
      <c r="G122" s="2" t="s">
        <v>81</v>
      </c>
      <c r="I122" s="4">
        <f>SUMIFS(Dump!D:D,Dump!B:B,C122)</f>
        <v>57</v>
      </c>
      <c r="J122" s="5">
        <f>SUMIFS(Dump!AE:AE,Dump!B:B,C122)</f>
        <v>11.64361111</v>
      </c>
      <c r="K122" s="4">
        <f>SUMPRODUCT(
  (TEXT(Dump!$A$2:$A994,"mmm-yy")=TEXT($Y122,"mmm-yy"))*
  (Dump!$B$2:$B994=$C122)*
  Dump!$D$2:$D994)</f>
        <v>0</v>
      </c>
      <c r="L122" s="4">
        <f>SUMPRODUCT(
  (TEXT(Dump!$A$2:$A994,"mmm-yy")=TEXT($Y122,"mmm-yy"))*
  (Dump!$B$2:$B994=$C122)*
  Dump!$E$2:$E994
)</f>
        <v>0</v>
      </c>
      <c r="M122" s="4">
        <f>SUMPRODUCT(
  (TEXT(Dump!$A$2:$A994,"mmm-yy")=TEXT($Y122,"mmm-yy"))*
  (Dump!$B$2:$B994=$C122)*
  Dump!$P$2:$P994
)</f>
        <v>0</v>
      </c>
      <c r="N122" s="32" t="str">
        <f t="shared" si="20"/>
        <v/>
      </c>
      <c r="O122" s="33">
        <f>SUMIFS(Dump!$D:$D,Dump!$B:$B,$C122,Dump!$A:$A,$Y122)</f>
        <v>0</v>
      </c>
      <c r="P122" s="33">
        <f>SUMIFS(Dump!R:R,Dump!B:B,C122,Dump!A:A,Y122)</f>
        <v>0</v>
      </c>
      <c r="Q122" s="34">
        <f t="shared" si="21"/>
        <v>0</v>
      </c>
      <c r="S122" s="4">
        <f>SUMIFS(Dump!E:E,Dump!B:B,C122,Dump!A:A,Y122)</f>
        <v>0</v>
      </c>
      <c r="T122" s="35">
        <f t="shared" si="22"/>
        <v>0</v>
      </c>
      <c r="V122" s="4">
        <f>SUMIFS(Dump!P:P,Dump!B:B,C122,Dump!A:A,Y122)</f>
        <v>0</v>
      </c>
      <c r="W122" s="37">
        <f t="shared" si="23"/>
        <v>0</v>
      </c>
      <c r="X122" s="39"/>
      <c r="Y122" s="52">
        <v>46167.0</v>
      </c>
    </row>
    <row r="123">
      <c r="A123" s="31" t="s">
        <v>115</v>
      </c>
      <c r="B123" s="2"/>
      <c r="C123" s="3" t="s">
        <v>82</v>
      </c>
      <c r="D123" s="2" t="s">
        <v>83</v>
      </c>
      <c r="E123" s="2" t="s">
        <v>46</v>
      </c>
      <c r="F123" s="2" t="s">
        <v>41</v>
      </c>
      <c r="G123" s="2"/>
      <c r="I123" s="4">
        <f>SUMIFS(Dump!D:D,Dump!B:B,C123)</f>
        <v>52</v>
      </c>
      <c r="J123" s="5">
        <f>SUMIFS(Dump!AE:AE,Dump!B:B,C123)</f>
        <v>10.99111111</v>
      </c>
      <c r="K123" s="4">
        <f>SUMPRODUCT(
  (TEXT(Dump!$A$2:$A994,"mmm-yy")=TEXT($Y123,"mmm-yy"))*
  (Dump!$B$2:$B994=$C123)*
  Dump!$D$2:$D994)</f>
        <v>0</v>
      </c>
      <c r="L123" s="4">
        <f>SUMPRODUCT(
  (TEXT(Dump!$A$2:$A994,"mmm-yy")=TEXT($Y123,"mmm-yy"))*
  (Dump!$B$2:$B994=$C123)*
  Dump!$E$2:$E994
)</f>
        <v>0</v>
      </c>
      <c r="M123" s="4">
        <f>SUMPRODUCT(
  (TEXT(Dump!$A$2:$A994,"mmm-yy")=TEXT($Y123,"mmm-yy"))*
  (Dump!$B$2:$B994=$C123)*
  Dump!$P$2:$P994
)</f>
        <v>0</v>
      </c>
      <c r="N123" s="32" t="str">
        <f t="shared" si="20"/>
        <v/>
      </c>
      <c r="O123" s="33">
        <f>SUMIFS(Dump!$D:$D,Dump!$B:$B,$C123,Dump!$A:$A,$Y123)</f>
        <v>0</v>
      </c>
      <c r="P123" s="33">
        <f>SUMIFS(Dump!R:R,Dump!B:B,C123,Dump!A:A,Y123)</f>
        <v>0</v>
      </c>
      <c r="Q123" s="34">
        <f t="shared" si="21"/>
        <v>0</v>
      </c>
      <c r="S123" s="4">
        <f>SUMIFS(Dump!E:E,Dump!B:B,C123,Dump!A:A,Y123)</f>
        <v>0</v>
      </c>
      <c r="T123" s="35">
        <f t="shared" si="22"/>
        <v>0</v>
      </c>
      <c r="V123" s="4">
        <f>SUMIFS(Dump!P:P,Dump!B:B,C123,Dump!A:A,Y123)</f>
        <v>0</v>
      </c>
      <c r="W123" s="37">
        <f t="shared" si="23"/>
        <v>0</v>
      </c>
      <c r="X123" s="39"/>
      <c r="Y123" s="52">
        <v>46167.0</v>
      </c>
    </row>
    <row r="124">
      <c r="A124" s="31" t="s">
        <v>115</v>
      </c>
      <c r="B124" s="2"/>
      <c r="C124" s="3" t="s">
        <v>84</v>
      </c>
      <c r="D124" s="2" t="s">
        <v>85</v>
      </c>
      <c r="E124" s="2"/>
      <c r="F124" s="2"/>
      <c r="G124" s="2"/>
      <c r="I124" s="4">
        <f>SUMIFS(Dump!D:D,Dump!B:B,C124)</f>
        <v>0</v>
      </c>
      <c r="J124" s="5">
        <f>SUMIFS(Dump!AE:AE,Dump!B:B,C124)</f>
        <v>0</v>
      </c>
      <c r="K124" s="4">
        <f>SUMPRODUCT(
  (TEXT(Dump!$A$2:$A994,"mmm-yy")=TEXT($Y124,"mmm-yy"))*
  (Dump!$B$2:$B994=$C124)*
  Dump!$D$2:$D994)</f>
        <v>0</v>
      </c>
      <c r="L124" s="4">
        <f>SUMPRODUCT(
  (TEXT(Dump!$A$2:$A994,"mmm-yy")=TEXT($Y124,"mmm-yy"))*
  (Dump!$B$2:$B994=$C124)*
  Dump!$E$2:$E994
)</f>
        <v>0</v>
      </c>
      <c r="M124" s="4">
        <f>SUMPRODUCT(
  (TEXT(Dump!$A$2:$A994,"mmm-yy")=TEXT($Y124,"mmm-yy"))*
  (Dump!$B$2:$B994=$C124)*
  Dump!$P$2:$P994
)</f>
        <v>0</v>
      </c>
      <c r="N124" s="32" t="str">
        <f t="shared" si="20"/>
        <v/>
      </c>
      <c r="O124" s="33">
        <f>SUMIFS(Dump!$D:$D,Dump!$B:$B,$C124,Dump!$A:$A,$Y124)</f>
        <v>0</v>
      </c>
      <c r="P124" s="33">
        <f>SUMIFS(Dump!R:R,Dump!B:B,C124,Dump!A:A,Y124)</f>
        <v>0</v>
      </c>
      <c r="Q124" s="34">
        <f t="shared" si="21"/>
        <v>0</v>
      </c>
      <c r="S124" s="4">
        <f>SUMIFS(Dump!E:E,Dump!B:B,C124,Dump!A:A,Y124)</f>
        <v>0</v>
      </c>
      <c r="T124" s="35">
        <f t="shared" si="22"/>
        <v>0</v>
      </c>
      <c r="V124" s="4">
        <f>SUMIFS(Dump!P:P,Dump!B:B,C124,Dump!A:A,Y124)</f>
        <v>0</v>
      </c>
      <c r="W124" s="37">
        <f t="shared" si="23"/>
        <v>0</v>
      </c>
      <c r="X124" s="39"/>
      <c r="Y124" s="52">
        <v>46167.0</v>
      </c>
    </row>
    <row r="125">
      <c r="A125" s="31" t="s">
        <v>115</v>
      </c>
      <c r="B125" s="2"/>
      <c r="C125" s="3" t="s">
        <v>86</v>
      </c>
      <c r="D125" s="2" t="s">
        <v>87</v>
      </c>
      <c r="E125" s="2" t="s">
        <v>26</v>
      </c>
      <c r="F125" s="2"/>
      <c r="G125" s="2"/>
      <c r="I125" s="4">
        <f>SUMIFS(Dump!D:D,Dump!B:B,C125)</f>
        <v>82</v>
      </c>
      <c r="J125" s="5">
        <f>SUMIFS(Dump!AE:AE,Dump!B:B,C125)</f>
        <v>9.908333333</v>
      </c>
      <c r="K125" s="4">
        <f>SUMPRODUCT(
  (TEXT(Dump!$A$2:$A994,"mmm-yy")=TEXT($Y125,"mmm-yy"))*
  (Dump!$B$2:$B994=$C125)*
  Dump!$D$2:$D994)</f>
        <v>35</v>
      </c>
      <c r="L125" s="4">
        <f>SUMPRODUCT(
  (TEXT(Dump!$A$2:$A994,"mmm-yy")=TEXT($Y125,"mmm-yy"))*
  (Dump!$B$2:$B994=$C125)*
  Dump!$E$2:$E994
)</f>
        <v>5</v>
      </c>
      <c r="M125" s="4">
        <f>SUMPRODUCT(
  (TEXT(Dump!$A$2:$A994,"mmm-yy")=TEXT($Y125,"mmm-yy"))*
  (Dump!$B$2:$B994=$C125)*
  Dump!$P$2:$P994
)</f>
        <v>0</v>
      </c>
      <c r="N125" s="32" t="str">
        <f t="shared" si="20"/>
        <v/>
      </c>
      <c r="O125" s="33">
        <f>SUMIFS(Dump!$D:$D,Dump!$B:$B,$C125,Dump!$A:$A,$Y125)</f>
        <v>0</v>
      </c>
      <c r="P125" s="33">
        <f>SUMIFS(Dump!R:R,Dump!B:B,C125,Dump!A:A,Y125)</f>
        <v>0</v>
      </c>
      <c r="Q125" s="34">
        <f t="shared" si="21"/>
        <v>0</v>
      </c>
      <c r="S125" s="4">
        <f>SUMIFS(Dump!E:E,Dump!B:B,C125,Dump!A:A,Y125)</f>
        <v>0</v>
      </c>
      <c r="T125" s="35">
        <f t="shared" si="22"/>
        <v>0</v>
      </c>
      <c r="V125" s="4">
        <f>SUMIFS(Dump!P:P,Dump!B:B,C125,Dump!A:A,Y125)</f>
        <v>0</v>
      </c>
      <c r="W125" s="37">
        <f t="shared" si="23"/>
        <v>0</v>
      </c>
      <c r="X125" s="39"/>
      <c r="Y125" s="52">
        <v>46167.0</v>
      </c>
    </row>
    <row r="126">
      <c r="A126" s="31" t="s">
        <v>115</v>
      </c>
      <c r="B126" s="2"/>
      <c r="C126" s="3" t="s">
        <v>88</v>
      </c>
      <c r="D126" s="2" t="s">
        <v>89</v>
      </c>
      <c r="E126" s="2" t="s">
        <v>46</v>
      </c>
      <c r="F126" s="2" t="s">
        <v>27</v>
      </c>
      <c r="G126" s="2" t="s">
        <v>47</v>
      </c>
      <c r="I126" s="4">
        <f>SUMIFS(Dump!D:D,Dump!B:B,C126)</f>
        <v>56</v>
      </c>
      <c r="J126" s="5">
        <f>SUMIFS(Dump!AE:AE,Dump!B:B,C126)</f>
        <v>10.39083333</v>
      </c>
      <c r="K126" s="4">
        <f>SUMPRODUCT(
  (TEXT(Dump!$A$2:$A994,"mmm-yy")=TEXT($Y126,"mmm-yy"))*
  (Dump!$B$2:$B994=$C126)*
  Dump!$D$2:$D994)</f>
        <v>0</v>
      </c>
      <c r="L126" s="4">
        <f>SUMPRODUCT(
  (TEXT(Dump!$A$2:$A994,"mmm-yy")=TEXT($Y126,"mmm-yy"))*
  (Dump!$B$2:$B994=$C126)*
  Dump!$E$2:$E994
)</f>
        <v>0</v>
      </c>
      <c r="M126" s="4">
        <f>SUMPRODUCT(
  (TEXT(Dump!$A$2:$A994,"mmm-yy")=TEXT($Y126,"mmm-yy"))*
  (Dump!$B$2:$B994=$C126)*
  Dump!$P$2:$P994
)</f>
        <v>0</v>
      </c>
      <c r="N126" s="32" t="str">
        <f t="shared" si="20"/>
        <v/>
      </c>
      <c r="O126" s="33">
        <f>SUMIFS(Dump!$D:$D,Dump!$B:$B,$C126,Dump!$A:$A,$Y126)</f>
        <v>0</v>
      </c>
      <c r="P126" s="33">
        <f>SUMIFS(Dump!R:R,Dump!B:B,C126,Dump!A:A,Y126)</f>
        <v>0</v>
      </c>
      <c r="Q126" s="34">
        <f t="shared" si="21"/>
        <v>0</v>
      </c>
      <c r="S126" s="4">
        <f>SUMIFS(Dump!E:E,Dump!B:B,C126,Dump!A:A,Y126)</f>
        <v>0</v>
      </c>
      <c r="T126" s="35">
        <f t="shared" si="22"/>
        <v>0</v>
      </c>
      <c r="V126" s="4">
        <f>SUMIFS(Dump!P:P,Dump!B:B,C126,Dump!A:A,Y126)</f>
        <v>0</v>
      </c>
      <c r="W126" s="37">
        <f t="shared" si="23"/>
        <v>0</v>
      </c>
      <c r="X126" s="39"/>
      <c r="Y126" s="52">
        <v>46167.0</v>
      </c>
    </row>
    <row r="127">
      <c r="A127" s="31" t="s">
        <v>115</v>
      </c>
      <c r="B127" s="2"/>
      <c r="C127" s="3" t="s">
        <v>90</v>
      </c>
      <c r="D127" s="2" t="s">
        <v>91</v>
      </c>
      <c r="E127" s="2" t="s">
        <v>46</v>
      </c>
      <c r="F127" s="2" t="s">
        <v>32</v>
      </c>
      <c r="G127" s="2" t="s">
        <v>92</v>
      </c>
      <c r="I127" s="4">
        <f>SUMIFS(Dump!D:D,Dump!B:B,C127)</f>
        <v>50</v>
      </c>
      <c r="J127" s="5">
        <f>SUMIFS(Dump!AE:AE,Dump!B:B,C127)</f>
        <v>10.19194444</v>
      </c>
      <c r="K127" s="4">
        <f>SUMPRODUCT(
  (TEXT(Dump!$A$2:$A994,"mmm-yy")=TEXT($Y127,"mmm-yy"))*
  (Dump!$B$2:$B994=$C127)*
  Dump!$D$2:$D994)</f>
        <v>0</v>
      </c>
      <c r="L127" s="4">
        <f>SUMPRODUCT(
  (TEXT(Dump!$A$2:$A994,"mmm-yy")=TEXT($Y127,"mmm-yy"))*
  (Dump!$B$2:$B994=$C127)*
  Dump!$E$2:$E994
)</f>
        <v>0</v>
      </c>
      <c r="M127" s="4">
        <f>SUMPRODUCT(
  (TEXT(Dump!$A$2:$A994,"mmm-yy")=TEXT($Y127,"mmm-yy"))*
  (Dump!$B$2:$B994=$C127)*
  Dump!$P$2:$P994
)</f>
        <v>1</v>
      </c>
      <c r="N127" s="32" t="str">
        <f t="shared" si="20"/>
        <v/>
      </c>
      <c r="O127" s="33">
        <f>SUMIFS(Dump!$D:$D,Dump!$B:$B,$C127,Dump!$A:$A,$Y127)</f>
        <v>0</v>
      </c>
      <c r="P127" s="33">
        <f>SUMIFS(Dump!R:R,Dump!B:B,C127,Dump!A:A,Y127)</f>
        <v>0</v>
      </c>
      <c r="Q127" s="34">
        <f t="shared" si="21"/>
        <v>0</v>
      </c>
      <c r="S127" s="4">
        <f>SUMIFS(Dump!E:E,Dump!B:B,C127,Dump!A:A,Y127)</f>
        <v>0</v>
      </c>
      <c r="T127" s="35">
        <f t="shared" si="22"/>
        <v>0</v>
      </c>
      <c r="V127" s="4">
        <f>SUMIFS(Dump!P:P,Dump!B:B,C127,Dump!A:A,Y127)</f>
        <v>0</v>
      </c>
      <c r="W127" s="37">
        <f t="shared" si="23"/>
        <v>0</v>
      </c>
      <c r="X127" s="39"/>
      <c r="Y127" s="52">
        <v>46167.0</v>
      </c>
    </row>
    <row r="128">
      <c r="A128" s="31" t="s">
        <v>115</v>
      </c>
      <c r="B128" s="2"/>
      <c r="C128" s="3" t="s">
        <v>93</v>
      </c>
      <c r="D128" s="2" t="s">
        <v>94</v>
      </c>
      <c r="E128" s="2" t="s">
        <v>26</v>
      </c>
      <c r="F128" s="2"/>
      <c r="G128" s="2"/>
      <c r="I128" s="4">
        <f>SUMIFS(Dump!D:D,Dump!B:B,C128)</f>
        <v>79</v>
      </c>
      <c r="J128" s="5">
        <f>SUMIFS(Dump!AE:AE,Dump!B:B,C128)</f>
        <v>17.93027778</v>
      </c>
      <c r="K128" s="4">
        <f>SUMPRODUCT(
  (TEXT(Dump!$A$2:$A994,"mmm-yy")=TEXT($Y128,"mmm-yy"))*
  (Dump!$B$2:$B994=$C128)*
  Dump!$D$2:$D994)</f>
        <v>30</v>
      </c>
      <c r="L128" s="4">
        <f>SUMPRODUCT(
  (TEXT(Dump!$A$2:$A994,"mmm-yy")=TEXT($Y128,"mmm-yy"))*
  (Dump!$B$2:$B994=$C128)*
  Dump!$E$2:$E994
)</f>
        <v>34</v>
      </c>
      <c r="M128" s="4">
        <f>SUMPRODUCT(
  (TEXT(Dump!$A$2:$A994,"mmm-yy")=TEXT($Y128,"mmm-yy"))*
  (Dump!$B$2:$B994=$C128)*
  Dump!$P$2:$P994
)</f>
        <v>34</v>
      </c>
      <c r="N128" s="32" t="str">
        <f t="shared" si="20"/>
        <v/>
      </c>
      <c r="O128" s="33">
        <f>SUMIFS(Dump!$D:$D,Dump!$B:$B,$C128,Dump!$A:$A,$Y128)</f>
        <v>0</v>
      </c>
      <c r="P128" s="33">
        <f>SUMIFS(Dump!R:R,Dump!B:B,C128,Dump!A:A,Y128)</f>
        <v>0</v>
      </c>
      <c r="Q128" s="34">
        <f t="shared" si="21"/>
        <v>0</v>
      </c>
      <c r="S128" s="4">
        <f>SUMIFS(Dump!E:E,Dump!B:B,C128,Dump!A:A,Y128)</f>
        <v>0</v>
      </c>
      <c r="T128" s="35">
        <f t="shared" si="22"/>
        <v>0</v>
      </c>
      <c r="V128" s="4">
        <f>SUMIFS(Dump!P:P,Dump!B:B,C128,Dump!A:A,Y128)</f>
        <v>0</v>
      </c>
      <c r="W128" s="37">
        <f t="shared" si="23"/>
        <v>0</v>
      </c>
      <c r="X128" s="39"/>
      <c r="Y128" s="52">
        <v>46167.0</v>
      </c>
    </row>
    <row r="129">
      <c r="A129" s="31" t="s">
        <v>115</v>
      </c>
      <c r="B129" s="2"/>
      <c r="C129" s="3" t="s">
        <v>95</v>
      </c>
      <c r="D129" s="2" t="s">
        <v>96</v>
      </c>
      <c r="E129" s="2" t="s">
        <v>46</v>
      </c>
      <c r="F129" s="2" t="s">
        <v>41</v>
      </c>
      <c r="G129" s="2" t="s">
        <v>92</v>
      </c>
      <c r="I129" s="4">
        <f>SUMIFS(Dump!D:D,Dump!B:B,C129)</f>
        <v>50</v>
      </c>
      <c r="J129" s="5">
        <f>SUMIFS(Dump!AE:AE,Dump!B:B,C129)</f>
        <v>10.06555556</v>
      </c>
      <c r="K129" s="4">
        <f>SUMPRODUCT(
  (TEXT(Dump!$A$2:$A994,"mmm-yy")=TEXT($Y129,"mmm-yy"))*
  (Dump!$B$2:$B994=$C129)*
  Dump!$D$2:$D994)</f>
        <v>0</v>
      </c>
      <c r="L129" s="4">
        <f>SUMPRODUCT(
  (TEXT(Dump!$A$2:$A994,"mmm-yy")=TEXT($Y129,"mmm-yy"))*
  (Dump!$B$2:$B994=$C129)*
  Dump!$E$2:$E994
)</f>
        <v>0</v>
      </c>
      <c r="M129" s="4">
        <f>SUMPRODUCT(
  (TEXT(Dump!$A$2:$A994,"mmm-yy")=TEXT($Y129,"mmm-yy"))*
  (Dump!$B$2:$B994=$C129)*
  Dump!$P$2:$P994
)</f>
        <v>0</v>
      </c>
      <c r="N129" s="32" t="str">
        <f t="shared" si="20"/>
        <v/>
      </c>
      <c r="O129" s="33">
        <f>SUMIFS(Dump!$D:$D,Dump!$B:$B,$C129,Dump!$A:$A,$Y129)</f>
        <v>0</v>
      </c>
      <c r="P129" s="33">
        <f>SUMIFS(Dump!R:R,Dump!B:B,C129,Dump!A:A,Y129)</f>
        <v>0</v>
      </c>
      <c r="Q129" s="34">
        <f t="shared" si="21"/>
        <v>0</v>
      </c>
      <c r="S129" s="4">
        <f>SUMIFS(Dump!E:E,Dump!B:B,C129,Dump!A:A,Y129)</f>
        <v>0</v>
      </c>
      <c r="T129" s="35">
        <f t="shared" si="22"/>
        <v>0</v>
      </c>
      <c r="V129" s="4">
        <f>SUMIFS(Dump!P:P,Dump!B:B,C129,Dump!A:A,Y129)</f>
        <v>0</v>
      </c>
      <c r="W129" s="37">
        <f t="shared" si="23"/>
        <v>0</v>
      </c>
      <c r="X129" s="39"/>
      <c r="Y129" s="52">
        <v>46167.0</v>
      </c>
    </row>
    <row r="130">
      <c r="A130" s="31" t="s">
        <v>115</v>
      </c>
      <c r="B130" s="2"/>
      <c r="C130" s="3" t="s">
        <v>97</v>
      </c>
      <c r="D130" s="2" t="s">
        <v>98</v>
      </c>
      <c r="E130" s="2" t="s">
        <v>26</v>
      </c>
      <c r="F130" s="2" t="s">
        <v>27</v>
      </c>
      <c r="G130" s="2" t="s">
        <v>81</v>
      </c>
      <c r="I130" s="4">
        <f>SUMIFS(Dump!D:D,Dump!B:B,C130)</f>
        <v>125</v>
      </c>
      <c r="J130" s="5">
        <f>SUMIFS(Dump!AE:AE,Dump!B:B,C130)</f>
        <v>10.79361111</v>
      </c>
      <c r="K130" s="4">
        <f>SUMPRODUCT(
  (TEXT(Dump!$A$2:$A994,"mmm-yy")=TEXT($Y130,"mmm-yy"))*
  (Dump!$B$2:$B994=$C130)*
  Dump!$D$2:$D994)</f>
        <v>75</v>
      </c>
      <c r="L130" s="4">
        <f>SUMPRODUCT(
  (TEXT(Dump!$A$2:$A994,"mmm-yy")=TEXT($Y130,"mmm-yy"))*
  (Dump!$B$2:$B994=$C130)*
  Dump!$E$2:$E994
)</f>
        <v>42</v>
      </c>
      <c r="M130" s="4">
        <f>SUMPRODUCT(
  (TEXT(Dump!$A$2:$A994,"mmm-yy")=TEXT($Y130,"mmm-yy"))*
  (Dump!$B$2:$B994=$C130)*
  Dump!$P$2:$P994
)</f>
        <v>20</v>
      </c>
      <c r="N130" s="32" t="str">
        <f t="shared" si="20"/>
        <v/>
      </c>
      <c r="O130" s="33">
        <f>SUMIFS(Dump!$D:$D,Dump!$B:$B,$C130,Dump!$A:$A,$Y130)</f>
        <v>0</v>
      </c>
      <c r="P130" s="33">
        <f>SUMIFS(Dump!R:R,Dump!B:B,C130,Dump!A:A,Y130)</f>
        <v>0</v>
      </c>
      <c r="Q130" s="34">
        <f t="shared" si="21"/>
        <v>0</v>
      </c>
      <c r="S130" s="4">
        <f>SUMIFS(Dump!E:E,Dump!B:B,C130,Dump!A:A,Y130)</f>
        <v>0</v>
      </c>
      <c r="T130" s="35">
        <f t="shared" si="22"/>
        <v>0</v>
      </c>
      <c r="V130" s="4">
        <f>SUMIFS(Dump!P:P,Dump!B:B,C130,Dump!A:A,Y130)</f>
        <v>0</v>
      </c>
      <c r="W130" s="37">
        <f t="shared" si="23"/>
        <v>0</v>
      </c>
      <c r="X130" s="39"/>
      <c r="Y130" s="52">
        <v>46167.0</v>
      </c>
    </row>
    <row r="131">
      <c r="A131" s="31" t="s">
        <v>115</v>
      </c>
      <c r="B131" s="2"/>
      <c r="C131" s="3" t="s">
        <v>99</v>
      </c>
      <c r="D131" s="2" t="s">
        <v>100</v>
      </c>
      <c r="E131" s="2" t="s">
        <v>26</v>
      </c>
      <c r="F131" s="2" t="s">
        <v>27</v>
      </c>
      <c r="G131" s="2"/>
      <c r="I131" s="4">
        <f>SUMIFS(Dump!D:D,Dump!B:B,C131)</f>
        <v>85</v>
      </c>
      <c r="J131" s="5">
        <f>SUMIFS(Dump!AE:AE,Dump!B:B,C131)</f>
        <v>5.431388889</v>
      </c>
      <c r="K131" s="4">
        <f>SUMPRODUCT(
  (TEXT(Dump!$A$2:$A994,"mmm-yy")=TEXT($Y131,"mmm-yy"))*
  (Dump!$B$2:$B994=$C131)*
  Dump!$D$2:$D994)</f>
        <v>60</v>
      </c>
      <c r="L131" s="4">
        <f>SUMPRODUCT(
  (TEXT(Dump!$A$2:$A994,"mmm-yy")=TEXT($Y131,"mmm-yy"))*
  (Dump!$B$2:$B994=$C131)*
  Dump!$E$2:$E994
)</f>
        <v>9</v>
      </c>
      <c r="M131" s="4">
        <f>SUMPRODUCT(
  (TEXT(Dump!$A$2:$A994,"mmm-yy")=TEXT($Y131,"mmm-yy"))*
  (Dump!$B$2:$B994=$C131)*
  Dump!$P$2:$P994
)</f>
        <v>8</v>
      </c>
      <c r="N131" s="32" t="str">
        <f t="shared" si="20"/>
        <v/>
      </c>
      <c r="O131" s="33">
        <f>SUMIFS(Dump!$D:$D,Dump!$B:$B,$C131,Dump!$A:$A,$Y131)</f>
        <v>0</v>
      </c>
      <c r="P131" s="33">
        <f>SUMIFS(Dump!R:R,Dump!B:B,C131,Dump!A:A,Y131)</f>
        <v>0</v>
      </c>
      <c r="Q131" s="34">
        <f t="shared" si="21"/>
        <v>0</v>
      </c>
      <c r="S131" s="4">
        <f>SUMIFS(Dump!E:E,Dump!B:B,C131,Dump!A:A,Y131)</f>
        <v>0</v>
      </c>
      <c r="T131" s="35">
        <f t="shared" si="22"/>
        <v>0</v>
      </c>
      <c r="V131" s="4">
        <f>SUMIFS(Dump!P:P,Dump!B:B,C131,Dump!A:A,Y131)</f>
        <v>0</v>
      </c>
      <c r="W131" s="37">
        <f t="shared" si="23"/>
        <v>0</v>
      </c>
      <c r="X131" s="39"/>
      <c r="Y131" s="52">
        <v>46167.0</v>
      </c>
    </row>
    <row r="132">
      <c r="A132" s="31" t="s">
        <v>115</v>
      </c>
      <c r="B132" s="2"/>
      <c r="C132" s="3" t="s">
        <v>101</v>
      </c>
      <c r="D132" s="2" t="s">
        <v>102</v>
      </c>
      <c r="E132" s="2" t="s">
        <v>46</v>
      </c>
      <c r="F132" s="2" t="s">
        <v>27</v>
      </c>
      <c r="G132" s="2"/>
      <c r="I132" s="4">
        <f>SUMIFS(Dump!D:D,Dump!B:B,C132)</f>
        <v>75</v>
      </c>
      <c r="J132" s="5">
        <f>SUMIFS(Dump!AE:AE,Dump!B:B,C132)</f>
        <v>10.12472222</v>
      </c>
      <c r="K132" s="4">
        <f>SUMPRODUCT(
  (TEXT(Dump!$A$2:$A994,"mmm-yy")=TEXT($Y132,"mmm-yy"))*
  (Dump!$B$2:$B994=$C132)*
  Dump!$D$2:$D994)</f>
        <v>23</v>
      </c>
      <c r="L132" s="4">
        <f>SUMPRODUCT(
  (TEXT(Dump!$A$2:$A994,"mmm-yy")=TEXT($Y132,"mmm-yy"))*
  (Dump!$B$2:$B994=$C132)*
  Dump!$E$2:$E994
)</f>
        <v>11</v>
      </c>
      <c r="M132" s="4">
        <f>SUMPRODUCT(
  (TEXT(Dump!$A$2:$A994,"mmm-yy")=TEXT($Y132,"mmm-yy"))*
  (Dump!$B$2:$B994=$C132)*
  Dump!$P$2:$P994
)</f>
        <v>0</v>
      </c>
      <c r="N132" s="32" t="str">
        <f t="shared" si="20"/>
        <v/>
      </c>
      <c r="O132" s="33">
        <f>SUMIFS(Dump!$D:$D,Dump!$B:$B,$C132,Dump!$A:$A,$Y132)</f>
        <v>0</v>
      </c>
      <c r="P132" s="33">
        <f>SUMIFS(Dump!R:R,Dump!B:B,C132,Dump!A:A,Y132)</f>
        <v>0</v>
      </c>
      <c r="Q132" s="34">
        <f t="shared" si="21"/>
        <v>0</v>
      </c>
      <c r="S132" s="4">
        <f>SUMIFS(Dump!E:E,Dump!B:B,C132,Dump!A:A,Y132)</f>
        <v>0</v>
      </c>
      <c r="T132" s="35">
        <f t="shared" si="22"/>
        <v>0</v>
      </c>
      <c r="V132" s="4">
        <f>SUMIFS(Dump!P:P,Dump!B:B,C132,Dump!A:A,Y132)</f>
        <v>0</v>
      </c>
      <c r="W132" s="37">
        <f t="shared" si="23"/>
        <v>0</v>
      </c>
      <c r="X132" s="39"/>
      <c r="Y132" s="52">
        <v>46167.0</v>
      </c>
    </row>
    <row r="133">
      <c r="A133" s="31" t="s">
        <v>115</v>
      </c>
      <c r="B133" s="2"/>
      <c r="C133" s="3" t="s">
        <v>103</v>
      </c>
      <c r="D133" s="2" t="s">
        <v>104</v>
      </c>
      <c r="E133" s="2"/>
      <c r="F133" s="2"/>
      <c r="G133" s="2"/>
      <c r="I133" s="4">
        <f>SUMIFS(Dump!D:D,Dump!B:B,C133)</f>
        <v>8</v>
      </c>
      <c r="J133" s="5">
        <f>SUMIFS(Dump!AE:AE,Dump!B:B,C133)</f>
        <v>1.161388889</v>
      </c>
      <c r="K133" s="4">
        <f>SUMPRODUCT(
  (TEXT(Dump!$A$2:$A994,"mmm-yy")=TEXT($Y133,"mmm-yy"))*
  (Dump!$B$2:$B994=$C133)*
  Dump!$D$2:$D994)</f>
        <v>0</v>
      </c>
      <c r="L133" s="4">
        <f>SUMPRODUCT(
  (TEXT(Dump!$A$2:$A994,"mmm-yy")=TEXT($Y133,"mmm-yy"))*
  (Dump!$B$2:$B994=$C133)*
  Dump!$E$2:$E994
)</f>
        <v>0</v>
      </c>
      <c r="M133" s="4">
        <f>SUMPRODUCT(
  (TEXT(Dump!$A$2:$A994,"mmm-yy")=TEXT($Y133,"mmm-yy"))*
  (Dump!$B$2:$B994=$C133)*
  Dump!$P$2:$P994
)</f>
        <v>0</v>
      </c>
      <c r="N133" s="32" t="str">
        <f t="shared" si="20"/>
        <v/>
      </c>
      <c r="O133" s="33">
        <f>SUMIFS(Dump!$D:$D,Dump!$B:$B,$C133,Dump!$A:$A,$Y133)</f>
        <v>0</v>
      </c>
      <c r="P133" s="33">
        <f>SUMIFS(Dump!R:R,Dump!B:B,C133,Dump!A:A,Y133)</f>
        <v>0</v>
      </c>
      <c r="Q133" s="34">
        <f t="shared" si="21"/>
        <v>0</v>
      </c>
      <c r="S133" s="4">
        <f>SUMIFS(Dump!E:E,Dump!B:B,C133,Dump!A:A,Y133)</f>
        <v>0</v>
      </c>
      <c r="T133" s="35">
        <f t="shared" si="22"/>
        <v>0</v>
      </c>
      <c r="V133" s="4">
        <f>SUMIFS(Dump!P:P,Dump!B:B,C133,Dump!A:A,Y133)</f>
        <v>0</v>
      </c>
      <c r="W133" s="37">
        <f t="shared" si="23"/>
        <v>0</v>
      </c>
      <c r="X133" s="39"/>
      <c r="Y133" s="52">
        <v>46167.0</v>
      </c>
    </row>
    <row r="134">
      <c r="A134" s="31" t="s">
        <v>115</v>
      </c>
      <c r="B134" s="2"/>
      <c r="C134" s="3" t="s">
        <v>105</v>
      </c>
      <c r="D134" s="2" t="s">
        <v>106</v>
      </c>
      <c r="E134" s="2" t="s">
        <v>26</v>
      </c>
      <c r="F134" s="2"/>
      <c r="G134" s="2"/>
      <c r="I134" s="4">
        <f>SUMIFS(Dump!D:D,Dump!B:B,C134)</f>
        <v>45</v>
      </c>
      <c r="J134" s="5">
        <f>SUMIFS(Dump!AE:AE,Dump!B:B,C134)</f>
        <v>7.171111111</v>
      </c>
      <c r="K134" s="4">
        <f>SUMPRODUCT(
  (TEXT(Dump!$A$2:$A994,"mmm-yy")=TEXT($Y134,"mmm-yy"))*
  (Dump!$B$2:$B994=$C134)*
  Dump!$D$2:$D994)</f>
        <v>30</v>
      </c>
      <c r="L134" s="4">
        <f>SUMPRODUCT(
  (TEXT(Dump!$A$2:$A994,"mmm-yy")=TEXT($Y134,"mmm-yy"))*
  (Dump!$B$2:$B994=$C134)*
  Dump!$E$2:$E994
)</f>
        <v>27</v>
      </c>
      <c r="M134" s="4">
        <f>SUMPRODUCT(
  (TEXT(Dump!$A$2:$A994,"mmm-yy")=TEXT($Y134,"mmm-yy"))*
  (Dump!$B$2:$B994=$C134)*
  Dump!$P$2:$P994
)</f>
        <v>34</v>
      </c>
      <c r="N134" s="32" t="str">
        <f t="shared" si="20"/>
        <v/>
      </c>
      <c r="O134" s="33">
        <f>SUMIFS(Dump!$D:$D,Dump!$B:$B,$C134,Dump!$A:$A,$Y134)</f>
        <v>0</v>
      </c>
      <c r="P134" s="33">
        <f>SUMIFS(Dump!R:R,Dump!B:B,C134,Dump!A:A,Y134)</f>
        <v>0</v>
      </c>
      <c r="Q134" s="34">
        <f t="shared" si="21"/>
        <v>0</v>
      </c>
      <c r="S134" s="4">
        <f>SUMIFS(Dump!E:E,Dump!B:B,C134,Dump!A:A,Y134)</f>
        <v>0</v>
      </c>
      <c r="T134" s="35">
        <f t="shared" si="22"/>
        <v>0</v>
      </c>
      <c r="V134" s="4">
        <f>SUMIFS(Dump!P:P,Dump!B:B,C134,Dump!A:A,Y134)</f>
        <v>0</v>
      </c>
      <c r="W134" s="37">
        <f t="shared" si="23"/>
        <v>0</v>
      </c>
      <c r="X134" s="39"/>
      <c r="Y134" s="52">
        <v>46167.0</v>
      </c>
    </row>
    <row r="135">
      <c r="A135" s="31" t="s">
        <v>115</v>
      </c>
      <c r="B135" s="2"/>
      <c r="C135" s="3" t="s">
        <v>107</v>
      </c>
      <c r="D135" s="2" t="s">
        <v>108</v>
      </c>
      <c r="E135" s="2"/>
      <c r="F135" s="2"/>
      <c r="G135" s="2"/>
      <c r="I135" s="4">
        <f>SUMIFS(Dump!D:D,Dump!B:B,C135)</f>
        <v>44</v>
      </c>
      <c r="J135" s="5">
        <f>SUMIFS(Dump!AE:AE,Dump!B:B,C135)</f>
        <v>0</v>
      </c>
      <c r="K135" s="4">
        <f>SUMPRODUCT(
  (TEXT(Dump!$A$2:$A994,"mmm-yy")=TEXT($Y135,"mmm-yy"))*
  (Dump!$B$2:$B994=$C135)*
  Dump!$D$2:$D994)</f>
        <v>21</v>
      </c>
      <c r="L135" s="4">
        <f>SUMPRODUCT(
  (TEXT(Dump!$A$2:$A994,"mmm-yy")=TEXT($Y135,"mmm-yy"))*
  (Dump!$B$2:$B994=$C135)*
  Dump!$E$2:$E994
)</f>
        <v>15</v>
      </c>
      <c r="M135" s="4">
        <f>SUMPRODUCT(
  (TEXT(Dump!$A$2:$A994,"mmm-yy")=TEXT($Y135,"mmm-yy"))*
  (Dump!$B$2:$B994=$C135)*
  Dump!$P$2:$P994
)</f>
        <v>0</v>
      </c>
      <c r="N135" s="32" t="str">
        <f t="shared" si="20"/>
        <v/>
      </c>
      <c r="O135" s="33">
        <f>SUMIFS(Dump!$D:$D,Dump!$B:$B,$C135,Dump!$A:$A,$Y135)</f>
        <v>0</v>
      </c>
      <c r="P135" s="33">
        <f>SUMIFS(Dump!R:R,Dump!B:B,C135,Dump!A:A,Y135)</f>
        <v>0</v>
      </c>
      <c r="Q135" s="34">
        <f t="shared" si="21"/>
        <v>0</v>
      </c>
      <c r="S135" s="4">
        <f>SUMIFS(Dump!E:E,Dump!B:B,C135,Dump!A:A,Y135)</f>
        <v>0</v>
      </c>
      <c r="T135" s="35">
        <f t="shared" si="22"/>
        <v>0</v>
      </c>
      <c r="V135" s="4">
        <f>SUMIFS(Dump!P:P,Dump!B:B,C135,Dump!A:A,Y135)</f>
        <v>0</v>
      </c>
      <c r="W135" s="37">
        <f t="shared" si="23"/>
        <v>0</v>
      </c>
      <c r="X135" s="39"/>
      <c r="Y135" s="52">
        <v>46167.0</v>
      </c>
    </row>
    <row r="136">
      <c r="A136" s="31" t="s">
        <v>115</v>
      </c>
      <c r="B136" s="2"/>
      <c r="C136" s="3" t="str">
        <f t="shared" ref="C136:C139" si="24">IFERROR(VLOOKUP(D136,Sheet3!L:M,2,0),"")</f>
        <v/>
      </c>
      <c r="D136" s="2" t="s">
        <v>109</v>
      </c>
      <c r="E136" s="2"/>
      <c r="F136" s="2"/>
      <c r="G136" s="2"/>
      <c r="I136" s="4">
        <f>SUMIFS(Dump!D:D,Dump!B:B,C136)</f>
        <v>0</v>
      </c>
      <c r="J136" s="5">
        <f>SUMIFS(Dump!AE:AE,Dump!B:B,C136)</f>
        <v>0</v>
      </c>
      <c r="K136" s="4">
        <f>SUMPRODUCT(
  (TEXT(Dump!$A$2:$A994,"mmm-yy")=TEXT($Y136,"mmm-yy"))*
  (Dump!$B$2:$B994=$C136)*
  Dump!$D$2:$D994)</f>
        <v>0</v>
      </c>
      <c r="L136" s="4">
        <f>SUMPRODUCT(
  (TEXT(Dump!$A$2:$A994,"mmm-yy")=TEXT($Y136,"mmm-yy"))*
  (Dump!$B$2:$B994=$C136)*
  Dump!$E$2:$E994
)</f>
        <v>0</v>
      </c>
      <c r="M136" s="4">
        <f>SUMPRODUCT(
  (TEXT(Dump!$A$2:$A994,"mmm-yy")=TEXT($Y136,"mmm-yy"))*
  (Dump!$B$2:$B994=$C136)*
  Dump!$P$2:$P994
)</f>
        <v>0</v>
      </c>
      <c r="N136" s="32" t="str">
        <f t="shared" si="20"/>
        <v/>
      </c>
      <c r="O136" s="33">
        <f>SUMIFS(Dump!$D:$D,Dump!$B:$B,$C136,Dump!$A:$A,$Y136)</f>
        <v>0</v>
      </c>
      <c r="P136" s="33">
        <f>SUMIFS(Dump!R:R,Dump!B:B,C136,Dump!A:A,Y136)</f>
        <v>0</v>
      </c>
      <c r="Q136" s="34">
        <f t="shared" si="21"/>
        <v>0</v>
      </c>
      <c r="S136" s="4">
        <f>SUMIFS(Dump!E:E,Dump!B:B,C136,Dump!A:A,Y136)</f>
        <v>0</v>
      </c>
      <c r="T136" s="35">
        <f t="shared" si="22"/>
        <v>0</v>
      </c>
      <c r="V136" s="4">
        <f>SUMIFS(Dump!P:P,Dump!B:B,C136,Dump!A:A,Y136)</f>
        <v>0</v>
      </c>
      <c r="W136" s="37">
        <f t="shared" si="23"/>
        <v>0</v>
      </c>
      <c r="X136" s="39"/>
      <c r="Y136" s="52">
        <v>46167.0</v>
      </c>
    </row>
    <row r="137">
      <c r="A137" s="31" t="s">
        <v>115</v>
      </c>
      <c r="B137" s="2"/>
      <c r="C137" s="3" t="str">
        <f t="shared" si="24"/>
        <v/>
      </c>
      <c r="D137" s="2" t="s">
        <v>110</v>
      </c>
      <c r="E137" s="2"/>
      <c r="F137" s="2"/>
      <c r="G137" s="2"/>
      <c r="I137" s="4">
        <f>SUMIFS(Dump!D:D,Dump!B:B,C137)</f>
        <v>0</v>
      </c>
      <c r="J137" s="5">
        <f>SUMIFS(Dump!AE:AE,Dump!B:B,C137)</f>
        <v>0</v>
      </c>
      <c r="K137" s="4">
        <f>SUMPRODUCT(
  (TEXT(Dump!$A$2:$A994,"mmm-yy")=TEXT($Y137,"mmm-yy"))*
  (Dump!$B$2:$B994=$C137)*
  Dump!$D$2:$D994)</f>
        <v>0</v>
      </c>
      <c r="L137" s="4">
        <f>SUMPRODUCT(
  (TEXT(Dump!$A$2:$A994,"mmm-yy")=TEXT($Y137,"mmm-yy"))*
  (Dump!$B$2:$B994=$C137)*
  Dump!$E$2:$E994
)</f>
        <v>0</v>
      </c>
      <c r="M137" s="4">
        <f>SUMPRODUCT(
  (TEXT(Dump!$A$2:$A994,"mmm-yy")=TEXT($Y137,"mmm-yy"))*
  (Dump!$B$2:$B994=$C137)*
  Dump!$P$2:$P994
)</f>
        <v>0</v>
      </c>
      <c r="N137" s="32" t="str">
        <f t="shared" si="20"/>
        <v/>
      </c>
      <c r="O137" s="33">
        <f>SUMIFS(Dump!$D:$D,Dump!$B:$B,$C137,Dump!$A:$A,$Y137)</f>
        <v>0</v>
      </c>
      <c r="P137" s="33">
        <f>SUMIFS(Dump!R:R,Dump!B:B,C137,Dump!A:A,Y137)</f>
        <v>0</v>
      </c>
      <c r="Q137" s="34">
        <f t="shared" si="21"/>
        <v>0</v>
      </c>
      <c r="S137" s="4">
        <f>SUMIFS(Dump!E:E,Dump!B:B,C137,Dump!A:A,Y137)</f>
        <v>0</v>
      </c>
      <c r="T137" s="35">
        <f t="shared" si="22"/>
        <v>0</v>
      </c>
      <c r="V137" s="4">
        <f>SUMIFS(Dump!P:P,Dump!B:B,C137,Dump!A:A,Y137)</f>
        <v>0</v>
      </c>
      <c r="W137" s="37">
        <f t="shared" si="23"/>
        <v>0</v>
      </c>
      <c r="X137" s="39"/>
      <c r="Y137" s="52">
        <v>46167.0</v>
      </c>
    </row>
    <row r="138">
      <c r="A138" s="31" t="s">
        <v>115</v>
      </c>
      <c r="B138" s="2"/>
      <c r="C138" s="3" t="str">
        <f t="shared" si="24"/>
        <v/>
      </c>
      <c r="D138" s="2" t="s">
        <v>111</v>
      </c>
      <c r="E138" s="2"/>
      <c r="F138" s="2" t="str">
        <f t="shared" ref="F138:F139" si="25">IFERROR(VLOOKUP($D138,Sheet3!$N:$Q,3,0),"")</f>
        <v/>
      </c>
      <c r="G138" s="2" t="str">
        <f t="shared" ref="G138:G139" si="26">IFERROR(VLOOKUP($D138,Sheet3!$N:$Q,4,0),"")</f>
        <v/>
      </c>
      <c r="I138" s="4">
        <f>SUMIFS(Dump!D:D,Dump!B:B,C138)</f>
        <v>0</v>
      </c>
      <c r="J138" s="5">
        <f>SUMIFS(Dump!AE:AE,Dump!B:B,C138)</f>
        <v>0</v>
      </c>
      <c r="K138" s="4">
        <f>SUMPRODUCT(
  (TEXT(Dump!$A$2:$A994,"mmm-yy")=TEXT($Y138,"mmm-yy"))*
  (Dump!$B$2:$B994=$C138)*
  Dump!$D$2:$D994)</f>
        <v>0</v>
      </c>
      <c r="L138" s="4">
        <f>SUMPRODUCT(
  (TEXT(Dump!$A$2:$A994,"mmm-yy")=TEXT($Y138,"mmm-yy"))*
  (Dump!$B$2:$B994=$C138)*
  Dump!$E$2:$E994
)</f>
        <v>0</v>
      </c>
      <c r="M138" s="4">
        <f>SUMPRODUCT(
  (TEXT(Dump!$A$2:$A994,"mmm-yy")=TEXT($Y138,"mmm-yy"))*
  (Dump!$B$2:$B994=$C138)*
  Dump!$P$2:$P994
)</f>
        <v>0</v>
      </c>
      <c r="N138" s="32" t="str">
        <f t="shared" si="20"/>
        <v/>
      </c>
      <c r="O138" s="33">
        <f>SUMIFS(Dump!$D:$D,Dump!$B:$B,$C138,Dump!$A:$A,$Y138)</f>
        <v>0</v>
      </c>
      <c r="P138" s="33">
        <f>SUMIFS(Dump!R:R,Dump!B:B,C138,Dump!A:A,Y138)</f>
        <v>0</v>
      </c>
      <c r="Q138" s="34">
        <f t="shared" si="21"/>
        <v>0</v>
      </c>
      <c r="S138" s="4">
        <f>SUMIFS(Dump!E:E,Dump!B:B,C138,Dump!A:A,Y138)</f>
        <v>0</v>
      </c>
      <c r="T138" s="35">
        <f t="shared" si="22"/>
        <v>0</v>
      </c>
      <c r="V138" s="4">
        <f>SUMIFS(Dump!P:P,Dump!B:B,C138,Dump!A:A,Y138)</f>
        <v>0</v>
      </c>
      <c r="W138" s="37">
        <f t="shared" si="23"/>
        <v>0</v>
      </c>
      <c r="X138" s="39"/>
      <c r="Y138" s="52">
        <v>46167.0</v>
      </c>
    </row>
    <row r="139">
      <c r="A139" s="31" t="s">
        <v>115</v>
      </c>
      <c r="B139" s="2"/>
      <c r="C139" s="3" t="str">
        <f t="shared" si="24"/>
        <v/>
      </c>
      <c r="D139" s="2" t="s">
        <v>112</v>
      </c>
      <c r="E139" s="2"/>
      <c r="F139" s="2" t="str">
        <f t="shared" si="25"/>
        <v/>
      </c>
      <c r="G139" s="2" t="str">
        <f t="shared" si="26"/>
        <v/>
      </c>
      <c r="I139" s="4">
        <f>SUMIFS(Dump!D:D,Dump!B:B,C139)</f>
        <v>0</v>
      </c>
      <c r="J139" s="5">
        <f>SUMIFS(Dump!AE:AE,Dump!B:B,C139)</f>
        <v>0</v>
      </c>
      <c r="K139" s="4">
        <f>SUMPRODUCT(
  (TEXT(Dump!$A$2:$A994,"mmm-yy")=TEXT($Y139,"mmm-yy"))*
  (Dump!$B$2:$B994=$C139)*
  Dump!$D$2:$D994)</f>
        <v>0</v>
      </c>
      <c r="L139" s="4">
        <f>SUMPRODUCT(
  (TEXT(Dump!$A$2:$A994,"mmm-yy")=TEXT($Y139,"mmm-yy"))*
  (Dump!$B$2:$B994=$C139)*
  Dump!$E$2:$E994
)</f>
        <v>0</v>
      </c>
      <c r="M139" s="4">
        <f>SUMPRODUCT(
  (TEXT(Dump!$A$2:$A994,"mmm-yy")=TEXT($Y139,"mmm-yy"))*
  (Dump!$B$2:$B994=$C139)*
  Dump!$P$2:$P994
)</f>
        <v>0</v>
      </c>
      <c r="N139" s="32" t="str">
        <f t="shared" si="20"/>
        <v/>
      </c>
      <c r="O139" s="33">
        <f>SUMIFS(Dump!$D:$D,Dump!$B:$B,$C139,Dump!$A:$A,$Y139)</f>
        <v>0</v>
      </c>
      <c r="P139" s="33">
        <f>SUMIFS(Dump!R:R,Dump!B:B,C139,Dump!A:A,Y139)</f>
        <v>0</v>
      </c>
      <c r="Q139" s="34">
        <f t="shared" si="21"/>
        <v>0</v>
      </c>
      <c r="S139" s="4">
        <f>SUMIFS(Dump!E:E,Dump!B:B,C139,Dump!A:A,Y139)</f>
        <v>0</v>
      </c>
      <c r="T139" s="35">
        <f t="shared" si="22"/>
        <v>0</v>
      </c>
      <c r="V139" s="4">
        <f>SUMIFS(Dump!P:P,Dump!B:B,C139,Dump!A:A,Y139)</f>
        <v>0</v>
      </c>
      <c r="W139" s="37">
        <f t="shared" si="23"/>
        <v>0</v>
      </c>
      <c r="X139" s="39"/>
      <c r="Y139" s="52">
        <v>46167.0</v>
      </c>
    </row>
    <row r="140">
      <c r="C140" s="53"/>
      <c r="G140" s="2" t="str">
        <f t="shared" ref="G140:G994" si="27">IFERROR(VLOOKUP($D140,Sheet3!$N:$Q,5,0),"")</f>
        <v/>
      </c>
      <c r="I140" s="4">
        <f>SUMIFS(Dump!D:D,Dump!B:B,C140)</f>
        <v>0</v>
      </c>
      <c r="J140" s="5">
        <f>SUMIFS(Dump!AE:AE,Dump!B:B,C140)</f>
        <v>0</v>
      </c>
      <c r="K140" s="4">
        <f>SUMPRODUCT(
  (TEXT(Dump!$A$2:$A994,"mmm-yy")=TEXT($Y140,"mmm-yy"))*
  (Dump!$B$2:$B994=$C140)*
  Dump!$D$2:$D994)</f>
        <v>0</v>
      </c>
      <c r="L140" s="4">
        <f>SUMPRODUCT(
  (TEXT(Dump!$A$2:$A994,"mmm-yy")=TEXT($Y140,"mmm-yy"))*
  (Dump!$B$2:$B994=$C140)*
  Dump!$E$2:$E994
)</f>
        <v>0</v>
      </c>
      <c r="M140" s="4">
        <f>SUMPRODUCT(
  (TEXT(Dump!$A$2:$A994,"mmm-yy")=TEXT($Y140,"mmm-yy"))*
  (Dump!$B$2:$B994=$C140)*
  Dump!$P$2:$P994
)</f>
        <v>0</v>
      </c>
      <c r="N140" s="32"/>
      <c r="O140" s="33">
        <f>SUMIFS(Dump!$D:$D,Dump!$B:$B,$C140,Dump!$A:$A,$Y140)</f>
        <v>0</v>
      </c>
      <c r="P140" s="33">
        <f>SUMIFS(Dump!R:R,Dump!B:B,C140,Dump!A:A,Y140)</f>
        <v>0</v>
      </c>
      <c r="Q140" s="34">
        <f t="shared" si="21"/>
        <v>0</v>
      </c>
      <c r="S140" s="4">
        <f>SUMIFS(Dump!E:E,Dump!B:B,C140,Dump!A:A,Y140)</f>
        <v>0</v>
      </c>
      <c r="T140" s="35">
        <f t="shared" si="22"/>
        <v>0</v>
      </c>
      <c r="V140" s="4">
        <f>SUMIFS(Dump!P:P,Dump!B:B,C140,Dump!A:A,Y140)</f>
        <v>0</v>
      </c>
      <c r="W140" s="37">
        <f t="shared" si="23"/>
        <v>0</v>
      </c>
      <c r="X140" s="39"/>
      <c r="Y140" s="54"/>
    </row>
    <row r="141">
      <c r="C141" s="53"/>
      <c r="G141" s="2" t="str">
        <f t="shared" si="27"/>
        <v/>
      </c>
      <c r="I141" s="4">
        <f>SUMIFS(Dump!D:D,Dump!B:B,C141)</f>
        <v>0</v>
      </c>
      <c r="J141" s="5">
        <f>SUMIFS(Dump!AE:AE,Dump!B:B,C141)</f>
        <v>0</v>
      </c>
      <c r="K141" s="4">
        <f>SUMPRODUCT(
  (TEXT(Dump!$A$2:$A994,"mmm-yy")=TEXT($Y141,"mmm-yy"))*
  (Dump!$B$2:$B994=$C141)*
  Dump!$D$2:$D994)</f>
        <v>0</v>
      </c>
      <c r="L141" s="4">
        <f>SUMPRODUCT(
  (TEXT(Dump!$A$2:$A994,"mmm-yy")=TEXT($Y141,"mmm-yy"))*
  (Dump!$B$2:$B994=$C141)*
  Dump!$E$2:$E994
)</f>
        <v>0</v>
      </c>
      <c r="M141" s="4">
        <f>SUMPRODUCT(
  (TEXT(Dump!$A$2:$A994,"mmm-yy")=TEXT($Y141,"mmm-yy"))*
  (Dump!$B$2:$B994=$C141)*
  Dump!$P$2:$P994
)</f>
        <v>0</v>
      </c>
      <c r="N141" s="32"/>
      <c r="O141" s="33">
        <f>SUMIFS(Dump!$D:$D,Dump!$B:$B,$C141,Dump!$A:$A,$Y141)</f>
        <v>0</v>
      </c>
      <c r="P141" s="33">
        <f>SUMIFS(Dump!R:R,Dump!B:B,C141,Dump!A:A,Y141)</f>
        <v>0</v>
      </c>
      <c r="Q141" s="34">
        <f t="shared" si="21"/>
        <v>0</v>
      </c>
      <c r="S141" s="4">
        <f>SUMIFS(Dump!E:E,Dump!B:B,C141,Dump!A:A,Y141)</f>
        <v>0</v>
      </c>
      <c r="T141" s="35">
        <f t="shared" si="22"/>
        <v>0</v>
      </c>
      <c r="V141" s="4">
        <f>SUMIFS(Dump!P:P,Dump!B:B,C141,Dump!A:A,Y141)</f>
        <v>0</v>
      </c>
      <c r="W141" s="37">
        <f t="shared" si="23"/>
        <v>0</v>
      </c>
      <c r="X141" s="39"/>
      <c r="Y141" s="54"/>
    </row>
    <row r="142">
      <c r="C142" s="53"/>
      <c r="G142" s="2" t="str">
        <f t="shared" si="27"/>
        <v/>
      </c>
      <c r="I142" s="4">
        <f>SUMIFS(Dump!D:D,Dump!B:B,C142)</f>
        <v>0</v>
      </c>
      <c r="J142" s="5">
        <f>SUMIFS(Dump!AE:AE,Dump!B:B,C142)</f>
        <v>0</v>
      </c>
      <c r="K142" s="4">
        <f>SUMPRODUCT(
  (TEXT(Dump!$A$2:$A994,"mmm-yy")=TEXT($Y142,"mmm-yy"))*
  (Dump!$B$2:$B994=$C142)*
  Dump!$D$2:$D994)</f>
        <v>0</v>
      </c>
      <c r="L142" s="4">
        <f>SUMPRODUCT(
  (TEXT(Dump!$A$2:$A994,"mmm-yy")=TEXT($Y142,"mmm-yy"))*
  (Dump!$B$2:$B994=$C142)*
  Dump!$E$2:$E994
)</f>
        <v>0</v>
      </c>
      <c r="M142" s="4">
        <f>SUMPRODUCT(
  (TEXT(Dump!$A$2:$A994,"mmm-yy")=TEXT($Y142,"mmm-yy"))*
  (Dump!$B$2:$B994=$C142)*
  Dump!$P$2:$P994
)</f>
        <v>0</v>
      </c>
      <c r="N142" s="32"/>
      <c r="O142" s="33">
        <f>SUMIFS(Dump!$D:$D,Dump!$B:$B,$C142,Dump!$A:$A,$Y142)</f>
        <v>0</v>
      </c>
      <c r="P142" s="33">
        <f>SUMIFS(Dump!R:R,Dump!B:B,C142,Dump!A:A,Y142)</f>
        <v>0</v>
      </c>
      <c r="Q142" s="34">
        <f t="shared" si="21"/>
        <v>0</v>
      </c>
      <c r="S142" s="4">
        <f>SUMIFS(Dump!E:E,Dump!B:B,C142,Dump!A:A,Y142)</f>
        <v>0</v>
      </c>
      <c r="T142" s="35">
        <f t="shared" si="22"/>
        <v>0</v>
      </c>
      <c r="V142" s="4">
        <f>SUMIFS(Dump!P:P,Dump!B:B,C142,Dump!A:A,Y142)</f>
        <v>0</v>
      </c>
      <c r="W142" s="37">
        <f t="shared" si="23"/>
        <v>0</v>
      </c>
      <c r="X142" s="39"/>
      <c r="Y142" s="54"/>
    </row>
    <row r="143">
      <c r="C143" s="53"/>
      <c r="G143" s="2" t="str">
        <f t="shared" si="27"/>
        <v/>
      </c>
      <c r="I143" s="4">
        <f>SUMIFS(Dump!D:D,Dump!B:B,C143)</f>
        <v>0</v>
      </c>
      <c r="J143" s="5">
        <f>SUMIFS(Dump!AE:AE,Dump!B:B,C143)</f>
        <v>0</v>
      </c>
      <c r="K143" s="4">
        <f>SUMPRODUCT(
  (TEXT(Dump!$A$2:$A994,"mmm-yy")=TEXT($Y143,"mmm-yy"))*
  (Dump!$B$2:$B994=$C143)*
  Dump!$D$2:$D994)</f>
        <v>0</v>
      </c>
      <c r="L143" s="4">
        <f>SUMPRODUCT(
  (TEXT(Dump!$A$2:$A994,"mmm-yy")=TEXT($Y143,"mmm-yy"))*
  (Dump!$B$2:$B994=$C143)*
  Dump!$E$2:$E994
)</f>
        <v>0</v>
      </c>
      <c r="M143" s="4">
        <f>SUMPRODUCT(
  (TEXT(Dump!$A$2:$A994,"mmm-yy")=TEXT($Y143,"mmm-yy"))*
  (Dump!$B$2:$B994=$C143)*
  Dump!$P$2:$P994
)</f>
        <v>0</v>
      </c>
      <c r="N143" s="32"/>
      <c r="O143" s="33">
        <f>SUMIFS(Dump!$D:$D,Dump!$B:$B,$C143,Dump!$A:$A,$Y143)</f>
        <v>0</v>
      </c>
      <c r="P143" s="33">
        <f>SUMIFS(Dump!R:R,Dump!B:B,C143,Dump!A:A,Y143)</f>
        <v>0</v>
      </c>
      <c r="Q143" s="34">
        <f t="shared" si="21"/>
        <v>0</v>
      </c>
      <c r="S143" s="4">
        <f>SUMIFS(Dump!E:E,Dump!B:B,C143,Dump!A:A,Y143)</f>
        <v>0</v>
      </c>
      <c r="T143" s="35">
        <f t="shared" si="22"/>
        <v>0</v>
      </c>
      <c r="V143" s="4">
        <f>SUMIFS(Dump!P:P,Dump!B:B,C143,Dump!A:A,Y143)</f>
        <v>0</v>
      </c>
      <c r="W143" s="37">
        <f t="shared" si="23"/>
        <v>0</v>
      </c>
      <c r="X143" s="39"/>
      <c r="Y143" s="54"/>
    </row>
    <row r="144">
      <c r="C144" s="53"/>
      <c r="G144" s="2" t="str">
        <f t="shared" si="27"/>
        <v/>
      </c>
      <c r="I144" s="4">
        <f>SUMIFS(Dump!D:D,Dump!B:B,C144)</f>
        <v>0</v>
      </c>
      <c r="J144" s="5">
        <f>SUMIFS(Dump!AE:AE,Dump!B:B,C144)</f>
        <v>0</v>
      </c>
      <c r="K144" s="4">
        <f>SUMPRODUCT(
  (TEXT(Dump!$A$2:$A994,"mmm-yy")=TEXT($Y144,"mmm-yy"))*
  (Dump!$B$2:$B994=$C144)*
  Dump!$D$2:$D994)</f>
        <v>0</v>
      </c>
      <c r="L144" s="4">
        <f>SUMPRODUCT(
  (TEXT(Dump!$A$2:$A994,"mmm-yy")=TEXT($Y144,"mmm-yy"))*
  (Dump!$B$2:$B994=$C144)*
  Dump!$E$2:$E994
)</f>
        <v>0</v>
      </c>
      <c r="M144" s="4">
        <f>SUMPRODUCT(
  (TEXT(Dump!$A$2:$A994,"mmm-yy")=TEXT($Y144,"mmm-yy"))*
  (Dump!$B$2:$B994=$C144)*
  Dump!$P$2:$P994
)</f>
        <v>0</v>
      </c>
      <c r="N144" s="32"/>
      <c r="O144" s="33">
        <f>SUMIFS(Dump!$D:$D,Dump!$B:$B,$C144,Dump!$A:$A,$Y144)</f>
        <v>0</v>
      </c>
      <c r="P144" s="33">
        <f>SUMIFS(Dump!R:R,Dump!B:B,C144,Dump!A:A,Y144)</f>
        <v>0</v>
      </c>
      <c r="Q144" s="34">
        <f t="shared" si="21"/>
        <v>0</v>
      </c>
      <c r="S144" s="4">
        <f>SUMIFS(Dump!E:E,Dump!B:B,C144,Dump!A:A,Y144)</f>
        <v>0</v>
      </c>
      <c r="T144" s="35">
        <f t="shared" si="22"/>
        <v>0</v>
      </c>
      <c r="V144" s="4">
        <f>SUMIFS(Dump!P:P,Dump!B:B,C144,Dump!A:A,Y144)</f>
        <v>0</v>
      </c>
      <c r="W144" s="37">
        <f t="shared" si="23"/>
        <v>0</v>
      </c>
      <c r="X144" s="39"/>
      <c r="Y144" s="54"/>
    </row>
    <row r="145">
      <c r="C145" s="53"/>
      <c r="G145" s="2" t="str">
        <f t="shared" si="27"/>
        <v/>
      </c>
      <c r="I145" s="4">
        <f>SUMIFS(Dump!D:D,Dump!B:B,C145)</f>
        <v>0</v>
      </c>
      <c r="J145" s="5">
        <f>SUMIFS(Dump!AE:AE,Dump!B:B,C145)</f>
        <v>0</v>
      </c>
      <c r="K145" s="4">
        <f>SUMPRODUCT(
  (TEXT(Dump!$A$2:$A994,"mmm-yy")=TEXT($Y145,"mmm-yy"))*
  (Dump!$B$2:$B994=$C145)*
  Dump!$D$2:$D994)</f>
        <v>0</v>
      </c>
      <c r="L145" s="4">
        <f>SUMPRODUCT(
  (TEXT(Dump!$A$2:$A994,"mmm-yy")=TEXT($Y145,"mmm-yy"))*
  (Dump!$B$2:$B994=$C145)*
  Dump!$E$2:$E994
)</f>
        <v>0</v>
      </c>
      <c r="M145" s="4">
        <f>SUMPRODUCT(
  (TEXT(Dump!$A$2:$A994,"mmm-yy")=TEXT($Y145,"mmm-yy"))*
  (Dump!$B$2:$B994=$C145)*
  Dump!$P$2:$P994
)</f>
        <v>0</v>
      </c>
      <c r="N145" s="32"/>
      <c r="O145" s="33">
        <f>SUMIFS(Dump!$D:$D,Dump!$B:$B,$C145,Dump!$A:$A,$Y145)</f>
        <v>0</v>
      </c>
      <c r="P145" s="33">
        <f>SUMIFS(Dump!R:R,Dump!B:B,C145,Dump!A:A,Y145)</f>
        <v>0</v>
      </c>
      <c r="Q145" s="34">
        <f t="shared" si="21"/>
        <v>0</v>
      </c>
      <c r="S145" s="4">
        <f>SUMIFS(Dump!E:E,Dump!B:B,C145,Dump!A:A,Y145)</f>
        <v>0</v>
      </c>
      <c r="T145" s="35">
        <f t="shared" si="22"/>
        <v>0</v>
      </c>
      <c r="V145" s="4">
        <f>SUMIFS(Dump!P:P,Dump!B:B,C145,Dump!A:A,Y145)</f>
        <v>0</v>
      </c>
      <c r="W145" s="37">
        <f t="shared" si="23"/>
        <v>0</v>
      </c>
      <c r="X145" s="39"/>
      <c r="Y145" s="54"/>
    </row>
    <row r="146">
      <c r="C146" s="53"/>
      <c r="G146" s="2" t="str">
        <f t="shared" si="27"/>
        <v/>
      </c>
      <c r="I146" s="4">
        <f>SUMIFS(Dump!D:D,Dump!B:B,C146)</f>
        <v>0</v>
      </c>
      <c r="J146" s="5">
        <f>SUMIFS(Dump!AE:AE,Dump!B:B,C146)</f>
        <v>0</v>
      </c>
      <c r="K146" s="4">
        <f>SUMPRODUCT(
  (TEXT(Dump!$A$2:$A994,"mmm-yy")=TEXT($Y146,"mmm-yy"))*
  (Dump!$B$2:$B994=$C146)*
  Dump!$D$2:$D994)</f>
        <v>0</v>
      </c>
      <c r="L146" s="4">
        <f>SUMPRODUCT(
  (TEXT(Dump!$A$2:$A994,"mmm-yy")=TEXT($Y146,"mmm-yy"))*
  (Dump!$B$2:$B994=$C146)*
  Dump!$E$2:$E994
)</f>
        <v>0</v>
      </c>
      <c r="M146" s="4">
        <f>SUMPRODUCT(
  (TEXT(Dump!$A$2:$A994,"mmm-yy")=TEXT($Y146,"mmm-yy"))*
  (Dump!$B$2:$B994=$C146)*
  Dump!$P$2:$P994
)</f>
        <v>0</v>
      </c>
      <c r="N146" s="32"/>
      <c r="O146" s="33">
        <f>SUMIFS(Dump!$D:$D,Dump!$B:$B,$C146,Dump!$A:$A,$Y146)</f>
        <v>0</v>
      </c>
      <c r="P146" s="33">
        <f>SUMIFS(Dump!R:R,Dump!B:B,C146,Dump!A:A,Y146)</f>
        <v>0</v>
      </c>
      <c r="Q146" s="34">
        <f t="shared" si="21"/>
        <v>0</v>
      </c>
      <c r="S146" s="4">
        <f>SUMIFS(Dump!E:E,Dump!B:B,C146,Dump!A:A,Y146)</f>
        <v>0</v>
      </c>
      <c r="T146" s="35">
        <f t="shared" si="22"/>
        <v>0</v>
      </c>
      <c r="V146" s="4">
        <f>SUMIFS(Dump!P:P,Dump!B:B,C146,Dump!A:A,Y146)</f>
        <v>0</v>
      </c>
      <c r="W146" s="37">
        <f t="shared" si="23"/>
        <v>0</v>
      </c>
      <c r="X146" s="39"/>
      <c r="Y146" s="54"/>
    </row>
    <row r="147">
      <c r="C147" s="53"/>
      <c r="G147" s="2" t="str">
        <f t="shared" si="27"/>
        <v/>
      </c>
      <c r="I147" s="4">
        <f>SUMIFS(Dump!D:D,Dump!B:B,C147)</f>
        <v>0</v>
      </c>
      <c r="J147" s="5">
        <f>SUMIFS(Dump!AE:AE,Dump!B:B,C147)</f>
        <v>0</v>
      </c>
      <c r="K147" s="4">
        <f>SUMPRODUCT(
  (TEXT(Dump!$A$2:$A994,"mmm-yy")=TEXT($Y147,"mmm-yy"))*
  (Dump!$B$2:$B994=$C147)*
  Dump!$D$2:$D994)</f>
        <v>0</v>
      </c>
      <c r="L147" s="4">
        <f>SUMPRODUCT(
  (TEXT(Dump!$A$2:$A994,"mmm-yy")=TEXT($Y147,"mmm-yy"))*
  (Dump!$B$2:$B994=$C147)*
  Dump!$E$2:$E994
)</f>
        <v>0</v>
      </c>
      <c r="M147" s="4">
        <f>SUMPRODUCT(
  (TEXT(Dump!$A$2:$A994,"mmm-yy")=TEXT($Y147,"mmm-yy"))*
  (Dump!$B$2:$B994=$C147)*
  Dump!$P$2:$P994
)</f>
        <v>0</v>
      </c>
      <c r="N147" s="32"/>
      <c r="O147" s="33">
        <f>SUMIFS(Dump!$D:$D,Dump!$B:$B,$C147,Dump!$A:$A,$Y147)</f>
        <v>0</v>
      </c>
      <c r="P147" s="33">
        <f>SUMIFS(Dump!R:R,Dump!B:B,C147,Dump!A:A,Y147)</f>
        <v>0</v>
      </c>
      <c r="Q147" s="34">
        <f t="shared" si="21"/>
        <v>0</v>
      </c>
      <c r="S147" s="4">
        <f>SUMIFS(Dump!E:E,Dump!B:B,C147,Dump!A:A,Y147)</f>
        <v>0</v>
      </c>
      <c r="T147" s="35">
        <f t="shared" si="22"/>
        <v>0</v>
      </c>
      <c r="V147" s="4">
        <f>SUMIFS(Dump!P:P,Dump!B:B,C147,Dump!A:A,Y147)</f>
        <v>0</v>
      </c>
      <c r="W147" s="37">
        <f t="shared" si="23"/>
        <v>0</v>
      </c>
      <c r="X147" s="39"/>
      <c r="Y147" s="54"/>
    </row>
    <row r="148">
      <c r="C148" s="53"/>
      <c r="G148" s="2" t="str">
        <f t="shared" si="27"/>
        <v/>
      </c>
      <c r="I148" s="4">
        <f>SUMIFS(Dump!D:D,Dump!B:B,C148)</f>
        <v>0</v>
      </c>
      <c r="J148" s="5">
        <f>SUMIFS(Dump!AE:AE,Dump!B:B,C148)</f>
        <v>0</v>
      </c>
      <c r="K148" s="4">
        <f>SUMPRODUCT(
  (TEXT(Dump!$A$2:$A994,"mmm-yy")=TEXT($Y148,"mmm-yy"))*
  (Dump!$B$2:$B994=$C148)*
  Dump!$D$2:$D994)</f>
        <v>0</v>
      </c>
      <c r="L148" s="4">
        <f>SUMPRODUCT(
  (TEXT(Dump!$A$2:$A994,"mmm-yy")=TEXT($Y148,"mmm-yy"))*
  (Dump!$B$2:$B994=$C148)*
  Dump!$E$2:$E994
)</f>
        <v>0</v>
      </c>
      <c r="M148" s="4">
        <f>SUMPRODUCT(
  (TEXT(Dump!$A$2:$A994,"mmm-yy")=TEXT($Y148,"mmm-yy"))*
  (Dump!$B$2:$B994=$C148)*
  Dump!$P$2:$P994
)</f>
        <v>0</v>
      </c>
      <c r="N148" s="32"/>
      <c r="O148" s="33">
        <f>SUMIFS(Dump!$D:$D,Dump!$B:$B,$C148,Dump!$A:$A,$Y148)</f>
        <v>0</v>
      </c>
      <c r="P148" s="33">
        <f>SUMIFS(Dump!R:R,Dump!B:B,C148,Dump!A:A,Y148)</f>
        <v>0</v>
      </c>
      <c r="Q148" s="34">
        <f t="shared" si="21"/>
        <v>0</v>
      </c>
      <c r="S148" s="4">
        <f>SUMIFS(Dump!E:E,Dump!B:B,C148,Dump!A:A,Y148)</f>
        <v>0</v>
      </c>
      <c r="T148" s="35">
        <f t="shared" si="22"/>
        <v>0</v>
      </c>
      <c r="V148" s="4">
        <f>SUMIFS(Dump!P:P,Dump!B:B,C148,Dump!A:A,Y148)</f>
        <v>0</v>
      </c>
      <c r="W148" s="37">
        <f t="shared" si="23"/>
        <v>0</v>
      </c>
      <c r="X148" s="39"/>
      <c r="Y148" s="54"/>
    </row>
    <row r="149">
      <c r="C149" s="53"/>
      <c r="G149" s="2" t="str">
        <f t="shared" si="27"/>
        <v/>
      </c>
      <c r="I149" s="4">
        <f>SUMIFS(Dump!D:D,Dump!B:B,C149)</f>
        <v>0</v>
      </c>
      <c r="J149" s="5">
        <f>SUMIFS(Dump!AE:AE,Dump!B:B,C149)</f>
        <v>0</v>
      </c>
      <c r="K149" s="4">
        <f>SUMPRODUCT(
  (TEXT(Dump!$A$2:$A994,"mmm-yy")=TEXT($Y149,"mmm-yy"))*
  (Dump!$B$2:$B994=$C149)*
  Dump!$D$2:$D994)</f>
        <v>0</v>
      </c>
      <c r="L149" s="4">
        <f>SUMPRODUCT(
  (TEXT(Dump!$A$2:$A994,"mmm-yy")=TEXT($Y149,"mmm-yy"))*
  (Dump!$B$2:$B994=$C149)*
  Dump!$E$2:$E994
)</f>
        <v>0</v>
      </c>
      <c r="M149" s="4">
        <f>SUMPRODUCT(
  (TEXT(Dump!$A$2:$A994,"mmm-yy")=TEXT($Y149,"mmm-yy"))*
  (Dump!$B$2:$B994=$C149)*
  Dump!$P$2:$P994
)</f>
        <v>0</v>
      </c>
      <c r="N149" s="32"/>
      <c r="O149" s="33">
        <f>SUMIFS(Dump!$D:$D,Dump!$B:$B,$C149,Dump!$A:$A,$Y149)</f>
        <v>0</v>
      </c>
      <c r="P149" s="33">
        <f>SUMIFS(Dump!R:R,Dump!B:B,C149,Dump!A:A,Y149)</f>
        <v>0</v>
      </c>
      <c r="Q149" s="34">
        <f t="shared" si="21"/>
        <v>0</v>
      </c>
      <c r="S149" s="4">
        <f>SUMIFS(Dump!E:E,Dump!B:B,C149,Dump!A:A,Y149)</f>
        <v>0</v>
      </c>
      <c r="T149" s="35">
        <f t="shared" si="22"/>
        <v>0</v>
      </c>
      <c r="V149" s="4">
        <f>SUMIFS(Dump!P:P,Dump!B:B,C149,Dump!A:A,Y149)</f>
        <v>0</v>
      </c>
      <c r="W149" s="37">
        <f t="shared" si="23"/>
        <v>0</v>
      </c>
      <c r="X149" s="39"/>
      <c r="Y149" s="54"/>
    </row>
    <row r="150">
      <c r="C150" s="53"/>
      <c r="G150" s="2" t="str">
        <f t="shared" si="27"/>
        <v/>
      </c>
      <c r="I150" s="4">
        <f>SUMIFS(Dump!D:D,Dump!B:B,C150)</f>
        <v>0</v>
      </c>
      <c r="J150" s="5">
        <f>SUMIFS(Dump!AE:AE,Dump!B:B,C150)</f>
        <v>0</v>
      </c>
      <c r="K150" s="4">
        <f>SUMPRODUCT(
  (TEXT(Dump!$A$2:$A994,"mmm-yy")=TEXT($Y150,"mmm-yy"))*
  (Dump!$B$2:$B994=$C150)*
  Dump!$D$2:$D994)</f>
        <v>0</v>
      </c>
      <c r="L150" s="4">
        <f>SUMPRODUCT(
  (TEXT(Dump!$A$2:$A994,"mmm-yy")=TEXT($Y150,"mmm-yy"))*
  (Dump!$B$2:$B994=$C150)*
  Dump!$E$2:$E994
)</f>
        <v>0</v>
      </c>
      <c r="M150" s="4">
        <f>SUMPRODUCT(
  (TEXT(Dump!$A$2:$A994,"mmm-yy")=TEXT($Y150,"mmm-yy"))*
  (Dump!$B$2:$B994=$C150)*
  Dump!$P$2:$P994
)</f>
        <v>0</v>
      </c>
      <c r="N150" s="32"/>
      <c r="O150" s="33">
        <f>SUMIFS(Dump!$D:$D,Dump!$B:$B,$C150,Dump!$A:$A,$Y150)</f>
        <v>0</v>
      </c>
      <c r="P150" s="33">
        <f>SUMIFS(Dump!R:R,Dump!B:B,C150,Dump!A:A,Y150)</f>
        <v>0</v>
      </c>
      <c r="Q150" s="34">
        <f t="shared" si="21"/>
        <v>0</v>
      </c>
      <c r="S150" s="4">
        <f>SUMIFS(Dump!E:E,Dump!B:B,C150,Dump!A:A,Y150)</f>
        <v>0</v>
      </c>
      <c r="T150" s="35">
        <f t="shared" si="22"/>
        <v>0</v>
      </c>
      <c r="V150" s="4">
        <f>SUMIFS(Dump!P:P,Dump!B:B,C150,Dump!A:A,Y150)</f>
        <v>0</v>
      </c>
      <c r="W150" s="37">
        <f t="shared" si="23"/>
        <v>0</v>
      </c>
      <c r="X150" s="39"/>
      <c r="Y150" s="54"/>
    </row>
    <row r="151">
      <c r="C151" s="53"/>
      <c r="G151" s="2" t="str">
        <f t="shared" si="27"/>
        <v/>
      </c>
      <c r="I151" s="4">
        <f>SUMIFS(Dump!D:D,Dump!B:B,C151)</f>
        <v>0</v>
      </c>
      <c r="J151" s="5">
        <f>SUMIFS(Dump!AE:AE,Dump!B:B,C151)</f>
        <v>0</v>
      </c>
      <c r="K151" s="4">
        <f>SUMPRODUCT(
  (TEXT(Dump!$A$2:$A994,"mmm-yy")=TEXT($Y151,"mmm-yy"))*
  (Dump!$B$2:$B994=$C151)*
  Dump!$D$2:$D994)</f>
        <v>0</v>
      </c>
      <c r="L151" s="4">
        <f>SUMPRODUCT(
  (TEXT(Dump!$A$2:$A994,"mmm-yy")=TEXT($Y151,"mmm-yy"))*
  (Dump!$B$2:$B994=$C151)*
  Dump!$E$2:$E994
)</f>
        <v>0</v>
      </c>
      <c r="M151" s="4">
        <f>SUMPRODUCT(
  (TEXT(Dump!$A$2:$A994,"mmm-yy")=TEXT($Y151,"mmm-yy"))*
  (Dump!$B$2:$B994=$C151)*
  Dump!$P$2:$P994
)</f>
        <v>0</v>
      </c>
      <c r="N151" s="32"/>
      <c r="O151" s="33">
        <f>SUMIFS(Dump!$D:$D,Dump!$B:$B,$C151,Dump!$A:$A,$Y151)</f>
        <v>0</v>
      </c>
      <c r="P151" s="33">
        <f>SUMIFS(Dump!R:R,Dump!B:B,C151,Dump!A:A,Y151)</f>
        <v>0</v>
      </c>
      <c r="Q151" s="34">
        <f t="shared" si="21"/>
        <v>0</v>
      </c>
      <c r="S151" s="4">
        <f>SUMIFS(Dump!E:E,Dump!B:B,C151,Dump!A:A,Y151)</f>
        <v>0</v>
      </c>
      <c r="T151" s="35">
        <f t="shared" si="22"/>
        <v>0</v>
      </c>
      <c r="V151" s="4">
        <f>SUMIFS(Dump!P:P,Dump!B:B,C151,Dump!A:A,Y151)</f>
        <v>0</v>
      </c>
      <c r="W151" s="37">
        <f t="shared" si="23"/>
        <v>0</v>
      </c>
      <c r="X151" s="39"/>
      <c r="Y151" s="54"/>
    </row>
    <row r="152">
      <c r="C152" s="53"/>
      <c r="G152" s="2" t="str">
        <f t="shared" si="27"/>
        <v/>
      </c>
      <c r="I152" s="4">
        <f>SUMIFS(Dump!D:D,Dump!B:B,C152)</f>
        <v>0</v>
      </c>
      <c r="J152" s="5">
        <f>SUMIFS(Dump!AE:AE,Dump!B:B,C152)</f>
        <v>0</v>
      </c>
      <c r="K152" s="4">
        <f>SUMPRODUCT(
  (TEXT(Dump!$A$2:$A994,"mmm-yy")=TEXT($Y152,"mmm-yy"))*
  (Dump!$B$2:$B994=$C152)*
  Dump!$D$2:$D994)</f>
        <v>0</v>
      </c>
      <c r="L152" s="4">
        <f>SUMPRODUCT(
  (TEXT(Dump!$A$2:$A994,"mmm-yy")=TEXT($Y152,"mmm-yy"))*
  (Dump!$B$2:$B994=$C152)*
  Dump!$E$2:$E994
)</f>
        <v>0</v>
      </c>
      <c r="M152" s="4">
        <f>SUMPRODUCT(
  (TEXT(Dump!$A$2:$A994,"mmm-yy")=TEXT($Y152,"mmm-yy"))*
  (Dump!$B$2:$B994=$C152)*
  Dump!$P$2:$P994
)</f>
        <v>0</v>
      </c>
      <c r="N152" s="32"/>
      <c r="O152" s="33">
        <f>SUMIFS(Dump!$D:$D,Dump!$B:$B,$C152,Dump!$A:$A,$Y152)</f>
        <v>0</v>
      </c>
      <c r="P152" s="33">
        <f>SUMIFS(Dump!R:R,Dump!B:B,C152,Dump!A:A,Y152)</f>
        <v>0</v>
      </c>
      <c r="Q152" s="34">
        <f t="shared" si="21"/>
        <v>0</v>
      </c>
      <c r="S152" s="4">
        <f>SUMIFS(Dump!E:E,Dump!B:B,C152,Dump!A:A,Y152)</f>
        <v>0</v>
      </c>
      <c r="T152" s="35">
        <f t="shared" si="22"/>
        <v>0</v>
      </c>
      <c r="V152" s="4">
        <f>SUMIFS(Dump!P:P,Dump!B:B,C152,Dump!A:A,Y152)</f>
        <v>0</v>
      </c>
      <c r="W152" s="37">
        <f t="shared" si="23"/>
        <v>0</v>
      </c>
      <c r="X152" s="39"/>
      <c r="Y152" s="54"/>
    </row>
    <row r="153">
      <c r="C153" s="53"/>
      <c r="G153" s="2" t="str">
        <f t="shared" si="27"/>
        <v/>
      </c>
      <c r="I153" s="4">
        <f>SUMIFS(Dump!D:D,Dump!B:B,C153)</f>
        <v>0</v>
      </c>
      <c r="J153" s="5">
        <f>SUMIFS(Dump!AE:AE,Dump!B:B,C153)</f>
        <v>0</v>
      </c>
      <c r="K153" s="4">
        <f>SUMPRODUCT(
  (TEXT(Dump!$A$2:$A994,"mmm-yy")=TEXT($Y153,"mmm-yy"))*
  (Dump!$B$2:$B994=$C153)*
  Dump!$D$2:$D994)</f>
        <v>0</v>
      </c>
      <c r="L153" s="4">
        <f>SUMPRODUCT(
  (TEXT(Dump!$A$2:$A994,"mmm-yy")=TEXT($Y153,"mmm-yy"))*
  (Dump!$B$2:$B994=$C153)*
  Dump!$E$2:$E994
)</f>
        <v>0</v>
      </c>
      <c r="M153" s="4">
        <f>SUMPRODUCT(
  (TEXT(Dump!$A$2:$A994,"mmm-yy")=TEXT($Y153,"mmm-yy"))*
  (Dump!$B$2:$B994=$C153)*
  Dump!$P$2:$P994
)</f>
        <v>0</v>
      </c>
      <c r="N153" s="32"/>
      <c r="O153" s="33">
        <f>SUMIFS(Dump!$D:$D,Dump!$B:$B,$C153,Dump!$A:$A,$Y153)</f>
        <v>0</v>
      </c>
      <c r="P153" s="33">
        <f>SUMIFS(Dump!R:R,Dump!B:B,C153,Dump!A:A,Y153)</f>
        <v>0</v>
      </c>
      <c r="Q153" s="34">
        <f t="shared" si="21"/>
        <v>0</v>
      </c>
      <c r="S153" s="4">
        <f>SUMIFS(Dump!E:E,Dump!B:B,C153,Dump!A:A,Y153)</f>
        <v>0</v>
      </c>
      <c r="T153" s="35">
        <f t="shared" si="22"/>
        <v>0</v>
      </c>
      <c r="V153" s="4">
        <f>SUMIFS(Dump!P:P,Dump!B:B,C153,Dump!A:A,Y153)</f>
        <v>0</v>
      </c>
      <c r="W153" s="37">
        <f t="shared" si="23"/>
        <v>0</v>
      </c>
      <c r="X153" s="39"/>
      <c r="Y153" s="54"/>
    </row>
    <row r="154">
      <c r="C154" s="53"/>
      <c r="G154" s="2" t="str">
        <f t="shared" si="27"/>
        <v/>
      </c>
      <c r="I154" s="4">
        <f>SUMIFS(Dump!D:D,Dump!B:B,C154)</f>
        <v>0</v>
      </c>
      <c r="J154" s="5">
        <f>SUMIFS(Dump!AE:AE,Dump!B:B,C154)</f>
        <v>0</v>
      </c>
      <c r="K154" s="4">
        <f>SUMPRODUCT(
  (TEXT(Dump!$A$2:$A994,"mmm-yy")=TEXT($Y154,"mmm-yy"))*
  (Dump!$B$2:$B994=$C154)*
  Dump!$D$2:$D994)</f>
        <v>0</v>
      </c>
      <c r="L154" s="4">
        <f>SUMPRODUCT(
  (TEXT(Dump!$A$2:$A994,"mmm-yy")=TEXT($Y154,"mmm-yy"))*
  (Dump!$B$2:$B994=$C154)*
  Dump!$E$2:$E994
)</f>
        <v>0</v>
      </c>
      <c r="M154" s="4">
        <f>SUMPRODUCT(
  (TEXT(Dump!$A$2:$A994,"mmm-yy")=TEXT($Y154,"mmm-yy"))*
  (Dump!$B$2:$B994=$C154)*
  Dump!$P$2:$P994
)</f>
        <v>0</v>
      </c>
      <c r="N154" s="32"/>
      <c r="O154" s="33">
        <f>SUMIFS(Dump!$D:$D,Dump!$B:$B,$C154,Dump!$A:$A,$Y154)</f>
        <v>0</v>
      </c>
      <c r="P154" s="33">
        <f>SUMIFS(Dump!R:R,Dump!B:B,C154,Dump!A:A,Y154)</f>
        <v>0</v>
      </c>
      <c r="Q154" s="34">
        <f t="shared" si="21"/>
        <v>0</v>
      </c>
      <c r="S154" s="4">
        <f>SUMIFS(Dump!E:E,Dump!B:B,C154,Dump!A:A,Y154)</f>
        <v>0</v>
      </c>
      <c r="T154" s="35">
        <f t="shared" si="22"/>
        <v>0</v>
      </c>
      <c r="V154" s="4">
        <f>SUMIFS(Dump!P:P,Dump!B:B,C154,Dump!A:A,Y154)</f>
        <v>0</v>
      </c>
      <c r="W154" s="37">
        <f t="shared" si="23"/>
        <v>0</v>
      </c>
      <c r="X154" s="39"/>
      <c r="Y154" s="54"/>
    </row>
    <row r="155">
      <c r="C155" s="53"/>
      <c r="G155" s="2" t="str">
        <f t="shared" si="27"/>
        <v/>
      </c>
      <c r="I155" s="4">
        <f>SUMIFS(Dump!D:D,Dump!B:B,C155)</f>
        <v>0</v>
      </c>
      <c r="J155" s="5">
        <f>SUMIFS(Dump!AE:AE,Dump!B:B,C155)</f>
        <v>0</v>
      </c>
      <c r="K155" s="4">
        <f>SUMPRODUCT(
  (TEXT(Dump!$A$2:$A994,"mmm-yy")=TEXT($Y155,"mmm-yy"))*
  (Dump!$B$2:$B994=$C155)*
  Dump!$D$2:$D994)</f>
        <v>0</v>
      </c>
      <c r="L155" s="4">
        <f>SUMPRODUCT(
  (TEXT(Dump!$A$2:$A994,"mmm-yy")=TEXT($Y155,"mmm-yy"))*
  (Dump!$B$2:$B994=$C155)*
  Dump!$E$2:$E994
)</f>
        <v>0</v>
      </c>
      <c r="M155" s="4">
        <f>SUMPRODUCT(
  (TEXT(Dump!$A$2:$A994,"mmm-yy")=TEXT($Y155,"mmm-yy"))*
  (Dump!$B$2:$B994=$C155)*
  Dump!$P$2:$P994
)</f>
        <v>0</v>
      </c>
      <c r="N155" s="32"/>
      <c r="O155" s="33">
        <f>SUMIFS(Dump!$D:$D,Dump!$B:$B,$C155,Dump!$A:$A,$Y155)</f>
        <v>0</v>
      </c>
      <c r="P155" s="33">
        <f>SUMIFS(Dump!R:R,Dump!B:B,C155,Dump!A:A,Y155)</f>
        <v>0</v>
      </c>
      <c r="Q155" s="34">
        <f t="shared" si="21"/>
        <v>0</v>
      </c>
      <c r="S155" s="4">
        <f>SUMIFS(Dump!E:E,Dump!B:B,C155,Dump!A:A,Y155)</f>
        <v>0</v>
      </c>
      <c r="T155" s="35">
        <f t="shared" si="22"/>
        <v>0</v>
      </c>
      <c r="V155" s="4">
        <f>SUMIFS(Dump!P:P,Dump!B:B,C155,Dump!A:A,Y155)</f>
        <v>0</v>
      </c>
      <c r="W155" s="37">
        <f t="shared" si="23"/>
        <v>0</v>
      </c>
      <c r="X155" s="39"/>
      <c r="Y155" s="54"/>
    </row>
    <row r="156">
      <c r="C156" s="53"/>
      <c r="G156" s="2" t="str">
        <f t="shared" si="27"/>
        <v/>
      </c>
      <c r="I156" s="4">
        <f>SUMIFS(Dump!D:D,Dump!B:B,C156)</f>
        <v>0</v>
      </c>
      <c r="J156" s="5">
        <f>SUMIFS(Dump!AE:AE,Dump!B:B,C156)</f>
        <v>0</v>
      </c>
      <c r="K156" s="4">
        <f>SUMPRODUCT(
  (TEXT(Dump!$A$2:$A994,"mmm-yy")=TEXT($Y156,"mmm-yy"))*
  (Dump!$B$2:$B994=$C156)*
  Dump!$D$2:$D994)</f>
        <v>0</v>
      </c>
      <c r="L156" s="4">
        <f>SUMPRODUCT(
  (TEXT(Dump!$A$2:$A994,"mmm-yy")=TEXT($Y156,"mmm-yy"))*
  (Dump!$B$2:$B994=$C156)*
  Dump!$E$2:$E994
)</f>
        <v>0</v>
      </c>
      <c r="M156" s="4">
        <f>SUMPRODUCT(
  (TEXT(Dump!$A$2:$A994,"mmm-yy")=TEXT($Y156,"mmm-yy"))*
  (Dump!$B$2:$B994=$C156)*
  Dump!$P$2:$P994
)</f>
        <v>0</v>
      </c>
      <c r="N156" s="32"/>
      <c r="O156" s="33">
        <f>SUMIFS(Dump!$D:$D,Dump!$B:$B,$C156,Dump!$A:$A,$Y156)</f>
        <v>0</v>
      </c>
      <c r="P156" s="33">
        <f>SUMIFS(Dump!R:R,Dump!B:B,C156,Dump!A:A,Y156)</f>
        <v>0</v>
      </c>
      <c r="Q156" s="34">
        <f t="shared" si="21"/>
        <v>0</v>
      </c>
      <c r="S156" s="4">
        <f>SUMIFS(Dump!E:E,Dump!B:B,C156,Dump!A:A,Y156)</f>
        <v>0</v>
      </c>
      <c r="T156" s="35">
        <f t="shared" si="22"/>
        <v>0</v>
      </c>
      <c r="V156" s="4">
        <f>SUMIFS(Dump!P:P,Dump!B:B,C156,Dump!A:A,Y156)</f>
        <v>0</v>
      </c>
      <c r="W156" s="37">
        <f t="shared" si="23"/>
        <v>0</v>
      </c>
      <c r="X156" s="39"/>
      <c r="Y156" s="54"/>
    </row>
    <row r="157">
      <c r="C157" s="53"/>
      <c r="G157" s="2" t="str">
        <f t="shared" si="27"/>
        <v/>
      </c>
      <c r="I157" s="4">
        <f>SUMIFS(Dump!D:D,Dump!B:B,C157)</f>
        <v>0</v>
      </c>
      <c r="J157" s="5">
        <f>SUMIFS(Dump!AE:AE,Dump!B:B,C157)</f>
        <v>0</v>
      </c>
      <c r="K157" s="4">
        <f>SUMPRODUCT(
  (TEXT(Dump!$A$2:$A994,"mmm-yy")=TEXT($Y157,"mmm-yy"))*
  (Dump!$B$2:$B994=$C157)*
  Dump!$D$2:$D994)</f>
        <v>0</v>
      </c>
      <c r="L157" s="4">
        <f>SUMPRODUCT(
  (TEXT(Dump!$A$2:$A994,"mmm-yy")=TEXT($Y157,"mmm-yy"))*
  (Dump!$B$2:$B994=$C157)*
  Dump!$E$2:$E994
)</f>
        <v>0</v>
      </c>
      <c r="M157" s="4">
        <f>SUMPRODUCT(
  (TEXT(Dump!$A$2:$A994,"mmm-yy")=TEXT($Y157,"mmm-yy"))*
  (Dump!$B$2:$B994=$C157)*
  Dump!$P$2:$P994
)</f>
        <v>0</v>
      </c>
      <c r="N157" s="32"/>
      <c r="O157" s="33">
        <f>SUMIFS(Dump!$D:$D,Dump!$B:$B,$C157,Dump!$A:$A,$Y157)</f>
        <v>0</v>
      </c>
      <c r="P157" s="33">
        <f>SUMIFS(Dump!R:R,Dump!B:B,C157,Dump!A:A,Y157)</f>
        <v>0</v>
      </c>
      <c r="Q157" s="34">
        <f t="shared" si="21"/>
        <v>0</v>
      </c>
      <c r="S157" s="4">
        <f>SUMIFS(Dump!E:E,Dump!B:B,C157,Dump!A:A,Y157)</f>
        <v>0</v>
      </c>
      <c r="T157" s="35">
        <f t="shared" si="22"/>
        <v>0</v>
      </c>
      <c r="V157" s="4">
        <f>SUMIFS(Dump!P:P,Dump!B:B,C157,Dump!A:A,Y157)</f>
        <v>0</v>
      </c>
      <c r="W157" s="37">
        <f t="shared" si="23"/>
        <v>0</v>
      </c>
      <c r="X157" s="39"/>
      <c r="Y157" s="54"/>
    </row>
    <row r="158">
      <c r="C158" s="53"/>
      <c r="G158" s="2" t="str">
        <f t="shared" si="27"/>
        <v/>
      </c>
      <c r="I158" s="4">
        <f>SUMIFS(Dump!D:D,Dump!B:B,C158)</f>
        <v>0</v>
      </c>
      <c r="J158" s="5">
        <f>SUMIFS(Dump!AE:AE,Dump!B:B,C158)</f>
        <v>0</v>
      </c>
      <c r="K158" s="4">
        <f>SUMPRODUCT(
  (TEXT(Dump!$A$2:$A994,"mmm-yy")=TEXT($Y158,"mmm-yy"))*
  (Dump!$B$2:$B994=$C158)*
  Dump!$D$2:$D994)</f>
        <v>0</v>
      </c>
      <c r="L158" s="4">
        <f>SUMPRODUCT(
  (TEXT(Dump!$A$2:$A994,"mmm-yy")=TEXT($Y158,"mmm-yy"))*
  (Dump!$B$2:$B994=$C158)*
  Dump!$E$2:$E994
)</f>
        <v>0</v>
      </c>
      <c r="M158" s="4">
        <f>SUMPRODUCT(
  (TEXT(Dump!$A$2:$A994,"mmm-yy")=TEXT($Y158,"mmm-yy"))*
  (Dump!$B$2:$B994=$C158)*
  Dump!$P$2:$P994
)</f>
        <v>0</v>
      </c>
      <c r="N158" s="32"/>
      <c r="O158" s="33">
        <f>SUMIFS(Dump!$D:$D,Dump!$B:$B,$C158,Dump!$A:$A,$Y158)</f>
        <v>0</v>
      </c>
      <c r="P158" s="33">
        <f>SUMIFS(Dump!R:R,Dump!B:B,C158,Dump!A:A,Y158)</f>
        <v>0</v>
      </c>
      <c r="Q158" s="34">
        <f t="shared" si="21"/>
        <v>0</v>
      </c>
      <c r="S158" s="4">
        <f>SUMIFS(Dump!E:E,Dump!B:B,C158,Dump!A:A,Y158)</f>
        <v>0</v>
      </c>
      <c r="T158" s="35">
        <f t="shared" si="22"/>
        <v>0</v>
      </c>
      <c r="V158" s="4">
        <f>SUMIFS(Dump!P:P,Dump!B:B,C158,Dump!A:A,Y158)</f>
        <v>0</v>
      </c>
      <c r="W158" s="37">
        <f t="shared" si="23"/>
        <v>0</v>
      </c>
      <c r="X158" s="39"/>
      <c r="Y158" s="54"/>
    </row>
    <row r="159">
      <c r="C159" s="53"/>
      <c r="G159" s="2" t="str">
        <f t="shared" si="27"/>
        <v/>
      </c>
      <c r="I159" s="4">
        <f>SUMIFS(Dump!D:D,Dump!B:B,C159)</f>
        <v>0</v>
      </c>
      <c r="J159" s="5">
        <f>SUMIFS(Dump!AE:AE,Dump!B:B,C159)</f>
        <v>0</v>
      </c>
      <c r="K159" s="4">
        <f>SUMPRODUCT(
  (TEXT(Dump!$A$2:$A994,"mmm-yy")=TEXT($Y159,"mmm-yy"))*
  (Dump!$B$2:$B994=$C159)*
  Dump!$D$2:$D994)</f>
        <v>0</v>
      </c>
      <c r="L159" s="4">
        <f>SUMPRODUCT(
  (TEXT(Dump!$A$2:$A994,"mmm-yy")=TEXT($Y159,"mmm-yy"))*
  (Dump!$B$2:$B994=$C159)*
  Dump!$E$2:$E994
)</f>
        <v>0</v>
      </c>
      <c r="M159" s="4">
        <f>SUMPRODUCT(
  (TEXT(Dump!$A$2:$A994,"mmm-yy")=TEXT($Y159,"mmm-yy"))*
  (Dump!$B$2:$B994=$C159)*
  Dump!$P$2:$P994
)</f>
        <v>0</v>
      </c>
      <c r="N159" s="32"/>
      <c r="O159" s="33">
        <f>SUMIFS(Dump!$D:$D,Dump!$B:$B,$C159,Dump!$A:$A,$Y159)</f>
        <v>0</v>
      </c>
      <c r="P159" s="33">
        <f>SUMIFS(Dump!R:R,Dump!B:B,C159,Dump!A:A,Y159)</f>
        <v>0</v>
      </c>
      <c r="Q159" s="34">
        <f t="shared" si="21"/>
        <v>0</v>
      </c>
      <c r="S159" s="4">
        <f>SUMIFS(Dump!E:E,Dump!B:B,C159,Dump!A:A,Y159)</f>
        <v>0</v>
      </c>
      <c r="T159" s="35">
        <f t="shared" si="22"/>
        <v>0</v>
      </c>
      <c r="V159" s="4">
        <f>SUMIFS(Dump!P:P,Dump!B:B,C159,Dump!A:A,Y159)</f>
        <v>0</v>
      </c>
      <c r="W159" s="37">
        <f t="shared" si="23"/>
        <v>0</v>
      </c>
      <c r="X159" s="39"/>
      <c r="Y159" s="54"/>
    </row>
    <row r="160">
      <c r="C160" s="53"/>
      <c r="G160" s="2" t="str">
        <f t="shared" si="27"/>
        <v/>
      </c>
      <c r="I160" s="4">
        <f>SUMIFS(Dump!D:D,Dump!B:B,C160)</f>
        <v>0</v>
      </c>
      <c r="J160" s="5">
        <f>SUMIFS(Dump!AE:AE,Dump!B:B,C160)</f>
        <v>0</v>
      </c>
      <c r="K160" s="4">
        <f>SUMPRODUCT(
  (TEXT(Dump!$A$2:$A994,"mmm-yy")=TEXT($Y160,"mmm-yy"))*
  (Dump!$B$2:$B994=$C160)*
  Dump!$D$2:$D994)</f>
        <v>0</v>
      </c>
      <c r="L160" s="4">
        <f>SUMPRODUCT(
  (TEXT(Dump!$A$2:$A994,"mmm-yy")=TEXT($Y160,"mmm-yy"))*
  (Dump!$B$2:$B994=$C160)*
  Dump!$E$2:$E994
)</f>
        <v>0</v>
      </c>
      <c r="M160" s="4">
        <f>SUMPRODUCT(
  (TEXT(Dump!$A$2:$A994,"mmm-yy")=TEXT($Y160,"mmm-yy"))*
  (Dump!$B$2:$B994=$C160)*
  Dump!$P$2:$P994
)</f>
        <v>0</v>
      </c>
      <c r="N160" s="32"/>
      <c r="O160" s="33">
        <f>SUMIFS(Dump!$D:$D,Dump!$B:$B,$C160,Dump!$A:$A,$Y160)</f>
        <v>0</v>
      </c>
      <c r="P160" s="33">
        <f>SUMIFS(Dump!R:R,Dump!B:B,C160,Dump!A:A,Y160)</f>
        <v>0</v>
      </c>
      <c r="Q160" s="34">
        <f t="shared" si="21"/>
        <v>0</v>
      </c>
      <c r="S160" s="4">
        <f>SUMIFS(Dump!E:E,Dump!B:B,C160,Dump!A:A,Y160)</f>
        <v>0</v>
      </c>
      <c r="T160" s="35">
        <f t="shared" si="22"/>
        <v>0</v>
      </c>
      <c r="V160" s="4">
        <f>SUMIFS(Dump!P:P,Dump!B:B,C160,Dump!A:A,Y160)</f>
        <v>0</v>
      </c>
      <c r="W160" s="37">
        <f t="shared" si="23"/>
        <v>0</v>
      </c>
      <c r="X160" s="39"/>
      <c r="Y160" s="54"/>
    </row>
    <row r="161">
      <c r="C161" s="53"/>
      <c r="G161" s="2" t="str">
        <f t="shared" si="27"/>
        <v/>
      </c>
      <c r="I161" s="4">
        <f>SUMIFS(Dump!D:D,Dump!B:B,C161)</f>
        <v>0</v>
      </c>
      <c r="J161" s="5">
        <f>SUMIFS(Dump!AE:AE,Dump!B:B,C161)</f>
        <v>0</v>
      </c>
      <c r="K161" s="4">
        <f>SUMPRODUCT(
  (TEXT(Dump!$A$2:$A994,"mmm-yy")=TEXT($Y161,"mmm-yy"))*
  (Dump!$B$2:$B994=$C161)*
  Dump!$D$2:$D994)</f>
        <v>0</v>
      </c>
      <c r="L161" s="4">
        <f>SUMPRODUCT(
  (TEXT(Dump!$A$2:$A994,"mmm-yy")=TEXT($Y161,"mmm-yy"))*
  (Dump!$B$2:$B994=$C161)*
  Dump!$E$2:$E994
)</f>
        <v>0</v>
      </c>
      <c r="M161" s="4">
        <f>SUMPRODUCT(
  (TEXT(Dump!$A$2:$A994,"mmm-yy")=TEXT($Y161,"mmm-yy"))*
  (Dump!$B$2:$B994=$C161)*
  Dump!$P$2:$P994
)</f>
        <v>0</v>
      </c>
      <c r="N161" s="32"/>
      <c r="O161" s="33">
        <f>SUMIFS(Dump!$D:$D,Dump!$B:$B,$C161,Dump!$A:$A,$Y161)</f>
        <v>0</v>
      </c>
      <c r="P161" s="33">
        <f>SUMIFS(Dump!R:R,Dump!B:B,C161,Dump!A:A,Y161)</f>
        <v>0</v>
      </c>
      <c r="Q161" s="34">
        <f t="shared" si="21"/>
        <v>0</v>
      </c>
      <c r="S161" s="4">
        <f>SUMIFS(Dump!E:E,Dump!B:B,C161,Dump!A:A,Y161)</f>
        <v>0</v>
      </c>
      <c r="T161" s="35">
        <f t="shared" si="22"/>
        <v>0</v>
      </c>
      <c r="V161" s="4">
        <f>SUMIFS(Dump!P:P,Dump!B:B,C161,Dump!A:A,Y161)</f>
        <v>0</v>
      </c>
      <c r="W161" s="37">
        <f t="shared" si="23"/>
        <v>0</v>
      </c>
      <c r="X161" s="39"/>
      <c r="Y161" s="54"/>
    </row>
    <row r="162">
      <c r="C162" s="53"/>
      <c r="G162" s="2" t="str">
        <f t="shared" si="27"/>
        <v/>
      </c>
      <c r="I162" s="4">
        <f>SUMIFS(Dump!D:D,Dump!B:B,C162)</f>
        <v>0</v>
      </c>
      <c r="J162" s="5">
        <f>SUMIFS(Dump!AE:AE,Dump!B:B,C162)</f>
        <v>0</v>
      </c>
      <c r="K162" s="4">
        <f>SUMPRODUCT(
  (TEXT(Dump!$A$2:$A994,"mmm-yy")=TEXT($Y162,"mmm-yy"))*
  (Dump!$B$2:$B994=$C162)*
  Dump!$D$2:$D994)</f>
        <v>0</v>
      </c>
      <c r="L162" s="4">
        <f>SUMPRODUCT(
  (TEXT(Dump!$A$2:$A994,"mmm-yy")=TEXT($Y162,"mmm-yy"))*
  (Dump!$B$2:$B994=$C162)*
  Dump!$E$2:$E994
)</f>
        <v>0</v>
      </c>
      <c r="M162" s="4">
        <f>SUMPRODUCT(
  (TEXT(Dump!$A$2:$A994,"mmm-yy")=TEXT($Y162,"mmm-yy"))*
  (Dump!$B$2:$B994=$C162)*
  Dump!$P$2:$P994
)</f>
        <v>0</v>
      </c>
      <c r="N162" s="32"/>
      <c r="O162" s="33">
        <f>SUMIFS(Dump!$D:$D,Dump!$B:$B,$C162,Dump!$A:$A,$Y162)</f>
        <v>0</v>
      </c>
      <c r="P162" s="33">
        <f>SUMIFS(Dump!R:R,Dump!B:B,C162,Dump!A:A,Y162)</f>
        <v>0</v>
      </c>
      <c r="Q162" s="34">
        <f t="shared" si="21"/>
        <v>0</v>
      </c>
      <c r="S162" s="4">
        <f>SUMIFS(Dump!E:E,Dump!B:B,C162,Dump!A:A,Y162)</f>
        <v>0</v>
      </c>
      <c r="T162" s="35">
        <f t="shared" si="22"/>
        <v>0</v>
      </c>
      <c r="V162" s="4">
        <f>SUMIFS(Dump!P:P,Dump!B:B,C162,Dump!A:A,Y162)</f>
        <v>0</v>
      </c>
      <c r="W162" s="37">
        <f t="shared" si="23"/>
        <v>0</v>
      </c>
      <c r="X162" s="39"/>
      <c r="Y162" s="54"/>
    </row>
    <row r="163">
      <c r="C163" s="53"/>
      <c r="G163" s="2" t="str">
        <f t="shared" si="27"/>
        <v/>
      </c>
      <c r="I163" s="4">
        <f>SUMIFS(Dump!D:D,Dump!B:B,C163)</f>
        <v>0</v>
      </c>
      <c r="J163" s="5">
        <f>SUMIFS(Dump!AE:AE,Dump!B:B,C163)</f>
        <v>0</v>
      </c>
      <c r="K163" s="4">
        <f>SUMPRODUCT(
  (TEXT(Dump!$A$2:$A994,"mmm-yy")=TEXT($Y163,"mmm-yy"))*
  (Dump!$B$2:$B994=$C163)*
  Dump!$D$2:$D994)</f>
        <v>0</v>
      </c>
      <c r="L163" s="4">
        <f>SUMPRODUCT(
  (TEXT(Dump!$A$2:$A994,"mmm-yy")=TEXT($Y163,"mmm-yy"))*
  (Dump!$B$2:$B994=$C163)*
  Dump!$E$2:$E994
)</f>
        <v>0</v>
      </c>
      <c r="M163" s="4">
        <f>SUMPRODUCT(
  (TEXT(Dump!$A$2:$A994,"mmm-yy")=TEXT($Y163,"mmm-yy"))*
  (Dump!$B$2:$B994=$C163)*
  Dump!$P$2:$P994
)</f>
        <v>0</v>
      </c>
      <c r="N163" s="32"/>
      <c r="O163" s="33">
        <f>SUMIFS(Dump!$D:$D,Dump!$B:$B,$C163,Dump!$A:$A,$Y163)</f>
        <v>0</v>
      </c>
      <c r="P163" s="33">
        <f>SUMIFS(Dump!R:R,Dump!B:B,C163,Dump!A:A,Y163)</f>
        <v>0</v>
      </c>
      <c r="Q163" s="34">
        <f t="shared" si="21"/>
        <v>0</v>
      </c>
      <c r="S163" s="4">
        <f>SUMIFS(Dump!E:E,Dump!B:B,C163,Dump!A:A,Y163)</f>
        <v>0</v>
      </c>
      <c r="T163" s="35">
        <f t="shared" si="22"/>
        <v>0</v>
      </c>
      <c r="V163" s="4">
        <f>SUMIFS(Dump!P:P,Dump!B:B,C163,Dump!A:A,Y163)</f>
        <v>0</v>
      </c>
      <c r="W163" s="37">
        <f t="shared" si="23"/>
        <v>0</v>
      </c>
      <c r="X163" s="39"/>
      <c r="Y163" s="54"/>
    </row>
    <row r="164">
      <c r="C164" s="53"/>
      <c r="G164" s="2" t="str">
        <f t="shared" si="27"/>
        <v/>
      </c>
      <c r="I164" s="4">
        <f>SUMIFS(Dump!D:D,Dump!B:B,C164)</f>
        <v>0</v>
      </c>
      <c r="J164" s="5">
        <f>SUMIFS(Dump!AE:AE,Dump!B:B,C164)</f>
        <v>0</v>
      </c>
      <c r="K164" s="4">
        <f>SUMPRODUCT(
  (TEXT(Dump!$A$2:$A994,"mmm-yy")=TEXT($Y164,"mmm-yy"))*
  (Dump!$B$2:$B994=$C164)*
  Dump!$D$2:$D994)</f>
        <v>0</v>
      </c>
      <c r="L164" s="4">
        <f>SUMPRODUCT(
  (TEXT(Dump!$A$2:$A994,"mmm-yy")=TEXT($Y164,"mmm-yy"))*
  (Dump!$B$2:$B994=$C164)*
  Dump!$E$2:$E994
)</f>
        <v>0</v>
      </c>
      <c r="M164" s="4">
        <f>SUMPRODUCT(
  (TEXT(Dump!$A$2:$A994,"mmm-yy")=TEXT($Y164,"mmm-yy"))*
  (Dump!$B$2:$B994=$C164)*
  Dump!$P$2:$P994
)</f>
        <v>0</v>
      </c>
      <c r="N164" s="32"/>
      <c r="O164" s="33">
        <f>SUMIFS(Dump!$D:$D,Dump!$B:$B,$C164,Dump!$A:$A,$Y164)</f>
        <v>0</v>
      </c>
      <c r="P164" s="33">
        <f>SUMIFS(Dump!R:R,Dump!B:B,C164,Dump!A:A,Y164)</f>
        <v>0</v>
      </c>
      <c r="Q164" s="34">
        <f t="shared" si="21"/>
        <v>0</v>
      </c>
      <c r="S164" s="4">
        <f>SUMIFS(Dump!E:E,Dump!B:B,C164,Dump!A:A,Y164)</f>
        <v>0</v>
      </c>
      <c r="T164" s="35">
        <f t="shared" si="22"/>
        <v>0</v>
      </c>
      <c r="V164" s="4">
        <f>SUMIFS(Dump!P:P,Dump!B:B,C164,Dump!A:A,Y164)</f>
        <v>0</v>
      </c>
      <c r="W164" s="37">
        <f t="shared" si="23"/>
        <v>0</v>
      </c>
      <c r="X164" s="39"/>
      <c r="Y164" s="54"/>
    </row>
    <row r="165">
      <c r="C165" s="53"/>
      <c r="G165" s="2" t="str">
        <f t="shared" si="27"/>
        <v/>
      </c>
      <c r="I165" s="4">
        <f>SUMIFS(Dump!D:D,Dump!B:B,C165)</f>
        <v>0</v>
      </c>
      <c r="J165" s="5">
        <f>SUMIFS(Dump!AE:AE,Dump!B:B,C165)</f>
        <v>0</v>
      </c>
      <c r="K165" s="4">
        <f>SUMPRODUCT(
  (TEXT(Dump!$A$2:$A994,"mmm-yy")=TEXT($Y165,"mmm-yy"))*
  (Dump!$B$2:$B994=$C165)*
  Dump!$D$2:$D994)</f>
        <v>0</v>
      </c>
      <c r="L165" s="4">
        <f>SUMPRODUCT(
  (TEXT(Dump!$A$2:$A994,"mmm-yy")=TEXT($Y165,"mmm-yy"))*
  (Dump!$B$2:$B994=$C165)*
  Dump!$E$2:$E994
)</f>
        <v>0</v>
      </c>
      <c r="M165" s="4">
        <f>SUMPRODUCT(
  (TEXT(Dump!$A$2:$A994,"mmm-yy")=TEXT($Y165,"mmm-yy"))*
  (Dump!$B$2:$B994=$C165)*
  Dump!$P$2:$P994
)</f>
        <v>0</v>
      </c>
      <c r="N165" s="32"/>
      <c r="O165" s="33">
        <f>SUMIFS(Dump!$D:$D,Dump!$B:$B,$C165,Dump!$A:$A,$Y165)</f>
        <v>0</v>
      </c>
      <c r="P165" s="33">
        <f>SUMIFS(Dump!R:R,Dump!B:B,C165,Dump!A:A,Y165)</f>
        <v>0</v>
      </c>
      <c r="Q165" s="34">
        <f t="shared" si="21"/>
        <v>0</v>
      </c>
      <c r="S165" s="4">
        <f>SUMIFS(Dump!E:E,Dump!B:B,C165,Dump!A:A,Y165)</f>
        <v>0</v>
      </c>
      <c r="T165" s="35">
        <f t="shared" si="22"/>
        <v>0</v>
      </c>
      <c r="V165" s="4">
        <f>SUMIFS(Dump!P:P,Dump!B:B,C165,Dump!A:A,Y165)</f>
        <v>0</v>
      </c>
      <c r="W165" s="37">
        <f t="shared" si="23"/>
        <v>0</v>
      </c>
      <c r="X165" s="39"/>
      <c r="Y165" s="54"/>
    </row>
    <row r="166">
      <c r="C166" s="53"/>
      <c r="G166" s="2" t="str">
        <f t="shared" si="27"/>
        <v/>
      </c>
      <c r="I166" s="4">
        <f>SUMIFS(Dump!D:D,Dump!B:B,C166)</f>
        <v>0</v>
      </c>
      <c r="J166" s="5">
        <f>SUMIFS(Dump!AE:AE,Dump!B:B,C166)</f>
        <v>0</v>
      </c>
      <c r="K166" s="4">
        <f>SUMPRODUCT(
  (TEXT(Dump!$A$2:$A994,"mmm-yy")=TEXT($Y166,"mmm-yy"))*
  (Dump!$B$2:$B994=$C166)*
  Dump!$D$2:$D994)</f>
        <v>0</v>
      </c>
      <c r="L166" s="4">
        <f>SUMPRODUCT(
  (TEXT(Dump!$A$2:$A994,"mmm-yy")=TEXT($Y166,"mmm-yy"))*
  (Dump!$B$2:$B994=$C166)*
  Dump!$E$2:$E994
)</f>
        <v>0</v>
      </c>
      <c r="M166" s="4">
        <f>SUMPRODUCT(
  (TEXT(Dump!$A$2:$A994,"mmm-yy")=TEXT($Y166,"mmm-yy"))*
  (Dump!$B$2:$B994=$C166)*
  Dump!$P$2:$P994
)</f>
        <v>0</v>
      </c>
      <c r="N166" s="32"/>
      <c r="O166" s="33">
        <f>SUMIFS(Dump!$D:$D,Dump!$B:$B,$C166,Dump!$A:$A,$Y166)</f>
        <v>0</v>
      </c>
      <c r="P166" s="33">
        <f>SUMIFS(Dump!R:R,Dump!B:B,C166,Dump!A:A,Y166)</f>
        <v>0</v>
      </c>
      <c r="Q166" s="34">
        <f t="shared" si="21"/>
        <v>0</v>
      </c>
      <c r="S166" s="4">
        <f>SUMIFS(Dump!E:E,Dump!B:B,C166,Dump!A:A,Y166)</f>
        <v>0</v>
      </c>
      <c r="T166" s="35">
        <f t="shared" si="22"/>
        <v>0</v>
      </c>
      <c r="V166" s="4">
        <f>SUMIFS(Dump!P:P,Dump!B:B,C166,Dump!A:A,Y166)</f>
        <v>0</v>
      </c>
      <c r="W166" s="37">
        <f t="shared" si="23"/>
        <v>0</v>
      </c>
      <c r="X166" s="39"/>
      <c r="Y166" s="54"/>
    </row>
    <row r="167">
      <c r="C167" s="53"/>
      <c r="G167" s="2" t="str">
        <f t="shared" si="27"/>
        <v/>
      </c>
      <c r="I167" s="4">
        <f>SUMIFS(Dump!D:D,Dump!B:B,C167)</f>
        <v>0</v>
      </c>
      <c r="J167" s="5">
        <f>SUMIFS(Dump!AE:AE,Dump!B:B,C167)</f>
        <v>0</v>
      </c>
      <c r="K167" s="4">
        <f>SUMPRODUCT(
  (TEXT(Dump!$A$2:$A994,"mmm-yy")=TEXT($Y167,"mmm-yy"))*
  (Dump!$B$2:$B994=$C167)*
  Dump!$D$2:$D994)</f>
        <v>0</v>
      </c>
      <c r="L167" s="4">
        <f>SUMPRODUCT(
  (TEXT(Dump!$A$2:$A994,"mmm-yy")=TEXT($Y167,"mmm-yy"))*
  (Dump!$B$2:$B994=$C167)*
  Dump!$E$2:$E994
)</f>
        <v>0</v>
      </c>
      <c r="M167" s="4">
        <f>SUMPRODUCT(
  (TEXT(Dump!$A$2:$A994,"mmm-yy")=TEXT($Y167,"mmm-yy"))*
  (Dump!$B$2:$B994=$C167)*
  Dump!$P$2:$P994
)</f>
        <v>0</v>
      </c>
      <c r="N167" s="32"/>
      <c r="O167" s="33">
        <f>SUMIFS(Dump!$D:$D,Dump!$B:$B,$C167,Dump!$A:$A,$Y167)</f>
        <v>0</v>
      </c>
      <c r="P167" s="33">
        <f>SUMIFS(Dump!R:R,Dump!B:B,C167,Dump!A:A,Y167)</f>
        <v>0</v>
      </c>
      <c r="Q167" s="34">
        <f t="shared" si="21"/>
        <v>0</v>
      </c>
      <c r="S167" s="4">
        <f>SUMIFS(Dump!E:E,Dump!B:B,C167,Dump!A:A,Y167)</f>
        <v>0</v>
      </c>
      <c r="T167" s="35">
        <f t="shared" si="22"/>
        <v>0</v>
      </c>
      <c r="V167" s="4">
        <f>SUMIFS(Dump!P:P,Dump!B:B,C167,Dump!A:A,Y167)</f>
        <v>0</v>
      </c>
      <c r="W167" s="37">
        <f t="shared" si="23"/>
        <v>0</v>
      </c>
      <c r="X167" s="39"/>
      <c r="Y167" s="54"/>
    </row>
    <row r="168">
      <c r="C168" s="53"/>
      <c r="G168" s="2" t="str">
        <f t="shared" si="27"/>
        <v/>
      </c>
      <c r="I168" s="4">
        <f>SUMIFS(Dump!D:D,Dump!B:B,C168)</f>
        <v>0</v>
      </c>
      <c r="J168" s="5">
        <f>SUMIFS(Dump!AE:AE,Dump!B:B,C168)</f>
        <v>0</v>
      </c>
      <c r="K168" s="4">
        <f>SUMPRODUCT(
  (TEXT(Dump!$A$2:$A994,"mmm-yy")=TEXT($Y168,"mmm-yy"))*
  (Dump!$B$2:$B994=$C168)*
  Dump!$D$2:$D994)</f>
        <v>0</v>
      </c>
      <c r="L168" s="4">
        <f>SUMPRODUCT(
  (TEXT(Dump!$A$2:$A994,"mmm-yy")=TEXT($Y168,"mmm-yy"))*
  (Dump!$B$2:$B994=$C168)*
  Dump!$E$2:$E994
)</f>
        <v>0</v>
      </c>
      <c r="M168" s="4">
        <f>SUMPRODUCT(
  (TEXT(Dump!$A$2:$A994,"mmm-yy")=TEXT($Y168,"mmm-yy"))*
  (Dump!$B$2:$B994=$C168)*
  Dump!$P$2:$P994
)</f>
        <v>0</v>
      </c>
      <c r="N168" s="32"/>
      <c r="O168" s="33">
        <f>SUMIFS(Dump!$D:$D,Dump!$B:$B,$C168,Dump!$A:$A,$Y168)</f>
        <v>0</v>
      </c>
      <c r="P168" s="33">
        <f>SUMIFS(Dump!R:R,Dump!B:B,C168,Dump!A:A,Y168)</f>
        <v>0</v>
      </c>
      <c r="Q168" s="34">
        <f t="shared" si="21"/>
        <v>0</v>
      </c>
      <c r="S168" s="4">
        <f>SUMIFS(Dump!E:E,Dump!B:B,C168,Dump!A:A,Y168)</f>
        <v>0</v>
      </c>
      <c r="T168" s="35">
        <f t="shared" si="22"/>
        <v>0</v>
      </c>
      <c r="V168" s="4">
        <f>SUMIFS(Dump!P:P,Dump!B:B,C168,Dump!A:A,Y168)</f>
        <v>0</v>
      </c>
      <c r="W168" s="37">
        <f t="shared" si="23"/>
        <v>0</v>
      </c>
      <c r="X168" s="39"/>
      <c r="Y168" s="54"/>
    </row>
    <row r="169">
      <c r="C169" s="53"/>
      <c r="G169" s="2" t="str">
        <f t="shared" si="27"/>
        <v/>
      </c>
      <c r="I169" s="4">
        <f>SUMIFS(Dump!D:D,Dump!B:B,C169)</f>
        <v>0</v>
      </c>
      <c r="J169" s="5">
        <f>SUMIFS(Dump!AE:AE,Dump!B:B,C169)</f>
        <v>0</v>
      </c>
      <c r="K169" s="4">
        <f>SUMPRODUCT(
  (TEXT(Dump!$A$2:$A994,"mmm-yy")=TEXT($Y169,"mmm-yy"))*
  (Dump!$B$2:$B994=$C169)*
  Dump!$D$2:$D994)</f>
        <v>0</v>
      </c>
      <c r="L169" s="4">
        <f>SUMPRODUCT(
  (TEXT(Dump!$A$2:$A994,"mmm-yy")=TEXT($Y169,"mmm-yy"))*
  (Dump!$B$2:$B994=$C169)*
  Dump!$E$2:$E994
)</f>
        <v>0</v>
      </c>
      <c r="M169" s="4">
        <f>SUMPRODUCT(
  (TEXT(Dump!$A$2:$A994,"mmm-yy")=TEXT($Y169,"mmm-yy"))*
  (Dump!$B$2:$B994=$C169)*
  Dump!$P$2:$P994
)</f>
        <v>0</v>
      </c>
      <c r="N169" s="32"/>
      <c r="O169" s="33">
        <f>SUMIFS(Dump!$D:$D,Dump!$B:$B,$C169,Dump!$A:$A,$Y169)</f>
        <v>0</v>
      </c>
      <c r="P169" s="33">
        <f>SUMIFS(Dump!R:R,Dump!B:B,C169,Dump!A:A,Y169)</f>
        <v>0</v>
      </c>
      <c r="Q169" s="34">
        <f t="shared" si="21"/>
        <v>0</v>
      </c>
      <c r="S169" s="4">
        <f>SUMIFS(Dump!E:E,Dump!B:B,C169,Dump!A:A,Y169)</f>
        <v>0</v>
      </c>
      <c r="T169" s="35">
        <f t="shared" si="22"/>
        <v>0</v>
      </c>
      <c r="V169" s="4">
        <f>SUMIFS(Dump!P:P,Dump!B:B,C169,Dump!A:A,Y169)</f>
        <v>0</v>
      </c>
      <c r="W169" s="37">
        <f t="shared" si="23"/>
        <v>0</v>
      </c>
      <c r="X169" s="39"/>
      <c r="Y169" s="54"/>
    </row>
    <row r="170">
      <c r="C170" s="53"/>
      <c r="G170" s="2" t="str">
        <f t="shared" si="27"/>
        <v/>
      </c>
      <c r="I170" s="4">
        <f>SUMIFS(Dump!D:D,Dump!B:B,C170)</f>
        <v>0</v>
      </c>
      <c r="J170" s="5">
        <f>SUMIFS(Dump!AE:AE,Dump!B:B,C170)</f>
        <v>0</v>
      </c>
      <c r="K170" s="4">
        <f>SUMPRODUCT(
  (TEXT(Dump!$A$2:$A994,"mmm-yy")=TEXT($Y170,"mmm-yy"))*
  (Dump!$B$2:$B994=$C170)*
  Dump!$D$2:$D994)</f>
        <v>0</v>
      </c>
      <c r="L170" s="4">
        <f>SUMPRODUCT(
  (TEXT(Dump!$A$2:$A994,"mmm-yy")=TEXT($Y170,"mmm-yy"))*
  (Dump!$B$2:$B994=$C170)*
  Dump!$E$2:$E994
)</f>
        <v>0</v>
      </c>
      <c r="M170" s="4">
        <f>SUMPRODUCT(
  (TEXT(Dump!$A$2:$A994,"mmm-yy")=TEXT($Y170,"mmm-yy"))*
  (Dump!$B$2:$B994=$C170)*
  Dump!$P$2:$P994
)</f>
        <v>0</v>
      </c>
      <c r="N170" s="32"/>
      <c r="O170" s="33">
        <f>SUMIFS(Dump!$D:$D,Dump!$B:$B,$C170,Dump!$A:$A,$Y170)</f>
        <v>0</v>
      </c>
      <c r="P170" s="33">
        <f>SUMIFS(Dump!R:R,Dump!B:B,C170,Dump!A:A,Y170)</f>
        <v>0</v>
      </c>
      <c r="Q170" s="34">
        <f t="shared" si="21"/>
        <v>0</v>
      </c>
      <c r="S170" s="4">
        <f>SUMIFS(Dump!E:E,Dump!B:B,C170,Dump!A:A,Y170)</f>
        <v>0</v>
      </c>
      <c r="T170" s="35">
        <f t="shared" si="22"/>
        <v>0</v>
      </c>
      <c r="V170" s="4">
        <f>SUMIFS(Dump!P:P,Dump!B:B,C170,Dump!A:A,Y170)</f>
        <v>0</v>
      </c>
      <c r="W170" s="37">
        <f t="shared" si="23"/>
        <v>0</v>
      </c>
      <c r="X170" s="39"/>
      <c r="Y170" s="54"/>
    </row>
    <row r="171">
      <c r="C171" s="53"/>
      <c r="G171" s="2" t="str">
        <f t="shared" si="27"/>
        <v/>
      </c>
      <c r="I171" s="4">
        <f>SUMIFS(Dump!D:D,Dump!B:B,C171)</f>
        <v>0</v>
      </c>
      <c r="J171" s="5">
        <f>SUMIFS(Dump!AE:AE,Dump!B:B,C171)</f>
        <v>0</v>
      </c>
      <c r="K171" s="4">
        <f>SUMPRODUCT(
  (TEXT(Dump!$A$2:$A994,"mmm-yy")=TEXT($Y171,"mmm-yy"))*
  (Dump!$B$2:$B994=$C171)*
  Dump!$D$2:$D994)</f>
        <v>0</v>
      </c>
      <c r="L171" s="4">
        <f>SUMPRODUCT(
  (TEXT(Dump!$A$2:$A994,"mmm-yy")=TEXT($Y171,"mmm-yy"))*
  (Dump!$B$2:$B994=$C171)*
  Dump!$E$2:$E994
)</f>
        <v>0</v>
      </c>
      <c r="M171" s="4">
        <f>SUMPRODUCT(
  (TEXT(Dump!$A$2:$A994,"mmm-yy")=TEXT($Y171,"mmm-yy"))*
  (Dump!$B$2:$B994=$C171)*
  Dump!$P$2:$P994
)</f>
        <v>0</v>
      </c>
      <c r="N171" s="32"/>
      <c r="O171" s="33">
        <f>SUMIFS(Dump!$D:$D,Dump!$B:$B,$C171,Dump!$A:$A,$Y171)</f>
        <v>0</v>
      </c>
      <c r="P171" s="33">
        <f>SUMIFS(Dump!R:R,Dump!B:B,C171,Dump!A:A,Y171)</f>
        <v>0</v>
      </c>
      <c r="Q171" s="34">
        <f t="shared" si="21"/>
        <v>0</v>
      </c>
      <c r="S171" s="4">
        <f>SUMIFS(Dump!E:E,Dump!B:B,C171,Dump!A:A,Y171)</f>
        <v>0</v>
      </c>
      <c r="T171" s="35">
        <f t="shared" si="22"/>
        <v>0</v>
      </c>
      <c r="V171" s="4">
        <f>SUMIFS(Dump!P:P,Dump!B:B,C171,Dump!A:A,Y171)</f>
        <v>0</v>
      </c>
      <c r="W171" s="37">
        <f t="shared" si="23"/>
        <v>0</v>
      </c>
      <c r="X171" s="39"/>
      <c r="Y171" s="54"/>
    </row>
    <row r="172">
      <c r="C172" s="53"/>
      <c r="G172" s="2" t="str">
        <f t="shared" si="27"/>
        <v/>
      </c>
      <c r="I172" s="4">
        <f>SUMIFS(Dump!D:D,Dump!B:B,C172)</f>
        <v>0</v>
      </c>
      <c r="J172" s="5">
        <f>SUMIFS(Dump!AE:AE,Dump!B:B,C172)</f>
        <v>0</v>
      </c>
      <c r="K172" s="4">
        <f>SUMPRODUCT(
  (TEXT(Dump!$A$2:$A994,"mmm-yy")=TEXT($Y172,"mmm-yy"))*
  (Dump!$B$2:$B994=$C172)*
  Dump!$D$2:$D994)</f>
        <v>0</v>
      </c>
      <c r="L172" s="4">
        <f>SUMPRODUCT(
  (TEXT(Dump!$A$2:$A994,"mmm-yy")=TEXT($Y172,"mmm-yy"))*
  (Dump!$B$2:$B994=$C172)*
  Dump!$E$2:$E994
)</f>
        <v>0</v>
      </c>
      <c r="M172" s="4">
        <f>SUMPRODUCT(
  (TEXT(Dump!$A$2:$A994,"mmm-yy")=TEXT($Y172,"mmm-yy"))*
  (Dump!$B$2:$B994=$C172)*
  Dump!$P$2:$P994
)</f>
        <v>0</v>
      </c>
      <c r="N172" s="32"/>
      <c r="O172" s="33">
        <f>SUMIFS(Dump!$D:$D,Dump!$B:$B,$C172,Dump!$A:$A,$Y172)</f>
        <v>0</v>
      </c>
      <c r="P172" s="33">
        <f>SUMIFS(Dump!R:R,Dump!B:B,C172,Dump!A:A,Y172)</f>
        <v>0</v>
      </c>
      <c r="Q172" s="34">
        <f t="shared" si="21"/>
        <v>0</v>
      </c>
      <c r="S172" s="4">
        <f>SUMIFS(Dump!E:E,Dump!B:B,C172,Dump!A:A,Y172)</f>
        <v>0</v>
      </c>
      <c r="T172" s="35">
        <f t="shared" si="22"/>
        <v>0</v>
      </c>
      <c r="V172" s="4">
        <f>SUMIFS(Dump!P:P,Dump!B:B,C172,Dump!A:A,Y172)</f>
        <v>0</v>
      </c>
      <c r="W172" s="37">
        <f t="shared" si="23"/>
        <v>0</v>
      </c>
      <c r="X172" s="39"/>
      <c r="Y172" s="54"/>
    </row>
    <row r="173">
      <c r="C173" s="53"/>
      <c r="G173" s="2" t="str">
        <f t="shared" si="27"/>
        <v/>
      </c>
      <c r="I173" s="4">
        <f>SUMIFS(Dump!D:D,Dump!B:B,C173)</f>
        <v>0</v>
      </c>
      <c r="J173" s="5">
        <f>SUMIFS(Dump!AE:AE,Dump!B:B,C173)</f>
        <v>0</v>
      </c>
      <c r="K173" s="4">
        <f>SUMPRODUCT(
  (TEXT(Dump!$A$2:$A994,"mmm-yy")=TEXT($Y173,"mmm-yy"))*
  (Dump!$B$2:$B994=$C173)*
  Dump!$D$2:$D994)</f>
        <v>0</v>
      </c>
      <c r="L173" s="4">
        <f>SUMPRODUCT(
  (TEXT(Dump!$A$2:$A994,"mmm-yy")=TEXT($Y173,"mmm-yy"))*
  (Dump!$B$2:$B994=$C173)*
  Dump!$E$2:$E994
)</f>
        <v>0</v>
      </c>
      <c r="M173" s="4">
        <f>SUMPRODUCT(
  (TEXT(Dump!$A$2:$A994,"mmm-yy")=TEXT($Y173,"mmm-yy"))*
  (Dump!$B$2:$B994=$C173)*
  Dump!$P$2:$P994
)</f>
        <v>0</v>
      </c>
      <c r="N173" s="32"/>
      <c r="O173" s="33">
        <f>SUMIFS(Dump!$D:$D,Dump!$B:$B,$C173,Dump!$A:$A,$Y173)</f>
        <v>0</v>
      </c>
      <c r="P173" s="33">
        <f>SUMIFS(Dump!R:R,Dump!B:B,C173,Dump!A:A,Y173)</f>
        <v>0</v>
      </c>
      <c r="Q173" s="34">
        <f t="shared" si="21"/>
        <v>0</v>
      </c>
      <c r="S173" s="4">
        <f>SUMIFS(Dump!E:E,Dump!B:B,C173,Dump!A:A,Y173)</f>
        <v>0</v>
      </c>
      <c r="T173" s="35">
        <f t="shared" si="22"/>
        <v>0</v>
      </c>
      <c r="V173" s="4">
        <f>SUMIFS(Dump!P:P,Dump!B:B,C173,Dump!A:A,Y173)</f>
        <v>0</v>
      </c>
      <c r="W173" s="37">
        <f t="shared" si="23"/>
        <v>0</v>
      </c>
      <c r="X173" s="39"/>
      <c r="Y173" s="54"/>
    </row>
    <row r="174">
      <c r="C174" s="53"/>
      <c r="G174" s="2" t="str">
        <f t="shared" si="27"/>
        <v/>
      </c>
      <c r="I174" s="4">
        <f>SUMIFS(Dump!D:D,Dump!B:B,C174)</f>
        <v>0</v>
      </c>
      <c r="J174" s="5">
        <f>SUMIFS(Dump!AE:AE,Dump!B:B,C174)</f>
        <v>0</v>
      </c>
      <c r="K174" s="4">
        <f>SUMPRODUCT(
  (TEXT(Dump!$A$2:$A994,"mmm-yy")=TEXT($Y174,"mmm-yy"))*
  (Dump!$B$2:$B994=$C174)*
  Dump!$D$2:$D994)</f>
        <v>0</v>
      </c>
      <c r="L174" s="4">
        <f>SUMPRODUCT(
  (TEXT(Dump!$A$2:$A994,"mmm-yy")=TEXT($Y174,"mmm-yy"))*
  (Dump!$B$2:$B994=$C174)*
  Dump!$E$2:$E994
)</f>
        <v>0</v>
      </c>
      <c r="M174" s="4">
        <f>SUMPRODUCT(
  (TEXT(Dump!$A$2:$A994,"mmm-yy")=TEXT($Y174,"mmm-yy"))*
  (Dump!$B$2:$B994=$C174)*
  Dump!$P$2:$P994
)</f>
        <v>0</v>
      </c>
      <c r="N174" s="32"/>
      <c r="O174" s="33">
        <f>SUMIFS(Dump!$D:$D,Dump!$B:$B,$C174,Dump!$A:$A,$Y174)</f>
        <v>0</v>
      </c>
      <c r="P174" s="33">
        <f>SUMIFS(Dump!R:R,Dump!B:B,C174,Dump!A:A,Y174)</f>
        <v>0</v>
      </c>
      <c r="Q174" s="34">
        <f t="shared" si="21"/>
        <v>0</v>
      </c>
      <c r="S174" s="4">
        <f>SUMIFS(Dump!E:E,Dump!B:B,C174,Dump!A:A,Y174)</f>
        <v>0</v>
      </c>
      <c r="T174" s="35">
        <f t="shared" si="22"/>
        <v>0</v>
      </c>
      <c r="V174" s="4">
        <f>SUMIFS(Dump!P:P,Dump!B:B,C174,Dump!A:A,Y174)</f>
        <v>0</v>
      </c>
      <c r="W174" s="37">
        <f t="shared" si="23"/>
        <v>0</v>
      </c>
      <c r="X174" s="39"/>
      <c r="Y174" s="54"/>
    </row>
    <row r="175">
      <c r="C175" s="53"/>
      <c r="G175" s="2" t="str">
        <f t="shared" si="27"/>
        <v/>
      </c>
      <c r="I175" s="4">
        <f>SUMIFS(Dump!D:D,Dump!B:B,C175)</f>
        <v>0</v>
      </c>
      <c r="J175" s="5">
        <f>SUMIFS(Dump!AE:AE,Dump!B:B,C175)</f>
        <v>0</v>
      </c>
      <c r="K175" s="4">
        <f>SUMPRODUCT(
  (TEXT(Dump!$A$2:$A994,"mmm-yy")=TEXT($Y175,"mmm-yy"))*
  (Dump!$B$2:$B994=$C175)*
  Dump!$D$2:$D994)</f>
        <v>0</v>
      </c>
      <c r="L175" s="4">
        <f>SUMPRODUCT(
  (TEXT(Dump!$A$2:$A994,"mmm-yy")=TEXT($Y175,"mmm-yy"))*
  (Dump!$B$2:$B994=$C175)*
  Dump!$E$2:$E994
)</f>
        <v>0</v>
      </c>
      <c r="M175" s="4">
        <f>SUMPRODUCT(
  (TEXT(Dump!$A$2:$A994,"mmm-yy")=TEXT($Y175,"mmm-yy"))*
  (Dump!$B$2:$B994=$C175)*
  Dump!$P$2:$P994
)</f>
        <v>0</v>
      </c>
      <c r="N175" s="32"/>
      <c r="O175" s="33">
        <f>SUMIFS(Dump!$D:$D,Dump!$B:$B,$C175,Dump!$A:$A,$Y175)</f>
        <v>0</v>
      </c>
      <c r="P175" s="33">
        <f>SUMIFS(Dump!R:R,Dump!B:B,C175,Dump!A:A,Y175)</f>
        <v>0</v>
      </c>
      <c r="Q175" s="34">
        <f t="shared" si="21"/>
        <v>0</v>
      </c>
      <c r="S175" s="4">
        <f>SUMIFS(Dump!E:E,Dump!B:B,C175,Dump!A:A,Y175)</f>
        <v>0</v>
      </c>
      <c r="T175" s="35">
        <f t="shared" si="22"/>
        <v>0</v>
      </c>
      <c r="V175" s="4">
        <f>SUMIFS(Dump!P:P,Dump!B:B,C175,Dump!A:A,Y175)</f>
        <v>0</v>
      </c>
      <c r="W175" s="37">
        <f t="shared" si="23"/>
        <v>0</v>
      </c>
      <c r="X175" s="39"/>
      <c r="Y175" s="54"/>
    </row>
    <row r="176">
      <c r="C176" s="53"/>
      <c r="G176" s="2" t="str">
        <f t="shared" si="27"/>
        <v/>
      </c>
      <c r="I176" s="4">
        <f>SUMIFS(Dump!D:D,Dump!B:B,C176)</f>
        <v>0</v>
      </c>
      <c r="J176" s="5">
        <f>SUMIFS(Dump!AE:AE,Dump!B:B,C176)</f>
        <v>0</v>
      </c>
      <c r="K176" s="4">
        <f>SUMPRODUCT(
  (TEXT(Dump!$A$2:$A994,"mmm-yy")=TEXT($Y176,"mmm-yy"))*
  (Dump!$B$2:$B994=$C176)*
  Dump!$D$2:$D994)</f>
        <v>0</v>
      </c>
      <c r="L176" s="4">
        <f>SUMPRODUCT(
  (TEXT(Dump!$A$2:$A994,"mmm-yy")=TEXT($Y176,"mmm-yy"))*
  (Dump!$B$2:$B994=$C176)*
  Dump!$E$2:$E994
)</f>
        <v>0</v>
      </c>
      <c r="M176" s="4">
        <f>SUMPRODUCT(
  (TEXT(Dump!$A$2:$A994,"mmm-yy")=TEXT($Y176,"mmm-yy"))*
  (Dump!$B$2:$B994=$C176)*
  Dump!$P$2:$P994
)</f>
        <v>0</v>
      </c>
      <c r="N176" s="32"/>
      <c r="O176" s="33">
        <f>SUMIFS(Dump!$D:$D,Dump!$B:$B,$C176,Dump!$A:$A,$Y176)</f>
        <v>0</v>
      </c>
      <c r="P176" s="33">
        <f>SUMIFS(Dump!R:R,Dump!B:B,C176,Dump!A:A,Y176)</f>
        <v>0</v>
      </c>
      <c r="Q176" s="34">
        <f t="shared" si="21"/>
        <v>0</v>
      </c>
      <c r="S176" s="4">
        <f>SUMIFS(Dump!E:E,Dump!B:B,C176,Dump!A:A,Y176)</f>
        <v>0</v>
      </c>
      <c r="T176" s="35">
        <f t="shared" si="22"/>
        <v>0</v>
      </c>
      <c r="V176" s="4">
        <f>SUMIFS(Dump!P:P,Dump!B:B,C176,Dump!A:A,Y176)</f>
        <v>0</v>
      </c>
      <c r="W176" s="37">
        <f t="shared" si="23"/>
        <v>0</v>
      </c>
      <c r="X176" s="39"/>
      <c r="Y176" s="54"/>
    </row>
    <row r="177">
      <c r="C177" s="53"/>
      <c r="G177" s="2" t="str">
        <f t="shared" si="27"/>
        <v/>
      </c>
      <c r="I177" s="4">
        <f>SUMIFS(Dump!D:D,Dump!B:B,C177)</f>
        <v>0</v>
      </c>
      <c r="J177" s="5">
        <f>SUMIFS(Dump!AE:AE,Dump!B:B,C177)</f>
        <v>0</v>
      </c>
      <c r="K177" s="4">
        <f>SUMPRODUCT(
  (TEXT(Dump!$A$2:$A994,"mmm-yy")=TEXT($Y177,"mmm-yy"))*
  (Dump!$B$2:$B994=$C177)*
  Dump!$D$2:$D994)</f>
        <v>0</v>
      </c>
      <c r="L177" s="4">
        <f>SUMPRODUCT(
  (TEXT(Dump!$A$2:$A994,"mmm-yy")=TEXT($Y177,"mmm-yy"))*
  (Dump!$B$2:$B994=$C177)*
  Dump!$E$2:$E994
)</f>
        <v>0</v>
      </c>
      <c r="M177" s="4">
        <f>SUMPRODUCT(
  (TEXT(Dump!$A$2:$A994,"mmm-yy")=TEXT($Y177,"mmm-yy"))*
  (Dump!$B$2:$B994=$C177)*
  Dump!$P$2:$P994
)</f>
        <v>0</v>
      </c>
      <c r="N177" s="32"/>
      <c r="O177" s="33">
        <f>SUMIFS(Dump!$D:$D,Dump!$B:$B,$C177,Dump!$A:$A,$Y177)</f>
        <v>0</v>
      </c>
      <c r="P177" s="33">
        <f>SUMIFS(Dump!R:R,Dump!B:B,C177,Dump!A:A,Y177)</f>
        <v>0</v>
      </c>
      <c r="Q177" s="34">
        <f t="shared" si="21"/>
        <v>0</v>
      </c>
      <c r="S177" s="4">
        <f>SUMIFS(Dump!E:E,Dump!B:B,C177,Dump!A:A,Y177)</f>
        <v>0</v>
      </c>
      <c r="T177" s="35">
        <f t="shared" si="22"/>
        <v>0</v>
      </c>
      <c r="V177" s="4">
        <f>SUMIFS(Dump!P:P,Dump!B:B,C177,Dump!A:A,Y177)</f>
        <v>0</v>
      </c>
      <c r="W177" s="37">
        <f t="shared" si="23"/>
        <v>0</v>
      </c>
      <c r="X177" s="39"/>
      <c r="Y177" s="54"/>
    </row>
    <row r="178">
      <c r="C178" s="53"/>
      <c r="G178" s="2" t="str">
        <f t="shared" si="27"/>
        <v/>
      </c>
      <c r="I178" s="4">
        <f>SUMIFS(Dump!D:D,Dump!B:B,C178)</f>
        <v>0</v>
      </c>
      <c r="J178" s="5">
        <f>SUMIFS(Dump!AE:AE,Dump!B:B,C178)</f>
        <v>0</v>
      </c>
      <c r="K178" s="4">
        <f>SUMPRODUCT(
  (TEXT(Dump!$A$2:$A994,"mmm-yy")=TEXT($Y178,"mmm-yy"))*
  (Dump!$B$2:$B994=$C178)*
  Dump!$D$2:$D994)</f>
        <v>0</v>
      </c>
      <c r="L178" s="4">
        <f>SUMPRODUCT(
  (TEXT(Dump!$A$2:$A994,"mmm-yy")=TEXT($Y178,"mmm-yy"))*
  (Dump!$B$2:$B994=$C178)*
  Dump!$E$2:$E994
)</f>
        <v>0</v>
      </c>
      <c r="M178" s="4">
        <f>SUMPRODUCT(
  (TEXT(Dump!$A$2:$A994,"mmm-yy")=TEXT($Y178,"mmm-yy"))*
  (Dump!$B$2:$B994=$C178)*
  Dump!$P$2:$P994
)</f>
        <v>0</v>
      </c>
      <c r="N178" s="32"/>
      <c r="O178" s="33">
        <f>SUMIFS(Dump!$D:$D,Dump!$B:$B,$C178,Dump!$A:$A,$Y178)</f>
        <v>0</v>
      </c>
      <c r="P178" s="33">
        <f>SUMIFS(Dump!R:R,Dump!B:B,C178,Dump!A:A,Y178)</f>
        <v>0</v>
      </c>
      <c r="Q178" s="34">
        <f t="shared" si="21"/>
        <v>0</v>
      </c>
      <c r="S178" s="4">
        <f>SUMIFS(Dump!E:E,Dump!B:B,C178,Dump!A:A,Y178)</f>
        <v>0</v>
      </c>
      <c r="T178" s="35">
        <f t="shared" si="22"/>
        <v>0</v>
      </c>
      <c r="V178" s="4">
        <f>SUMIFS(Dump!P:P,Dump!B:B,C178,Dump!A:A,Y178)</f>
        <v>0</v>
      </c>
      <c r="W178" s="37">
        <f t="shared" si="23"/>
        <v>0</v>
      </c>
      <c r="X178" s="39"/>
      <c r="Y178" s="54"/>
    </row>
    <row r="179">
      <c r="C179" s="53"/>
      <c r="G179" s="2" t="str">
        <f t="shared" si="27"/>
        <v/>
      </c>
      <c r="I179" s="4">
        <f>SUMIFS(Dump!D:D,Dump!B:B,C179)</f>
        <v>0</v>
      </c>
      <c r="J179" s="5">
        <f>SUMIFS(Dump!AE:AE,Dump!B:B,C179)</f>
        <v>0</v>
      </c>
      <c r="K179" s="4">
        <f>SUMPRODUCT(
  (TEXT(Dump!$A$2:$A994,"mmm-yy")=TEXT($Y179,"mmm-yy"))*
  (Dump!$B$2:$B994=$C179)*
  Dump!$D$2:$D994)</f>
        <v>0</v>
      </c>
      <c r="L179" s="4">
        <f>SUMPRODUCT(
  (TEXT(Dump!$A$2:$A994,"mmm-yy")=TEXT($Y179,"mmm-yy"))*
  (Dump!$B$2:$B994=$C179)*
  Dump!$E$2:$E994
)</f>
        <v>0</v>
      </c>
      <c r="M179" s="4">
        <f>SUMPRODUCT(
  (TEXT(Dump!$A$2:$A994,"mmm-yy")=TEXT($Y179,"mmm-yy"))*
  (Dump!$B$2:$B994=$C179)*
  Dump!$P$2:$P994
)</f>
        <v>0</v>
      </c>
      <c r="N179" s="32"/>
      <c r="O179" s="33">
        <f>SUMIFS(Dump!$D:$D,Dump!$B:$B,$C179,Dump!$A:$A,$Y179)</f>
        <v>0</v>
      </c>
      <c r="P179" s="33">
        <f>SUMIFS(Dump!R:R,Dump!B:B,C179,Dump!A:A,Y179)</f>
        <v>0</v>
      </c>
      <c r="Q179" s="34">
        <f t="shared" si="21"/>
        <v>0</v>
      </c>
      <c r="S179" s="4">
        <f>SUMIFS(Dump!E:E,Dump!B:B,C179,Dump!A:A,Y179)</f>
        <v>0</v>
      </c>
      <c r="T179" s="35">
        <f t="shared" si="22"/>
        <v>0</v>
      </c>
      <c r="V179" s="4">
        <f>SUMIFS(Dump!P:P,Dump!B:B,C179,Dump!A:A,Y179)</f>
        <v>0</v>
      </c>
      <c r="W179" s="37">
        <f t="shared" si="23"/>
        <v>0</v>
      </c>
      <c r="X179" s="39"/>
      <c r="Y179" s="54"/>
    </row>
    <row r="180">
      <c r="C180" s="53"/>
      <c r="G180" s="2" t="str">
        <f t="shared" si="27"/>
        <v/>
      </c>
      <c r="I180" s="4">
        <f>SUMIFS(Dump!D:D,Dump!B:B,C180)</f>
        <v>0</v>
      </c>
      <c r="J180" s="5">
        <f>SUMIFS(Dump!AE:AE,Dump!B:B,C180)</f>
        <v>0</v>
      </c>
      <c r="K180" s="4">
        <f>SUMPRODUCT(
  (TEXT(Dump!$A$2:$A994,"mmm-yy")=TEXT($Y180,"mmm-yy"))*
  (Dump!$B$2:$B994=$C180)*
  Dump!$D$2:$D994)</f>
        <v>0</v>
      </c>
      <c r="L180" s="4">
        <f>SUMPRODUCT(
  (TEXT(Dump!$A$2:$A994,"mmm-yy")=TEXT($Y180,"mmm-yy"))*
  (Dump!$B$2:$B994=$C180)*
  Dump!$E$2:$E994
)</f>
        <v>0</v>
      </c>
      <c r="M180" s="4">
        <f>SUMPRODUCT(
  (TEXT(Dump!$A$2:$A994,"mmm-yy")=TEXT($Y180,"mmm-yy"))*
  (Dump!$B$2:$B994=$C180)*
  Dump!$P$2:$P994
)</f>
        <v>0</v>
      </c>
      <c r="N180" s="32"/>
      <c r="O180" s="33">
        <f>SUMIFS(Dump!$D:$D,Dump!$B:$B,$C180,Dump!$A:$A,$Y180)</f>
        <v>0</v>
      </c>
      <c r="P180" s="33">
        <f>SUMIFS(Dump!R:R,Dump!B:B,C180,Dump!A:A,Y180)</f>
        <v>0</v>
      </c>
      <c r="Q180" s="34">
        <f t="shared" si="21"/>
        <v>0</v>
      </c>
      <c r="S180" s="4">
        <f>SUMIFS(Dump!E:E,Dump!B:B,C180,Dump!A:A,Y180)</f>
        <v>0</v>
      </c>
      <c r="T180" s="35">
        <f t="shared" si="22"/>
        <v>0</v>
      </c>
      <c r="V180" s="4">
        <f>SUMIFS(Dump!P:P,Dump!B:B,C180,Dump!A:A,Y180)</f>
        <v>0</v>
      </c>
      <c r="W180" s="37">
        <f t="shared" si="23"/>
        <v>0</v>
      </c>
      <c r="X180" s="39"/>
      <c r="Y180" s="54"/>
    </row>
    <row r="181">
      <c r="C181" s="53"/>
      <c r="G181" s="2" t="str">
        <f t="shared" si="27"/>
        <v/>
      </c>
      <c r="I181" s="4">
        <f>SUMIFS(Dump!D:D,Dump!B:B,C181)</f>
        <v>0</v>
      </c>
      <c r="J181" s="5">
        <f>SUMIFS(Dump!AE:AE,Dump!B:B,C181)</f>
        <v>0</v>
      </c>
      <c r="K181" s="4">
        <f>SUMPRODUCT(
  (TEXT(Dump!$A$2:$A994,"mmm-yy")=TEXT($Y181,"mmm-yy"))*
  (Dump!$B$2:$B994=$C181)*
  Dump!$D$2:$D994)</f>
        <v>0</v>
      </c>
      <c r="L181" s="4">
        <f>SUMPRODUCT(
  (TEXT(Dump!$A$2:$A994,"mmm-yy")=TEXT($Y181,"mmm-yy"))*
  (Dump!$B$2:$B994=$C181)*
  Dump!$E$2:$E994
)</f>
        <v>0</v>
      </c>
      <c r="M181" s="4">
        <f>SUMPRODUCT(
  (TEXT(Dump!$A$2:$A994,"mmm-yy")=TEXT($Y181,"mmm-yy"))*
  (Dump!$B$2:$B994=$C181)*
  Dump!$P$2:$P994
)</f>
        <v>0</v>
      </c>
      <c r="N181" s="32"/>
      <c r="O181" s="33">
        <f>SUMIFS(Dump!$D:$D,Dump!$B:$B,$C181,Dump!$A:$A,$Y181)</f>
        <v>0</v>
      </c>
      <c r="P181" s="33">
        <f>SUMIFS(Dump!R:R,Dump!B:B,C181,Dump!A:A,Y181)</f>
        <v>0</v>
      </c>
      <c r="Q181" s="34">
        <f t="shared" si="21"/>
        <v>0</v>
      </c>
      <c r="S181" s="4">
        <f>SUMIFS(Dump!E:E,Dump!B:B,C181,Dump!A:A,Y181)</f>
        <v>0</v>
      </c>
      <c r="T181" s="35">
        <f t="shared" si="22"/>
        <v>0</v>
      </c>
      <c r="V181" s="4">
        <f>SUMIFS(Dump!P:P,Dump!B:B,C181,Dump!A:A,Y181)</f>
        <v>0</v>
      </c>
      <c r="W181" s="37">
        <f t="shared" si="23"/>
        <v>0</v>
      </c>
      <c r="X181" s="39"/>
      <c r="Y181" s="54"/>
    </row>
    <row r="182">
      <c r="C182" s="53"/>
      <c r="G182" s="2" t="str">
        <f t="shared" si="27"/>
        <v/>
      </c>
      <c r="I182" s="4">
        <f>SUMIFS(Dump!D:D,Dump!B:B,C182)</f>
        <v>0</v>
      </c>
      <c r="J182" s="5">
        <f>SUMIFS(Dump!AE:AE,Dump!B:B,C182)</f>
        <v>0</v>
      </c>
      <c r="K182" s="4">
        <f>SUMPRODUCT(
  (TEXT(Dump!$A$2:$A994,"mmm-yy")=TEXT($Y182,"mmm-yy"))*
  (Dump!$B$2:$B994=$C182)*
  Dump!$D$2:$D994)</f>
        <v>0</v>
      </c>
      <c r="L182" s="4">
        <f>SUMPRODUCT(
  (TEXT(Dump!$A$2:$A994,"mmm-yy")=TEXT($Y182,"mmm-yy"))*
  (Dump!$B$2:$B994=$C182)*
  Dump!$E$2:$E994
)</f>
        <v>0</v>
      </c>
      <c r="M182" s="4">
        <f>SUMPRODUCT(
  (TEXT(Dump!$A$2:$A994,"mmm-yy")=TEXT($Y182,"mmm-yy"))*
  (Dump!$B$2:$B994=$C182)*
  Dump!$P$2:$P994
)</f>
        <v>0</v>
      </c>
      <c r="N182" s="32"/>
      <c r="O182" s="33">
        <f>SUMIFS(Dump!$D:$D,Dump!$B:$B,$C182,Dump!$A:$A,$Y182)</f>
        <v>0</v>
      </c>
      <c r="P182" s="33">
        <f>SUMIFS(Dump!R:R,Dump!B:B,C182,Dump!A:A,Y182)</f>
        <v>0</v>
      </c>
      <c r="Q182" s="34">
        <f t="shared" si="21"/>
        <v>0</v>
      </c>
      <c r="S182" s="4">
        <f>SUMIFS(Dump!E:E,Dump!B:B,C182,Dump!A:A,Y182)</f>
        <v>0</v>
      </c>
      <c r="T182" s="35">
        <f t="shared" si="22"/>
        <v>0</v>
      </c>
      <c r="V182" s="4">
        <f>SUMIFS(Dump!P:P,Dump!B:B,C182,Dump!A:A,Y182)</f>
        <v>0</v>
      </c>
      <c r="W182" s="37">
        <f t="shared" si="23"/>
        <v>0</v>
      </c>
      <c r="X182" s="39"/>
      <c r="Y182" s="54"/>
    </row>
    <row r="183">
      <c r="C183" s="53"/>
      <c r="G183" s="2" t="str">
        <f t="shared" si="27"/>
        <v/>
      </c>
      <c r="I183" s="4">
        <f>SUMIFS(Dump!D:D,Dump!B:B,C183)</f>
        <v>0</v>
      </c>
      <c r="J183" s="5">
        <f>SUMIFS(Dump!AE:AE,Dump!B:B,C183)</f>
        <v>0</v>
      </c>
      <c r="K183" s="4">
        <f>SUMPRODUCT(
  (TEXT(Dump!$A$2:$A994,"mmm-yy")=TEXT($Y183,"mmm-yy"))*
  (Dump!$B$2:$B994=$C183)*
  Dump!$D$2:$D994)</f>
        <v>0</v>
      </c>
      <c r="L183" s="4">
        <f>SUMPRODUCT(
  (TEXT(Dump!$A$2:$A994,"mmm-yy")=TEXT($Y183,"mmm-yy"))*
  (Dump!$B$2:$B994=$C183)*
  Dump!$E$2:$E994
)</f>
        <v>0</v>
      </c>
      <c r="M183" s="4">
        <f>SUMPRODUCT(
  (TEXT(Dump!$A$2:$A994,"mmm-yy")=TEXT($Y183,"mmm-yy"))*
  (Dump!$B$2:$B994=$C183)*
  Dump!$P$2:$P994
)</f>
        <v>0</v>
      </c>
      <c r="N183" s="32"/>
      <c r="O183" s="33">
        <f>SUMIFS(Dump!$D:$D,Dump!$B:$B,$C183,Dump!$A:$A,$Y183)</f>
        <v>0</v>
      </c>
      <c r="P183" s="33">
        <f>SUMIFS(Dump!R:R,Dump!B:B,C183,Dump!A:A,Y183)</f>
        <v>0</v>
      </c>
      <c r="Q183" s="34">
        <f t="shared" si="21"/>
        <v>0</v>
      </c>
      <c r="S183" s="4">
        <f>SUMIFS(Dump!E:E,Dump!B:B,C183,Dump!A:A,Y183)</f>
        <v>0</v>
      </c>
      <c r="T183" s="35">
        <f t="shared" si="22"/>
        <v>0</v>
      </c>
      <c r="V183" s="4">
        <f>SUMIFS(Dump!P:P,Dump!B:B,C183,Dump!A:A,Y183)</f>
        <v>0</v>
      </c>
      <c r="W183" s="37">
        <f t="shared" si="23"/>
        <v>0</v>
      </c>
      <c r="X183" s="39"/>
      <c r="Y183" s="54"/>
    </row>
    <row r="184">
      <c r="C184" s="53"/>
      <c r="G184" s="2" t="str">
        <f t="shared" si="27"/>
        <v/>
      </c>
      <c r="I184" s="4">
        <f>SUMIFS(Dump!D:D,Dump!B:B,C184)</f>
        <v>0</v>
      </c>
      <c r="J184" s="5">
        <f>SUMIFS(Dump!AE:AE,Dump!B:B,C184)</f>
        <v>0</v>
      </c>
      <c r="K184" s="4">
        <f>SUMPRODUCT(
  (TEXT(Dump!$A$2:$A994,"mmm-yy")=TEXT($Y184,"mmm-yy"))*
  (Dump!$B$2:$B994=$C184)*
  Dump!$D$2:$D994)</f>
        <v>0</v>
      </c>
      <c r="L184" s="4">
        <f>SUMPRODUCT(
  (TEXT(Dump!$A$2:$A994,"mmm-yy")=TEXT($Y184,"mmm-yy"))*
  (Dump!$B$2:$B994=$C184)*
  Dump!$E$2:$E994
)</f>
        <v>0</v>
      </c>
      <c r="M184" s="4">
        <f>SUMPRODUCT(
  (TEXT(Dump!$A$2:$A994,"mmm-yy")=TEXT($Y184,"mmm-yy"))*
  (Dump!$B$2:$B994=$C184)*
  Dump!$P$2:$P994
)</f>
        <v>0</v>
      </c>
      <c r="N184" s="32"/>
      <c r="O184" s="33">
        <f>SUMIFS(Dump!$D:$D,Dump!$B:$B,$C184,Dump!$A:$A,$Y184)</f>
        <v>0</v>
      </c>
      <c r="P184" s="33">
        <f>SUMIFS(Dump!R:R,Dump!B:B,C184,Dump!A:A,Y184)</f>
        <v>0</v>
      </c>
      <c r="Q184" s="34">
        <f t="shared" si="21"/>
        <v>0</v>
      </c>
      <c r="S184" s="4">
        <f>SUMIFS(Dump!E:E,Dump!B:B,C184,Dump!A:A,Y184)</f>
        <v>0</v>
      </c>
      <c r="T184" s="35">
        <f t="shared" si="22"/>
        <v>0</v>
      </c>
      <c r="V184" s="4">
        <f>SUMIFS(Dump!P:P,Dump!B:B,C184,Dump!A:A,Y184)</f>
        <v>0</v>
      </c>
      <c r="W184" s="37">
        <f t="shared" si="23"/>
        <v>0</v>
      </c>
      <c r="X184" s="39"/>
      <c r="Y184" s="54"/>
    </row>
    <row r="185">
      <c r="C185" s="53"/>
      <c r="G185" s="2" t="str">
        <f t="shared" si="27"/>
        <v/>
      </c>
      <c r="I185" s="4">
        <f>SUMIFS(Dump!D:D,Dump!B:B,C185)</f>
        <v>0</v>
      </c>
      <c r="J185" s="5">
        <f>SUMIFS(Dump!AE:AE,Dump!B:B,C185)</f>
        <v>0</v>
      </c>
      <c r="K185" s="4">
        <f>SUMPRODUCT(
  (TEXT(Dump!$A$2:$A994,"mmm-yy")=TEXT($Y185,"mmm-yy"))*
  (Dump!$B$2:$B994=$C185)*
  Dump!$D$2:$D994)</f>
        <v>0</v>
      </c>
      <c r="L185" s="4">
        <f>SUMPRODUCT(
  (TEXT(Dump!$A$2:$A994,"mmm-yy")=TEXT($Y185,"mmm-yy"))*
  (Dump!$B$2:$B994=$C185)*
  Dump!$E$2:$E994
)</f>
        <v>0</v>
      </c>
      <c r="M185" s="4">
        <f>SUMPRODUCT(
  (TEXT(Dump!$A$2:$A994,"mmm-yy")=TEXT($Y185,"mmm-yy"))*
  (Dump!$B$2:$B994=$C185)*
  Dump!$P$2:$P994
)</f>
        <v>0</v>
      </c>
      <c r="N185" s="32"/>
      <c r="O185" s="33">
        <f>SUMIFS(Dump!$D:$D,Dump!$B:$B,$C185,Dump!$A:$A,$Y185)</f>
        <v>0</v>
      </c>
      <c r="P185" s="33">
        <f>SUMIFS(Dump!R:R,Dump!B:B,C185,Dump!A:A,Y185)</f>
        <v>0</v>
      </c>
      <c r="Q185" s="34">
        <f t="shared" si="21"/>
        <v>0</v>
      </c>
      <c r="S185" s="4">
        <f>SUMIFS(Dump!E:E,Dump!B:B,C185,Dump!A:A,Y185)</f>
        <v>0</v>
      </c>
      <c r="T185" s="35">
        <f t="shared" si="22"/>
        <v>0</v>
      </c>
      <c r="V185" s="4">
        <f>SUMIFS(Dump!P:P,Dump!B:B,C185,Dump!A:A,Y185)</f>
        <v>0</v>
      </c>
      <c r="W185" s="37">
        <f t="shared" si="23"/>
        <v>0</v>
      </c>
      <c r="X185" s="39"/>
      <c r="Y185" s="54"/>
    </row>
    <row r="186">
      <c r="C186" s="53"/>
      <c r="G186" s="2" t="str">
        <f t="shared" si="27"/>
        <v/>
      </c>
      <c r="I186" s="4">
        <f>SUMIFS(Dump!D:D,Dump!B:B,C186)</f>
        <v>0</v>
      </c>
      <c r="J186" s="5">
        <f>SUMIFS(Dump!AE:AE,Dump!B:B,C186)</f>
        <v>0</v>
      </c>
      <c r="K186" s="4">
        <f>SUMPRODUCT(
  (TEXT(Dump!$A$2:$A994,"mmm-yy")=TEXT($Y186,"mmm-yy"))*
  (Dump!$B$2:$B994=$C186)*
  Dump!$D$2:$D994)</f>
        <v>0</v>
      </c>
      <c r="L186" s="4">
        <f>SUMPRODUCT(
  (TEXT(Dump!$A$2:$A994,"mmm-yy")=TEXT($Y186,"mmm-yy"))*
  (Dump!$B$2:$B994=$C186)*
  Dump!$E$2:$E994
)</f>
        <v>0</v>
      </c>
      <c r="M186" s="4">
        <f>SUMPRODUCT(
  (TEXT(Dump!$A$2:$A994,"mmm-yy")=TEXT($Y186,"mmm-yy"))*
  (Dump!$B$2:$B994=$C186)*
  Dump!$P$2:$P994
)</f>
        <v>0</v>
      </c>
      <c r="N186" s="32"/>
      <c r="O186" s="33">
        <f>SUMIFS(Dump!$D:$D,Dump!$B:$B,$C186,Dump!$A:$A,$Y186)</f>
        <v>0</v>
      </c>
      <c r="P186" s="33">
        <f>SUMIFS(Dump!R:R,Dump!B:B,C186,Dump!A:A,Y186)</f>
        <v>0</v>
      </c>
      <c r="Q186" s="34">
        <f t="shared" si="21"/>
        <v>0</v>
      </c>
      <c r="S186" s="4">
        <f>SUMIFS(Dump!E:E,Dump!B:B,C186,Dump!A:A,Y186)</f>
        <v>0</v>
      </c>
      <c r="T186" s="35">
        <f t="shared" si="22"/>
        <v>0</v>
      </c>
      <c r="V186" s="4">
        <f>SUMIFS(Dump!P:P,Dump!B:B,C186,Dump!A:A,Y186)</f>
        <v>0</v>
      </c>
      <c r="W186" s="37">
        <f t="shared" si="23"/>
        <v>0</v>
      </c>
      <c r="X186" s="39"/>
      <c r="Y186" s="54"/>
    </row>
    <row r="187">
      <c r="C187" s="53"/>
      <c r="G187" s="2" t="str">
        <f t="shared" si="27"/>
        <v/>
      </c>
      <c r="I187" s="4">
        <f>SUMIFS(Dump!D:D,Dump!B:B,C187)</f>
        <v>0</v>
      </c>
      <c r="J187" s="5">
        <f>SUMIFS(Dump!AE:AE,Dump!B:B,C187)</f>
        <v>0</v>
      </c>
      <c r="K187" s="4">
        <f>SUMPRODUCT(
  (TEXT(Dump!$A$2:$A994,"mmm-yy")=TEXT($Y187,"mmm-yy"))*
  (Dump!$B$2:$B994=$C187)*
  Dump!$D$2:$D994)</f>
        <v>0</v>
      </c>
      <c r="L187" s="4">
        <f>SUMPRODUCT(
  (TEXT(Dump!$A$2:$A994,"mmm-yy")=TEXT($Y187,"mmm-yy"))*
  (Dump!$B$2:$B994=$C187)*
  Dump!$E$2:$E994
)</f>
        <v>0</v>
      </c>
      <c r="M187" s="4">
        <f>SUMPRODUCT(
  (TEXT(Dump!$A$2:$A994,"mmm-yy")=TEXT($Y187,"mmm-yy"))*
  (Dump!$B$2:$B994=$C187)*
  Dump!$P$2:$P994
)</f>
        <v>0</v>
      </c>
      <c r="N187" s="32"/>
      <c r="O187" s="33">
        <f>SUMIFS(Dump!$D:$D,Dump!$B:$B,$C187,Dump!$A:$A,$Y187)</f>
        <v>0</v>
      </c>
      <c r="P187" s="33">
        <f>SUMIFS(Dump!R:R,Dump!B:B,C187,Dump!A:A,Y187)</f>
        <v>0</v>
      </c>
      <c r="Q187" s="34">
        <f t="shared" si="21"/>
        <v>0</v>
      </c>
      <c r="S187" s="4">
        <f>SUMIFS(Dump!E:E,Dump!B:B,C187,Dump!A:A,Y187)</f>
        <v>0</v>
      </c>
      <c r="T187" s="35">
        <f t="shared" si="22"/>
        <v>0</v>
      </c>
      <c r="V187" s="4">
        <f>SUMIFS(Dump!P:P,Dump!B:B,C187,Dump!A:A,Y187)</f>
        <v>0</v>
      </c>
      <c r="W187" s="37">
        <f t="shared" si="23"/>
        <v>0</v>
      </c>
      <c r="X187" s="39"/>
      <c r="Y187" s="54"/>
    </row>
    <row r="188">
      <c r="C188" s="53"/>
      <c r="G188" s="2" t="str">
        <f t="shared" si="27"/>
        <v/>
      </c>
      <c r="I188" s="4">
        <f>SUMIFS(Dump!D:D,Dump!B:B,C188)</f>
        <v>0</v>
      </c>
      <c r="J188" s="5">
        <f>SUMIFS(Dump!AE:AE,Dump!B:B,C188)</f>
        <v>0</v>
      </c>
      <c r="K188" s="4">
        <f>SUMPRODUCT(
  (TEXT(Dump!$A$2:$A994,"mmm-yy")=TEXT($Y188,"mmm-yy"))*
  (Dump!$B$2:$B994=$C188)*
  Dump!$D$2:$D994)</f>
        <v>0</v>
      </c>
      <c r="L188" s="4">
        <f>SUMPRODUCT(
  (TEXT(Dump!$A$2:$A994,"mmm-yy")=TEXT($Y188,"mmm-yy"))*
  (Dump!$B$2:$B994=$C188)*
  Dump!$E$2:$E994
)</f>
        <v>0</v>
      </c>
      <c r="M188" s="4">
        <f>SUMPRODUCT(
  (TEXT(Dump!$A$2:$A994,"mmm-yy")=TEXT($Y188,"mmm-yy"))*
  (Dump!$B$2:$B994=$C188)*
  Dump!$P$2:$P994
)</f>
        <v>0</v>
      </c>
      <c r="N188" s="32"/>
      <c r="O188" s="33">
        <f>SUMIFS(Dump!$D:$D,Dump!$B:$B,$C188,Dump!$A:$A,$Y188)</f>
        <v>0</v>
      </c>
      <c r="P188" s="33">
        <f>SUMIFS(Dump!R:R,Dump!B:B,C188,Dump!A:A,Y188)</f>
        <v>0</v>
      </c>
      <c r="Q188" s="34">
        <f t="shared" si="21"/>
        <v>0</v>
      </c>
      <c r="S188" s="4">
        <f>SUMIFS(Dump!E:E,Dump!B:B,C188,Dump!A:A,Y188)</f>
        <v>0</v>
      </c>
      <c r="T188" s="35">
        <f t="shared" si="22"/>
        <v>0</v>
      </c>
      <c r="V188" s="4">
        <f>SUMIFS(Dump!P:P,Dump!B:B,C188,Dump!A:A,Y188)</f>
        <v>0</v>
      </c>
      <c r="W188" s="37">
        <f t="shared" si="23"/>
        <v>0</v>
      </c>
      <c r="X188" s="39"/>
      <c r="Y188" s="54"/>
    </row>
    <row r="189">
      <c r="C189" s="53"/>
      <c r="G189" s="2" t="str">
        <f t="shared" si="27"/>
        <v/>
      </c>
      <c r="I189" s="4">
        <f>SUMIFS(Dump!D:D,Dump!B:B,C189)</f>
        <v>0</v>
      </c>
      <c r="J189" s="5">
        <f>SUMIFS(Dump!AE:AE,Dump!B:B,C189)</f>
        <v>0</v>
      </c>
      <c r="K189" s="4">
        <f>SUMPRODUCT(
  (TEXT(Dump!$A$2:$A994,"mmm-yy")=TEXT($Y189,"mmm-yy"))*
  (Dump!$B$2:$B994=$C189)*
  Dump!$D$2:$D994)</f>
        <v>0</v>
      </c>
      <c r="L189" s="4">
        <f>SUMPRODUCT(
  (TEXT(Dump!$A$2:$A994,"mmm-yy")=TEXT($Y189,"mmm-yy"))*
  (Dump!$B$2:$B994=$C189)*
  Dump!$E$2:$E994
)</f>
        <v>0</v>
      </c>
      <c r="M189" s="4">
        <f>SUMPRODUCT(
  (TEXT(Dump!$A$2:$A994,"mmm-yy")=TEXT($Y189,"mmm-yy"))*
  (Dump!$B$2:$B994=$C189)*
  Dump!$P$2:$P994
)</f>
        <v>0</v>
      </c>
      <c r="N189" s="32"/>
      <c r="O189" s="33">
        <f>SUMIFS(Dump!$D:$D,Dump!$B:$B,$C189,Dump!$A:$A,$Y189)</f>
        <v>0</v>
      </c>
      <c r="P189" s="33">
        <f>SUMIFS(Dump!R:R,Dump!B:B,C189,Dump!A:A,Y189)</f>
        <v>0</v>
      </c>
      <c r="Q189" s="34">
        <f t="shared" si="21"/>
        <v>0</v>
      </c>
      <c r="S189" s="4">
        <f>SUMIFS(Dump!E:E,Dump!B:B,C189,Dump!A:A,Y189)</f>
        <v>0</v>
      </c>
      <c r="T189" s="35">
        <f t="shared" si="22"/>
        <v>0</v>
      </c>
      <c r="V189" s="4">
        <f>SUMIFS(Dump!P:P,Dump!B:B,C189,Dump!A:A,Y189)</f>
        <v>0</v>
      </c>
      <c r="W189" s="37">
        <f t="shared" si="23"/>
        <v>0</v>
      </c>
      <c r="X189" s="39"/>
      <c r="Y189" s="54"/>
    </row>
    <row r="190">
      <c r="C190" s="53"/>
      <c r="G190" s="2" t="str">
        <f t="shared" si="27"/>
        <v/>
      </c>
      <c r="I190" s="4">
        <f>SUMIFS(Dump!D:D,Dump!B:B,C190)</f>
        <v>0</v>
      </c>
      <c r="J190" s="5">
        <f>SUMIFS(Dump!AE:AE,Dump!B:B,C190)</f>
        <v>0</v>
      </c>
      <c r="K190" s="4">
        <f>SUMPRODUCT(
  (TEXT(Dump!$A$2:$A994,"mmm-yy")=TEXT($Y190,"mmm-yy"))*
  (Dump!$B$2:$B994=$C190)*
  Dump!$D$2:$D994)</f>
        <v>0</v>
      </c>
      <c r="L190" s="4">
        <f>SUMPRODUCT(
  (TEXT(Dump!$A$2:$A994,"mmm-yy")=TEXT($Y190,"mmm-yy"))*
  (Dump!$B$2:$B994=$C190)*
  Dump!$E$2:$E994
)</f>
        <v>0</v>
      </c>
      <c r="M190" s="4">
        <f>SUMPRODUCT(
  (TEXT(Dump!$A$2:$A994,"mmm-yy")=TEXT($Y190,"mmm-yy"))*
  (Dump!$B$2:$B994=$C190)*
  Dump!$P$2:$P994
)</f>
        <v>0</v>
      </c>
      <c r="N190" s="32"/>
      <c r="O190" s="33">
        <f>SUMIFS(Dump!$D:$D,Dump!$B:$B,$C190,Dump!$A:$A,$Y190)</f>
        <v>0</v>
      </c>
      <c r="P190" s="33">
        <f>SUMIFS(Dump!R:R,Dump!B:B,C190,Dump!A:A,Y190)</f>
        <v>0</v>
      </c>
      <c r="Q190" s="34">
        <f t="shared" si="21"/>
        <v>0</v>
      </c>
      <c r="S190" s="4">
        <f>SUMIFS(Dump!E:E,Dump!B:B,C190,Dump!A:A,Y190)</f>
        <v>0</v>
      </c>
      <c r="T190" s="35">
        <f t="shared" si="22"/>
        <v>0</v>
      </c>
      <c r="V190" s="4">
        <f>SUMIFS(Dump!P:P,Dump!B:B,C190,Dump!A:A,Y190)</f>
        <v>0</v>
      </c>
      <c r="W190" s="37">
        <f t="shared" si="23"/>
        <v>0</v>
      </c>
      <c r="X190" s="39"/>
      <c r="Y190" s="54"/>
    </row>
    <row r="191">
      <c r="C191" s="53"/>
      <c r="G191" s="2" t="str">
        <f t="shared" si="27"/>
        <v/>
      </c>
      <c r="I191" s="4">
        <f>SUMIFS(Dump!D:D,Dump!B:B,C191)</f>
        <v>0</v>
      </c>
      <c r="J191" s="5">
        <f>SUMIFS(Dump!AE:AE,Dump!B:B,C191)</f>
        <v>0</v>
      </c>
      <c r="K191" s="4">
        <f>SUMPRODUCT(
  (TEXT(Dump!$A$2:$A994,"mmm-yy")=TEXT($Y191,"mmm-yy"))*
  (Dump!$B$2:$B994=$C191)*
  Dump!$D$2:$D994)</f>
        <v>0</v>
      </c>
      <c r="L191" s="4">
        <f>SUMPRODUCT(
  (TEXT(Dump!$A$2:$A994,"mmm-yy")=TEXT($Y191,"mmm-yy"))*
  (Dump!$B$2:$B994=$C191)*
  Dump!$E$2:$E994
)</f>
        <v>0</v>
      </c>
      <c r="M191" s="4">
        <f>SUMPRODUCT(
  (TEXT(Dump!$A$2:$A994,"mmm-yy")=TEXT($Y191,"mmm-yy"))*
  (Dump!$B$2:$B994=$C191)*
  Dump!$P$2:$P994
)</f>
        <v>0</v>
      </c>
      <c r="N191" s="32"/>
      <c r="O191" s="33">
        <f>SUMIFS(Dump!$D:$D,Dump!$B:$B,$C191,Dump!$A:$A,$Y191)</f>
        <v>0</v>
      </c>
      <c r="P191" s="33">
        <f>SUMIFS(Dump!R:R,Dump!B:B,C191,Dump!A:A,Y191)</f>
        <v>0</v>
      </c>
      <c r="Q191" s="34">
        <f t="shared" si="21"/>
        <v>0</v>
      </c>
      <c r="S191" s="4">
        <f>SUMIFS(Dump!E:E,Dump!B:B,C191,Dump!A:A,Y191)</f>
        <v>0</v>
      </c>
      <c r="T191" s="35">
        <f t="shared" si="22"/>
        <v>0</v>
      </c>
      <c r="V191" s="4">
        <f>SUMIFS(Dump!P:P,Dump!B:B,C191,Dump!A:A,Y191)</f>
        <v>0</v>
      </c>
      <c r="W191" s="37">
        <f t="shared" si="23"/>
        <v>0</v>
      </c>
      <c r="X191" s="39"/>
      <c r="Y191" s="54"/>
    </row>
    <row r="192">
      <c r="C192" s="53"/>
      <c r="G192" s="2" t="str">
        <f t="shared" si="27"/>
        <v/>
      </c>
      <c r="I192" s="4">
        <f>SUMIFS(Dump!D:D,Dump!B:B,C192)</f>
        <v>0</v>
      </c>
      <c r="J192" s="5">
        <f>SUMIFS(Dump!AE:AE,Dump!B:B,C192)</f>
        <v>0</v>
      </c>
      <c r="K192" s="4">
        <f>SUMPRODUCT(
  (TEXT(Dump!$A$2:$A994,"mmm-yy")=TEXT($Y192,"mmm-yy"))*
  (Dump!$B$2:$B994=$C192)*
  Dump!$D$2:$D994)</f>
        <v>0</v>
      </c>
      <c r="L192" s="4">
        <f>SUMPRODUCT(
  (TEXT(Dump!$A$2:$A994,"mmm-yy")=TEXT($Y192,"mmm-yy"))*
  (Dump!$B$2:$B994=$C192)*
  Dump!$E$2:$E994
)</f>
        <v>0</v>
      </c>
      <c r="M192" s="4">
        <f>SUMPRODUCT(
  (TEXT(Dump!$A$2:$A994,"mmm-yy")=TEXT($Y192,"mmm-yy"))*
  (Dump!$B$2:$B994=$C192)*
  Dump!$P$2:$P994
)</f>
        <v>0</v>
      </c>
      <c r="N192" s="32"/>
      <c r="O192" s="33">
        <f>SUMIFS(Dump!$D:$D,Dump!$B:$B,$C192,Dump!$A:$A,$Y192)</f>
        <v>0</v>
      </c>
      <c r="P192" s="33">
        <f>SUMIFS(Dump!R:R,Dump!B:B,C192,Dump!A:A,Y192)</f>
        <v>0</v>
      </c>
      <c r="Q192" s="34">
        <f t="shared" si="21"/>
        <v>0</v>
      </c>
      <c r="S192" s="4">
        <f>SUMIFS(Dump!E:E,Dump!B:B,C192,Dump!A:A,Y192)</f>
        <v>0</v>
      </c>
      <c r="T192" s="35">
        <f t="shared" si="22"/>
        <v>0</v>
      </c>
      <c r="V192" s="4">
        <f>SUMIFS(Dump!P:P,Dump!B:B,C192,Dump!A:A,Y192)</f>
        <v>0</v>
      </c>
      <c r="W192" s="37">
        <f t="shared" si="23"/>
        <v>0</v>
      </c>
      <c r="X192" s="39"/>
      <c r="Y192" s="54"/>
    </row>
    <row r="193">
      <c r="C193" s="53"/>
      <c r="G193" s="2" t="str">
        <f t="shared" si="27"/>
        <v/>
      </c>
      <c r="I193" s="4">
        <f>SUMIFS(Dump!D:D,Dump!B:B,C193)</f>
        <v>0</v>
      </c>
      <c r="J193" s="5">
        <f>SUMIFS(Dump!AE:AE,Dump!B:B,C193)</f>
        <v>0</v>
      </c>
      <c r="K193" s="4">
        <f>SUMPRODUCT(
  (TEXT(Dump!$A$2:$A994,"mmm-yy")=TEXT($Y193,"mmm-yy"))*
  (Dump!$B$2:$B994=$C193)*
  Dump!$D$2:$D994)</f>
        <v>0</v>
      </c>
      <c r="L193" s="4">
        <f>SUMPRODUCT(
  (TEXT(Dump!$A$2:$A994,"mmm-yy")=TEXT($Y193,"mmm-yy"))*
  (Dump!$B$2:$B994=$C193)*
  Dump!$E$2:$E994
)</f>
        <v>0</v>
      </c>
      <c r="M193" s="4">
        <f>SUMPRODUCT(
  (TEXT(Dump!$A$2:$A994,"mmm-yy")=TEXT($Y193,"mmm-yy"))*
  (Dump!$B$2:$B994=$C193)*
  Dump!$P$2:$P994
)</f>
        <v>0</v>
      </c>
      <c r="N193" s="32"/>
      <c r="O193" s="33">
        <f>SUMIFS(Dump!$D:$D,Dump!$B:$B,$C193,Dump!$A:$A,$Y193)</f>
        <v>0</v>
      </c>
      <c r="P193" s="33">
        <f>SUMIFS(Dump!R:R,Dump!B:B,C193,Dump!A:A,Y193)</f>
        <v>0</v>
      </c>
      <c r="Q193" s="34">
        <f t="shared" si="21"/>
        <v>0</v>
      </c>
      <c r="S193" s="4">
        <f>SUMIFS(Dump!E:E,Dump!B:B,C193,Dump!A:A,Y193)</f>
        <v>0</v>
      </c>
      <c r="T193" s="35">
        <f t="shared" si="22"/>
        <v>0</v>
      </c>
      <c r="V193" s="4">
        <f>SUMIFS(Dump!P:P,Dump!B:B,C193,Dump!A:A,Y193)</f>
        <v>0</v>
      </c>
      <c r="W193" s="37">
        <f t="shared" si="23"/>
        <v>0</v>
      </c>
      <c r="X193" s="39"/>
      <c r="Y193" s="54"/>
    </row>
    <row r="194">
      <c r="C194" s="53"/>
      <c r="G194" s="2" t="str">
        <f t="shared" si="27"/>
        <v/>
      </c>
      <c r="I194" s="4">
        <f>SUMIFS(Dump!D:D,Dump!B:B,C194)</f>
        <v>0</v>
      </c>
      <c r="J194" s="5">
        <f>SUMIFS(Dump!AE:AE,Dump!B:B,C194)</f>
        <v>0</v>
      </c>
      <c r="K194" s="4">
        <f>SUMPRODUCT(
  (TEXT(Dump!$A$2:$A994,"mmm-yy")=TEXT($Y194,"mmm-yy"))*
  (Dump!$B$2:$B994=$C194)*
  Dump!$D$2:$D994)</f>
        <v>0</v>
      </c>
      <c r="L194" s="4">
        <f>SUMPRODUCT(
  (TEXT(Dump!$A$2:$A994,"mmm-yy")=TEXT($Y194,"mmm-yy"))*
  (Dump!$B$2:$B994=$C194)*
  Dump!$E$2:$E994
)</f>
        <v>0</v>
      </c>
      <c r="M194" s="4">
        <f>SUMPRODUCT(
  (TEXT(Dump!$A$2:$A994,"mmm-yy")=TEXT($Y194,"mmm-yy"))*
  (Dump!$B$2:$B994=$C194)*
  Dump!$P$2:$P994
)</f>
        <v>0</v>
      </c>
      <c r="N194" s="32"/>
      <c r="O194" s="33">
        <f>SUMIFS(Dump!$D:$D,Dump!$B:$B,$C194,Dump!$A:$A,$Y194)</f>
        <v>0</v>
      </c>
      <c r="P194" s="33">
        <f>SUMIFS(Dump!R:R,Dump!B:B,C194,Dump!A:A,Y194)</f>
        <v>0</v>
      </c>
      <c r="Q194" s="34">
        <f t="shared" si="21"/>
        <v>0</v>
      </c>
      <c r="S194" s="4">
        <f>SUMIFS(Dump!E:E,Dump!B:B,C194,Dump!A:A,Y194)</f>
        <v>0</v>
      </c>
      <c r="T194" s="35">
        <f t="shared" si="22"/>
        <v>0</v>
      </c>
      <c r="V194" s="4">
        <f>SUMIFS(Dump!P:P,Dump!B:B,C194,Dump!A:A,Y194)</f>
        <v>0</v>
      </c>
      <c r="W194" s="37">
        <f t="shared" si="23"/>
        <v>0</v>
      </c>
      <c r="X194" s="39"/>
      <c r="Y194" s="54"/>
    </row>
    <row r="195">
      <c r="C195" s="53"/>
      <c r="G195" s="2" t="str">
        <f t="shared" si="27"/>
        <v/>
      </c>
      <c r="I195" s="4">
        <f>SUMIFS(Dump!D:D,Dump!B:B,C195)</f>
        <v>0</v>
      </c>
      <c r="J195" s="5">
        <f>SUMIFS(Dump!AE:AE,Dump!B:B,C195)</f>
        <v>0</v>
      </c>
      <c r="K195" s="4">
        <f>SUMPRODUCT(
  (TEXT(Dump!$A$2:$A994,"mmm-yy")=TEXT($Y195,"mmm-yy"))*
  (Dump!$B$2:$B994=$C195)*
  Dump!$D$2:$D994)</f>
        <v>0</v>
      </c>
      <c r="L195" s="4">
        <f>SUMPRODUCT(
  (TEXT(Dump!$A$2:$A994,"mmm-yy")=TEXT($Y195,"mmm-yy"))*
  (Dump!$B$2:$B994=$C195)*
  Dump!$E$2:$E994
)</f>
        <v>0</v>
      </c>
      <c r="M195" s="4">
        <f>SUMPRODUCT(
  (TEXT(Dump!$A$2:$A994,"mmm-yy")=TEXT($Y195,"mmm-yy"))*
  (Dump!$B$2:$B994=$C195)*
  Dump!$P$2:$P994
)</f>
        <v>0</v>
      </c>
      <c r="N195" s="32"/>
      <c r="O195" s="33">
        <f>SUMIFS(Dump!$D:$D,Dump!$B:$B,$C195,Dump!$A:$A,$Y195)</f>
        <v>0</v>
      </c>
      <c r="P195" s="33">
        <f>SUMIFS(Dump!R:R,Dump!B:B,C195,Dump!A:A,Y195)</f>
        <v>0</v>
      </c>
      <c r="Q195" s="34">
        <f t="shared" si="21"/>
        <v>0</v>
      </c>
      <c r="S195" s="4">
        <f>SUMIFS(Dump!E:E,Dump!B:B,C195,Dump!A:A,Y195)</f>
        <v>0</v>
      </c>
      <c r="T195" s="35">
        <f t="shared" si="22"/>
        <v>0</v>
      </c>
      <c r="V195" s="4">
        <f>SUMIFS(Dump!P:P,Dump!B:B,C195,Dump!A:A,Y195)</f>
        <v>0</v>
      </c>
      <c r="W195" s="37">
        <f t="shared" si="23"/>
        <v>0</v>
      </c>
      <c r="X195" s="39"/>
      <c r="Y195" s="54"/>
    </row>
    <row r="196">
      <c r="C196" s="53"/>
      <c r="G196" s="2" t="str">
        <f t="shared" si="27"/>
        <v/>
      </c>
      <c r="I196" s="4">
        <f>SUMIFS(Dump!D:D,Dump!B:B,C196)</f>
        <v>0</v>
      </c>
      <c r="J196" s="5">
        <f>SUMIFS(Dump!AE:AE,Dump!B:B,C196)</f>
        <v>0</v>
      </c>
      <c r="K196" s="4">
        <f>SUMPRODUCT(
  (TEXT(Dump!$A$2:$A994,"mmm-yy")=TEXT($Y196,"mmm-yy"))*
  (Dump!$B$2:$B994=$C196)*
  Dump!$D$2:$D994)</f>
        <v>0</v>
      </c>
      <c r="L196" s="4">
        <f>SUMPRODUCT(
  (TEXT(Dump!$A$2:$A994,"mmm-yy")=TEXT($Y196,"mmm-yy"))*
  (Dump!$B$2:$B994=$C196)*
  Dump!$E$2:$E994
)</f>
        <v>0</v>
      </c>
      <c r="M196" s="4">
        <f>SUMPRODUCT(
  (TEXT(Dump!$A$2:$A994,"mmm-yy")=TEXT($Y196,"mmm-yy"))*
  (Dump!$B$2:$B994=$C196)*
  Dump!$P$2:$P994
)</f>
        <v>0</v>
      </c>
      <c r="N196" s="32"/>
      <c r="O196" s="33">
        <f>SUMIFS(Dump!$D:$D,Dump!$B:$B,$C196,Dump!$A:$A,$Y196)</f>
        <v>0</v>
      </c>
      <c r="P196" s="33">
        <f>SUMIFS(Dump!R:R,Dump!B:B,C196,Dump!A:A,Y196)</f>
        <v>0</v>
      </c>
      <c r="Q196" s="34">
        <f t="shared" si="21"/>
        <v>0</v>
      </c>
      <c r="S196" s="4">
        <f>SUMIFS(Dump!E:E,Dump!B:B,C196,Dump!A:A,Y196)</f>
        <v>0</v>
      </c>
      <c r="T196" s="35">
        <f t="shared" si="22"/>
        <v>0</v>
      </c>
      <c r="V196" s="4">
        <f>SUMIFS(Dump!P:P,Dump!B:B,C196,Dump!A:A,Y196)</f>
        <v>0</v>
      </c>
      <c r="W196" s="37">
        <f t="shared" si="23"/>
        <v>0</v>
      </c>
      <c r="X196" s="39"/>
      <c r="Y196" s="54"/>
    </row>
    <row r="197">
      <c r="C197" s="53"/>
      <c r="G197" s="2" t="str">
        <f t="shared" si="27"/>
        <v/>
      </c>
      <c r="I197" s="4">
        <f>SUMIFS(Dump!D:D,Dump!B:B,C197)</f>
        <v>0</v>
      </c>
      <c r="J197" s="5">
        <f>SUMIFS(Dump!AE:AE,Dump!B:B,C197)</f>
        <v>0</v>
      </c>
      <c r="K197" s="4">
        <f>SUMPRODUCT(
  (TEXT(Dump!$A$2:$A994,"mmm-yy")=TEXT($Y197,"mmm-yy"))*
  (Dump!$B$2:$B994=$C197)*
  Dump!$D$2:$D994)</f>
        <v>0</v>
      </c>
      <c r="L197" s="4">
        <f>SUMPRODUCT(
  (TEXT(Dump!$A$2:$A994,"mmm-yy")=TEXT($Y197,"mmm-yy"))*
  (Dump!$B$2:$B994=$C197)*
  Dump!$E$2:$E994
)</f>
        <v>0</v>
      </c>
      <c r="M197" s="4">
        <f>SUMPRODUCT(
  (TEXT(Dump!$A$2:$A994,"mmm-yy")=TEXT($Y197,"mmm-yy"))*
  (Dump!$B$2:$B994=$C197)*
  Dump!$P$2:$P994
)</f>
        <v>0</v>
      </c>
      <c r="N197" s="32"/>
      <c r="O197" s="33">
        <f>SUMIFS(Dump!$D:$D,Dump!$B:$B,$C197,Dump!$A:$A,$Y197)</f>
        <v>0</v>
      </c>
      <c r="P197" s="33">
        <f>SUMIFS(Dump!R:R,Dump!B:B,C197,Dump!A:A,Y197)</f>
        <v>0</v>
      </c>
      <c r="Q197" s="34">
        <f t="shared" si="21"/>
        <v>0</v>
      </c>
      <c r="S197" s="4">
        <f>SUMIFS(Dump!E:E,Dump!B:B,C197,Dump!A:A,Y197)</f>
        <v>0</v>
      </c>
      <c r="T197" s="35">
        <f t="shared" si="22"/>
        <v>0</v>
      </c>
      <c r="V197" s="4">
        <f>SUMIFS(Dump!P:P,Dump!B:B,C197,Dump!A:A,Y197)</f>
        <v>0</v>
      </c>
      <c r="W197" s="37">
        <f t="shared" si="23"/>
        <v>0</v>
      </c>
      <c r="X197" s="39"/>
      <c r="Y197" s="54"/>
    </row>
    <row r="198">
      <c r="C198" s="53"/>
      <c r="G198" s="2" t="str">
        <f t="shared" si="27"/>
        <v/>
      </c>
      <c r="I198" s="4">
        <f>SUMIFS(Dump!D:D,Dump!B:B,C198)</f>
        <v>0</v>
      </c>
      <c r="J198" s="5">
        <f>SUMIFS(Dump!AE:AE,Dump!B:B,C198)</f>
        <v>0</v>
      </c>
      <c r="K198" s="4">
        <f>SUMPRODUCT(
  (TEXT(Dump!$A$2:$A994,"mmm-yy")=TEXT($Y198,"mmm-yy"))*
  (Dump!$B$2:$B994=$C198)*
  Dump!$D$2:$D994)</f>
        <v>0</v>
      </c>
      <c r="L198" s="4">
        <f>SUMPRODUCT(
  (TEXT(Dump!$A$2:$A994,"mmm-yy")=TEXT($Y198,"mmm-yy"))*
  (Dump!$B$2:$B994=$C198)*
  Dump!$E$2:$E994
)</f>
        <v>0</v>
      </c>
      <c r="M198" s="4">
        <f>SUMPRODUCT(
  (TEXT(Dump!$A$2:$A994,"mmm-yy")=TEXT($Y198,"mmm-yy"))*
  (Dump!$B$2:$B994=$C198)*
  Dump!$P$2:$P994
)</f>
        <v>0</v>
      </c>
      <c r="N198" s="32"/>
      <c r="O198" s="33">
        <f>SUMIFS(Dump!$D:$D,Dump!$B:$B,$C198,Dump!$A:$A,$Y198)</f>
        <v>0</v>
      </c>
      <c r="P198" s="33">
        <f>SUMIFS(Dump!R:R,Dump!B:B,C198,Dump!A:A,Y198)</f>
        <v>0</v>
      </c>
      <c r="Q198" s="34">
        <f t="shared" si="21"/>
        <v>0</v>
      </c>
      <c r="S198" s="4">
        <f>SUMIFS(Dump!E:E,Dump!B:B,C198,Dump!A:A,Y198)</f>
        <v>0</v>
      </c>
      <c r="T198" s="35">
        <f t="shared" si="22"/>
        <v>0</v>
      </c>
      <c r="V198" s="4">
        <f>SUMIFS(Dump!P:P,Dump!B:B,C198,Dump!A:A,Y198)</f>
        <v>0</v>
      </c>
      <c r="W198" s="37">
        <f t="shared" si="23"/>
        <v>0</v>
      </c>
      <c r="X198" s="39"/>
      <c r="Y198" s="54"/>
    </row>
    <row r="199">
      <c r="C199" s="53"/>
      <c r="G199" s="2" t="str">
        <f t="shared" si="27"/>
        <v/>
      </c>
      <c r="I199" s="4">
        <f>SUMIFS(Dump!D:D,Dump!B:B,C199)</f>
        <v>0</v>
      </c>
      <c r="J199" s="5">
        <f>SUMIFS(Dump!AE:AE,Dump!B:B,C199)</f>
        <v>0</v>
      </c>
      <c r="K199" s="4">
        <f>SUMPRODUCT(
  (TEXT(Dump!$A$2:$A994,"mmm-yy")=TEXT($Y199,"mmm-yy"))*
  (Dump!$B$2:$B994=$C199)*
  Dump!$D$2:$D994)</f>
        <v>0</v>
      </c>
      <c r="L199" s="4">
        <f>SUMPRODUCT(
  (TEXT(Dump!$A$2:$A994,"mmm-yy")=TEXT($Y199,"mmm-yy"))*
  (Dump!$B$2:$B994=$C199)*
  Dump!$E$2:$E994
)</f>
        <v>0</v>
      </c>
      <c r="M199" s="4">
        <f>SUMPRODUCT(
  (TEXT(Dump!$A$2:$A994,"mmm-yy")=TEXT($Y199,"mmm-yy"))*
  (Dump!$B$2:$B994=$C199)*
  Dump!$P$2:$P994
)</f>
        <v>0</v>
      </c>
      <c r="N199" s="32"/>
      <c r="O199" s="33">
        <f>SUMIFS(Dump!$D:$D,Dump!$B:$B,$C199,Dump!$A:$A,$Y199)</f>
        <v>0</v>
      </c>
      <c r="P199" s="33">
        <f>SUMIFS(Dump!R:R,Dump!B:B,C199,Dump!A:A,Y199)</f>
        <v>0</v>
      </c>
      <c r="Q199" s="34">
        <f t="shared" si="21"/>
        <v>0</v>
      </c>
      <c r="S199" s="4">
        <f>SUMIFS(Dump!E:E,Dump!B:B,C199,Dump!A:A,Y199)</f>
        <v>0</v>
      </c>
      <c r="T199" s="35">
        <f t="shared" si="22"/>
        <v>0</v>
      </c>
      <c r="V199" s="4">
        <f>SUMIFS(Dump!P:P,Dump!B:B,C199,Dump!A:A,Y199)</f>
        <v>0</v>
      </c>
      <c r="W199" s="37">
        <f t="shared" si="23"/>
        <v>0</v>
      </c>
      <c r="X199" s="39"/>
      <c r="Y199" s="54"/>
    </row>
    <row r="200">
      <c r="C200" s="53"/>
      <c r="G200" s="2" t="str">
        <f t="shared" si="27"/>
        <v/>
      </c>
      <c r="I200" s="4">
        <f>SUMIFS(Dump!D:D,Dump!B:B,C200)</f>
        <v>0</v>
      </c>
      <c r="J200" s="5">
        <f>SUMIFS(Dump!AE:AE,Dump!B:B,C200)</f>
        <v>0</v>
      </c>
      <c r="K200" s="4">
        <f>SUMPRODUCT(
  (TEXT(Dump!$A$2:$A994,"mmm-yy")=TEXT($Y200,"mmm-yy"))*
  (Dump!$B$2:$B994=$C200)*
  Dump!$D$2:$D994)</f>
        <v>0</v>
      </c>
      <c r="L200" s="4">
        <f>SUMPRODUCT(
  (TEXT(Dump!$A$2:$A994,"mmm-yy")=TEXT($Y200,"mmm-yy"))*
  (Dump!$B$2:$B994=$C200)*
  Dump!$E$2:$E994
)</f>
        <v>0</v>
      </c>
      <c r="M200" s="4">
        <f>SUMPRODUCT(
  (TEXT(Dump!$A$2:$A994,"mmm-yy")=TEXT($Y200,"mmm-yy"))*
  (Dump!$B$2:$B994=$C200)*
  Dump!$P$2:$P994
)</f>
        <v>0</v>
      </c>
      <c r="N200" s="32"/>
      <c r="O200" s="33">
        <f>SUMIFS(Dump!$D:$D,Dump!$B:$B,$C200,Dump!$A:$A,$Y200)</f>
        <v>0</v>
      </c>
      <c r="P200" s="33">
        <f>SUMIFS(Dump!R:R,Dump!B:B,C200,Dump!A:A,Y200)</f>
        <v>0</v>
      </c>
      <c r="Q200" s="34">
        <f t="shared" si="21"/>
        <v>0</v>
      </c>
      <c r="S200" s="4">
        <f>SUMIFS(Dump!E:E,Dump!B:B,C200,Dump!A:A,Y200)</f>
        <v>0</v>
      </c>
      <c r="T200" s="35">
        <f t="shared" si="22"/>
        <v>0</v>
      </c>
      <c r="V200" s="4">
        <f>SUMIFS(Dump!P:P,Dump!B:B,C200,Dump!A:A,Y200)</f>
        <v>0</v>
      </c>
      <c r="W200" s="37">
        <f t="shared" si="23"/>
        <v>0</v>
      </c>
      <c r="X200" s="39"/>
      <c r="Y200" s="54"/>
    </row>
    <row r="201">
      <c r="C201" s="53"/>
      <c r="G201" s="2" t="str">
        <f t="shared" si="27"/>
        <v/>
      </c>
      <c r="I201" s="4">
        <f>SUMIFS(Dump!D:D,Dump!B:B,C201)</f>
        <v>0</v>
      </c>
      <c r="J201" s="5">
        <f>SUMIFS(Dump!AE:AE,Dump!B:B,C201)</f>
        <v>0</v>
      </c>
      <c r="K201" s="4">
        <f>SUMPRODUCT(
  (TEXT(Dump!$A$2:$A994,"mmm-yy")=TEXT($Y201,"mmm-yy"))*
  (Dump!$B$2:$B994=$C201)*
  Dump!$D$2:$D994)</f>
        <v>0</v>
      </c>
      <c r="L201" s="4">
        <f>SUMPRODUCT(
  (TEXT(Dump!$A$2:$A994,"mmm-yy")=TEXT($Y201,"mmm-yy"))*
  (Dump!$B$2:$B994=$C201)*
  Dump!$E$2:$E994
)</f>
        <v>0</v>
      </c>
      <c r="M201" s="4">
        <f>SUMPRODUCT(
  (TEXT(Dump!$A$2:$A994,"mmm-yy")=TEXT($Y201,"mmm-yy"))*
  (Dump!$B$2:$B994=$C201)*
  Dump!$P$2:$P994
)</f>
        <v>0</v>
      </c>
      <c r="N201" s="32"/>
      <c r="O201" s="33">
        <f>SUMIFS(Dump!$D:$D,Dump!$B:$B,$C201,Dump!$A:$A,$Y201)</f>
        <v>0</v>
      </c>
      <c r="P201" s="33">
        <f>SUMIFS(Dump!R:R,Dump!B:B,C201,Dump!A:A,Y201)</f>
        <v>0</v>
      </c>
      <c r="Q201" s="34">
        <f t="shared" si="21"/>
        <v>0</v>
      </c>
      <c r="S201" s="4">
        <f>SUMIFS(Dump!E:E,Dump!B:B,C201,Dump!A:A,Y201)</f>
        <v>0</v>
      </c>
      <c r="T201" s="35">
        <f t="shared" si="22"/>
        <v>0</v>
      </c>
      <c r="V201" s="4">
        <f>SUMIFS(Dump!P:P,Dump!B:B,C201,Dump!A:A,Y201)</f>
        <v>0</v>
      </c>
      <c r="W201" s="37">
        <f t="shared" si="23"/>
        <v>0</v>
      </c>
      <c r="X201" s="39"/>
      <c r="Y201" s="54"/>
    </row>
    <row r="202">
      <c r="C202" s="53"/>
      <c r="G202" s="2" t="str">
        <f t="shared" si="27"/>
        <v/>
      </c>
      <c r="I202" s="4">
        <f>SUMIFS(Dump!D:D,Dump!B:B,C202)</f>
        <v>0</v>
      </c>
      <c r="J202" s="5">
        <f>SUMIFS(Dump!AE:AE,Dump!B:B,C202)</f>
        <v>0</v>
      </c>
      <c r="K202" s="4">
        <f>SUMPRODUCT(
  (TEXT(Dump!$A$2:$A994,"mmm-yy")=TEXT($Y202,"mmm-yy"))*
  (Dump!$B$2:$B994=$C202)*
  Dump!$D$2:$D994)</f>
        <v>0</v>
      </c>
      <c r="L202" s="4">
        <f>SUMPRODUCT(
  (TEXT(Dump!$A$2:$A994,"mmm-yy")=TEXT($Y202,"mmm-yy"))*
  (Dump!$B$2:$B994=$C202)*
  Dump!$E$2:$E994
)</f>
        <v>0</v>
      </c>
      <c r="M202" s="4">
        <f>SUMPRODUCT(
  (TEXT(Dump!$A$2:$A994,"mmm-yy")=TEXT($Y202,"mmm-yy"))*
  (Dump!$B$2:$B994=$C202)*
  Dump!$P$2:$P994
)</f>
        <v>0</v>
      </c>
      <c r="N202" s="32"/>
      <c r="O202" s="33">
        <f>SUMIFS(Dump!$D:$D,Dump!$B:$B,$C202,Dump!$A:$A,$Y202)</f>
        <v>0</v>
      </c>
      <c r="P202" s="33">
        <f>SUMIFS(Dump!R:R,Dump!B:B,C202,Dump!A:A,Y202)</f>
        <v>0</v>
      </c>
      <c r="Q202" s="34">
        <f t="shared" si="21"/>
        <v>0</v>
      </c>
      <c r="S202" s="4">
        <f>SUMIFS(Dump!E:E,Dump!B:B,C202,Dump!A:A,Y202)</f>
        <v>0</v>
      </c>
      <c r="T202" s="35">
        <f t="shared" si="22"/>
        <v>0</v>
      </c>
      <c r="V202" s="4">
        <f>SUMIFS(Dump!P:P,Dump!B:B,C202,Dump!A:A,Y202)</f>
        <v>0</v>
      </c>
      <c r="W202" s="37">
        <f t="shared" si="23"/>
        <v>0</v>
      </c>
      <c r="X202" s="39"/>
      <c r="Y202" s="54"/>
    </row>
    <row r="203">
      <c r="C203" s="53"/>
      <c r="G203" s="2" t="str">
        <f t="shared" si="27"/>
        <v/>
      </c>
      <c r="I203" s="4">
        <f>SUMIFS(Dump!D:D,Dump!B:B,C203)</f>
        <v>0</v>
      </c>
      <c r="J203" s="5">
        <f>SUMIFS(Dump!AE:AE,Dump!B:B,C203)</f>
        <v>0</v>
      </c>
      <c r="K203" s="4">
        <f>SUMPRODUCT(
  (TEXT(Dump!$A$2:$A994,"mmm-yy")=TEXT($Y203,"mmm-yy"))*
  (Dump!$B$2:$B994=$C203)*
  Dump!$D$2:$D994)</f>
        <v>0</v>
      </c>
      <c r="L203" s="4">
        <f>SUMPRODUCT(
  (TEXT(Dump!$A$2:$A994,"mmm-yy")=TEXT($Y203,"mmm-yy"))*
  (Dump!$B$2:$B994=$C203)*
  Dump!$E$2:$E994
)</f>
        <v>0</v>
      </c>
      <c r="M203" s="4">
        <f>SUMPRODUCT(
  (TEXT(Dump!$A$2:$A994,"mmm-yy")=TEXT($Y203,"mmm-yy"))*
  (Dump!$B$2:$B994=$C203)*
  Dump!$P$2:$P994
)</f>
        <v>0</v>
      </c>
      <c r="N203" s="32"/>
      <c r="O203" s="33">
        <f>SUMIFS(Dump!$D:$D,Dump!$B:$B,$C203,Dump!$A:$A,$Y203)</f>
        <v>0</v>
      </c>
      <c r="P203" s="33">
        <f>SUMIFS(Dump!R:R,Dump!B:B,C203,Dump!A:A,Y203)</f>
        <v>0</v>
      </c>
      <c r="Q203" s="34">
        <f t="shared" si="21"/>
        <v>0</v>
      </c>
      <c r="S203" s="4">
        <f>SUMIFS(Dump!E:E,Dump!B:B,C203,Dump!A:A,Y203)</f>
        <v>0</v>
      </c>
      <c r="T203" s="35">
        <f t="shared" si="22"/>
        <v>0</v>
      </c>
      <c r="V203" s="4">
        <f>SUMIFS(Dump!P:P,Dump!B:B,C203,Dump!A:A,Y203)</f>
        <v>0</v>
      </c>
      <c r="W203" s="37">
        <f t="shared" si="23"/>
        <v>0</v>
      </c>
      <c r="X203" s="39"/>
      <c r="Y203" s="54"/>
    </row>
    <row r="204">
      <c r="C204" s="53"/>
      <c r="G204" s="2" t="str">
        <f t="shared" si="27"/>
        <v/>
      </c>
      <c r="I204" s="4">
        <f>SUMIFS(Dump!D:D,Dump!B:B,C204)</f>
        <v>0</v>
      </c>
      <c r="J204" s="5">
        <f>SUMIFS(Dump!AE:AE,Dump!B:B,C204)</f>
        <v>0</v>
      </c>
      <c r="K204" s="4">
        <f>SUMPRODUCT(
  (TEXT(Dump!$A$2:$A994,"mmm-yy")=TEXT($Y204,"mmm-yy"))*
  (Dump!$B$2:$B994=$C204)*
  Dump!$D$2:$D994)</f>
        <v>0</v>
      </c>
      <c r="L204" s="4">
        <f>SUMPRODUCT(
  (TEXT(Dump!$A$2:$A994,"mmm-yy")=TEXT($Y204,"mmm-yy"))*
  (Dump!$B$2:$B994=$C204)*
  Dump!$E$2:$E994
)</f>
        <v>0</v>
      </c>
      <c r="M204" s="4">
        <f>SUMPRODUCT(
  (TEXT(Dump!$A$2:$A994,"mmm-yy")=TEXT($Y204,"mmm-yy"))*
  (Dump!$B$2:$B994=$C204)*
  Dump!$P$2:$P994
)</f>
        <v>0</v>
      </c>
      <c r="N204" s="32"/>
      <c r="O204" s="33">
        <f>SUMIFS(Dump!$D:$D,Dump!$B:$B,$C204,Dump!$A:$A,$Y204)</f>
        <v>0</v>
      </c>
      <c r="P204" s="33">
        <f>SUMIFS(Dump!R:R,Dump!B:B,C204,Dump!A:A,Y204)</f>
        <v>0</v>
      </c>
      <c r="Q204" s="34">
        <f t="shared" si="21"/>
        <v>0</v>
      </c>
      <c r="S204" s="4">
        <f>SUMIFS(Dump!E:E,Dump!B:B,C204,Dump!A:A,Y204)</f>
        <v>0</v>
      </c>
      <c r="T204" s="35">
        <f t="shared" si="22"/>
        <v>0</v>
      </c>
      <c r="V204" s="4">
        <f>SUMIFS(Dump!P:P,Dump!B:B,C204,Dump!A:A,Y204)</f>
        <v>0</v>
      </c>
      <c r="W204" s="37">
        <f t="shared" si="23"/>
        <v>0</v>
      </c>
      <c r="X204" s="39"/>
      <c r="Y204" s="54"/>
    </row>
    <row r="205">
      <c r="C205" s="53"/>
      <c r="G205" s="2" t="str">
        <f t="shared" si="27"/>
        <v/>
      </c>
      <c r="I205" s="4">
        <f>SUMIFS(Dump!D:D,Dump!B:B,C205)</f>
        <v>0</v>
      </c>
      <c r="J205" s="5">
        <f>SUMIFS(Dump!AE:AE,Dump!B:B,C205)</f>
        <v>0</v>
      </c>
      <c r="K205" s="4">
        <f>SUMPRODUCT(
  (TEXT(Dump!$A$2:$A994,"mmm-yy")=TEXT($Y205,"mmm-yy"))*
  (Dump!$B$2:$B994=$C205)*
  Dump!$D$2:$D994)</f>
        <v>0</v>
      </c>
      <c r="L205" s="4">
        <f>SUMPRODUCT(
  (TEXT(Dump!$A$2:$A994,"mmm-yy")=TEXT($Y205,"mmm-yy"))*
  (Dump!$B$2:$B994=$C205)*
  Dump!$E$2:$E994
)</f>
        <v>0</v>
      </c>
      <c r="M205" s="4">
        <f>SUMPRODUCT(
  (TEXT(Dump!$A$2:$A994,"mmm-yy")=TEXT($Y205,"mmm-yy"))*
  (Dump!$B$2:$B994=$C205)*
  Dump!$P$2:$P994
)</f>
        <v>0</v>
      </c>
      <c r="N205" s="32"/>
      <c r="O205" s="33">
        <f>SUMIFS(Dump!$D:$D,Dump!$B:$B,$C205,Dump!$A:$A,$Y205)</f>
        <v>0</v>
      </c>
      <c r="P205" s="33">
        <f>SUMIFS(Dump!R:R,Dump!B:B,C205,Dump!A:A,Y205)</f>
        <v>0</v>
      </c>
      <c r="Q205" s="34">
        <f t="shared" si="21"/>
        <v>0</v>
      </c>
      <c r="S205" s="4">
        <f>SUMIFS(Dump!E:E,Dump!B:B,C205,Dump!A:A,Y205)</f>
        <v>0</v>
      </c>
      <c r="T205" s="35">
        <f t="shared" si="22"/>
        <v>0</v>
      </c>
      <c r="V205" s="4">
        <f>SUMIFS(Dump!P:P,Dump!B:B,C205,Dump!A:A,Y205)</f>
        <v>0</v>
      </c>
      <c r="W205" s="37">
        <f t="shared" si="23"/>
        <v>0</v>
      </c>
      <c r="X205" s="39"/>
      <c r="Y205" s="54"/>
    </row>
    <row r="206">
      <c r="C206" s="53"/>
      <c r="G206" s="2" t="str">
        <f t="shared" si="27"/>
        <v/>
      </c>
      <c r="I206" s="4">
        <f>SUMIFS(Dump!D:D,Dump!B:B,C206)</f>
        <v>0</v>
      </c>
      <c r="J206" s="5">
        <f>SUMIFS(Dump!AE:AE,Dump!B:B,C206)</f>
        <v>0</v>
      </c>
      <c r="K206" s="4">
        <f>SUMPRODUCT(
  (TEXT(Dump!$A$2:$A994,"mmm-yy")=TEXT($Y206,"mmm-yy"))*
  (Dump!$B$2:$B994=$C206)*
  Dump!$D$2:$D994)</f>
        <v>0</v>
      </c>
      <c r="L206" s="4">
        <f>SUMPRODUCT(
  (TEXT(Dump!$A$2:$A994,"mmm-yy")=TEXT($Y206,"mmm-yy"))*
  (Dump!$B$2:$B994=$C206)*
  Dump!$E$2:$E994
)</f>
        <v>0</v>
      </c>
      <c r="M206" s="4">
        <f>SUMPRODUCT(
  (TEXT(Dump!$A$2:$A994,"mmm-yy")=TEXT($Y206,"mmm-yy"))*
  (Dump!$B$2:$B994=$C206)*
  Dump!$P$2:$P994
)</f>
        <v>0</v>
      </c>
      <c r="N206" s="32"/>
      <c r="O206" s="33">
        <f>SUMIFS(Dump!$D:$D,Dump!$B:$B,$C206,Dump!$A:$A,$Y206)</f>
        <v>0</v>
      </c>
      <c r="P206" s="33">
        <f>SUMIFS(Dump!R:R,Dump!B:B,C206,Dump!A:A,Y206)</f>
        <v>0</v>
      </c>
      <c r="Q206" s="34">
        <f t="shared" si="21"/>
        <v>0</v>
      </c>
      <c r="S206" s="4">
        <f>SUMIFS(Dump!E:E,Dump!B:B,C206,Dump!A:A,Y206)</f>
        <v>0</v>
      </c>
      <c r="T206" s="35">
        <f t="shared" si="22"/>
        <v>0</v>
      </c>
      <c r="V206" s="4">
        <f>SUMIFS(Dump!P:P,Dump!B:B,C206,Dump!A:A,Y206)</f>
        <v>0</v>
      </c>
      <c r="W206" s="37">
        <f t="shared" si="23"/>
        <v>0</v>
      </c>
      <c r="X206" s="39"/>
      <c r="Y206" s="54"/>
    </row>
    <row r="207">
      <c r="C207" s="53"/>
      <c r="G207" s="2" t="str">
        <f t="shared" si="27"/>
        <v/>
      </c>
      <c r="I207" s="4">
        <f>SUMIFS(Dump!D:D,Dump!B:B,C207)</f>
        <v>0</v>
      </c>
      <c r="J207" s="5">
        <f>SUMIFS(Dump!AE:AE,Dump!B:B,C207)</f>
        <v>0</v>
      </c>
      <c r="K207" s="4">
        <f>SUMPRODUCT(
  (TEXT(Dump!$A$2:$A994,"mmm-yy")=TEXT($Y207,"mmm-yy"))*
  (Dump!$B$2:$B994=$C207)*
  Dump!$D$2:$D994)</f>
        <v>0</v>
      </c>
      <c r="L207" s="4">
        <f>SUMPRODUCT(
  (TEXT(Dump!$A$2:$A994,"mmm-yy")=TEXT($Y207,"mmm-yy"))*
  (Dump!$B$2:$B994=$C207)*
  Dump!$E$2:$E994
)</f>
        <v>0</v>
      </c>
      <c r="M207" s="4">
        <f>SUMPRODUCT(
  (TEXT(Dump!$A$2:$A994,"mmm-yy")=TEXT($Y207,"mmm-yy"))*
  (Dump!$B$2:$B994=$C207)*
  Dump!$P$2:$P994
)</f>
        <v>0</v>
      </c>
      <c r="N207" s="32"/>
      <c r="O207" s="33">
        <f>SUMIFS(Dump!$D:$D,Dump!$B:$B,$C207,Dump!$A:$A,$Y207)</f>
        <v>0</v>
      </c>
      <c r="P207" s="33">
        <f>SUMIFS(Dump!R:R,Dump!B:B,C207,Dump!A:A,Y207)</f>
        <v>0</v>
      </c>
      <c r="Q207" s="34">
        <f t="shared" si="21"/>
        <v>0</v>
      </c>
      <c r="S207" s="4">
        <f>SUMIFS(Dump!E:E,Dump!B:B,C207,Dump!A:A,Y207)</f>
        <v>0</v>
      </c>
      <c r="T207" s="35">
        <f t="shared" si="22"/>
        <v>0</v>
      </c>
      <c r="V207" s="4">
        <f>SUMIFS(Dump!P:P,Dump!B:B,C207,Dump!A:A,Y207)</f>
        <v>0</v>
      </c>
      <c r="W207" s="37">
        <f t="shared" si="23"/>
        <v>0</v>
      </c>
      <c r="X207" s="39"/>
      <c r="Y207" s="54"/>
    </row>
    <row r="208">
      <c r="C208" s="53"/>
      <c r="G208" s="2" t="str">
        <f t="shared" si="27"/>
        <v/>
      </c>
      <c r="I208" s="4">
        <f>SUMIFS(Dump!D:D,Dump!B:B,C208)</f>
        <v>0</v>
      </c>
      <c r="J208" s="5">
        <f>SUMIFS(Dump!AE:AE,Dump!B:B,C208)</f>
        <v>0</v>
      </c>
      <c r="K208" s="4">
        <f>SUMPRODUCT(
  (TEXT(Dump!$A$2:$A994,"mmm-yy")=TEXT($Y208,"mmm-yy"))*
  (Dump!$B$2:$B994=$C208)*
  Dump!$D$2:$D994)</f>
        <v>0</v>
      </c>
      <c r="L208" s="4">
        <f>SUMPRODUCT(
  (TEXT(Dump!$A$2:$A994,"mmm-yy")=TEXT($Y208,"mmm-yy"))*
  (Dump!$B$2:$B994=$C208)*
  Dump!$E$2:$E994
)</f>
        <v>0</v>
      </c>
      <c r="M208" s="4">
        <f>SUMPRODUCT(
  (TEXT(Dump!$A$2:$A994,"mmm-yy")=TEXT($Y208,"mmm-yy"))*
  (Dump!$B$2:$B994=$C208)*
  Dump!$P$2:$P994
)</f>
        <v>0</v>
      </c>
      <c r="N208" s="32"/>
      <c r="O208" s="33">
        <f>SUMIFS(Dump!$D:$D,Dump!$B:$B,$C208,Dump!$A:$A,$Y208)</f>
        <v>0</v>
      </c>
      <c r="P208" s="33">
        <f>SUMIFS(Dump!R:R,Dump!B:B,C208,Dump!A:A,Y208)</f>
        <v>0</v>
      </c>
      <c r="Q208" s="34">
        <f t="shared" si="21"/>
        <v>0</v>
      </c>
      <c r="S208" s="4">
        <f>SUMIFS(Dump!E:E,Dump!B:B,C208,Dump!A:A,Y208)</f>
        <v>0</v>
      </c>
      <c r="T208" s="35">
        <f t="shared" si="22"/>
        <v>0</v>
      </c>
      <c r="V208" s="4">
        <f>SUMIFS(Dump!P:P,Dump!B:B,C208,Dump!A:A,Y208)</f>
        <v>0</v>
      </c>
      <c r="W208" s="37">
        <f t="shared" si="23"/>
        <v>0</v>
      </c>
      <c r="X208" s="39"/>
      <c r="Y208" s="54"/>
    </row>
    <row r="209">
      <c r="C209" s="53"/>
      <c r="G209" s="2" t="str">
        <f t="shared" si="27"/>
        <v/>
      </c>
      <c r="I209" s="4">
        <f>SUMIFS(Dump!D:D,Dump!B:B,C209)</f>
        <v>0</v>
      </c>
      <c r="J209" s="5">
        <f>SUMIFS(Dump!AE:AE,Dump!B:B,C209)</f>
        <v>0</v>
      </c>
      <c r="K209" s="4">
        <f>SUMPRODUCT(
  (TEXT(Dump!$A$2:$A994,"mmm-yy")=TEXT($Y209,"mmm-yy"))*
  (Dump!$B$2:$B994=$C209)*
  Dump!$D$2:$D994)</f>
        <v>0</v>
      </c>
      <c r="L209" s="4">
        <f>SUMPRODUCT(
  (TEXT(Dump!$A$2:$A994,"mmm-yy")=TEXT($Y209,"mmm-yy"))*
  (Dump!$B$2:$B994=$C209)*
  Dump!$E$2:$E994
)</f>
        <v>0</v>
      </c>
      <c r="M209" s="4">
        <f>SUMPRODUCT(
  (TEXT(Dump!$A$2:$A994,"mmm-yy")=TEXT($Y209,"mmm-yy"))*
  (Dump!$B$2:$B994=$C209)*
  Dump!$P$2:$P994
)</f>
        <v>0</v>
      </c>
      <c r="N209" s="32"/>
      <c r="O209" s="33">
        <f>SUMIFS(Dump!$D:$D,Dump!$B:$B,$C209,Dump!$A:$A,$Y209)</f>
        <v>0</v>
      </c>
      <c r="P209" s="33">
        <f>SUMIFS(Dump!R:R,Dump!B:B,C209,Dump!A:A,Y209)</f>
        <v>0</v>
      </c>
      <c r="Q209" s="34">
        <f t="shared" si="21"/>
        <v>0</v>
      </c>
      <c r="S209" s="4">
        <f>SUMIFS(Dump!E:E,Dump!B:B,C209,Dump!A:A,Y209)</f>
        <v>0</v>
      </c>
      <c r="T209" s="35">
        <f t="shared" si="22"/>
        <v>0</v>
      </c>
      <c r="V209" s="4">
        <f>SUMIFS(Dump!P:P,Dump!B:B,C209,Dump!A:A,Y209)</f>
        <v>0</v>
      </c>
      <c r="W209" s="37">
        <f t="shared" si="23"/>
        <v>0</v>
      </c>
      <c r="X209" s="39"/>
      <c r="Y209" s="54"/>
    </row>
    <row r="210">
      <c r="C210" s="53"/>
      <c r="G210" s="2" t="str">
        <f t="shared" si="27"/>
        <v/>
      </c>
      <c r="I210" s="4">
        <f>SUMIFS(Dump!D:D,Dump!B:B,C210)</f>
        <v>0</v>
      </c>
      <c r="J210" s="5">
        <f>SUMIFS(Dump!AE:AE,Dump!B:B,C210)</f>
        <v>0</v>
      </c>
      <c r="K210" s="4">
        <f>SUMPRODUCT(
  (TEXT(Dump!$A$2:$A994,"mmm-yy")=TEXT($Y210,"mmm-yy"))*
  (Dump!$B$2:$B994=$C210)*
  Dump!$D$2:$D994)</f>
        <v>0</v>
      </c>
      <c r="L210" s="4">
        <f>SUMPRODUCT(
  (TEXT(Dump!$A$2:$A994,"mmm-yy")=TEXT($Y210,"mmm-yy"))*
  (Dump!$B$2:$B994=$C210)*
  Dump!$E$2:$E994
)</f>
        <v>0</v>
      </c>
      <c r="M210" s="4">
        <f>SUMPRODUCT(
  (TEXT(Dump!$A$2:$A994,"mmm-yy")=TEXT($Y210,"mmm-yy"))*
  (Dump!$B$2:$B994=$C210)*
  Dump!$P$2:$P994
)</f>
        <v>0</v>
      </c>
      <c r="N210" s="32"/>
      <c r="O210" s="33">
        <f>SUMIFS(Dump!$D:$D,Dump!$B:$B,$C210,Dump!$A:$A,$Y210)</f>
        <v>0</v>
      </c>
      <c r="P210" s="33">
        <f>SUMIFS(Dump!R:R,Dump!B:B,C210,Dump!A:A,Y210)</f>
        <v>0</v>
      </c>
      <c r="Q210" s="34">
        <f t="shared" si="21"/>
        <v>0</v>
      </c>
      <c r="S210" s="4">
        <f>SUMIFS(Dump!E:E,Dump!B:B,C210,Dump!A:A,Y210)</f>
        <v>0</v>
      </c>
      <c r="T210" s="35">
        <f t="shared" si="22"/>
        <v>0</v>
      </c>
      <c r="V210" s="4">
        <f>SUMIFS(Dump!P:P,Dump!B:B,C210,Dump!A:A,Y210)</f>
        <v>0</v>
      </c>
      <c r="W210" s="37">
        <f t="shared" si="23"/>
        <v>0</v>
      </c>
      <c r="X210" s="39"/>
      <c r="Y210" s="54"/>
    </row>
    <row r="211">
      <c r="C211" s="53"/>
      <c r="G211" s="2" t="str">
        <f t="shared" si="27"/>
        <v/>
      </c>
      <c r="I211" s="4">
        <f>SUMIFS(Dump!D:D,Dump!B:B,C211)</f>
        <v>0</v>
      </c>
      <c r="J211" s="5">
        <f>SUMIFS(Dump!AE:AE,Dump!B:B,C211)</f>
        <v>0</v>
      </c>
      <c r="K211" s="4">
        <f>SUMPRODUCT(
  (TEXT(Dump!$A$2:$A994,"mmm-yy")=TEXT($Y211,"mmm-yy"))*
  (Dump!$B$2:$B994=$C211)*
  Dump!$D$2:$D994)</f>
        <v>0</v>
      </c>
      <c r="L211" s="4">
        <f>SUMPRODUCT(
  (TEXT(Dump!$A$2:$A994,"mmm-yy")=TEXT($Y211,"mmm-yy"))*
  (Dump!$B$2:$B994=$C211)*
  Dump!$E$2:$E994
)</f>
        <v>0</v>
      </c>
      <c r="M211" s="4">
        <f>SUMPRODUCT(
  (TEXT(Dump!$A$2:$A994,"mmm-yy")=TEXT($Y211,"mmm-yy"))*
  (Dump!$B$2:$B994=$C211)*
  Dump!$P$2:$P994
)</f>
        <v>0</v>
      </c>
      <c r="N211" s="32"/>
      <c r="O211" s="33">
        <f>SUMIFS(Dump!$D:$D,Dump!$B:$B,$C211,Dump!$A:$A,$Y211)</f>
        <v>0</v>
      </c>
      <c r="P211" s="33">
        <f>SUMIFS(Dump!R:R,Dump!B:B,C211,Dump!A:A,Y211)</f>
        <v>0</v>
      </c>
      <c r="Q211" s="34">
        <f t="shared" si="21"/>
        <v>0</v>
      </c>
      <c r="S211" s="4">
        <f>SUMIFS(Dump!E:E,Dump!B:B,C211,Dump!A:A,Y211)</f>
        <v>0</v>
      </c>
      <c r="T211" s="35">
        <f t="shared" si="22"/>
        <v>0</v>
      </c>
      <c r="V211" s="4">
        <f>SUMIFS(Dump!P:P,Dump!B:B,C211,Dump!A:A,Y211)</f>
        <v>0</v>
      </c>
      <c r="W211" s="37">
        <f t="shared" si="23"/>
        <v>0</v>
      </c>
      <c r="X211" s="39"/>
      <c r="Y211" s="54"/>
    </row>
    <row r="212">
      <c r="C212" s="53"/>
      <c r="G212" s="2" t="str">
        <f t="shared" si="27"/>
        <v/>
      </c>
      <c r="I212" s="4">
        <f>SUMIFS(Dump!D:D,Dump!B:B,C212)</f>
        <v>0</v>
      </c>
      <c r="J212" s="5">
        <f>SUMIFS(Dump!AE:AE,Dump!B:B,C212)</f>
        <v>0</v>
      </c>
      <c r="K212" s="4">
        <f>SUMPRODUCT(
  (TEXT(Dump!$A$2:$A994,"mmm-yy")=TEXT($Y212,"mmm-yy"))*
  (Dump!$B$2:$B994=$C212)*
  Dump!$D$2:$D994)</f>
        <v>0</v>
      </c>
      <c r="L212" s="4">
        <f>SUMPRODUCT(
  (TEXT(Dump!$A$2:$A994,"mmm-yy")=TEXT($Y212,"mmm-yy"))*
  (Dump!$B$2:$B994=$C212)*
  Dump!$E$2:$E994
)</f>
        <v>0</v>
      </c>
      <c r="M212" s="4">
        <f>SUMPRODUCT(
  (TEXT(Dump!$A$2:$A994,"mmm-yy")=TEXT($Y212,"mmm-yy"))*
  (Dump!$B$2:$B994=$C212)*
  Dump!$P$2:$P994
)</f>
        <v>0</v>
      </c>
      <c r="N212" s="32"/>
      <c r="O212" s="33">
        <f>SUMIFS(Dump!$D:$D,Dump!$B:$B,$C212,Dump!$A:$A,$Y212)</f>
        <v>0</v>
      </c>
      <c r="P212" s="33">
        <f>SUMIFS(Dump!R:R,Dump!B:B,C212,Dump!A:A,Y212)</f>
        <v>0</v>
      </c>
      <c r="Q212" s="34">
        <f t="shared" si="21"/>
        <v>0</v>
      </c>
      <c r="S212" s="4">
        <f>SUMIFS(Dump!E:E,Dump!B:B,C212,Dump!A:A,Y212)</f>
        <v>0</v>
      </c>
      <c r="T212" s="35">
        <f t="shared" si="22"/>
        <v>0</v>
      </c>
      <c r="V212" s="4">
        <f>SUMIFS(Dump!P:P,Dump!B:B,C212,Dump!A:A,Y212)</f>
        <v>0</v>
      </c>
      <c r="W212" s="37">
        <f t="shared" si="23"/>
        <v>0</v>
      </c>
      <c r="X212" s="39"/>
      <c r="Y212" s="54"/>
    </row>
    <row r="213">
      <c r="C213" s="53"/>
      <c r="G213" s="2" t="str">
        <f t="shared" si="27"/>
        <v/>
      </c>
      <c r="I213" s="4">
        <f>SUMIFS(Dump!D:D,Dump!B:B,C213)</f>
        <v>0</v>
      </c>
      <c r="J213" s="5">
        <f>SUMIFS(Dump!AE:AE,Dump!B:B,C213)</f>
        <v>0</v>
      </c>
      <c r="K213" s="4">
        <f>SUMPRODUCT(
  (TEXT(Dump!$A$2:$A994,"mmm-yy")=TEXT($Y213,"mmm-yy"))*
  (Dump!$B$2:$B994=$C213)*
  Dump!$D$2:$D994)</f>
        <v>0</v>
      </c>
      <c r="L213" s="4">
        <f>SUMPRODUCT(
  (TEXT(Dump!$A$2:$A994,"mmm-yy")=TEXT($Y213,"mmm-yy"))*
  (Dump!$B$2:$B994=$C213)*
  Dump!$E$2:$E994
)</f>
        <v>0</v>
      </c>
      <c r="M213" s="4">
        <f>SUMPRODUCT(
  (TEXT(Dump!$A$2:$A994,"mmm-yy")=TEXT($Y213,"mmm-yy"))*
  (Dump!$B$2:$B994=$C213)*
  Dump!$P$2:$P994
)</f>
        <v>0</v>
      </c>
      <c r="N213" s="32"/>
      <c r="O213" s="33">
        <f>SUMIFS(Dump!$D:$D,Dump!$B:$B,$C213,Dump!$A:$A,$Y213)</f>
        <v>0</v>
      </c>
      <c r="P213" s="33">
        <f>SUMIFS(Dump!R:R,Dump!B:B,C213,Dump!A:A,Y213)</f>
        <v>0</v>
      </c>
      <c r="Q213" s="34">
        <f t="shared" si="21"/>
        <v>0</v>
      </c>
      <c r="S213" s="4">
        <f>SUMIFS(Dump!E:E,Dump!B:B,C213,Dump!A:A,Y213)</f>
        <v>0</v>
      </c>
      <c r="T213" s="35">
        <f t="shared" si="22"/>
        <v>0</v>
      </c>
      <c r="V213" s="4">
        <f>SUMIFS(Dump!P:P,Dump!B:B,C213,Dump!A:A,Y213)</f>
        <v>0</v>
      </c>
      <c r="W213" s="37">
        <f t="shared" si="23"/>
        <v>0</v>
      </c>
      <c r="X213" s="39"/>
      <c r="Y213" s="54"/>
    </row>
    <row r="214">
      <c r="C214" s="53"/>
      <c r="G214" s="2" t="str">
        <f t="shared" si="27"/>
        <v/>
      </c>
      <c r="I214" s="4">
        <f>SUMIFS(Dump!D:D,Dump!B:B,C214)</f>
        <v>0</v>
      </c>
      <c r="J214" s="5">
        <f>SUMIFS(Dump!AE:AE,Dump!B:B,C214)</f>
        <v>0</v>
      </c>
      <c r="K214" s="4">
        <f>SUMPRODUCT(
  (TEXT(Dump!$A$2:$A994,"mmm-yy")=TEXT($Y214,"mmm-yy"))*
  (Dump!$B$2:$B994=$C214)*
  Dump!$D$2:$D994)</f>
        <v>0</v>
      </c>
      <c r="L214" s="4">
        <f>SUMPRODUCT(
  (TEXT(Dump!$A$2:$A994,"mmm-yy")=TEXT($Y214,"mmm-yy"))*
  (Dump!$B$2:$B994=$C214)*
  Dump!$E$2:$E994
)</f>
        <v>0</v>
      </c>
      <c r="M214" s="4">
        <f>SUMPRODUCT(
  (TEXT(Dump!$A$2:$A994,"mmm-yy")=TEXT($Y214,"mmm-yy"))*
  (Dump!$B$2:$B994=$C214)*
  Dump!$P$2:$P994
)</f>
        <v>0</v>
      </c>
      <c r="N214" s="32"/>
      <c r="O214" s="33">
        <f>SUMIFS(Dump!$D:$D,Dump!$B:$B,$C214,Dump!$A:$A,$Y214)</f>
        <v>0</v>
      </c>
      <c r="P214" s="33">
        <f>SUMIFS(Dump!R:R,Dump!B:B,C214,Dump!A:A,Y214)</f>
        <v>0</v>
      </c>
      <c r="Q214" s="34">
        <f t="shared" si="21"/>
        <v>0</v>
      </c>
      <c r="S214" s="4">
        <f>SUMIFS(Dump!E:E,Dump!B:B,C214,Dump!A:A,Y214)</f>
        <v>0</v>
      </c>
      <c r="T214" s="35">
        <f t="shared" si="22"/>
        <v>0</v>
      </c>
      <c r="V214" s="4">
        <f>SUMIFS(Dump!P:P,Dump!B:B,C214,Dump!A:A,Y214)</f>
        <v>0</v>
      </c>
      <c r="W214" s="37">
        <f t="shared" si="23"/>
        <v>0</v>
      </c>
      <c r="X214" s="39"/>
      <c r="Y214" s="54"/>
    </row>
    <row r="215">
      <c r="C215" s="53"/>
      <c r="G215" s="2" t="str">
        <f t="shared" si="27"/>
        <v/>
      </c>
      <c r="I215" s="4">
        <f>SUMIFS(Dump!D:D,Dump!B:B,C215)</f>
        <v>0</v>
      </c>
      <c r="J215" s="5">
        <f>SUMIFS(Dump!AE:AE,Dump!B:B,C215)</f>
        <v>0</v>
      </c>
      <c r="K215" s="4">
        <f>SUMPRODUCT(
  (TEXT(Dump!$A$2:$A994,"mmm-yy")=TEXT($Y215,"mmm-yy"))*
  (Dump!$B$2:$B994=$C215)*
  Dump!$D$2:$D994)</f>
        <v>0</v>
      </c>
      <c r="L215" s="4">
        <f>SUMPRODUCT(
  (TEXT(Dump!$A$2:$A994,"mmm-yy")=TEXT($Y215,"mmm-yy"))*
  (Dump!$B$2:$B994=$C215)*
  Dump!$E$2:$E994
)</f>
        <v>0</v>
      </c>
      <c r="M215" s="4">
        <f>SUMPRODUCT(
  (TEXT(Dump!$A$2:$A994,"mmm-yy")=TEXT($Y215,"mmm-yy"))*
  (Dump!$B$2:$B994=$C215)*
  Dump!$P$2:$P994
)</f>
        <v>0</v>
      </c>
      <c r="N215" s="32"/>
      <c r="O215" s="33">
        <f>SUMIFS(Dump!$D:$D,Dump!$B:$B,$C215,Dump!$A:$A,$Y215)</f>
        <v>0</v>
      </c>
      <c r="P215" s="33">
        <f>SUMIFS(Dump!R:R,Dump!B:B,C215,Dump!A:A,Y215)</f>
        <v>0</v>
      </c>
      <c r="Q215" s="34">
        <f t="shared" si="21"/>
        <v>0</v>
      </c>
      <c r="S215" s="4">
        <f>SUMIFS(Dump!E:E,Dump!B:B,C215,Dump!A:A,Y215)</f>
        <v>0</v>
      </c>
      <c r="T215" s="35">
        <f t="shared" si="22"/>
        <v>0</v>
      </c>
      <c r="V215" s="4">
        <f>SUMIFS(Dump!P:P,Dump!B:B,C215,Dump!A:A,Y215)</f>
        <v>0</v>
      </c>
      <c r="W215" s="37">
        <f t="shared" si="23"/>
        <v>0</v>
      </c>
      <c r="X215" s="39"/>
      <c r="Y215" s="54"/>
    </row>
    <row r="216">
      <c r="C216" s="53"/>
      <c r="G216" s="2" t="str">
        <f t="shared" si="27"/>
        <v/>
      </c>
      <c r="I216" s="4">
        <f>SUMIFS(Dump!D:D,Dump!B:B,C216)</f>
        <v>0</v>
      </c>
      <c r="J216" s="5">
        <f>SUMIFS(Dump!AE:AE,Dump!B:B,C216)</f>
        <v>0</v>
      </c>
      <c r="K216" s="4">
        <f>SUMPRODUCT(
  (TEXT(Dump!$A$2:$A994,"mmm-yy")=TEXT($Y216,"mmm-yy"))*
  (Dump!$B$2:$B994=$C216)*
  Dump!$D$2:$D994)</f>
        <v>0</v>
      </c>
      <c r="L216" s="4">
        <f>SUMPRODUCT(
  (TEXT(Dump!$A$2:$A994,"mmm-yy")=TEXT($Y216,"mmm-yy"))*
  (Dump!$B$2:$B994=$C216)*
  Dump!$E$2:$E994
)</f>
        <v>0</v>
      </c>
      <c r="M216" s="4">
        <f>SUMPRODUCT(
  (TEXT(Dump!$A$2:$A994,"mmm-yy")=TEXT($Y216,"mmm-yy"))*
  (Dump!$B$2:$B994=$C216)*
  Dump!$P$2:$P994
)</f>
        <v>0</v>
      </c>
      <c r="N216" s="32"/>
      <c r="O216" s="33">
        <f>SUMIFS(Dump!$D:$D,Dump!$B:$B,$C216,Dump!$A:$A,$Y216)</f>
        <v>0</v>
      </c>
      <c r="P216" s="33">
        <f>SUMIFS(Dump!R:R,Dump!B:B,C216,Dump!A:A,Y216)</f>
        <v>0</v>
      </c>
      <c r="Q216" s="34">
        <f t="shared" si="21"/>
        <v>0</v>
      </c>
      <c r="S216" s="4">
        <f>SUMIFS(Dump!E:E,Dump!B:B,C216,Dump!A:A,Y216)</f>
        <v>0</v>
      </c>
      <c r="T216" s="35">
        <f t="shared" si="22"/>
        <v>0</v>
      </c>
      <c r="V216" s="4">
        <f>SUMIFS(Dump!P:P,Dump!B:B,C216,Dump!A:A,Y216)</f>
        <v>0</v>
      </c>
      <c r="W216" s="37">
        <f t="shared" si="23"/>
        <v>0</v>
      </c>
      <c r="X216" s="39"/>
      <c r="Y216" s="54"/>
    </row>
    <row r="217">
      <c r="C217" s="53"/>
      <c r="G217" s="2" t="str">
        <f t="shared" si="27"/>
        <v/>
      </c>
      <c r="I217" s="4">
        <f>SUMIFS(Dump!D:D,Dump!B:B,C217)</f>
        <v>0</v>
      </c>
      <c r="J217" s="5">
        <f>SUMIFS(Dump!AE:AE,Dump!B:B,C217)</f>
        <v>0</v>
      </c>
      <c r="K217" s="4">
        <f>SUMPRODUCT(
  (TEXT(Dump!$A$2:$A994,"mmm-yy")=TEXT($Y217,"mmm-yy"))*
  (Dump!$B$2:$B994=$C217)*
  Dump!$D$2:$D994)</f>
        <v>0</v>
      </c>
      <c r="L217" s="4">
        <f>SUMPRODUCT(
  (TEXT(Dump!$A$2:$A994,"mmm-yy")=TEXT($Y217,"mmm-yy"))*
  (Dump!$B$2:$B994=$C217)*
  Dump!$E$2:$E994
)</f>
        <v>0</v>
      </c>
      <c r="M217" s="4">
        <f>SUMPRODUCT(
  (TEXT(Dump!$A$2:$A994,"mmm-yy")=TEXT($Y217,"mmm-yy"))*
  (Dump!$B$2:$B994=$C217)*
  Dump!$P$2:$P994
)</f>
        <v>0</v>
      </c>
      <c r="N217" s="32"/>
      <c r="O217" s="33">
        <f>SUMIFS(Dump!$D:$D,Dump!$B:$B,$C217,Dump!$A:$A,$Y217)</f>
        <v>0</v>
      </c>
      <c r="P217" s="33">
        <f>SUMIFS(Dump!R:R,Dump!B:B,C217,Dump!A:A,Y217)</f>
        <v>0</v>
      </c>
      <c r="Q217" s="34">
        <f t="shared" si="21"/>
        <v>0</v>
      </c>
      <c r="S217" s="4">
        <f>SUMIFS(Dump!E:E,Dump!B:B,C217,Dump!A:A,Y217)</f>
        <v>0</v>
      </c>
      <c r="T217" s="35">
        <f t="shared" si="22"/>
        <v>0</v>
      </c>
      <c r="V217" s="4">
        <f>SUMIFS(Dump!P:P,Dump!B:B,C217,Dump!A:A,Y217)</f>
        <v>0</v>
      </c>
      <c r="W217" s="37">
        <f t="shared" si="23"/>
        <v>0</v>
      </c>
      <c r="X217" s="39"/>
      <c r="Y217" s="54"/>
    </row>
    <row r="218">
      <c r="C218" s="53"/>
      <c r="G218" s="2" t="str">
        <f t="shared" si="27"/>
        <v/>
      </c>
      <c r="I218" s="4">
        <f>SUMIFS(Dump!D:D,Dump!B:B,C218)</f>
        <v>0</v>
      </c>
      <c r="J218" s="5">
        <f>SUMIFS(Dump!AE:AE,Dump!B:B,C218)</f>
        <v>0</v>
      </c>
      <c r="K218" s="4">
        <f>SUMPRODUCT(
  (TEXT(Dump!$A$2:$A994,"mmm-yy")=TEXT($Y218,"mmm-yy"))*
  (Dump!$B$2:$B994=$C218)*
  Dump!$D$2:$D994)</f>
        <v>0</v>
      </c>
      <c r="L218" s="4">
        <f>SUMPRODUCT(
  (TEXT(Dump!$A$2:$A994,"mmm-yy")=TEXT($Y218,"mmm-yy"))*
  (Dump!$B$2:$B994=$C218)*
  Dump!$E$2:$E994
)</f>
        <v>0</v>
      </c>
      <c r="M218" s="4">
        <f>SUMPRODUCT(
  (TEXT(Dump!$A$2:$A994,"mmm-yy")=TEXT($Y218,"mmm-yy"))*
  (Dump!$B$2:$B994=$C218)*
  Dump!$P$2:$P994
)</f>
        <v>0</v>
      </c>
      <c r="N218" s="32"/>
      <c r="O218" s="33">
        <f>SUMIFS(Dump!$D:$D,Dump!$B:$B,$C218,Dump!$A:$A,$Y218)</f>
        <v>0</v>
      </c>
      <c r="P218" s="33">
        <f>SUMIFS(Dump!R:R,Dump!B:B,C218,Dump!A:A,Y218)</f>
        <v>0</v>
      </c>
      <c r="Q218" s="34">
        <f t="shared" si="21"/>
        <v>0</v>
      </c>
      <c r="S218" s="4">
        <f>SUMIFS(Dump!E:E,Dump!B:B,C218,Dump!A:A,Y218)</f>
        <v>0</v>
      </c>
      <c r="T218" s="35">
        <f t="shared" si="22"/>
        <v>0</v>
      </c>
      <c r="V218" s="4">
        <f>SUMIFS(Dump!P:P,Dump!B:B,C218,Dump!A:A,Y218)</f>
        <v>0</v>
      </c>
      <c r="W218" s="37">
        <f t="shared" si="23"/>
        <v>0</v>
      </c>
      <c r="X218" s="39"/>
      <c r="Y218" s="54"/>
    </row>
    <row r="219">
      <c r="C219" s="53"/>
      <c r="G219" s="2" t="str">
        <f t="shared" si="27"/>
        <v/>
      </c>
      <c r="I219" s="4">
        <f>SUMIFS(Dump!D:D,Dump!B:B,C219)</f>
        <v>0</v>
      </c>
      <c r="J219" s="5">
        <f>SUMIFS(Dump!AE:AE,Dump!B:B,C219)</f>
        <v>0</v>
      </c>
      <c r="K219" s="4">
        <f>SUMPRODUCT(
  (TEXT(Dump!$A$2:$A994,"mmm-yy")=TEXT($Y219,"mmm-yy"))*
  (Dump!$B$2:$B994=$C219)*
  Dump!$D$2:$D994)</f>
        <v>0</v>
      </c>
      <c r="L219" s="4">
        <f>SUMPRODUCT(
  (TEXT(Dump!$A$2:$A994,"mmm-yy")=TEXT($Y219,"mmm-yy"))*
  (Dump!$B$2:$B994=$C219)*
  Dump!$E$2:$E994
)</f>
        <v>0</v>
      </c>
      <c r="M219" s="4">
        <f>SUMPRODUCT(
  (TEXT(Dump!$A$2:$A994,"mmm-yy")=TEXT($Y219,"mmm-yy"))*
  (Dump!$B$2:$B994=$C219)*
  Dump!$P$2:$P994
)</f>
        <v>0</v>
      </c>
      <c r="N219" s="32"/>
      <c r="O219" s="33">
        <f>SUMIFS(Dump!$D:$D,Dump!$B:$B,$C219,Dump!$A:$A,$Y219)</f>
        <v>0</v>
      </c>
      <c r="P219" s="33">
        <f>SUMIFS(Dump!R:R,Dump!B:B,C219,Dump!A:A,Y219)</f>
        <v>0</v>
      </c>
      <c r="Q219" s="34">
        <f t="shared" si="21"/>
        <v>0</v>
      </c>
      <c r="S219" s="4">
        <f>SUMIFS(Dump!E:E,Dump!B:B,C219,Dump!A:A,Y219)</f>
        <v>0</v>
      </c>
      <c r="T219" s="35">
        <f t="shared" si="22"/>
        <v>0</v>
      </c>
      <c r="V219" s="4">
        <f>SUMIFS(Dump!P:P,Dump!B:B,C219,Dump!A:A,Y219)</f>
        <v>0</v>
      </c>
      <c r="W219" s="37">
        <f t="shared" si="23"/>
        <v>0</v>
      </c>
      <c r="X219" s="39"/>
      <c r="Y219" s="54"/>
    </row>
    <row r="220">
      <c r="C220" s="53"/>
      <c r="G220" s="2" t="str">
        <f t="shared" si="27"/>
        <v/>
      </c>
      <c r="I220" s="4">
        <f>SUMIFS(Dump!D:D,Dump!B:B,C220)</f>
        <v>0</v>
      </c>
      <c r="J220" s="5">
        <f>SUMIFS(Dump!AE:AE,Dump!B:B,C220)</f>
        <v>0</v>
      </c>
      <c r="K220" s="4">
        <f>SUMPRODUCT(
  (TEXT(Dump!$A$2:$A994,"mmm-yy")=TEXT($Y220,"mmm-yy"))*
  (Dump!$B$2:$B994=$C220)*
  Dump!$D$2:$D994)</f>
        <v>0</v>
      </c>
      <c r="L220" s="4">
        <f>SUMPRODUCT(
  (TEXT(Dump!$A$2:$A994,"mmm-yy")=TEXT($Y220,"mmm-yy"))*
  (Dump!$B$2:$B994=$C220)*
  Dump!$E$2:$E994
)</f>
        <v>0</v>
      </c>
      <c r="M220" s="4">
        <f>SUMPRODUCT(
  (TEXT(Dump!$A$2:$A994,"mmm-yy")=TEXT($Y220,"mmm-yy"))*
  (Dump!$B$2:$B994=$C220)*
  Dump!$P$2:$P994
)</f>
        <v>0</v>
      </c>
      <c r="N220" s="32"/>
      <c r="O220" s="33">
        <f>SUMIFS(Dump!$D:$D,Dump!$B:$B,$C220,Dump!$A:$A,$Y220)</f>
        <v>0</v>
      </c>
      <c r="P220" s="33">
        <f>SUMIFS(Dump!R:R,Dump!B:B,C220,Dump!A:A,Y220)</f>
        <v>0</v>
      </c>
      <c r="Q220" s="34">
        <f t="shared" si="21"/>
        <v>0</v>
      </c>
      <c r="S220" s="4">
        <f>SUMIFS(Dump!E:E,Dump!B:B,C220,Dump!A:A,Y220)</f>
        <v>0</v>
      </c>
      <c r="T220" s="35">
        <f t="shared" si="22"/>
        <v>0</v>
      </c>
      <c r="V220" s="4">
        <f>SUMIFS(Dump!P:P,Dump!B:B,C220,Dump!A:A,Y220)</f>
        <v>0</v>
      </c>
      <c r="W220" s="37">
        <f t="shared" si="23"/>
        <v>0</v>
      </c>
      <c r="X220" s="39"/>
      <c r="Y220" s="54"/>
    </row>
    <row r="221">
      <c r="C221" s="53"/>
      <c r="G221" s="2" t="str">
        <f t="shared" si="27"/>
        <v/>
      </c>
      <c r="I221" s="4">
        <f>SUMIFS(Dump!D:D,Dump!B:B,C221)</f>
        <v>0</v>
      </c>
      <c r="J221" s="5">
        <f>SUMIFS(Dump!AE:AE,Dump!B:B,C221)</f>
        <v>0</v>
      </c>
      <c r="K221" s="4">
        <f>SUMPRODUCT(
  (TEXT(Dump!$A$2:$A994,"mmm-yy")=TEXT($Y221,"mmm-yy"))*
  (Dump!$B$2:$B994=$C221)*
  Dump!$D$2:$D994)</f>
        <v>0</v>
      </c>
      <c r="L221" s="4">
        <f>SUMPRODUCT(
  (TEXT(Dump!$A$2:$A994,"mmm-yy")=TEXT($Y221,"mmm-yy"))*
  (Dump!$B$2:$B994=$C221)*
  Dump!$E$2:$E994
)</f>
        <v>0</v>
      </c>
      <c r="M221" s="4">
        <f>SUMPRODUCT(
  (TEXT(Dump!$A$2:$A994,"mmm-yy")=TEXT($Y221,"mmm-yy"))*
  (Dump!$B$2:$B994=$C221)*
  Dump!$P$2:$P994
)</f>
        <v>0</v>
      </c>
      <c r="N221" s="32"/>
      <c r="O221" s="33">
        <f>SUMIFS(Dump!$D:$D,Dump!$B:$B,$C221,Dump!$A:$A,$Y221)</f>
        <v>0</v>
      </c>
      <c r="P221" s="33">
        <f>SUMIFS(Dump!R:R,Dump!B:B,C221,Dump!A:A,Y221)</f>
        <v>0</v>
      </c>
      <c r="Q221" s="34">
        <f t="shared" si="21"/>
        <v>0</v>
      </c>
      <c r="S221" s="4">
        <f>SUMIFS(Dump!E:E,Dump!B:B,C221,Dump!A:A,Y221)</f>
        <v>0</v>
      </c>
      <c r="T221" s="35">
        <f t="shared" si="22"/>
        <v>0</v>
      </c>
      <c r="V221" s="4">
        <f>SUMIFS(Dump!P:P,Dump!B:B,C221,Dump!A:A,Y221)</f>
        <v>0</v>
      </c>
      <c r="W221" s="37">
        <f t="shared" si="23"/>
        <v>0</v>
      </c>
      <c r="X221" s="39"/>
      <c r="Y221" s="54"/>
    </row>
    <row r="222">
      <c r="C222" s="53"/>
      <c r="G222" s="2" t="str">
        <f t="shared" si="27"/>
        <v/>
      </c>
      <c r="I222" s="4">
        <f>SUMIFS(Dump!D:D,Dump!B:B,C222)</f>
        <v>0</v>
      </c>
      <c r="J222" s="5">
        <f>SUMIFS(Dump!AE:AE,Dump!B:B,C222)</f>
        <v>0</v>
      </c>
      <c r="K222" s="4">
        <f>SUMPRODUCT(
  (TEXT(Dump!$A$2:$A994,"mmm-yy")=TEXT($Y222,"mmm-yy"))*
  (Dump!$B$2:$B994=$C222)*
  Dump!$D$2:$D994)</f>
        <v>0</v>
      </c>
      <c r="L222" s="4">
        <f>SUMPRODUCT(
  (TEXT(Dump!$A$2:$A994,"mmm-yy")=TEXT($Y222,"mmm-yy"))*
  (Dump!$B$2:$B994=$C222)*
  Dump!$E$2:$E994
)</f>
        <v>0</v>
      </c>
      <c r="M222" s="4">
        <f>SUMPRODUCT(
  (TEXT(Dump!$A$2:$A994,"mmm-yy")=TEXT($Y222,"mmm-yy"))*
  (Dump!$B$2:$B994=$C222)*
  Dump!$P$2:$P994
)</f>
        <v>0</v>
      </c>
      <c r="N222" s="32"/>
      <c r="O222" s="33">
        <f>SUMIFS(Dump!$D:$D,Dump!$B:$B,$C222,Dump!$A:$A,$Y222)</f>
        <v>0</v>
      </c>
      <c r="P222" s="33">
        <f>SUMIFS(Dump!R:R,Dump!B:B,C222,Dump!A:A,Y222)</f>
        <v>0</v>
      </c>
      <c r="Q222" s="34">
        <f t="shared" si="21"/>
        <v>0</v>
      </c>
      <c r="S222" s="4">
        <f>SUMIFS(Dump!E:E,Dump!B:B,C222,Dump!A:A,Y222)</f>
        <v>0</v>
      </c>
      <c r="T222" s="35">
        <f t="shared" si="22"/>
        <v>0</v>
      </c>
      <c r="V222" s="4">
        <f>SUMIFS(Dump!P:P,Dump!B:B,C222,Dump!A:A,Y222)</f>
        <v>0</v>
      </c>
      <c r="W222" s="37">
        <f t="shared" si="23"/>
        <v>0</v>
      </c>
      <c r="X222" s="39"/>
      <c r="Y222" s="54"/>
    </row>
    <row r="223">
      <c r="C223" s="53"/>
      <c r="G223" s="2" t="str">
        <f t="shared" si="27"/>
        <v/>
      </c>
      <c r="I223" s="4">
        <f>SUMIFS(Dump!D:D,Dump!B:B,C223)</f>
        <v>0</v>
      </c>
      <c r="J223" s="5">
        <f>SUMIFS(Dump!AE:AE,Dump!B:B,C223)</f>
        <v>0</v>
      </c>
      <c r="K223" s="4">
        <f>SUMPRODUCT(
  (TEXT(Dump!$A$2:$A994,"mmm-yy")=TEXT($Y223,"mmm-yy"))*
  (Dump!$B$2:$B994=$C223)*
  Dump!$D$2:$D994)</f>
        <v>0</v>
      </c>
      <c r="L223" s="4">
        <f>SUMPRODUCT(
  (TEXT(Dump!$A$2:$A994,"mmm-yy")=TEXT($Y223,"mmm-yy"))*
  (Dump!$B$2:$B994=$C223)*
  Dump!$E$2:$E994
)</f>
        <v>0</v>
      </c>
      <c r="M223" s="4">
        <f>SUMPRODUCT(
  (TEXT(Dump!$A$2:$A994,"mmm-yy")=TEXT($Y223,"mmm-yy"))*
  (Dump!$B$2:$B994=$C223)*
  Dump!$P$2:$P994
)</f>
        <v>0</v>
      </c>
      <c r="N223" s="32"/>
      <c r="O223" s="33">
        <f>SUMIFS(Dump!$D:$D,Dump!$B:$B,$C223,Dump!$A:$A,$Y223)</f>
        <v>0</v>
      </c>
      <c r="P223" s="33">
        <f>SUMIFS(Dump!R:R,Dump!B:B,C223,Dump!A:A,Y223)</f>
        <v>0</v>
      </c>
      <c r="Q223" s="34">
        <f t="shared" si="21"/>
        <v>0</v>
      </c>
      <c r="S223" s="4">
        <f>SUMIFS(Dump!E:E,Dump!B:B,C223,Dump!A:A,Y223)</f>
        <v>0</v>
      </c>
      <c r="T223" s="35">
        <f t="shared" si="22"/>
        <v>0</v>
      </c>
      <c r="V223" s="4">
        <f>SUMIFS(Dump!P:P,Dump!B:B,C223,Dump!A:A,Y223)</f>
        <v>0</v>
      </c>
      <c r="W223" s="37">
        <f t="shared" si="23"/>
        <v>0</v>
      </c>
      <c r="X223" s="39"/>
      <c r="Y223" s="54"/>
    </row>
    <row r="224">
      <c r="C224" s="53"/>
      <c r="G224" s="2" t="str">
        <f t="shared" si="27"/>
        <v/>
      </c>
      <c r="I224" s="4">
        <f>SUMIFS(Dump!D:D,Dump!B:B,C224)</f>
        <v>0</v>
      </c>
      <c r="J224" s="5">
        <f>SUMIFS(Dump!AE:AE,Dump!B:B,C224)</f>
        <v>0</v>
      </c>
      <c r="K224" s="4">
        <f>SUMPRODUCT(
  (TEXT(Dump!$A$2:$A994,"mmm-yy")=TEXT($Y224,"mmm-yy"))*
  (Dump!$B$2:$B994=$C224)*
  Dump!$D$2:$D994)</f>
        <v>0</v>
      </c>
      <c r="L224" s="4">
        <f>SUMPRODUCT(
  (TEXT(Dump!$A$2:$A994,"mmm-yy")=TEXT($Y224,"mmm-yy"))*
  (Dump!$B$2:$B994=$C224)*
  Dump!$E$2:$E994
)</f>
        <v>0</v>
      </c>
      <c r="M224" s="4">
        <f>SUMPRODUCT(
  (TEXT(Dump!$A$2:$A994,"mmm-yy")=TEXT($Y224,"mmm-yy"))*
  (Dump!$B$2:$B994=$C224)*
  Dump!$P$2:$P994
)</f>
        <v>0</v>
      </c>
      <c r="N224" s="32"/>
      <c r="O224" s="33">
        <f>SUMIFS(Dump!$D:$D,Dump!$B:$B,$C224,Dump!$A:$A,$Y224)</f>
        <v>0</v>
      </c>
      <c r="P224" s="33">
        <f>SUMIFS(Dump!R:R,Dump!B:B,C224,Dump!A:A,Y224)</f>
        <v>0</v>
      </c>
      <c r="Q224" s="34">
        <f t="shared" si="21"/>
        <v>0</v>
      </c>
      <c r="S224" s="4">
        <f>SUMIFS(Dump!E:E,Dump!B:B,C224,Dump!A:A,Y224)</f>
        <v>0</v>
      </c>
      <c r="T224" s="35">
        <f t="shared" si="22"/>
        <v>0</v>
      </c>
      <c r="V224" s="4">
        <f>SUMIFS(Dump!P:P,Dump!B:B,C224,Dump!A:A,Y224)</f>
        <v>0</v>
      </c>
      <c r="W224" s="37">
        <f t="shared" si="23"/>
        <v>0</v>
      </c>
      <c r="X224" s="39"/>
      <c r="Y224" s="54"/>
    </row>
    <row r="225">
      <c r="C225" s="53"/>
      <c r="G225" s="2" t="str">
        <f t="shared" si="27"/>
        <v/>
      </c>
      <c r="I225" s="4">
        <f>SUMIFS(Dump!D:D,Dump!B:B,C225)</f>
        <v>0</v>
      </c>
      <c r="J225" s="5">
        <f>SUMIFS(Dump!AE:AE,Dump!B:B,C225)</f>
        <v>0</v>
      </c>
      <c r="K225" s="4">
        <f>SUMPRODUCT(
  (TEXT(Dump!$A$2:$A994,"mmm-yy")=TEXT($Y225,"mmm-yy"))*
  (Dump!$B$2:$B994=$C225)*
  Dump!$D$2:$D994)</f>
        <v>0</v>
      </c>
      <c r="L225" s="4">
        <f>SUMPRODUCT(
  (TEXT(Dump!$A$2:$A994,"mmm-yy")=TEXT($Y225,"mmm-yy"))*
  (Dump!$B$2:$B994=$C225)*
  Dump!$E$2:$E994
)</f>
        <v>0</v>
      </c>
      <c r="M225" s="4">
        <f>SUMPRODUCT(
  (TEXT(Dump!$A$2:$A994,"mmm-yy")=TEXT($Y225,"mmm-yy"))*
  (Dump!$B$2:$B994=$C225)*
  Dump!$P$2:$P994
)</f>
        <v>0</v>
      </c>
      <c r="N225" s="32"/>
      <c r="O225" s="33">
        <f>SUMIFS(Dump!$D:$D,Dump!$B:$B,$C225,Dump!$A:$A,$Y225)</f>
        <v>0</v>
      </c>
      <c r="P225" s="33">
        <f>SUMIFS(Dump!R:R,Dump!B:B,C225,Dump!A:A,Y225)</f>
        <v>0</v>
      </c>
      <c r="Q225" s="34">
        <f t="shared" si="21"/>
        <v>0</v>
      </c>
      <c r="S225" s="4">
        <f>SUMIFS(Dump!E:E,Dump!B:B,C225,Dump!A:A,Y225)</f>
        <v>0</v>
      </c>
      <c r="T225" s="35">
        <f t="shared" si="22"/>
        <v>0</v>
      </c>
      <c r="V225" s="4">
        <f>SUMIFS(Dump!P:P,Dump!B:B,C225,Dump!A:A,Y225)</f>
        <v>0</v>
      </c>
      <c r="W225" s="37">
        <f t="shared" si="23"/>
        <v>0</v>
      </c>
      <c r="X225" s="39"/>
      <c r="Y225" s="54"/>
    </row>
    <row r="226">
      <c r="C226" s="53"/>
      <c r="G226" s="2" t="str">
        <f t="shared" si="27"/>
        <v/>
      </c>
      <c r="I226" s="4">
        <f>SUMIFS(Dump!D:D,Dump!B:B,C226)</f>
        <v>0</v>
      </c>
      <c r="J226" s="5">
        <f>SUMIFS(Dump!AE:AE,Dump!B:B,C226)</f>
        <v>0</v>
      </c>
      <c r="K226" s="4">
        <f>SUMPRODUCT(
  (TEXT(Dump!$A$2:$A994,"mmm-yy")=TEXT($Y226,"mmm-yy"))*
  (Dump!$B$2:$B994=$C226)*
  Dump!$D$2:$D994)</f>
        <v>0</v>
      </c>
      <c r="L226" s="4">
        <f>SUMPRODUCT(
  (TEXT(Dump!$A$2:$A994,"mmm-yy")=TEXT($Y226,"mmm-yy"))*
  (Dump!$B$2:$B994=$C226)*
  Dump!$E$2:$E994
)</f>
        <v>0</v>
      </c>
      <c r="M226" s="4">
        <f>SUMPRODUCT(
  (TEXT(Dump!$A$2:$A994,"mmm-yy")=TEXT($Y226,"mmm-yy"))*
  (Dump!$B$2:$B994=$C226)*
  Dump!$P$2:$P994
)</f>
        <v>0</v>
      </c>
      <c r="N226" s="32"/>
      <c r="O226" s="33">
        <f>SUMIFS(Dump!$D:$D,Dump!$B:$B,$C226,Dump!$A:$A,$Y226)</f>
        <v>0</v>
      </c>
      <c r="P226" s="33">
        <f>SUMIFS(Dump!R:R,Dump!B:B,C226,Dump!A:A,Y226)</f>
        <v>0</v>
      </c>
      <c r="Q226" s="34">
        <f t="shared" si="21"/>
        <v>0</v>
      </c>
      <c r="S226" s="4">
        <f>SUMIFS(Dump!E:E,Dump!B:B,C226,Dump!A:A,Y226)</f>
        <v>0</v>
      </c>
      <c r="T226" s="35">
        <f t="shared" si="22"/>
        <v>0</v>
      </c>
      <c r="V226" s="4">
        <f>SUMIFS(Dump!P:P,Dump!B:B,C226,Dump!A:A,Y226)</f>
        <v>0</v>
      </c>
      <c r="W226" s="37">
        <f t="shared" si="23"/>
        <v>0</v>
      </c>
      <c r="X226" s="39"/>
      <c r="Y226" s="54"/>
    </row>
    <row r="227">
      <c r="C227" s="53"/>
      <c r="G227" s="2" t="str">
        <f t="shared" si="27"/>
        <v/>
      </c>
      <c r="I227" s="4">
        <f>SUMIFS(Dump!D:D,Dump!B:B,C227)</f>
        <v>0</v>
      </c>
      <c r="J227" s="5">
        <f>SUMIFS(Dump!AE:AE,Dump!B:B,C227)</f>
        <v>0</v>
      </c>
      <c r="K227" s="4">
        <f>SUMPRODUCT(
  (TEXT(Dump!$A$2:$A994,"mmm-yy")=TEXT($Y227,"mmm-yy"))*
  (Dump!$B$2:$B994=$C227)*
  Dump!$D$2:$D994)</f>
        <v>0</v>
      </c>
      <c r="L227" s="4">
        <f>SUMPRODUCT(
  (TEXT(Dump!$A$2:$A994,"mmm-yy")=TEXT($Y227,"mmm-yy"))*
  (Dump!$B$2:$B994=$C227)*
  Dump!$E$2:$E994
)</f>
        <v>0</v>
      </c>
      <c r="M227" s="4">
        <f>SUMPRODUCT(
  (TEXT(Dump!$A$2:$A994,"mmm-yy")=TEXT($Y227,"mmm-yy"))*
  (Dump!$B$2:$B994=$C227)*
  Dump!$P$2:$P994
)</f>
        <v>0</v>
      </c>
      <c r="N227" s="32"/>
      <c r="O227" s="33">
        <f>SUMIFS(Dump!$D:$D,Dump!$B:$B,$C227,Dump!$A:$A,$Y227)</f>
        <v>0</v>
      </c>
      <c r="P227" s="33">
        <f>SUMIFS(Dump!R:R,Dump!B:B,C227,Dump!A:A,Y227)</f>
        <v>0</v>
      </c>
      <c r="Q227" s="34">
        <f t="shared" si="21"/>
        <v>0</v>
      </c>
      <c r="S227" s="4">
        <f>SUMIFS(Dump!E:E,Dump!B:B,C227,Dump!A:A,Y227)</f>
        <v>0</v>
      </c>
      <c r="T227" s="35">
        <f t="shared" si="22"/>
        <v>0</v>
      </c>
      <c r="V227" s="4">
        <f>SUMIFS(Dump!P:P,Dump!B:B,C227,Dump!A:A,Y227)</f>
        <v>0</v>
      </c>
      <c r="W227" s="37">
        <f t="shared" si="23"/>
        <v>0</v>
      </c>
      <c r="X227" s="39"/>
      <c r="Y227" s="54"/>
    </row>
    <row r="228">
      <c r="C228" s="53"/>
      <c r="G228" s="2" t="str">
        <f t="shared" si="27"/>
        <v/>
      </c>
      <c r="I228" s="4">
        <f>SUMIFS(Dump!D:D,Dump!B:B,C228)</f>
        <v>0</v>
      </c>
      <c r="J228" s="5">
        <f>SUMIFS(Dump!AE:AE,Dump!B:B,C228)</f>
        <v>0</v>
      </c>
      <c r="K228" s="4">
        <f>SUMPRODUCT(
  (TEXT(Dump!$A$2:$A994,"mmm-yy")=TEXT($Y228,"mmm-yy"))*
  (Dump!$B$2:$B994=$C228)*
  Dump!$D$2:$D994)</f>
        <v>0</v>
      </c>
      <c r="L228" s="4">
        <f>SUMPRODUCT(
  (TEXT(Dump!$A$2:$A994,"mmm-yy")=TEXT($Y228,"mmm-yy"))*
  (Dump!$B$2:$B994=$C228)*
  Dump!$E$2:$E994
)</f>
        <v>0</v>
      </c>
      <c r="M228" s="4">
        <f>SUMPRODUCT(
  (TEXT(Dump!$A$2:$A994,"mmm-yy")=TEXT($Y228,"mmm-yy"))*
  (Dump!$B$2:$B994=$C228)*
  Dump!$P$2:$P994
)</f>
        <v>0</v>
      </c>
      <c r="N228" s="32"/>
      <c r="O228" s="33">
        <f>SUMIFS(Dump!$D:$D,Dump!$B:$B,$C228,Dump!$A:$A,$Y228)</f>
        <v>0</v>
      </c>
      <c r="P228" s="33">
        <f>SUMIFS(Dump!R:R,Dump!B:B,C228,Dump!A:A,Y228)</f>
        <v>0</v>
      </c>
      <c r="Q228" s="34">
        <f t="shared" si="21"/>
        <v>0</v>
      </c>
      <c r="S228" s="4">
        <f>SUMIFS(Dump!E:E,Dump!B:B,C228,Dump!A:A,Y228)</f>
        <v>0</v>
      </c>
      <c r="T228" s="35">
        <f t="shared" si="22"/>
        <v>0</v>
      </c>
      <c r="V228" s="4">
        <f>SUMIFS(Dump!P:P,Dump!B:B,C228,Dump!A:A,Y228)</f>
        <v>0</v>
      </c>
      <c r="W228" s="37">
        <f t="shared" si="23"/>
        <v>0</v>
      </c>
      <c r="X228" s="39"/>
      <c r="Y228" s="54"/>
    </row>
    <row r="229">
      <c r="C229" s="53"/>
      <c r="G229" s="2" t="str">
        <f t="shared" si="27"/>
        <v/>
      </c>
      <c r="I229" s="4">
        <f>SUMIFS(Dump!D:D,Dump!B:B,C229)</f>
        <v>0</v>
      </c>
      <c r="J229" s="5">
        <f>SUMIFS(Dump!AE:AE,Dump!B:B,C229)</f>
        <v>0</v>
      </c>
      <c r="K229" s="4">
        <f>SUMPRODUCT(
  (TEXT(Dump!$A$2:$A994,"mmm-yy")=TEXT($Y229,"mmm-yy"))*
  (Dump!$B$2:$B994=$C229)*
  Dump!$D$2:$D994)</f>
        <v>0</v>
      </c>
      <c r="L229" s="4">
        <f>SUMPRODUCT(
  (TEXT(Dump!$A$2:$A994,"mmm-yy")=TEXT($Y229,"mmm-yy"))*
  (Dump!$B$2:$B994=$C229)*
  Dump!$E$2:$E994
)</f>
        <v>0</v>
      </c>
      <c r="M229" s="4">
        <f>SUMPRODUCT(
  (TEXT(Dump!$A$2:$A994,"mmm-yy")=TEXT($Y229,"mmm-yy"))*
  (Dump!$B$2:$B994=$C229)*
  Dump!$P$2:$P994
)</f>
        <v>0</v>
      </c>
      <c r="N229" s="32"/>
      <c r="O229" s="33">
        <f>SUMIFS(Dump!$D:$D,Dump!$B:$B,$C229,Dump!$A:$A,$Y229)</f>
        <v>0</v>
      </c>
      <c r="P229" s="33">
        <f>SUMIFS(Dump!R:R,Dump!B:B,C229,Dump!A:A,Y229)</f>
        <v>0</v>
      </c>
      <c r="Q229" s="34">
        <f t="shared" si="21"/>
        <v>0</v>
      </c>
      <c r="S229" s="4">
        <f>SUMIFS(Dump!E:E,Dump!B:B,C229,Dump!A:A,Y229)</f>
        <v>0</v>
      </c>
      <c r="T229" s="35">
        <f t="shared" si="22"/>
        <v>0</v>
      </c>
      <c r="V229" s="4">
        <f>SUMIFS(Dump!P:P,Dump!B:B,C229,Dump!A:A,Y229)</f>
        <v>0</v>
      </c>
      <c r="W229" s="37">
        <f t="shared" si="23"/>
        <v>0</v>
      </c>
      <c r="X229" s="39"/>
      <c r="Y229" s="54"/>
    </row>
    <row r="230">
      <c r="C230" s="53"/>
      <c r="G230" s="2" t="str">
        <f t="shared" si="27"/>
        <v/>
      </c>
      <c r="I230" s="4">
        <f>SUMIFS(Dump!D:D,Dump!B:B,C230)</f>
        <v>0</v>
      </c>
      <c r="J230" s="5">
        <f>SUMIFS(Dump!AE:AE,Dump!B:B,C230)</f>
        <v>0</v>
      </c>
      <c r="K230" s="4">
        <f>SUMPRODUCT(
  (TEXT(Dump!$A$2:$A994,"mmm-yy")=TEXT($Y230,"mmm-yy"))*
  (Dump!$B$2:$B994=$C230)*
  Dump!$D$2:$D994)</f>
        <v>0</v>
      </c>
      <c r="L230" s="4">
        <f>SUMPRODUCT(
  (TEXT(Dump!$A$2:$A994,"mmm-yy")=TEXT($Y230,"mmm-yy"))*
  (Dump!$B$2:$B994=$C230)*
  Dump!$E$2:$E994
)</f>
        <v>0</v>
      </c>
      <c r="M230" s="4">
        <f>SUMPRODUCT(
  (TEXT(Dump!$A$2:$A994,"mmm-yy")=TEXT($Y230,"mmm-yy"))*
  (Dump!$B$2:$B994=$C230)*
  Dump!$P$2:$P994
)</f>
        <v>0</v>
      </c>
      <c r="N230" s="32"/>
      <c r="O230" s="33">
        <f>SUMIFS(Dump!$D:$D,Dump!$B:$B,$C230,Dump!$A:$A,$Y230)</f>
        <v>0</v>
      </c>
      <c r="P230" s="33">
        <f>SUMIFS(Dump!R:R,Dump!B:B,C230,Dump!A:A,Y230)</f>
        <v>0</v>
      </c>
      <c r="Q230" s="34">
        <f t="shared" si="21"/>
        <v>0</v>
      </c>
      <c r="S230" s="4">
        <f>SUMIFS(Dump!E:E,Dump!B:B,C230,Dump!A:A,Y230)</f>
        <v>0</v>
      </c>
      <c r="T230" s="35">
        <f t="shared" si="22"/>
        <v>0</v>
      </c>
      <c r="V230" s="4">
        <f>SUMIFS(Dump!P:P,Dump!B:B,C230,Dump!A:A,Y230)</f>
        <v>0</v>
      </c>
      <c r="W230" s="37">
        <f t="shared" si="23"/>
        <v>0</v>
      </c>
      <c r="X230" s="39"/>
      <c r="Y230" s="54"/>
    </row>
    <row r="231">
      <c r="C231" s="53"/>
      <c r="G231" s="2" t="str">
        <f t="shared" si="27"/>
        <v/>
      </c>
      <c r="I231" s="4">
        <f>SUMIFS(Dump!D:D,Dump!B:B,C231)</f>
        <v>0</v>
      </c>
      <c r="J231" s="5">
        <f>SUMIFS(Dump!AE:AE,Dump!B:B,C231)</f>
        <v>0</v>
      </c>
      <c r="K231" s="4">
        <f>SUMPRODUCT(
  (TEXT(Dump!$A$2:$A994,"mmm-yy")=TEXT($Y231,"mmm-yy"))*
  (Dump!$B$2:$B994=$C231)*
  Dump!$D$2:$D994)</f>
        <v>0</v>
      </c>
      <c r="L231" s="4">
        <f>SUMPRODUCT(
  (TEXT(Dump!$A$2:$A994,"mmm-yy")=TEXT($Y231,"mmm-yy"))*
  (Dump!$B$2:$B994=$C231)*
  Dump!$E$2:$E994
)</f>
        <v>0</v>
      </c>
      <c r="M231" s="4">
        <f>SUMPRODUCT(
  (TEXT(Dump!$A$2:$A994,"mmm-yy")=TEXT($Y231,"mmm-yy"))*
  (Dump!$B$2:$B994=$C231)*
  Dump!$P$2:$P994
)</f>
        <v>0</v>
      </c>
      <c r="N231" s="32"/>
      <c r="O231" s="33">
        <f>SUMIFS(Dump!$D:$D,Dump!$B:$B,$C231,Dump!$A:$A,$Y231)</f>
        <v>0</v>
      </c>
      <c r="P231" s="33">
        <f>SUMIFS(Dump!R:R,Dump!B:B,C231,Dump!A:A,Y231)</f>
        <v>0</v>
      </c>
      <c r="Q231" s="34">
        <f t="shared" si="21"/>
        <v>0</v>
      </c>
      <c r="S231" s="4">
        <f>SUMIFS(Dump!E:E,Dump!B:B,C231,Dump!A:A,Y231)</f>
        <v>0</v>
      </c>
      <c r="T231" s="35">
        <f t="shared" si="22"/>
        <v>0</v>
      </c>
      <c r="V231" s="4">
        <f>SUMIFS(Dump!P:P,Dump!B:B,C231,Dump!A:A,Y231)</f>
        <v>0</v>
      </c>
      <c r="W231" s="37">
        <f t="shared" si="23"/>
        <v>0</v>
      </c>
      <c r="X231" s="39"/>
      <c r="Y231" s="54"/>
    </row>
    <row r="232">
      <c r="C232" s="53"/>
      <c r="G232" s="2" t="str">
        <f t="shared" si="27"/>
        <v/>
      </c>
      <c r="I232" s="4">
        <f>SUMIFS(Dump!D:D,Dump!B:B,C232)</f>
        <v>0</v>
      </c>
      <c r="J232" s="5">
        <f>SUMIFS(Dump!AE:AE,Dump!B:B,C232)</f>
        <v>0</v>
      </c>
      <c r="K232" s="4">
        <f>SUMPRODUCT(
  (TEXT(Dump!$A$2:$A994,"mmm-yy")=TEXT($Y232,"mmm-yy"))*
  (Dump!$B$2:$B994=$C232)*
  Dump!$D$2:$D994)</f>
        <v>0</v>
      </c>
      <c r="L232" s="4">
        <f>SUMPRODUCT(
  (TEXT(Dump!$A$2:$A994,"mmm-yy")=TEXT($Y232,"mmm-yy"))*
  (Dump!$B$2:$B994=$C232)*
  Dump!$E$2:$E994
)</f>
        <v>0</v>
      </c>
      <c r="M232" s="4">
        <f>SUMPRODUCT(
  (TEXT(Dump!$A$2:$A994,"mmm-yy")=TEXT($Y232,"mmm-yy"))*
  (Dump!$B$2:$B994=$C232)*
  Dump!$P$2:$P994
)</f>
        <v>0</v>
      </c>
      <c r="N232" s="32"/>
      <c r="O232" s="33">
        <f>SUMIFS(Dump!$D:$D,Dump!$B:$B,$C232,Dump!$A:$A,$Y232)</f>
        <v>0</v>
      </c>
      <c r="P232" s="33">
        <f>SUMIFS(Dump!R:R,Dump!B:B,C232,Dump!A:A,Y232)</f>
        <v>0</v>
      </c>
      <c r="Q232" s="34">
        <f t="shared" si="21"/>
        <v>0</v>
      </c>
      <c r="S232" s="4">
        <f>SUMIFS(Dump!E:E,Dump!B:B,C232,Dump!A:A,Y232)</f>
        <v>0</v>
      </c>
      <c r="T232" s="35">
        <f t="shared" si="22"/>
        <v>0</v>
      </c>
      <c r="V232" s="4">
        <f>SUMIFS(Dump!P:P,Dump!B:B,C232,Dump!A:A,Y232)</f>
        <v>0</v>
      </c>
      <c r="W232" s="37">
        <f t="shared" si="23"/>
        <v>0</v>
      </c>
      <c r="X232" s="39"/>
      <c r="Y232" s="54"/>
    </row>
    <row r="233">
      <c r="C233" s="53"/>
      <c r="G233" s="2" t="str">
        <f t="shared" si="27"/>
        <v/>
      </c>
      <c r="I233" s="4">
        <f>SUMIFS(Dump!D:D,Dump!B:B,C233)</f>
        <v>0</v>
      </c>
      <c r="J233" s="5">
        <f>SUMIFS(Dump!AE:AE,Dump!B:B,C233)</f>
        <v>0</v>
      </c>
      <c r="K233" s="4">
        <f>SUMPRODUCT(
  (TEXT(Dump!$A$2:$A994,"mmm-yy")=TEXT($Y233,"mmm-yy"))*
  (Dump!$B$2:$B994=$C233)*
  Dump!$D$2:$D994)</f>
        <v>0</v>
      </c>
      <c r="L233" s="4">
        <f>SUMPRODUCT(
  (TEXT(Dump!$A$2:$A994,"mmm-yy")=TEXT($Y233,"mmm-yy"))*
  (Dump!$B$2:$B994=$C233)*
  Dump!$E$2:$E994
)</f>
        <v>0</v>
      </c>
      <c r="M233" s="4">
        <f>SUMPRODUCT(
  (TEXT(Dump!$A$2:$A994,"mmm-yy")=TEXT($Y233,"mmm-yy"))*
  (Dump!$B$2:$B994=$C233)*
  Dump!$P$2:$P994
)</f>
        <v>0</v>
      </c>
      <c r="N233" s="32"/>
      <c r="O233" s="33">
        <f>SUMIFS(Dump!$D:$D,Dump!$B:$B,$C233,Dump!$A:$A,$Y233)</f>
        <v>0</v>
      </c>
      <c r="P233" s="33">
        <f>SUMIFS(Dump!R:R,Dump!B:B,C233,Dump!A:A,Y233)</f>
        <v>0</v>
      </c>
      <c r="Q233" s="34">
        <f t="shared" si="21"/>
        <v>0</v>
      </c>
      <c r="S233" s="4">
        <f>SUMIFS(Dump!E:E,Dump!B:B,C233,Dump!A:A,Y233)</f>
        <v>0</v>
      </c>
      <c r="T233" s="35">
        <f t="shared" si="22"/>
        <v>0</v>
      </c>
      <c r="V233" s="4">
        <f>SUMIFS(Dump!P:P,Dump!B:B,C233,Dump!A:A,Y233)</f>
        <v>0</v>
      </c>
      <c r="W233" s="37">
        <f t="shared" si="23"/>
        <v>0</v>
      </c>
      <c r="X233" s="39"/>
      <c r="Y233" s="54"/>
    </row>
    <row r="234">
      <c r="C234" s="53"/>
      <c r="G234" s="2" t="str">
        <f t="shared" si="27"/>
        <v/>
      </c>
      <c r="I234" s="4">
        <f>SUMIFS(Dump!D:D,Dump!B:B,C234)</f>
        <v>0</v>
      </c>
      <c r="J234" s="5">
        <f>SUMIFS(Dump!AE:AE,Dump!B:B,C234)</f>
        <v>0</v>
      </c>
      <c r="K234" s="4">
        <f>SUMPRODUCT(
  (TEXT(Dump!$A$2:$A994,"mmm-yy")=TEXT($Y234,"mmm-yy"))*
  (Dump!$B$2:$B994=$C234)*
  Dump!$D$2:$D994)</f>
        <v>0</v>
      </c>
      <c r="L234" s="4">
        <f>SUMPRODUCT(
  (TEXT(Dump!$A$2:$A994,"mmm-yy")=TEXT($Y234,"mmm-yy"))*
  (Dump!$B$2:$B994=$C234)*
  Dump!$E$2:$E994
)</f>
        <v>0</v>
      </c>
      <c r="M234" s="4">
        <f>SUMPRODUCT(
  (TEXT(Dump!$A$2:$A994,"mmm-yy")=TEXT($Y234,"mmm-yy"))*
  (Dump!$B$2:$B994=$C234)*
  Dump!$P$2:$P994
)</f>
        <v>0</v>
      </c>
      <c r="N234" s="32"/>
      <c r="O234" s="33">
        <f>SUMIFS(Dump!$D:$D,Dump!$B:$B,$C234,Dump!$A:$A,$Y234)</f>
        <v>0</v>
      </c>
      <c r="P234" s="33">
        <f>SUMIFS(Dump!R:R,Dump!B:B,C234,Dump!A:A,Y234)</f>
        <v>0</v>
      </c>
      <c r="Q234" s="34">
        <f t="shared" si="21"/>
        <v>0</v>
      </c>
      <c r="S234" s="4">
        <f>SUMIFS(Dump!E:E,Dump!B:B,C234,Dump!A:A,Y234)</f>
        <v>0</v>
      </c>
      <c r="T234" s="35">
        <f t="shared" si="22"/>
        <v>0</v>
      </c>
      <c r="V234" s="4">
        <f>SUMIFS(Dump!P:P,Dump!B:B,C234,Dump!A:A,Y234)</f>
        <v>0</v>
      </c>
      <c r="W234" s="37">
        <f t="shared" si="23"/>
        <v>0</v>
      </c>
      <c r="X234" s="39"/>
      <c r="Y234" s="54"/>
    </row>
    <row r="235">
      <c r="C235" s="53"/>
      <c r="G235" s="2" t="str">
        <f t="shared" si="27"/>
        <v/>
      </c>
      <c r="I235" s="4">
        <f>SUMIFS(Dump!D:D,Dump!B:B,C235)</f>
        <v>0</v>
      </c>
      <c r="J235" s="5">
        <f>SUMIFS(Dump!AE:AE,Dump!B:B,C235)</f>
        <v>0</v>
      </c>
      <c r="K235" s="4">
        <f>SUMPRODUCT(
  (TEXT(Dump!$A$2:$A994,"mmm-yy")=TEXT($Y235,"mmm-yy"))*
  (Dump!$B$2:$B994=$C235)*
  Dump!$D$2:$D994)</f>
        <v>0</v>
      </c>
      <c r="L235" s="4">
        <f>SUMPRODUCT(
  (TEXT(Dump!$A$2:$A994,"mmm-yy")=TEXT($Y235,"mmm-yy"))*
  (Dump!$B$2:$B994=$C235)*
  Dump!$E$2:$E994
)</f>
        <v>0</v>
      </c>
      <c r="M235" s="4">
        <f>SUMPRODUCT(
  (TEXT(Dump!$A$2:$A994,"mmm-yy")=TEXT($Y235,"mmm-yy"))*
  (Dump!$B$2:$B994=$C235)*
  Dump!$P$2:$P994
)</f>
        <v>0</v>
      </c>
      <c r="N235" s="32"/>
      <c r="O235" s="33">
        <f>SUMIFS(Dump!$D:$D,Dump!$B:$B,$C235,Dump!$A:$A,$Y235)</f>
        <v>0</v>
      </c>
      <c r="P235" s="33">
        <f>SUMIFS(Dump!R:R,Dump!B:B,C235,Dump!A:A,Y235)</f>
        <v>0</v>
      </c>
      <c r="Q235" s="34">
        <f t="shared" si="21"/>
        <v>0</v>
      </c>
      <c r="S235" s="4">
        <f>SUMIFS(Dump!E:E,Dump!B:B,C235,Dump!A:A,Y235)</f>
        <v>0</v>
      </c>
      <c r="T235" s="35">
        <f t="shared" si="22"/>
        <v>0</v>
      </c>
      <c r="V235" s="4">
        <f>SUMIFS(Dump!P:P,Dump!B:B,C235,Dump!A:A,Y235)</f>
        <v>0</v>
      </c>
      <c r="W235" s="37">
        <f t="shared" si="23"/>
        <v>0</v>
      </c>
      <c r="X235" s="39"/>
      <c r="Y235" s="54"/>
    </row>
    <row r="236">
      <c r="C236" s="53"/>
      <c r="G236" s="2" t="str">
        <f t="shared" si="27"/>
        <v/>
      </c>
      <c r="I236" s="4">
        <f>SUMIFS(Dump!D:D,Dump!B:B,C236)</f>
        <v>0</v>
      </c>
      <c r="J236" s="5">
        <f>SUMIFS(Dump!AE:AE,Dump!B:B,C236)</f>
        <v>0</v>
      </c>
      <c r="K236" s="4">
        <f>SUMPRODUCT(
  (TEXT(Dump!$A$2:$A994,"mmm-yy")=TEXT($Y236,"mmm-yy"))*
  (Dump!$B$2:$B994=$C236)*
  Dump!$D$2:$D994)</f>
        <v>0</v>
      </c>
      <c r="L236" s="4">
        <f>SUMPRODUCT(
  (TEXT(Dump!$A$2:$A994,"mmm-yy")=TEXT($Y236,"mmm-yy"))*
  (Dump!$B$2:$B994=$C236)*
  Dump!$E$2:$E994
)</f>
        <v>0</v>
      </c>
      <c r="M236" s="4">
        <f>SUMPRODUCT(
  (TEXT(Dump!$A$2:$A994,"mmm-yy")=TEXT($Y236,"mmm-yy"))*
  (Dump!$B$2:$B994=$C236)*
  Dump!$P$2:$P994
)</f>
        <v>0</v>
      </c>
      <c r="N236" s="32"/>
      <c r="O236" s="33">
        <f>SUMIFS(Dump!$D:$D,Dump!$B:$B,$C236,Dump!$A:$A,$Y236)</f>
        <v>0</v>
      </c>
      <c r="P236" s="33">
        <f>SUMIFS(Dump!R:R,Dump!B:B,C236,Dump!A:A,Y236)</f>
        <v>0</v>
      </c>
      <c r="Q236" s="34">
        <f t="shared" si="21"/>
        <v>0</v>
      </c>
      <c r="S236" s="4">
        <f>SUMIFS(Dump!E:E,Dump!B:B,C236,Dump!A:A,Y236)</f>
        <v>0</v>
      </c>
      <c r="T236" s="35">
        <f t="shared" si="22"/>
        <v>0</v>
      </c>
      <c r="V236" s="4">
        <f>SUMIFS(Dump!P:P,Dump!B:B,C236,Dump!A:A,Y236)</f>
        <v>0</v>
      </c>
      <c r="W236" s="37">
        <f t="shared" si="23"/>
        <v>0</v>
      </c>
      <c r="X236" s="39"/>
      <c r="Y236" s="54"/>
    </row>
    <row r="237">
      <c r="C237" s="53"/>
      <c r="G237" s="2" t="str">
        <f t="shared" si="27"/>
        <v/>
      </c>
      <c r="I237" s="4">
        <f>SUMIFS(Dump!D:D,Dump!B:B,C237)</f>
        <v>0</v>
      </c>
      <c r="J237" s="5">
        <f>SUMIFS(Dump!AE:AE,Dump!B:B,C237)</f>
        <v>0</v>
      </c>
      <c r="K237" s="4">
        <f>SUMPRODUCT(
  (TEXT(Dump!$A$2:$A994,"mmm-yy")=TEXT($Y237,"mmm-yy"))*
  (Dump!$B$2:$B994=$C237)*
  Dump!$D$2:$D994)</f>
        <v>0</v>
      </c>
      <c r="L237" s="4">
        <f>SUMPRODUCT(
  (TEXT(Dump!$A$2:$A994,"mmm-yy")=TEXT($Y237,"mmm-yy"))*
  (Dump!$B$2:$B994=$C237)*
  Dump!$E$2:$E994
)</f>
        <v>0</v>
      </c>
      <c r="M237" s="4">
        <f>SUMPRODUCT(
  (TEXT(Dump!$A$2:$A994,"mmm-yy")=TEXT($Y237,"mmm-yy"))*
  (Dump!$B$2:$B994=$C237)*
  Dump!$P$2:$P994
)</f>
        <v>0</v>
      </c>
      <c r="N237" s="32"/>
      <c r="O237" s="33">
        <f>SUMIFS(Dump!$D:$D,Dump!$B:$B,$C237,Dump!$A:$A,$Y237)</f>
        <v>0</v>
      </c>
      <c r="P237" s="33">
        <f>SUMIFS(Dump!R:R,Dump!B:B,C237,Dump!A:A,Y237)</f>
        <v>0</v>
      </c>
      <c r="Q237" s="34">
        <f t="shared" si="21"/>
        <v>0</v>
      </c>
      <c r="S237" s="4">
        <f>SUMIFS(Dump!E:E,Dump!B:B,C237,Dump!A:A,Y237)</f>
        <v>0</v>
      </c>
      <c r="T237" s="35">
        <f t="shared" si="22"/>
        <v>0</v>
      </c>
      <c r="V237" s="4">
        <f>SUMIFS(Dump!P:P,Dump!B:B,C237,Dump!A:A,Y237)</f>
        <v>0</v>
      </c>
      <c r="W237" s="37">
        <f t="shared" si="23"/>
        <v>0</v>
      </c>
      <c r="X237" s="39"/>
      <c r="Y237" s="54"/>
    </row>
    <row r="238">
      <c r="C238" s="53"/>
      <c r="G238" s="2" t="str">
        <f t="shared" si="27"/>
        <v/>
      </c>
      <c r="I238" s="4">
        <f>SUMIFS(Dump!D:D,Dump!B:B,C238)</f>
        <v>0</v>
      </c>
      <c r="J238" s="5">
        <f>SUMIFS(Dump!AE:AE,Dump!B:B,C238)</f>
        <v>0</v>
      </c>
      <c r="K238" s="4">
        <f>SUMPRODUCT(
  (TEXT(Dump!$A$2:$A994,"mmm-yy")=TEXT($Y238,"mmm-yy"))*
  (Dump!$B$2:$B994=$C238)*
  Dump!$D$2:$D994)</f>
        <v>0</v>
      </c>
      <c r="L238" s="4">
        <f>SUMPRODUCT(
  (TEXT(Dump!$A$2:$A994,"mmm-yy")=TEXT($Y238,"mmm-yy"))*
  (Dump!$B$2:$B994=$C238)*
  Dump!$E$2:$E994
)</f>
        <v>0</v>
      </c>
      <c r="M238" s="4">
        <f>SUMPRODUCT(
  (TEXT(Dump!$A$2:$A994,"mmm-yy")=TEXT($Y238,"mmm-yy"))*
  (Dump!$B$2:$B994=$C238)*
  Dump!$P$2:$P994
)</f>
        <v>0</v>
      </c>
      <c r="N238" s="32"/>
      <c r="O238" s="33">
        <f>SUMIFS(Dump!$D:$D,Dump!$B:$B,$C238,Dump!$A:$A,$Y238)</f>
        <v>0</v>
      </c>
      <c r="P238" s="33">
        <f>SUMIFS(Dump!R:R,Dump!B:B,C238,Dump!A:A,Y238)</f>
        <v>0</v>
      </c>
      <c r="Q238" s="34">
        <f t="shared" si="21"/>
        <v>0</v>
      </c>
      <c r="S238" s="4">
        <f>SUMIFS(Dump!E:E,Dump!B:B,C238,Dump!A:A,Y238)</f>
        <v>0</v>
      </c>
      <c r="T238" s="35">
        <f t="shared" si="22"/>
        <v>0</v>
      </c>
      <c r="V238" s="4">
        <f>SUMIFS(Dump!P:P,Dump!B:B,C238,Dump!A:A,Y238)</f>
        <v>0</v>
      </c>
      <c r="W238" s="37">
        <f t="shared" si="23"/>
        <v>0</v>
      </c>
      <c r="X238" s="39"/>
      <c r="Y238" s="54"/>
    </row>
    <row r="239">
      <c r="C239" s="53"/>
      <c r="G239" s="2" t="str">
        <f t="shared" si="27"/>
        <v/>
      </c>
      <c r="I239" s="4">
        <f>SUMIFS(Dump!D:D,Dump!B:B,C239)</f>
        <v>0</v>
      </c>
      <c r="J239" s="5">
        <f>SUMIFS(Dump!AE:AE,Dump!B:B,C239)</f>
        <v>0</v>
      </c>
      <c r="K239" s="4">
        <f>SUMPRODUCT(
  (TEXT(Dump!$A$2:$A994,"mmm-yy")=TEXT($Y239,"mmm-yy"))*
  (Dump!$B$2:$B994=$C239)*
  Dump!$D$2:$D994)</f>
        <v>0</v>
      </c>
      <c r="L239" s="4">
        <f>SUMPRODUCT(
  (TEXT(Dump!$A$2:$A994,"mmm-yy")=TEXT($Y239,"mmm-yy"))*
  (Dump!$B$2:$B994=$C239)*
  Dump!$E$2:$E994
)</f>
        <v>0</v>
      </c>
      <c r="M239" s="4">
        <f>SUMPRODUCT(
  (TEXT(Dump!$A$2:$A994,"mmm-yy")=TEXT($Y239,"mmm-yy"))*
  (Dump!$B$2:$B994=$C239)*
  Dump!$P$2:$P994
)</f>
        <v>0</v>
      </c>
      <c r="N239" s="32"/>
      <c r="O239" s="33">
        <f>SUMIFS(Dump!$D:$D,Dump!$B:$B,$C239,Dump!$A:$A,$Y239)</f>
        <v>0</v>
      </c>
      <c r="P239" s="33">
        <f>SUMIFS(Dump!R:R,Dump!B:B,C239,Dump!A:A,Y239)</f>
        <v>0</v>
      </c>
      <c r="Q239" s="34">
        <f t="shared" si="21"/>
        <v>0</v>
      </c>
      <c r="S239" s="4">
        <f>SUMIFS(Dump!E:E,Dump!B:B,C239,Dump!A:A,Y239)</f>
        <v>0</v>
      </c>
      <c r="T239" s="35">
        <f t="shared" si="22"/>
        <v>0</v>
      </c>
      <c r="V239" s="4">
        <f>SUMIFS(Dump!P:P,Dump!B:B,C239,Dump!A:A,Y239)</f>
        <v>0</v>
      </c>
      <c r="W239" s="37">
        <f t="shared" si="23"/>
        <v>0</v>
      </c>
      <c r="X239" s="39"/>
      <c r="Y239" s="54"/>
    </row>
    <row r="240">
      <c r="C240" s="53"/>
      <c r="G240" s="2" t="str">
        <f t="shared" si="27"/>
        <v/>
      </c>
      <c r="I240" s="4">
        <f>SUMIFS(Dump!D:D,Dump!B:B,C240)</f>
        <v>0</v>
      </c>
      <c r="J240" s="5">
        <f>SUMIFS(Dump!AE:AE,Dump!B:B,C240)</f>
        <v>0</v>
      </c>
      <c r="K240" s="4">
        <f>SUMPRODUCT(
  (TEXT(Dump!$A$2:$A994,"mmm-yy")=TEXT($Y240,"mmm-yy"))*
  (Dump!$B$2:$B994=$C240)*
  Dump!$D$2:$D994)</f>
        <v>0</v>
      </c>
      <c r="L240" s="4">
        <f>SUMPRODUCT(
  (TEXT(Dump!$A$2:$A994,"mmm-yy")=TEXT($Y240,"mmm-yy"))*
  (Dump!$B$2:$B994=$C240)*
  Dump!$E$2:$E994
)</f>
        <v>0</v>
      </c>
      <c r="M240" s="4">
        <f>SUMPRODUCT(
  (TEXT(Dump!$A$2:$A994,"mmm-yy")=TEXT($Y240,"mmm-yy"))*
  (Dump!$B$2:$B994=$C240)*
  Dump!$P$2:$P994
)</f>
        <v>0</v>
      </c>
      <c r="N240" s="32"/>
      <c r="O240" s="33">
        <f>SUMIFS(Dump!$D:$D,Dump!$B:$B,$C240,Dump!$A:$A,$Y240)</f>
        <v>0</v>
      </c>
      <c r="P240" s="33">
        <f>SUMIFS(Dump!R:R,Dump!B:B,C240,Dump!A:A,Y240)</f>
        <v>0</v>
      </c>
      <c r="Q240" s="34">
        <f t="shared" si="21"/>
        <v>0</v>
      </c>
      <c r="S240" s="4">
        <f>SUMIFS(Dump!E:E,Dump!B:B,C240,Dump!A:A,Y240)</f>
        <v>0</v>
      </c>
      <c r="T240" s="35">
        <f t="shared" si="22"/>
        <v>0</v>
      </c>
      <c r="V240" s="4">
        <f>SUMIFS(Dump!P:P,Dump!B:B,C240,Dump!A:A,Y240)</f>
        <v>0</v>
      </c>
      <c r="W240" s="37">
        <f t="shared" si="23"/>
        <v>0</v>
      </c>
      <c r="X240" s="39"/>
      <c r="Y240" s="54"/>
    </row>
    <row r="241">
      <c r="C241" s="53"/>
      <c r="G241" s="2" t="str">
        <f t="shared" si="27"/>
        <v/>
      </c>
      <c r="I241" s="4">
        <f>SUMIFS(Dump!D:D,Dump!B:B,C241)</f>
        <v>0</v>
      </c>
      <c r="J241" s="5">
        <f>SUMIFS(Dump!AE:AE,Dump!B:B,C241)</f>
        <v>0</v>
      </c>
      <c r="K241" s="4">
        <f>SUMPRODUCT(
  (TEXT(Dump!$A$2:$A994,"mmm-yy")=TEXT($Y241,"mmm-yy"))*
  (Dump!$B$2:$B994=$C241)*
  Dump!$D$2:$D994)</f>
        <v>0</v>
      </c>
      <c r="L241" s="4">
        <f>SUMPRODUCT(
  (TEXT(Dump!$A$2:$A994,"mmm-yy")=TEXT($Y241,"mmm-yy"))*
  (Dump!$B$2:$B994=$C241)*
  Dump!$E$2:$E994
)</f>
        <v>0</v>
      </c>
      <c r="M241" s="4">
        <f>SUMPRODUCT(
  (TEXT(Dump!$A$2:$A994,"mmm-yy")=TEXT($Y241,"mmm-yy"))*
  (Dump!$B$2:$B994=$C241)*
  Dump!$P$2:$P994
)</f>
        <v>0</v>
      </c>
      <c r="N241" s="32"/>
      <c r="O241" s="33">
        <f>SUMIFS(Dump!$D:$D,Dump!$B:$B,$C241,Dump!$A:$A,$Y241)</f>
        <v>0</v>
      </c>
      <c r="P241" s="33">
        <f>SUMIFS(Dump!R:R,Dump!B:B,C241,Dump!A:A,Y241)</f>
        <v>0</v>
      </c>
      <c r="Q241" s="34">
        <f t="shared" si="21"/>
        <v>0</v>
      </c>
      <c r="S241" s="4">
        <f>SUMIFS(Dump!E:E,Dump!B:B,C241,Dump!A:A,Y241)</f>
        <v>0</v>
      </c>
      <c r="T241" s="35">
        <f t="shared" si="22"/>
        <v>0</v>
      </c>
      <c r="V241" s="4">
        <f>SUMIFS(Dump!P:P,Dump!B:B,C241,Dump!A:A,Y241)</f>
        <v>0</v>
      </c>
      <c r="W241" s="37">
        <f t="shared" si="23"/>
        <v>0</v>
      </c>
      <c r="X241" s="39"/>
      <c r="Y241" s="54"/>
    </row>
    <row r="242">
      <c r="C242" s="53"/>
      <c r="G242" s="2" t="str">
        <f t="shared" si="27"/>
        <v/>
      </c>
      <c r="I242" s="4">
        <f>SUMIFS(Dump!D:D,Dump!B:B,C242)</f>
        <v>0</v>
      </c>
      <c r="J242" s="5">
        <f>SUMIFS(Dump!AE:AE,Dump!B:B,C242)</f>
        <v>0</v>
      </c>
      <c r="K242" s="4">
        <f>SUMPRODUCT(
  (TEXT(Dump!$A$2:$A994,"mmm-yy")=TEXT($Y242,"mmm-yy"))*
  (Dump!$B$2:$B994=$C242)*
  Dump!$D$2:$D994)</f>
        <v>0</v>
      </c>
      <c r="L242" s="4">
        <f>SUMPRODUCT(
  (TEXT(Dump!$A$2:$A994,"mmm-yy")=TEXT($Y242,"mmm-yy"))*
  (Dump!$B$2:$B994=$C242)*
  Dump!$E$2:$E994
)</f>
        <v>0</v>
      </c>
      <c r="M242" s="4">
        <f>SUMPRODUCT(
  (TEXT(Dump!$A$2:$A994,"mmm-yy")=TEXT($Y242,"mmm-yy"))*
  (Dump!$B$2:$B994=$C242)*
  Dump!$P$2:$P994
)</f>
        <v>0</v>
      </c>
      <c r="N242" s="32"/>
      <c r="O242" s="33">
        <f>SUMIFS(Dump!$D:$D,Dump!$B:$B,$C242,Dump!$A:$A,$Y242)</f>
        <v>0</v>
      </c>
      <c r="P242" s="33">
        <f>SUMIFS(Dump!R:R,Dump!B:B,C242,Dump!A:A,Y242)</f>
        <v>0</v>
      </c>
      <c r="Q242" s="34">
        <f t="shared" si="21"/>
        <v>0</v>
      </c>
      <c r="S242" s="4">
        <f>SUMIFS(Dump!E:E,Dump!B:B,C242,Dump!A:A,Y242)</f>
        <v>0</v>
      </c>
      <c r="T242" s="35">
        <f t="shared" si="22"/>
        <v>0</v>
      </c>
      <c r="V242" s="4">
        <f>SUMIFS(Dump!P:P,Dump!B:B,C242,Dump!A:A,Y242)</f>
        <v>0</v>
      </c>
      <c r="W242" s="37">
        <f t="shared" si="23"/>
        <v>0</v>
      </c>
      <c r="X242" s="39"/>
      <c r="Y242" s="54"/>
    </row>
    <row r="243">
      <c r="C243" s="53"/>
      <c r="G243" s="2" t="str">
        <f t="shared" si="27"/>
        <v/>
      </c>
      <c r="I243" s="4">
        <f>SUMIFS(Dump!D:D,Dump!B:B,C243)</f>
        <v>0</v>
      </c>
      <c r="J243" s="5">
        <f>SUMIFS(Dump!AE:AE,Dump!B:B,C243)</f>
        <v>0</v>
      </c>
      <c r="K243" s="4">
        <f>SUMPRODUCT(
  (TEXT(Dump!$A$2:$A994,"mmm-yy")=TEXT($Y243,"mmm-yy"))*
  (Dump!$B$2:$B994=$C243)*
  Dump!$D$2:$D994)</f>
        <v>0</v>
      </c>
      <c r="L243" s="4">
        <f>SUMPRODUCT(
  (TEXT(Dump!$A$2:$A994,"mmm-yy")=TEXT($Y243,"mmm-yy"))*
  (Dump!$B$2:$B994=$C243)*
  Dump!$E$2:$E994
)</f>
        <v>0</v>
      </c>
      <c r="M243" s="4">
        <f>SUMPRODUCT(
  (TEXT(Dump!$A$2:$A994,"mmm-yy")=TEXT($Y243,"mmm-yy"))*
  (Dump!$B$2:$B994=$C243)*
  Dump!$P$2:$P994
)</f>
        <v>0</v>
      </c>
      <c r="N243" s="32"/>
      <c r="O243" s="33">
        <f>SUMIFS(Dump!$D:$D,Dump!$B:$B,$C243,Dump!$A:$A,$Y243)</f>
        <v>0</v>
      </c>
      <c r="P243" s="33">
        <f>SUMIFS(Dump!R:R,Dump!B:B,C243,Dump!A:A,Y243)</f>
        <v>0</v>
      </c>
      <c r="Q243" s="34">
        <f t="shared" si="21"/>
        <v>0</v>
      </c>
      <c r="S243" s="4">
        <f>SUMIFS(Dump!E:E,Dump!B:B,C243,Dump!A:A,Y243)</f>
        <v>0</v>
      </c>
      <c r="T243" s="35">
        <f t="shared" si="22"/>
        <v>0</v>
      </c>
      <c r="V243" s="4">
        <f>SUMIFS(Dump!P:P,Dump!B:B,C243,Dump!A:A,Y243)</f>
        <v>0</v>
      </c>
      <c r="W243" s="37">
        <f t="shared" si="23"/>
        <v>0</v>
      </c>
      <c r="X243" s="39"/>
      <c r="Y243" s="54"/>
    </row>
    <row r="244">
      <c r="C244" s="53"/>
      <c r="G244" s="2" t="str">
        <f t="shared" si="27"/>
        <v/>
      </c>
      <c r="I244" s="4">
        <f>SUMIFS(Dump!D:D,Dump!B:B,C244)</f>
        <v>0</v>
      </c>
      <c r="J244" s="5">
        <f>SUMIFS(Dump!AE:AE,Dump!B:B,C244)</f>
        <v>0</v>
      </c>
      <c r="K244" s="4">
        <f>SUMPRODUCT(
  (TEXT(Dump!$A$2:$A994,"mmm-yy")=TEXT($Y244,"mmm-yy"))*
  (Dump!$B$2:$B994=$C244)*
  Dump!$D$2:$D994)</f>
        <v>0</v>
      </c>
      <c r="L244" s="4">
        <f>SUMPRODUCT(
  (TEXT(Dump!$A$2:$A994,"mmm-yy")=TEXT($Y244,"mmm-yy"))*
  (Dump!$B$2:$B994=$C244)*
  Dump!$E$2:$E994
)</f>
        <v>0</v>
      </c>
      <c r="M244" s="4">
        <f>SUMPRODUCT(
  (TEXT(Dump!$A$2:$A994,"mmm-yy")=TEXT($Y244,"mmm-yy"))*
  (Dump!$B$2:$B994=$C244)*
  Dump!$P$2:$P994
)</f>
        <v>0</v>
      </c>
      <c r="N244" s="32"/>
      <c r="O244" s="33">
        <f>SUMIFS(Dump!$D:$D,Dump!$B:$B,$C244,Dump!$A:$A,$Y244)</f>
        <v>0</v>
      </c>
      <c r="P244" s="33">
        <f>SUMIFS(Dump!R:R,Dump!B:B,C244,Dump!A:A,Y244)</f>
        <v>0</v>
      </c>
      <c r="Q244" s="34">
        <f t="shared" si="21"/>
        <v>0</v>
      </c>
      <c r="S244" s="4">
        <f>SUMIFS(Dump!E:E,Dump!B:B,C244,Dump!A:A,Y244)</f>
        <v>0</v>
      </c>
      <c r="T244" s="35">
        <f t="shared" si="22"/>
        <v>0</v>
      </c>
      <c r="V244" s="4">
        <f>SUMIFS(Dump!P:P,Dump!B:B,C244,Dump!A:A,Y244)</f>
        <v>0</v>
      </c>
      <c r="W244" s="37">
        <f t="shared" si="23"/>
        <v>0</v>
      </c>
      <c r="X244" s="39"/>
      <c r="Y244" s="54"/>
    </row>
    <row r="245">
      <c r="C245" s="53"/>
      <c r="G245" s="2" t="str">
        <f t="shared" si="27"/>
        <v/>
      </c>
      <c r="I245" s="4">
        <f>SUMIFS(Dump!D:D,Dump!B:B,C245)</f>
        <v>0</v>
      </c>
      <c r="J245" s="5">
        <f>SUMIFS(Dump!AE:AE,Dump!B:B,C245)</f>
        <v>0</v>
      </c>
      <c r="K245" s="4">
        <f>SUMPRODUCT(
  (TEXT(Dump!$A$2:$A994,"mmm-yy")=TEXT($Y245,"mmm-yy"))*
  (Dump!$B$2:$B994=$C245)*
  Dump!$D$2:$D994)</f>
        <v>0</v>
      </c>
      <c r="L245" s="4">
        <f>SUMPRODUCT(
  (TEXT(Dump!$A$2:$A994,"mmm-yy")=TEXT($Y245,"mmm-yy"))*
  (Dump!$B$2:$B994=$C245)*
  Dump!$E$2:$E994
)</f>
        <v>0</v>
      </c>
      <c r="M245" s="4">
        <f>SUMPRODUCT(
  (TEXT(Dump!$A$2:$A994,"mmm-yy")=TEXT($Y245,"mmm-yy"))*
  (Dump!$B$2:$B994=$C245)*
  Dump!$P$2:$P994
)</f>
        <v>0</v>
      </c>
      <c r="N245" s="32"/>
      <c r="O245" s="33">
        <f>SUMIFS(Dump!$D:$D,Dump!$B:$B,$C245,Dump!$A:$A,$Y245)</f>
        <v>0</v>
      </c>
      <c r="P245" s="33">
        <f>SUMIFS(Dump!R:R,Dump!B:B,C245,Dump!A:A,Y245)</f>
        <v>0</v>
      </c>
      <c r="Q245" s="34">
        <f t="shared" si="21"/>
        <v>0</v>
      </c>
      <c r="S245" s="4">
        <f>SUMIFS(Dump!E:E,Dump!B:B,C245,Dump!A:A,Y245)</f>
        <v>0</v>
      </c>
      <c r="T245" s="35">
        <f t="shared" si="22"/>
        <v>0</v>
      </c>
      <c r="V245" s="4">
        <f>SUMIFS(Dump!P:P,Dump!B:B,C245,Dump!A:A,Y245)</f>
        <v>0</v>
      </c>
      <c r="W245" s="37">
        <f t="shared" si="23"/>
        <v>0</v>
      </c>
      <c r="X245" s="39"/>
      <c r="Y245" s="54"/>
    </row>
    <row r="246">
      <c r="C246" s="53"/>
      <c r="G246" s="2" t="str">
        <f t="shared" si="27"/>
        <v/>
      </c>
      <c r="I246" s="4">
        <f>SUMIFS(Dump!D:D,Dump!B:B,C246)</f>
        <v>0</v>
      </c>
      <c r="J246" s="5">
        <f>SUMIFS(Dump!AE:AE,Dump!B:B,C246)</f>
        <v>0</v>
      </c>
      <c r="K246" s="4">
        <f>SUMPRODUCT(
  (TEXT(Dump!$A$2:$A994,"mmm-yy")=TEXT($Y246,"mmm-yy"))*
  (Dump!$B$2:$B994=$C246)*
  Dump!$D$2:$D994)</f>
        <v>0</v>
      </c>
      <c r="L246" s="4">
        <f>SUMPRODUCT(
  (TEXT(Dump!$A$2:$A994,"mmm-yy")=TEXT($Y246,"mmm-yy"))*
  (Dump!$B$2:$B994=$C246)*
  Dump!$E$2:$E994
)</f>
        <v>0</v>
      </c>
      <c r="M246" s="4">
        <f>SUMPRODUCT(
  (TEXT(Dump!$A$2:$A994,"mmm-yy")=TEXT($Y246,"mmm-yy"))*
  (Dump!$B$2:$B994=$C246)*
  Dump!$P$2:$P994
)</f>
        <v>0</v>
      </c>
      <c r="N246" s="32"/>
      <c r="O246" s="33">
        <f>SUMIFS(Dump!$D:$D,Dump!$B:$B,$C246,Dump!$A:$A,$Y246)</f>
        <v>0</v>
      </c>
      <c r="P246" s="33">
        <f>SUMIFS(Dump!R:R,Dump!B:B,C246,Dump!A:A,Y246)</f>
        <v>0</v>
      </c>
      <c r="Q246" s="34">
        <f t="shared" si="21"/>
        <v>0</v>
      </c>
      <c r="S246" s="4">
        <f>SUMIFS(Dump!E:E,Dump!B:B,C246,Dump!A:A,Y246)</f>
        <v>0</v>
      </c>
      <c r="T246" s="35">
        <f t="shared" si="22"/>
        <v>0</v>
      </c>
      <c r="V246" s="4">
        <f>SUMIFS(Dump!P:P,Dump!B:B,C246,Dump!A:A,Y246)</f>
        <v>0</v>
      </c>
      <c r="W246" s="37">
        <f t="shared" si="23"/>
        <v>0</v>
      </c>
      <c r="X246" s="39"/>
      <c r="Y246" s="54"/>
    </row>
    <row r="247">
      <c r="C247" s="53"/>
      <c r="G247" s="2" t="str">
        <f t="shared" si="27"/>
        <v/>
      </c>
      <c r="I247" s="4">
        <f>SUMIFS(Dump!D:D,Dump!B:B,C247)</f>
        <v>0</v>
      </c>
      <c r="J247" s="5">
        <f>SUMIFS(Dump!AE:AE,Dump!B:B,C247)</f>
        <v>0</v>
      </c>
      <c r="K247" s="4">
        <f>SUMPRODUCT(
  (TEXT(Dump!$A$2:$A994,"mmm-yy")=TEXT($Y247,"mmm-yy"))*
  (Dump!$B$2:$B994=$C247)*
  Dump!$D$2:$D994)</f>
        <v>0</v>
      </c>
      <c r="L247" s="4">
        <f>SUMPRODUCT(
  (TEXT(Dump!$A$2:$A994,"mmm-yy")=TEXT($Y247,"mmm-yy"))*
  (Dump!$B$2:$B994=$C247)*
  Dump!$E$2:$E994
)</f>
        <v>0</v>
      </c>
      <c r="M247" s="4">
        <f>SUMPRODUCT(
  (TEXT(Dump!$A$2:$A994,"mmm-yy")=TEXT($Y247,"mmm-yy"))*
  (Dump!$B$2:$B994=$C247)*
  Dump!$P$2:$P994
)</f>
        <v>0</v>
      </c>
      <c r="N247" s="32"/>
      <c r="O247" s="33">
        <f>SUMIFS(Dump!$D:$D,Dump!$B:$B,$C247,Dump!$A:$A,$Y247)</f>
        <v>0</v>
      </c>
      <c r="P247" s="33">
        <f>SUMIFS(Dump!R:R,Dump!B:B,C247,Dump!A:A,Y247)</f>
        <v>0</v>
      </c>
      <c r="Q247" s="34">
        <f t="shared" si="21"/>
        <v>0</v>
      </c>
      <c r="S247" s="4">
        <f>SUMIFS(Dump!E:E,Dump!B:B,C247,Dump!A:A,Y247)</f>
        <v>0</v>
      </c>
      <c r="T247" s="35">
        <f t="shared" si="22"/>
        <v>0</v>
      </c>
      <c r="V247" s="4">
        <f>SUMIFS(Dump!P:P,Dump!B:B,C247,Dump!A:A,Y247)</f>
        <v>0</v>
      </c>
      <c r="W247" s="37">
        <f t="shared" si="23"/>
        <v>0</v>
      </c>
      <c r="X247" s="39"/>
      <c r="Y247" s="54"/>
    </row>
    <row r="248">
      <c r="C248" s="53"/>
      <c r="G248" s="2" t="str">
        <f t="shared" si="27"/>
        <v/>
      </c>
      <c r="I248" s="4">
        <f>SUMIFS(Dump!D:D,Dump!B:B,C248)</f>
        <v>0</v>
      </c>
      <c r="J248" s="5">
        <f>SUMIFS(Dump!AE:AE,Dump!B:B,C248)</f>
        <v>0</v>
      </c>
      <c r="K248" s="4">
        <f>SUMPRODUCT(
  (TEXT(Dump!$A$2:$A994,"mmm-yy")=TEXT($Y248,"mmm-yy"))*
  (Dump!$B$2:$B994=$C248)*
  Dump!$D$2:$D994)</f>
        <v>0</v>
      </c>
      <c r="L248" s="4">
        <f>SUMPRODUCT(
  (TEXT(Dump!$A$2:$A994,"mmm-yy")=TEXT($Y248,"mmm-yy"))*
  (Dump!$B$2:$B994=$C248)*
  Dump!$E$2:$E994
)</f>
        <v>0</v>
      </c>
      <c r="M248" s="4">
        <f>SUMPRODUCT(
  (TEXT(Dump!$A$2:$A994,"mmm-yy")=TEXT($Y248,"mmm-yy"))*
  (Dump!$B$2:$B994=$C248)*
  Dump!$P$2:$P994
)</f>
        <v>0</v>
      </c>
      <c r="N248" s="32"/>
      <c r="O248" s="33">
        <f>SUMIFS(Dump!$D:$D,Dump!$B:$B,$C248,Dump!$A:$A,$Y248)</f>
        <v>0</v>
      </c>
      <c r="P248" s="33">
        <f>SUMIFS(Dump!R:R,Dump!B:B,C248,Dump!A:A,Y248)</f>
        <v>0</v>
      </c>
      <c r="Q248" s="34">
        <f t="shared" si="21"/>
        <v>0</v>
      </c>
      <c r="S248" s="4">
        <f>SUMIFS(Dump!E:E,Dump!B:B,C248,Dump!A:A,Y248)</f>
        <v>0</v>
      </c>
      <c r="T248" s="35">
        <f t="shared" si="22"/>
        <v>0</v>
      </c>
      <c r="V248" s="4">
        <f>SUMIFS(Dump!P:P,Dump!B:B,C248,Dump!A:A,Y248)</f>
        <v>0</v>
      </c>
      <c r="W248" s="37">
        <f t="shared" si="23"/>
        <v>0</v>
      </c>
      <c r="X248" s="39"/>
      <c r="Y248" s="54"/>
    </row>
    <row r="249">
      <c r="C249" s="53"/>
      <c r="G249" s="2" t="str">
        <f t="shared" si="27"/>
        <v/>
      </c>
      <c r="I249" s="4">
        <f>SUMIFS(Dump!D:D,Dump!B:B,C249)</f>
        <v>0</v>
      </c>
      <c r="J249" s="5">
        <f>SUMIFS(Dump!AE:AE,Dump!B:B,C249)</f>
        <v>0</v>
      </c>
      <c r="K249" s="4">
        <f>SUMPRODUCT(
  (TEXT(Dump!$A$2:$A994,"mmm-yy")=TEXT($Y249,"mmm-yy"))*
  (Dump!$B$2:$B994=$C249)*
  Dump!$D$2:$D994)</f>
        <v>0</v>
      </c>
      <c r="L249" s="4">
        <f>SUMPRODUCT(
  (TEXT(Dump!$A$2:$A994,"mmm-yy")=TEXT($Y249,"mmm-yy"))*
  (Dump!$B$2:$B994=$C249)*
  Dump!$E$2:$E994
)</f>
        <v>0</v>
      </c>
      <c r="M249" s="4">
        <f>SUMPRODUCT(
  (TEXT(Dump!$A$2:$A994,"mmm-yy")=TEXT($Y249,"mmm-yy"))*
  (Dump!$B$2:$B994=$C249)*
  Dump!$P$2:$P994
)</f>
        <v>0</v>
      </c>
      <c r="N249" s="32"/>
      <c r="O249" s="33">
        <f>SUMIFS(Dump!$D:$D,Dump!$B:$B,$C249,Dump!$A:$A,$Y249)</f>
        <v>0</v>
      </c>
      <c r="P249" s="33">
        <f>SUMIFS(Dump!R:R,Dump!B:B,C249,Dump!A:A,Y249)</f>
        <v>0</v>
      </c>
      <c r="Q249" s="34">
        <f t="shared" si="21"/>
        <v>0</v>
      </c>
      <c r="S249" s="4">
        <f>SUMIFS(Dump!E:E,Dump!B:B,C249,Dump!A:A,Y249)</f>
        <v>0</v>
      </c>
      <c r="T249" s="35">
        <f t="shared" si="22"/>
        <v>0</v>
      </c>
      <c r="V249" s="4">
        <f>SUMIFS(Dump!P:P,Dump!B:B,C249,Dump!A:A,Y249)</f>
        <v>0</v>
      </c>
      <c r="W249" s="37">
        <f t="shared" si="23"/>
        <v>0</v>
      </c>
      <c r="X249" s="39"/>
      <c r="Y249" s="54"/>
    </row>
    <row r="250">
      <c r="C250" s="53"/>
      <c r="G250" s="2" t="str">
        <f t="shared" si="27"/>
        <v/>
      </c>
      <c r="I250" s="4">
        <f>SUMIFS(Dump!D:D,Dump!B:B,C250)</f>
        <v>0</v>
      </c>
      <c r="J250" s="5">
        <f>SUMIFS(Dump!AE:AE,Dump!B:B,C250)</f>
        <v>0</v>
      </c>
      <c r="K250" s="4">
        <f>SUMPRODUCT(
  (TEXT(Dump!$A$2:$A994,"mmm-yy")=TEXT($Y250,"mmm-yy"))*
  (Dump!$B$2:$B994=$C250)*
  Dump!$D$2:$D994)</f>
        <v>0</v>
      </c>
      <c r="L250" s="4">
        <f>SUMPRODUCT(
  (TEXT(Dump!$A$2:$A994,"mmm-yy")=TEXT($Y250,"mmm-yy"))*
  (Dump!$B$2:$B994=$C250)*
  Dump!$E$2:$E994
)</f>
        <v>0</v>
      </c>
      <c r="M250" s="4">
        <f>SUMPRODUCT(
  (TEXT(Dump!$A$2:$A994,"mmm-yy")=TEXT($Y250,"mmm-yy"))*
  (Dump!$B$2:$B994=$C250)*
  Dump!$P$2:$P994
)</f>
        <v>0</v>
      </c>
      <c r="N250" s="32"/>
      <c r="O250" s="33">
        <f>SUMIFS(Dump!$D:$D,Dump!$B:$B,$C250,Dump!$A:$A,$Y250)</f>
        <v>0</v>
      </c>
      <c r="P250" s="33">
        <f>SUMIFS(Dump!R:R,Dump!B:B,C250,Dump!A:A,Y250)</f>
        <v>0</v>
      </c>
      <c r="Q250" s="34">
        <f t="shared" si="21"/>
        <v>0</v>
      </c>
      <c r="S250" s="4">
        <f>SUMIFS(Dump!E:E,Dump!B:B,C250,Dump!A:A,Y250)</f>
        <v>0</v>
      </c>
      <c r="T250" s="35">
        <f t="shared" si="22"/>
        <v>0</v>
      </c>
      <c r="V250" s="4">
        <f>SUMIFS(Dump!P:P,Dump!B:B,C250,Dump!A:A,Y250)</f>
        <v>0</v>
      </c>
      <c r="W250" s="37">
        <f t="shared" si="23"/>
        <v>0</v>
      </c>
      <c r="X250" s="39"/>
      <c r="Y250" s="54"/>
    </row>
    <row r="251">
      <c r="C251" s="53"/>
      <c r="G251" s="2" t="str">
        <f t="shared" si="27"/>
        <v/>
      </c>
      <c r="I251" s="4">
        <f>SUMIFS(Dump!D:D,Dump!B:B,C251)</f>
        <v>0</v>
      </c>
      <c r="J251" s="5">
        <f>SUMIFS(Dump!AE:AE,Dump!B:B,C251)</f>
        <v>0</v>
      </c>
      <c r="K251" s="4">
        <f>SUMPRODUCT(
  (TEXT(Dump!$A$2:$A994,"mmm-yy")=TEXT($Y251,"mmm-yy"))*
  (Dump!$B$2:$B994=$C251)*
  Dump!$D$2:$D994)</f>
        <v>0</v>
      </c>
      <c r="L251" s="4">
        <f>SUMPRODUCT(
  (TEXT(Dump!$A$2:$A994,"mmm-yy")=TEXT($Y251,"mmm-yy"))*
  (Dump!$B$2:$B994=$C251)*
  Dump!$E$2:$E994
)</f>
        <v>0</v>
      </c>
      <c r="M251" s="4">
        <f>SUMPRODUCT(
  (TEXT(Dump!$A$2:$A994,"mmm-yy")=TEXT($Y251,"mmm-yy"))*
  (Dump!$B$2:$B994=$C251)*
  Dump!$P$2:$P994
)</f>
        <v>0</v>
      </c>
      <c r="N251" s="32"/>
      <c r="O251" s="33">
        <f>SUMIFS(Dump!$D:$D,Dump!$B:$B,$C251,Dump!$A:$A,$Y251)</f>
        <v>0</v>
      </c>
      <c r="P251" s="33">
        <f>SUMIFS(Dump!R:R,Dump!B:B,C251,Dump!A:A,Y251)</f>
        <v>0</v>
      </c>
      <c r="Q251" s="34">
        <f t="shared" si="21"/>
        <v>0</v>
      </c>
      <c r="S251" s="4">
        <f>SUMIFS(Dump!E:E,Dump!B:B,C251,Dump!A:A,Y251)</f>
        <v>0</v>
      </c>
      <c r="T251" s="35">
        <f t="shared" si="22"/>
        <v>0</v>
      </c>
      <c r="V251" s="4">
        <f>SUMIFS(Dump!P:P,Dump!B:B,C251,Dump!A:A,Y251)</f>
        <v>0</v>
      </c>
      <c r="W251" s="37">
        <f t="shared" si="23"/>
        <v>0</v>
      </c>
      <c r="X251" s="39"/>
      <c r="Y251" s="54"/>
    </row>
    <row r="252">
      <c r="C252" s="53"/>
      <c r="G252" s="2" t="str">
        <f t="shared" si="27"/>
        <v/>
      </c>
      <c r="I252" s="4">
        <f>SUMIFS(Dump!D:D,Dump!B:B,C252)</f>
        <v>0</v>
      </c>
      <c r="J252" s="5">
        <f>SUMIFS(Dump!AE:AE,Dump!B:B,C252)</f>
        <v>0</v>
      </c>
      <c r="K252" s="4">
        <f>SUMPRODUCT(
  (TEXT(Dump!$A$2:$A994,"mmm-yy")=TEXT($Y252,"mmm-yy"))*
  (Dump!$B$2:$B994=$C252)*
  Dump!$D$2:$D994)</f>
        <v>0</v>
      </c>
      <c r="L252" s="4">
        <f>SUMPRODUCT(
  (TEXT(Dump!$A$2:$A994,"mmm-yy")=TEXT($Y252,"mmm-yy"))*
  (Dump!$B$2:$B994=$C252)*
  Dump!$E$2:$E994
)</f>
        <v>0</v>
      </c>
      <c r="M252" s="4">
        <f>SUMPRODUCT(
  (TEXT(Dump!$A$2:$A994,"mmm-yy")=TEXT($Y252,"mmm-yy"))*
  (Dump!$B$2:$B994=$C252)*
  Dump!$P$2:$P994
)</f>
        <v>0</v>
      </c>
      <c r="N252" s="32"/>
      <c r="O252" s="33">
        <f>SUMIFS(Dump!$D:$D,Dump!$B:$B,$C252,Dump!$A:$A,$Y252)</f>
        <v>0</v>
      </c>
      <c r="P252" s="33">
        <f>SUMIFS(Dump!R:R,Dump!B:B,C252,Dump!A:A,Y252)</f>
        <v>0</v>
      </c>
      <c r="Q252" s="34">
        <f t="shared" si="21"/>
        <v>0</v>
      </c>
      <c r="S252" s="4">
        <f>SUMIFS(Dump!E:E,Dump!B:B,C252,Dump!A:A,Y252)</f>
        <v>0</v>
      </c>
      <c r="T252" s="35">
        <f t="shared" si="22"/>
        <v>0</v>
      </c>
      <c r="V252" s="4">
        <f>SUMIFS(Dump!P:P,Dump!B:B,C252,Dump!A:A,Y252)</f>
        <v>0</v>
      </c>
      <c r="W252" s="37">
        <f t="shared" si="23"/>
        <v>0</v>
      </c>
      <c r="X252" s="39"/>
      <c r="Y252" s="54"/>
    </row>
    <row r="253">
      <c r="C253" s="53"/>
      <c r="G253" s="2" t="str">
        <f t="shared" si="27"/>
        <v/>
      </c>
      <c r="I253" s="4">
        <f>SUMIFS(Dump!D:D,Dump!B:B,C253)</f>
        <v>0</v>
      </c>
      <c r="J253" s="5">
        <f>SUMIFS(Dump!AE:AE,Dump!B:B,C253)</f>
        <v>0</v>
      </c>
      <c r="K253" s="4">
        <f>SUMPRODUCT(
  (TEXT(Dump!$A$2:$A994,"mmm-yy")=TEXT($Y253,"mmm-yy"))*
  (Dump!$B$2:$B994=$C253)*
  Dump!$D$2:$D994)</f>
        <v>0</v>
      </c>
      <c r="L253" s="4">
        <f>SUMPRODUCT(
  (TEXT(Dump!$A$2:$A994,"mmm-yy")=TEXT($Y253,"mmm-yy"))*
  (Dump!$B$2:$B994=$C253)*
  Dump!$E$2:$E994
)</f>
        <v>0</v>
      </c>
      <c r="M253" s="4">
        <f>SUMPRODUCT(
  (TEXT(Dump!$A$2:$A994,"mmm-yy")=TEXT($Y253,"mmm-yy"))*
  (Dump!$B$2:$B994=$C253)*
  Dump!$P$2:$P994
)</f>
        <v>0</v>
      </c>
      <c r="N253" s="32"/>
      <c r="O253" s="33">
        <f>SUMIFS(Dump!$D:$D,Dump!$B:$B,$C253,Dump!$A:$A,$Y253)</f>
        <v>0</v>
      </c>
      <c r="P253" s="33">
        <f>SUMIFS(Dump!R:R,Dump!B:B,C253,Dump!A:A,Y253)</f>
        <v>0</v>
      </c>
      <c r="Q253" s="34">
        <f t="shared" si="21"/>
        <v>0</v>
      </c>
      <c r="S253" s="4">
        <f>SUMIFS(Dump!E:E,Dump!B:B,C253,Dump!A:A,Y253)</f>
        <v>0</v>
      </c>
      <c r="T253" s="35">
        <f t="shared" si="22"/>
        <v>0</v>
      </c>
      <c r="V253" s="4">
        <f>SUMIFS(Dump!P:P,Dump!B:B,C253,Dump!A:A,Y253)</f>
        <v>0</v>
      </c>
      <c r="W253" s="37">
        <f t="shared" si="23"/>
        <v>0</v>
      </c>
      <c r="X253" s="39"/>
      <c r="Y253" s="54"/>
    </row>
    <row r="254">
      <c r="C254" s="53"/>
      <c r="G254" s="2" t="str">
        <f t="shared" si="27"/>
        <v/>
      </c>
      <c r="I254" s="4">
        <f>SUMIFS(Dump!D:D,Dump!B:B,C254)</f>
        <v>0</v>
      </c>
      <c r="J254" s="5">
        <f>SUMIFS(Dump!AE:AE,Dump!B:B,C254)</f>
        <v>0</v>
      </c>
      <c r="K254" s="4">
        <f>SUMPRODUCT(
  (TEXT(Dump!$A$2:$A994,"mmm-yy")=TEXT($Y254,"mmm-yy"))*
  (Dump!$B$2:$B994=$C254)*
  Dump!$D$2:$D994)</f>
        <v>0</v>
      </c>
      <c r="L254" s="4">
        <f>SUMPRODUCT(
  (TEXT(Dump!$A$2:$A994,"mmm-yy")=TEXT($Y254,"mmm-yy"))*
  (Dump!$B$2:$B994=$C254)*
  Dump!$E$2:$E994
)</f>
        <v>0</v>
      </c>
      <c r="M254" s="4">
        <f>SUMPRODUCT(
  (TEXT(Dump!$A$2:$A994,"mmm-yy")=TEXT($Y254,"mmm-yy"))*
  (Dump!$B$2:$B994=$C254)*
  Dump!$P$2:$P994
)</f>
        <v>0</v>
      </c>
      <c r="N254" s="32"/>
      <c r="O254" s="33">
        <f>SUMIFS(Dump!$D:$D,Dump!$B:$B,$C254,Dump!$A:$A,$Y254)</f>
        <v>0</v>
      </c>
      <c r="P254" s="33">
        <f>SUMIFS(Dump!R:R,Dump!B:B,C254,Dump!A:A,Y254)</f>
        <v>0</v>
      </c>
      <c r="Q254" s="34">
        <f t="shared" si="21"/>
        <v>0</v>
      </c>
      <c r="S254" s="4">
        <f>SUMIFS(Dump!E:E,Dump!B:B,C254,Dump!A:A,Y254)</f>
        <v>0</v>
      </c>
      <c r="T254" s="35">
        <f t="shared" si="22"/>
        <v>0</v>
      </c>
      <c r="V254" s="4">
        <f>SUMIFS(Dump!P:P,Dump!B:B,C254,Dump!A:A,Y254)</f>
        <v>0</v>
      </c>
      <c r="W254" s="37">
        <f t="shared" si="23"/>
        <v>0</v>
      </c>
      <c r="X254" s="39"/>
      <c r="Y254" s="54"/>
    </row>
    <row r="255">
      <c r="C255" s="53"/>
      <c r="G255" s="2" t="str">
        <f t="shared" si="27"/>
        <v/>
      </c>
      <c r="I255" s="4">
        <f>SUMIFS(Dump!D:D,Dump!B:B,C255)</f>
        <v>0</v>
      </c>
      <c r="J255" s="5">
        <f>SUMIFS(Dump!AE:AE,Dump!B:B,C255)</f>
        <v>0</v>
      </c>
      <c r="K255" s="4">
        <f>SUMPRODUCT(
  (TEXT(Dump!$A$2:$A994,"mmm-yy")=TEXT($Y255,"mmm-yy"))*
  (Dump!$B$2:$B994=$C255)*
  Dump!$D$2:$D994)</f>
        <v>0</v>
      </c>
      <c r="L255" s="4">
        <f>SUMPRODUCT(
  (TEXT(Dump!$A$2:$A994,"mmm-yy")=TEXT($Y255,"mmm-yy"))*
  (Dump!$B$2:$B994=$C255)*
  Dump!$E$2:$E994
)</f>
        <v>0</v>
      </c>
      <c r="M255" s="4">
        <f>SUMPRODUCT(
  (TEXT(Dump!$A$2:$A994,"mmm-yy")=TEXT($Y255,"mmm-yy"))*
  (Dump!$B$2:$B994=$C255)*
  Dump!$P$2:$P994
)</f>
        <v>0</v>
      </c>
      <c r="N255" s="32"/>
      <c r="O255" s="33">
        <f>SUMIFS(Dump!$D:$D,Dump!$B:$B,$C255,Dump!$A:$A,$Y255)</f>
        <v>0</v>
      </c>
      <c r="P255" s="33">
        <f>SUMIFS(Dump!R:R,Dump!B:B,C255,Dump!A:A,Y255)</f>
        <v>0</v>
      </c>
      <c r="Q255" s="34">
        <f t="shared" si="21"/>
        <v>0</v>
      </c>
      <c r="S255" s="4">
        <f>SUMIFS(Dump!E:E,Dump!B:B,C255,Dump!A:A,Y255)</f>
        <v>0</v>
      </c>
      <c r="T255" s="35">
        <f t="shared" si="22"/>
        <v>0</v>
      </c>
      <c r="V255" s="4">
        <f>SUMIFS(Dump!P:P,Dump!B:B,C255,Dump!A:A,Y255)</f>
        <v>0</v>
      </c>
      <c r="W255" s="37">
        <f t="shared" si="23"/>
        <v>0</v>
      </c>
      <c r="X255" s="39"/>
      <c r="Y255" s="54"/>
    </row>
    <row r="256">
      <c r="C256" s="53"/>
      <c r="G256" s="2" t="str">
        <f t="shared" si="27"/>
        <v/>
      </c>
      <c r="I256" s="4">
        <f>SUMIFS(Dump!D:D,Dump!B:B,C256)</f>
        <v>0</v>
      </c>
      <c r="J256" s="5">
        <f>SUMIFS(Dump!AE:AE,Dump!B:B,C256)</f>
        <v>0</v>
      </c>
      <c r="K256" s="4">
        <f>SUMPRODUCT(
  (TEXT(Dump!$A$2:$A994,"mmm-yy")=TEXT($Y256,"mmm-yy"))*
  (Dump!$B$2:$B994=$C256)*
  Dump!$D$2:$D994)</f>
        <v>0</v>
      </c>
      <c r="L256" s="4">
        <f>SUMPRODUCT(
  (TEXT(Dump!$A$2:$A994,"mmm-yy")=TEXT($Y256,"mmm-yy"))*
  (Dump!$B$2:$B994=$C256)*
  Dump!$E$2:$E994
)</f>
        <v>0</v>
      </c>
      <c r="M256" s="4">
        <f>SUMPRODUCT(
  (TEXT(Dump!$A$2:$A994,"mmm-yy")=TEXT($Y256,"mmm-yy"))*
  (Dump!$B$2:$B994=$C256)*
  Dump!$P$2:$P994
)</f>
        <v>0</v>
      </c>
      <c r="N256" s="32"/>
      <c r="O256" s="33">
        <f>SUMIFS(Dump!$D:$D,Dump!$B:$B,$C256,Dump!$A:$A,$Y256)</f>
        <v>0</v>
      </c>
      <c r="P256" s="33">
        <f>SUMIFS(Dump!R:R,Dump!B:B,C256,Dump!A:A,Y256)</f>
        <v>0</v>
      </c>
      <c r="Q256" s="34">
        <f t="shared" si="21"/>
        <v>0</v>
      </c>
      <c r="S256" s="4">
        <f>SUMIFS(Dump!E:E,Dump!B:B,C256,Dump!A:A,Y256)</f>
        <v>0</v>
      </c>
      <c r="T256" s="35">
        <f t="shared" si="22"/>
        <v>0</v>
      </c>
      <c r="V256" s="4">
        <f>SUMIFS(Dump!P:P,Dump!B:B,C256,Dump!A:A,Y256)</f>
        <v>0</v>
      </c>
      <c r="W256" s="37">
        <f t="shared" si="23"/>
        <v>0</v>
      </c>
      <c r="X256" s="39"/>
      <c r="Y256" s="54"/>
    </row>
    <row r="257">
      <c r="C257" s="53"/>
      <c r="G257" s="2" t="str">
        <f t="shared" si="27"/>
        <v/>
      </c>
      <c r="I257" s="4">
        <f>SUMIFS(Dump!D:D,Dump!B:B,C257)</f>
        <v>0</v>
      </c>
      <c r="J257" s="5">
        <f>SUMIFS(Dump!AE:AE,Dump!B:B,C257)</f>
        <v>0</v>
      </c>
      <c r="K257" s="4">
        <f>SUMPRODUCT(
  (TEXT(Dump!$A$2:$A994,"mmm-yy")=TEXT($Y257,"mmm-yy"))*
  (Dump!$B$2:$B994=$C257)*
  Dump!$D$2:$D994)</f>
        <v>0</v>
      </c>
      <c r="L257" s="4">
        <f>SUMPRODUCT(
  (TEXT(Dump!$A$2:$A994,"mmm-yy")=TEXT($Y257,"mmm-yy"))*
  (Dump!$B$2:$B994=$C257)*
  Dump!$E$2:$E994
)</f>
        <v>0</v>
      </c>
      <c r="M257" s="4">
        <f>SUMPRODUCT(
  (TEXT(Dump!$A$2:$A994,"mmm-yy")=TEXT($Y257,"mmm-yy"))*
  (Dump!$B$2:$B994=$C257)*
  Dump!$P$2:$P994
)</f>
        <v>0</v>
      </c>
      <c r="N257" s="32"/>
      <c r="O257" s="33">
        <f>SUMIFS(Dump!$D:$D,Dump!$B:$B,$C257,Dump!$A:$A,$Y257)</f>
        <v>0</v>
      </c>
      <c r="P257" s="33">
        <f>SUMIFS(Dump!R:R,Dump!B:B,C257,Dump!A:A,Y257)</f>
        <v>0</v>
      </c>
      <c r="Q257" s="34">
        <f t="shared" si="21"/>
        <v>0</v>
      </c>
      <c r="S257" s="4">
        <f>SUMIFS(Dump!E:E,Dump!B:B,C257,Dump!A:A,Y257)</f>
        <v>0</v>
      </c>
      <c r="T257" s="35">
        <f t="shared" si="22"/>
        <v>0</v>
      </c>
      <c r="V257" s="4">
        <f>SUMIFS(Dump!P:P,Dump!B:B,C257,Dump!A:A,Y257)</f>
        <v>0</v>
      </c>
      <c r="W257" s="37">
        <f t="shared" si="23"/>
        <v>0</v>
      </c>
      <c r="X257" s="39"/>
      <c r="Y257" s="54"/>
    </row>
    <row r="258">
      <c r="C258" s="53"/>
      <c r="G258" s="2" t="str">
        <f t="shared" si="27"/>
        <v/>
      </c>
      <c r="I258" s="4">
        <f>SUMIFS(Dump!D:D,Dump!B:B,C258)</f>
        <v>0</v>
      </c>
      <c r="J258" s="5">
        <f>SUMIFS(Dump!AE:AE,Dump!B:B,C258)</f>
        <v>0</v>
      </c>
      <c r="K258" s="4">
        <f>SUMPRODUCT(
  (TEXT(Dump!$A$2:$A994,"mmm-yy")=TEXT($Y258,"mmm-yy"))*
  (Dump!$B$2:$B994=$C258)*
  Dump!$D$2:$D994)</f>
        <v>0</v>
      </c>
      <c r="L258" s="4">
        <f>SUMPRODUCT(
  (TEXT(Dump!$A$2:$A994,"mmm-yy")=TEXT($Y258,"mmm-yy"))*
  (Dump!$B$2:$B994=$C258)*
  Dump!$E$2:$E994
)</f>
        <v>0</v>
      </c>
      <c r="M258" s="4">
        <f>SUMPRODUCT(
  (TEXT(Dump!$A$2:$A994,"mmm-yy")=TEXT($Y258,"mmm-yy"))*
  (Dump!$B$2:$B994=$C258)*
  Dump!$P$2:$P994
)</f>
        <v>0</v>
      </c>
      <c r="N258" s="32"/>
      <c r="O258" s="33">
        <f>SUMIFS(Dump!$D:$D,Dump!$B:$B,$C258,Dump!$A:$A,$Y258)</f>
        <v>0</v>
      </c>
      <c r="P258" s="33">
        <f>SUMIFS(Dump!R:R,Dump!B:B,C258,Dump!A:A,Y258)</f>
        <v>0</v>
      </c>
      <c r="Q258" s="34">
        <f t="shared" si="21"/>
        <v>0</v>
      </c>
      <c r="S258" s="4">
        <f>SUMIFS(Dump!E:E,Dump!B:B,C258,Dump!A:A,Y258)</f>
        <v>0</v>
      </c>
      <c r="T258" s="35">
        <f t="shared" si="22"/>
        <v>0</v>
      </c>
      <c r="V258" s="4">
        <f>SUMIFS(Dump!P:P,Dump!B:B,C258,Dump!A:A,Y258)</f>
        <v>0</v>
      </c>
      <c r="W258" s="37">
        <f t="shared" si="23"/>
        <v>0</v>
      </c>
      <c r="X258" s="39"/>
      <c r="Y258" s="54"/>
    </row>
    <row r="259">
      <c r="C259" s="53"/>
      <c r="G259" s="2" t="str">
        <f t="shared" si="27"/>
        <v/>
      </c>
      <c r="I259" s="4">
        <f>SUMIFS(Dump!D:D,Dump!B:B,C259)</f>
        <v>0</v>
      </c>
      <c r="J259" s="5">
        <f>SUMIFS(Dump!AE:AE,Dump!B:B,C259)</f>
        <v>0</v>
      </c>
      <c r="K259" s="4">
        <f>SUMPRODUCT(
  (TEXT(Dump!$A$2:$A994,"mmm-yy")=TEXT($Y259,"mmm-yy"))*
  (Dump!$B$2:$B994=$C259)*
  Dump!$D$2:$D994)</f>
        <v>0</v>
      </c>
      <c r="L259" s="4">
        <f>SUMPRODUCT(
  (TEXT(Dump!$A$2:$A994,"mmm-yy")=TEXT($Y259,"mmm-yy"))*
  (Dump!$B$2:$B994=$C259)*
  Dump!$E$2:$E994
)</f>
        <v>0</v>
      </c>
      <c r="M259" s="4">
        <f>SUMPRODUCT(
  (TEXT(Dump!$A$2:$A994,"mmm-yy")=TEXT($Y259,"mmm-yy"))*
  (Dump!$B$2:$B994=$C259)*
  Dump!$P$2:$P994
)</f>
        <v>0</v>
      </c>
      <c r="N259" s="32"/>
      <c r="O259" s="33">
        <f>SUMIFS(Dump!$D:$D,Dump!$B:$B,$C259,Dump!$A:$A,$Y259)</f>
        <v>0</v>
      </c>
      <c r="P259" s="33">
        <f>SUMIFS(Dump!R:R,Dump!B:B,C259,Dump!A:A,Y259)</f>
        <v>0</v>
      </c>
      <c r="Q259" s="34">
        <f t="shared" si="21"/>
        <v>0</v>
      </c>
      <c r="S259" s="4">
        <f>SUMIFS(Dump!E:E,Dump!B:B,C259,Dump!A:A,Y259)</f>
        <v>0</v>
      </c>
      <c r="T259" s="35">
        <f t="shared" si="22"/>
        <v>0</v>
      </c>
      <c r="V259" s="4">
        <f>SUMIFS(Dump!P:P,Dump!B:B,C259,Dump!A:A,Y259)</f>
        <v>0</v>
      </c>
      <c r="W259" s="37">
        <f t="shared" si="23"/>
        <v>0</v>
      </c>
      <c r="X259" s="39"/>
      <c r="Y259" s="54"/>
    </row>
    <row r="260">
      <c r="C260" s="53"/>
      <c r="G260" s="2" t="str">
        <f t="shared" si="27"/>
        <v/>
      </c>
      <c r="I260" s="4">
        <f>SUMIFS(Dump!D:D,Dump!B:B,C260)</f>
        <v>0</v>
      </c>
      <c r="J260" s="5">
        <f>SUMIFS(Dump!AE:AE,Dump!B:B,C260)</f>
        <v>0</v>
      </c>
      <c r="K260" s="4">
        <f>SUMPRODUCT(
  (TEXT(Dump!$A$2:$A994,"mmm-yy")=TEXT($Y260,"mmm-yy"))*
  (Dump!$B$2:$B994=$C260)*
  Dump!$D$2:$D994)</f>
        <v>0</v>
      </c>
      <c r="L260" s="4">
        <f>SUMPRODUCT(
  (TEXT(Dump!$A$2:$A994,"mmm-yy")=TEXT($Y260,"mmm-yy"))*
  (Dump!$B$2:$B994=$C260)*
  Dump!$E$2:$E994
)</f>
        <v>0</v>
      </c>
      <c r="M260" s="4">
        <f>SUMPRODUCT(
  (TEXT(Dump!$A$2:$A994,"mmm-yy")=TEXT($Y260,"mmm-yy"))*
  (Dump!$B$2:$B994=$C260)*
  Dump!$P$2:$P994
)</f>
        <v>0</v>
      </c>
      <c r="N260" s="32"/>
      <c r="O260" s="33">
        <f>SUMIFS(Dump!$D:$D,Dump!$B:$B,$C260,Dump!$A:$A,$Y260)</f>
        <v>0</v>
      </c>
      <c r="P260" s="33">
        <f>SUMIFS(Dump!R:R,Dump!B:B,C260,Dump!A:A,Y260)</f>
        <v>0</v>
      </c>
      <c r="Q260" s="34">
        <f t="shared" si="21"/>
        <v>0</v>
      </c>
      <c r="S260" s="4">
        <f>SUMIFS(Dump!E:E,Dump!B:B,C260,Dump!A:A,Y260)</f>
        <v>0</v>
      </c>
      <c r="T260" s="35">
        <f t="shared" si="22"/>
        <v>0</v>
      </c>
      <c r="V260" s="4">
        <f>SUMIFS(Dump!P:P,Dump!B:B,C260,Dump!A:A,Y260)</f>
        <v>0</v>
      </c>
      <c r="W260" s="37">
        <f t="shared" si="23"/>
        <v>0</v>
      </c>
      <c r="X260" s="39"/>
      <c r="Y260" s="54"/>
    </row>
    <row r="261">
      <c r="C261" s="53"/>
      <c r="G261" s="2" t="str">
        <f t="shared" si="27"/>
        <v/>
      </c>
      <c r="I261" s="4">
        <f>SUMIFS(Dump!D:D,Dump!B:B,C261)</f>
        <v>0</v>
      </c>
      <c r="J261" s="5">
        <f>SUMIFS(Dump!AE:AE,Dump!B:B,C261)</f>
        <v>0</v>
      </c>
      <c r="K261" s="4">
        <f>SUMPRODUCT(
  (TEXT(Dump!$A$2:$A994,"mmm-yy")=TEXT($Y261,"mmm-yy"))*
  (Dump!$B$2:$B994=$C261)*
  Dump!$D$2:$D994)</f>
        <v>0</v>
      </c>
      <c r="L261" s="4">
        <f>SUMPRODUCT(
  (TEXT(Dump!$A$2:$A994,"mmm-yy")=TEXT($Y261,"mmm-yy"))*
  (Dump!$B$2:$B994=$C261)*
  Dump!$E$2:$E994
)</f>
        <v>0</v>
      </c>
      <c r="M261" s="4">
        <f>SUMPRODUCT(
  (TEXT(Dump!$A$2:$A994,"mmm-yy")=TEXT($Y261,"mmm-yy"))*
  (Dump!$B$2:$B994=$C261)*
  Dump!$P$2:$P994
)</f>
        <v>0</v>
      </c>
      <c r="N261" s="32"/>
      <c r="O261" s="33">
        <f>SUMIFS(Dump!$D:$D,Dump!$B:$B,$C261,Dump!$A:$A,$Y261)</f>
        <v>0</v>
      </c>
      <c r="P261" s="33">
        <f>SUMIFS(Dump!R:R,Dump!B:B,C261,Dump!A:A,Y261)</f>
        <v>0</v>
      </c>
      <c r="Q261" s="34">
        <f t="shared" si="21"/>
        <v>0</v>
      </c>
      <c r="S261" s="4">
        <f>SUMIFS(Dump!E:E,Dump!B:B,C261,Dump!A:A,Y261)</f>
        <v>0</v>
      </c>
      <c r="T261" s="35">
        <f t="shared" si="22"/>
        <v>0</v>
      </c>
      <c r="V261" s="4">
        <f>SUMIFS(Dump!P:P,Dump!B:B,C261,Dump!A:A,Y261)</f>
        <v>0</v>
      </c>
      <c r="W261" s="37">
        <f t="shared" si="23"/>
        <v>0</v>
      </c>
      <c r="X261" s="39"/>
      <c r="Y261" s="54"/>
    </row>
    <row r="262">
      <c r="C262" s="53"/>
      <c r="G262" s="2" t="str">
        <f t="shared" si="27"/>
        <v/>
      </c>
      <c r="I262" s="4">
        <f>SUMIFS(Dump!D:D,Dump!B:B,C262)</f>
        <v>0</v>
      </c>
      <c r="J262" s="5">
        <f>SUMIFS(Dump!AE:AE,Dump!B:B,C262)</f>
        <v>0</v>
      </c>
      <c r="K262" s="4">
        <f>SUMPRODUCT(
  (TEXT(Dump!$A$2:$A994,"mmm-yy")=TEXT($Y262,"mmm-yy"))*
  (Dump!$B$2:$B994=$C262)*
  Dump!$D$2:$D994)</f>
        <v>0</v>
      </c>
      <c r="L262" s="4">
        <f>SUMPRODUCT(
  (TEXT(Dump!$A$2:$A994,"mmm-yy")=TEXT($Y262,"mmm-yy"))*
  (Dump!$B$2:$B994=$C262)*
  Dump!$E$2:$E994
)</f>
        <v>0</v>
      </c>
      <c r="M262" s="4">
        <f>SUMPRODUCT(
  (TEXT(Dump!$A$2:$A994,"mmm-yy")=TEXT($Y262,"mmm-yy"))*
  (Dump!$B$2:$B994=$C262)*
  Dump!$P$2:$P994
)</f>
        <v>0</v>
      </c>
      <c r="N262" s="32"/>
      <c r="O262" s="33">
        <f>SUMIFS(Dump!$D:$D,Dump!$B:$B,$C262,Dump!$A:$A,$Y262)</f>
        <v>0</v>
      </c>
      <c r="P262" s="33">
        <f>SUMIFS(Dump!R:R,Dump!B:B,C262,Dump!A:A,Y262)</f>
        <v>0</v>
      </c>
      <c r="Q262" s="34">
        <f t="shared" si="21"/>
        <v>0</v>
      </c>
      <c r="S262" s="4">
        <f>SUMIFS(Dump!E:E,Dump!B:B,C262,Dump!A:A,Y262)</f>
        <v>0</v>
      </c>
      <c r="T262" s="35">
        <f t="shared" si="22"/>
        <v>0</v>
      </c>
      <c r="V262" s="4">
        <f>SUMIFS(Dump!P:P,Dump!B:B,C262,Dump!A:A,Y262)</f>
        <v>0</v>
      </c>
      <c r="W262" s="37">
        <f t="shared" si="23"/>
        <v>0</v>
      </c>
      <c r="X262" s="39"/>
      <c r="Y262" s="54"/>
    </row>
    <row r="263">
      <c r="C263" s="53"/>
      <c r="G263" s="2" t="str">
        <f t="shared" si="27"/>
        <v/>
      </c>
      <c r="I263" s="4">
        <f>SUMIFS(Dump!D:D,Dump!B:B,C263)</f>
        <v>0</v>
      </c>
      <c r="J263" s="5">
        <f>SUMIFS(Dump!AE:AE,Dump!B:B,C263)</f>
        <v>0</v>
      </c>
      <c r="K263" s="4">
        <f>SUMPRODUCT(
  (TEXT(Dump!$A$2:$A994,"mmm-yy")=TEXT($Y263,"mmm-yy"))*
  (Dump!$B$2:$B994=$C263)*
  Dump!$D$2:$D994)</f>
        <v>0</v>
      </c>
      <c r="L263" s="4">
        <f>SUMPRODUCT(
  (TEXT(Dump!$A$2:$A994,"mmm-yy")=TEXT($Y263,"mmm-yy"))*
  (Dump!$B$2:$B994=$C263)*
  Dump!$E$2:$E994
)</f>
        <v>0</v>
      </c>
      <c r="M263" s="4">
        <f>SUMPRODUCT(
  (TEXT(Dump!$A$2:$A994,"mmm-yy")=TEXT($Y263,"mmm-yy"))*
  (Dump!$B$2:$B994=$C263)*
  Dump!$P$2:$P994
)</f>
        <v>0</v>
      </c>
      <c r="N263" s="32"/>
      <c r="O263" s="33">
        <f>SUMIFS(Dump!$D:$D,Dump!$B:$B,$C263,Dump!$A:$A,$Y263)</f>
        <v>0</v>
      </c>
      <c r="P263" s="33">
        <f>SUMIFS(Dump!R:R,Dump!B:B,C263,Dump!A:A,Y263)</f>
        <v>0</v>
      </c>
      <c r="Q263" s="34">
        <f t="shared" si="21"/>
        <v>0</v>
      </c>
      <c r="S263" s="4">
        <f>SUMIFS(Dump!E:E,Dump!B:B,C263,Dump!A:A,Y263)</f>
        <v>0</v>
      </c>
      <c r="T263" s="35">
        <f t="shared" si="22"/>
        <v>0</v>
      </c>
      <c r="V263" s="4">
        <f>SUMIFS(Dump!P:P,Dump!B:B,C263,Dump!A:A,Y263)</f>
        <v>0</v>
      </c>
      <c r="W263" s="37">
        <f t="shared" si="23"/>
        <v>0</v>
      </c>
      <c r="X263" s="39"/>
      <c r="Y263" s="54"/>
    </row>
    <row r="264">
      <c r="C264" s="53"/>
      <c r="G264" s="2" t="str">
        <f t="shared" si="27"/>
        <v/>
      </c>
      <c r="I264" s="4">
        <f>SUMIFS(Dump!D:D,Dump!B:B,C264)</f>
        <v>0</v>
      </c>
      <c r="J264" s="5">
        <f>SUMIFS(Dump!AE:AE,Dump!B:B,C264)</f>
        <v>0</v>
      </c>
      <c r="K264" s="4">
        <f>SUMPRODUCT(
  (TEXT(Dump!$A$2:$A994,"mmm-yy")=TEXT($Y264,"mmm-yy"))*
  (Dump!$B$2:$B994=$C264)*
  Dump!$D$2:$D994)</f>
        <v>0</v>
      </c>
      <c r="L264" s="4">
        <f>SUMPRODUCT(
  (TEXT(Dump!$A$2:$A994,"mmm-yy")=TEXT($Y264,"mmm-yy"))*
  (Dump!$B$2:$B994=$C264)*
  Dump!$E$2:$E994
)</f>
        <v>0</v>
      </c>
      <c r="M264" s="4">
        <f>SUMPRODUCT(
  (TEXT(Dump!$A$2:$A994,"mmm-yy")=TEXT($Y264,"mmm-yy"))*
  (Dump!$B$2:$B994=$C264)*
  Dump!$P$2:$P994
)</f>
        <v>0</v>
      </c>
      <c r="N264" s="32"/>
      <c r="O264" s="33">
        <f>SUMIFS(Dump!$D:$D,Dump!$B:$B,$C264,Dump!$A:$A,$Y264)</f>
        <v>0</v>
      </c>
      <c r="P264" s="33">
        <f>SUMIFS(Dump!R:R,Dump!B:B,C264,Dump!A:A,Y264)</f>
        <v>0</v>
      </c>
      <c r="Q264" s="34">
        <f t="shared" si="21"/>
        <v>0</v>
      </c>
      <c r="S264" s="4">
        <f>SUMIFS(Dump!E:E,Dump!B:B,C264,Dump!A:A,Y264)</f>
        <v>0</v>
      </c>
      <c r="T264" s="35">
        <f t="shared" si="22"/>
        <v>0</v>
      </c>
      <c r="V264" s="4">
        <f>SUMIFS(Dump!P:P,Dump!B:B,C264,Dump!A:A,Y264)</f>
        <v>0</v>
      </c>
      <c r="W264" s="37">
        <f t="shared" si="23"/>
        <v>0</v>
      </c>
      <c r="X264" s="39"/>
      <c r="Y264" s="54"/>
    </row>
    <row r="265">
      <c r="C265" s="53"/>
      <c r="G265" s="2" t="str">
        <f t="shared" si="27"/>
        <v/>
      </c>
      <c r="I265" s="4">
        <f>SUMIFS(Dump!D:D,Dump!B:B,C265)</f>
        <v>0</v>
      </c>
      <c r="J265" s="5">
        <f>SUMIFS(Dump!AE:AE,Dump!B:B,C265)</f>
        <v>0</v>
      </c>
      <c r="K265" s="4">
        <f>SUMPRODUCT(
  (TEXT(Dump!$A$2:$A994,"mmm-yy")=TEXT($Y265,"mmm-yy"))*
  (Dump!$B$2:$B994=$C265)*
  Dump!$D$2:$D994)</f>
        <v>0</v>
      </c>
      <c r="L265" s="4">
        <f>SUMPRODUCT(
  (TEXT(Dump!$A$2:$A994,"mmm-yy")=TEXT($Y265,"mmm-yy"))*
  (Dump!$B$2:$B994=$C265)*
  Dump!$E$2:$E994
)</f>
        <v>0</v>
      </c>
      <c r="M265" s="4">
        <f>SUMPRODUCT(
  (TEXT(Dump!$A$2:$A994,"mmm-yy")=TEXT($Y265,"mmm-yy"))*
  (Dump!$B$2:$B994=$C265)*
  Dump!$P$2:$P994
)</f>
        <v>0</v>
      </c>
      <c r="N265" s="32"/>
      <c r="O265" s="33">
        <f>SUMIFS(Dump!$D:$D,Dump!$B:$B,$C265,Dump!$A:$A,$Y265)</f>
        <v>0</v>
      </c>
      <c r="P265" s="33">
        <f>SUMIFS(Dump!R:R,Dump!B:B,C265,Dump!A:A,Y265)</f>
        <v>0</v>
      </c>
      <c r="Q265" s="34">
        <f t="shared" si="21"/>
        <v>0</v>
      </c>
      <c r="S265" s="4">
        <f>SUMIFS(Dump!E:E,Dump!B:B,C265,Dump!A:A,Y265)</f>
        <v>0</v>
      </c>
      <c r="T265" s="35">
        <f t="shared" si="22"/>
        <v>0</v>
      </c>
      <c r="V265" s="4">
        <f>SUMIFS(Dump!P:P,Dump!B:B,C265,Dump!A:A,Y265)</f>
        <v>0</v>
      </c>
      <c r="W265" s="37">
        <f t="shared" si="23"/>
        <v>0</v>
      </c>
      <c r="X265" s="39"/>
      <c r="Y265" s="54"/>
    </row>
    <row r="266">
      <c r="C266" s="53"/>
      <c r="G266" s="2" t="str">
        <f t="shared" si="27"/>
        <v/>
      </c>
      <c r="I266" s="4">
        <f>SUMIFS(Dump!D:D,Dump!B:B,C266)</f>
        <v>0</v>
      </c>
      <c r="J266" s="5">
        <f>SUMIFS(Dump!AE:AE,Dump!B:B,C266)</f>
        <v>0</v>
      </c>
      <c r="K266" s="4">
        <f>SUMPRODUCT(
  (TEXT(Dump!$A$2:$A994,"mmm-yy")=TEXT($Y266,"mmm-yy"))*
  (Dump!$B$2:$B994=$C266)*
  Dump!$D$2:$D994)</f>
        <v>0</v>
      </c>
      <c r="L266" s="4">
        <f>SUMPRODUCT(
  (TEXT(Dump!$A$2:$A994,"mmm-yy")=TEXT($Y266,"mmm-yy"))*
  (Dump!$B$2:$B994=$C266)*
  Dump!$E$2:$E994
)</f>
        <v>0</v>
      </c>
      <c r="M266" s="4">
        <f>SUMPRODUCT(
  (TEXT(Dump!$A$2:$A994,"mmm-yy")=TEXT($Y266,"mmm-yy"))*
  (Dump!$B$2:$B994=$C266)*
  Dump!$P$2:$P994
)</f>
        <v>0</v>
      </c>
      <c r="N266" s="32"/>
      <c r="O266" s="33">
        <f>SUMIFS(Dump!$D:$D,Dump!$B:$B,$C266,Dump!$A:$A,$Y266)</f>
        <v>0</v>
      </c>
      <c r="P266" s="33">
        <f>SUMIFS(Dump!R:R,Dump!B:B,C266,Dump!A:A,Y266)</f>
        <v>0</v>
      </c>
      <c r="Q266" s="34">
        <f t="shared" si="21"/>
        <v>0</v>
      </c>
      <c r="S266" s="4">
        <f>SUMIFS(Dump!E:E,Dump!B:B,C266,Dump!A:A,Y266)</f>
        <v>0</v>
      </c>
      <c r="T266" s="35">
        <f t="shared" si="22"/>
        <v>0</v>
      </c>
      <c r="V266" s="4">
        <f>SUMIFS(Dump!P:P,Dump!B:B,C266,Dump!A:A,Y266)</f>
        <v>0</v>
      </c>
      <c r="W266" s="37">
        <f t="shared" si="23"/>
        <v>0</v>
      </c>
      <c r="X266" s="39"/>
      <c r="Y266" s="54"/>
    </row>
    <row r="267">
      <c r="C267" s="53"/>
      <c r="G267" s="2" t="str">
        <f t="shared" si="27"/>
        <v/>
      </c>
      <c r="I267" s="4">
        <f>SUMIFS(Dump!D:D,Dump!B:B,C267)</f>
        <v>0</v>
      </c>
      <c r="J267" s="5">
        <f>SUMIFS(Dump!AE:AE,Dump!B:B,C267)</f>
        <v>0</v>
      </c>
      <c r="K267" s="4">
        <f>SUMPRODUCT(
  (TEXT(Dump!$A$2:$A994,"mmm-yy")=TEXT($Y267,"mmm-yy"))*
  (Dump!$B$2:$B994=$C267)*
  Dump!$D$2:$D994)</f>
        <v>0</v>
      </c>
      <c r="L267" s="4">
        <f>SUMPRODUCT(
  (TEXT(Dump!$A$2:$A994,"mmm-yy")=TEXT($Y267,"mmm-yy"))*
  (Dump!$B$2:$B994=$C267)*
  Dump!$E$2:$E994
)</f>
        <v>0</v>
      </c>
      <c r="M267" s="4">
        <f>SUMPRODUCT(
  (TEXT(Dump!$A$2:$A994,"mmm-yy")=TEXT($Y267,"mmm-yy"))*
  (Dump!$B$2:$B994=$C267)*
  Dump!$P$2:$P994
)</f>
        <v>0</v>
      </c>
      <c r="N267" s="32"/>
      <c r="O267" s="33">
        <f>SUMIFS(Dump!$D:$D,Dump!$B:$B,$C267,Dump!$A:$A,$Y267)</f>
        <v>0</v>
      </c>
      <c r="P267" s="33">
        <f>SUMIFS(Dump!R:R,Dump!B:B,C267,Dump!A:A,Y267)</f>
        <v>0</v>
      </c>
      <c r="Q267" s="34">
        <f t="shared" si="21"/>
        <v>0</v>
      </c>
      <c r="S267" s="4">
        <f>SUMIFS(Dump!E:E,Dump!B:B,C267,Dump!A:A,Y267)</f>
        <v>0</v>
      </c>
      <c r="T267" s="35">
        <f t="shared" si="22"/>
        <v>0</v>
      </c>
      <c r="V267" s="4">
        <f>SUMIFS(Dump!P:P,Dump!B:B,C267,Dump!A:A,Y267)</f>
        <v>0</v>
      </c>
      <c r="W267" s="37">
        <f t="shared" si="23"/>
        <v>0</v>
      </c>
      <c r="X267" s="39"/>
      <c r="Y267" s="54"/>
    </row>
    <row r="268">
      <c r="C268" s="53"/>
      <c r="G268" s="2" t="str">
        <f t="shared" si="27"/>
        <v/>
      </c>
      <c r="I268" s="4">
        <f>SUMIFS(Dump!D:D,Dump!B:B,C268)</f>
        <v>0</v>
      </c>
      <c r="J268" s="5">
        <f>SUMIFS(Dump!AE:AE,Dump!B:B,C268)</f>
        <v>0</v>
      </c>
      <c r="K268" s="4">
        <f>SUMPRODUCT(
  (TEXT(Dump!$A$2:$A994,"mmm-yy")=TEXT($Y268,"mmm-yy"))*
  (Dump!$B$2:$B994=$C268)*
  Dump!$D$2:$D994)</f>
        <v>0</v>
      </c>
      <c r="L268" s="4">
        <f>SUMPRODUCT(
  (TEXT(Dump!$A$2:$A994,"mmm-yy")=TEXT($Y268,"mmm-yy"))*
  (Dump!$B$2:$B994=$C268)*
  Dump!$E$2:$E994
)</f>
        <v>0</v>
      </c>
      <c r="M268" s="4">
        <f>SUMPRODUCT(
  (TEXT(Dump!$A$2:$A994,"mmm-yy")=TEXT($Y268,"mmm-yy"))*
  (Dump!$B$2:$B994=$C268)*
  Dump!$P$2:$P994
)</f>
        <v>0</v>
      </c>
      <c r="N268" s="32"/>
      <c r="O268" s="33">
        <f>SUMIFS(Dump!$D:$D,Dump!$B:$B,$C268,Dump!$A:$A,$Y268)</f>
        <v>0</v>
      </c>
      <c r="P268" s="33">
        <f>SUMIFS(Dump!R:R,Dump!B:B,C268,Dump!A:A,Y268)</f>
        <v>0</v>
      </c>
      <c r="Q268" s="34">
        <f t="shared" si="21"/>
        <v>0</v>
      </c>
      <c r="S268" s="4">
        <f>SUMIFS(Dump!E:E,Dump!B:B,C268,Dump!A:A,Y268)</f>
        <v>0</v>
      </c>
      <c r="T268" s="35">
        <f t="shared" si="22"/>
        <v>0</v>
      </c>
      <c r="V268" s="4">
        <f>SUMIFS(Dump!P:P,Dump!B:B,C268,Dump!A:A,Y268)</f>
        <v>0</v>
      </c>
      <c r="W268" s="37">
        <f t="shared" si="23"/>
        <v>0</v>
      </c>
      <c r="X268" s="39"/>
      <c r="Y268" s="54"/>
    </row>
    <row r="269">
      <c r="C269" s="53"/>
      <c r="G269" s="2" t="str">
        <f t="shared" si="27"/>
        <v/>
      </c>
      <c r="I269" s="4">
        <f>SUMIFS(Dump!D:D,Dump!B:B,C269)</f>
        <v>0</v>
      </c>
      <c r="J269" s="5">
        <f>SUMIFS(Dump!AE:AE,Dump!B:B,C269)</f>
        <v>0</v>
      </c>
      <c r="K269" s="4">
        <f>SUMPRODUCT(
  (TEXT(Dump!$A$2:$A994,"mmm-yy")=TEXT($Y269,"mmm-yy"))*
  (Dump!$B$2:$B994=$C269)*
  Dump!$D$2:$D994)</f>
        <v>0</v>
      </c>
      <c r="L269" s="4">
        <f>SUMPRODUCT(
  (TEXT(Dump!$A$2:$A994,"mmm-yy")=TEXT($Y269,"mmm-yy"))*
  (Dump!$B$2:$B994=$C269)*
  Dump!$E$2:$E994
)</f>
        <v>0</v>
      </c>
      <c r="M269" s="4">
        <f>SUMPRODUCT(
  (TEXT(Dump!$A$2:$A994,"mmm-yy")=TEXT($Y269,"mmm-yy"))*
  (Dump!$B$2:$B994=$C269)*
  Dump!$P$2:$P994
)</f>
        <v>0</v>
      </c>
      <c r="N269" s="32"/>
      <c r="O269" s="33">
        <f>SUMIFS(Dump!$D:$D,Dump!$B:$B,$C269,Dump!$A:$A,$Y269)</f>
        <v>0</v>
      </c>
      <c r="P269" s="33">
        <f>SUMIFS(Dump!R:R,Dump!B:B,C269,Dump!A:A,Y269)</f>
        <v>0</v>
      </c>
      <c r="Q269" s="34">
        <f t="shared" si="21"/>
        <v>0</v>
      </c>
      <c r="S269" s="4">
        <f>SUMIFS(Dump!E:E,Dump!B:B,C269,Dump!A:A,Y269)</f>
        <v>0</v>
      </c>
      <c r="T269" s="35">
        <f t="shared" si="22"/>
        <v>0</v>
      </c>
      <c r="V269" s="4">
        <f>SUMIFS(Dump!P:P,Dump!B:B,C269,Dump!A:A,Y269)</f>
        <v>0</v>
      </c>
      <c r="W269" s="37">
        <f t="shared" si="23"/>
        <v>0</v>
      </c>
      <c r="X269" s="39"/>
      <c r="Y269" s="54"/>
    </row>
    <row r="270">
      <c r="C270" s="53"/>
      <c r="G270" s="2" t="str">
        <f t="shared" si="27"/>
        <v/>
      </c>
      <c r="I270" s="4">
        <f>SUMIFS(Dump!D:D,Dump!B:B,C270)</f>
        <v>0</v>
      </c>
      <c r="J270" s="5">
        <f>SUMIFS(Dump!AE:AE,Dump!B:B,C270)</f>
        <v>0</v>
      </c>
      <c r="K270" s="4">
        <f>SUMPRODUCT(
  (TEXT(Dump!$A$2:$A994,"mmm-yy")=TEXT($Y270,"mmm-yy"))*
  (Dump!$B$2:$B994=$C270)*
  Dump!$D$2:$D994)</f>
        <v>0</v>
      </c>
      <c r="L270" s="4">
        <f>SUMPRODUCT(
  (TEXT(Dump!$A$2:$A994,"mmm-yy")=TEXT($Y270,"mmm-yy"))*
  (Dump!$B$2:$B994=$C270)*
  Dump!$E$2:$E994
)</f>
        <v>0</v>
      </c>
      <c r="M270" s="4">
        <f>SUMPRODUCT(
  (TEXT(Dump!$A$2:$A994,"mmm-yy")=TEXT($Y270,"mmm-yy"))*
  (Dump!$B$2:$B994=$C270)*
  Dump!$P$2:$P994
)</f>
        <v>0</v>
      </c>
      <c r="N270" s="32"/>
      <c r="O270" s="33">
        <f>SUMIFS(Dump!$D:$D,Dump!$B:$B,$C270,Dump!$A:$A,$Y270)</f>
        <v>0</v>
      </c>
      <c r="P270" s="33">
        <f>SUMIFS(Dump!R:R,Dump!B:B,C270,Dump!A:A,Y270)</f>
        <v>0</v>
      </c>
      <c r="Q270" s="34">
        <f t="shared" si="21"/>
        <v>0</v>
      </c>
      <c r="S270" s="4">
        <f>SUMIFS(Dump!E:E,Dump!B:B,C270,Dump!A:A,Y270)</f>
        <v>0</v>
      </c>
      <c r="T270" s="35">
        <f t="shared" si="22"/>
        <v>0</v>
      </c>
      <c r="V270" s="4">
        <f>SUMIFS(Dump!P:P,Dump!B:B,C270,Dump!A:A,Y270)</f>
        <v>0</v>
      </c>
      <c r="W270" s="37">
        <f t="shared" si="23"/>
        <v>0</v>
      </c>
      <c r="X270" s="39"/>
      <c r="Y270" s="54"/>
    </row>
    <row r="271">
      <c r="C271" s="53"/>
      <c r="G271" s="2" t="str">
        <f t="shared" si="27"/>
        <v/>
      </c>
      <c r="I271" s="4">
        <f>SUMIFS(Dump!D:D,Dump!B:B,C271)</f>
        <v>0</v>
      </c>
      <c r="J271" s="5">
        <f>SUMIFS(Dump!AE:AE,Dump!B:B,C271)</f>
        <v>0</v>
      </c>
      <c r="K271" s="4">
        <f>SUMPRODUCT(
  (TEXT(Dump!$A$2:$A994,"mmm-yy")=TEXT($Y271,"mmm-yy"))*
  (Dump!$B$2:$B994=$C271)*
  Dump!$D$2:$D994)</f>
        <v>0</v>
      </c>
      <c r="L271" s="4">
        <f>SUMPRODUCT(
  (TEXT(Dump!$A$2:$A994,"mmm-yy")=TEXT($Y271,"mmm-yy"))*
  (Dump!$B$2:$B994=$C271)*
  Dump!$E$2:$E994
)</f>
        <v>0</v>
      </c>
      <c r="M271" s="4">
        <f>SUMPRODUCT(
  (TEXT(Dump!$A$2:$A994,"mmm-yy")=TEXT($Y271,"mmm-yy"))*
  (Dump!$B$2:$B994=$C271)*
  Dump!$P$2:$P994
)</f>
        <v>0</v>
      </c>
      <c r="N271" s="32"/>
      <c r="O271" s="33">
        <f>SUMIFS(Dump!$D:$D,Dump!$B:$B,$C271,Dump!$A:$A,$Y271)</f>
        <v>0</v>
      </c>
      <c r="P271" s="33">
        <f>SUMIFS(Dump!R:R,Dump!B:B,C271,Dump!A:A,Y271)</f>
        <v>0</v>
      </c>
      <c r="Q271" s="34">
        <f t="shared" si="21"/>
        <v>0</v>
      </c>
      <c r="S271" s="4">
        <f>SUMIFS(Dump!E:E,Dump!B:B,C271,Dump!A:A,Y271)</f>
        <v>0</v>
      </c>
      <c r="T271" s="35">
        <f t="shared" si="22"/>
        <v>0</v>
      </c>
      <c r="V271" s="4">
        <f>SUMIFS(Dump!P:P,Dump!B:B,C271,Dump!A:A,Y271)</f>
        <v>0</v>
      </c>
      <c r="W271" s="37">
        <f t="shared" si="23"/>
        <v>0</v>
      </c>
      <c r="X271" s="39"/>
      <c r="Y271" s="54"/>
    </row>
    <row r="272">
      <c r="C272" s="53"/>
      <c r="G272" s="2" t="str">
        <f t="shared" si="27"/>
        <v/>
      </c>
      <c r="I272" s="4">
        <f>SUMIFS(Dump!D:D,Dump!B:B,C272)</f>
        <v>0</v>
      </c>
      <c r="J272" s="5">
        <f>SUMIFS(Dump!AE:AE,Dump!B:B,C272)</f>
        <v>0</v>
      </c>
      <c r="K272" s="4">
        <f>SUMPRODUCT(
  (TEXT(Dump!$A$2:$A994,"mmm-yy")=TEXT($Y272,"mmm-yy"))*
  (Dump!$B$2:$B994=$C272)*
  Dump!$D$2:$D994)</f>
        <v>0</v>
      </c>
      <c r="L272" s="4">
        <f>SUMPRODUCT(
  (TEXT(Dump!$A$2:$A994,"mmm-yy")=TEXT($Y272,"mmm-yy"))*
  (Dump!$B$2:$B994=$C272)*
  Dump!$E$2:$E994
)</f>
        <v>0</v>
      </c>
      <c r="M272" s="4">
        <f>SUMPRODUCT(
  (TEXT(Dump!$A$2:$A994,"mmm-yy")=TEXT($Y272,"mmm-yy"))*
  (Dump!$B$2:$B994=$C272)*
  Dump!$P$2:$P994
)</f>
        <v>0</v>
      </c>
      <c r="N272" s="32"/>
      <c r="O272" s="33">
        <f>SUMIFS(Dump!$D:$D,Dump!$B:$B,$C272,Dump!$A:$A,$Y272)</f>
        <v>0</v>
      </c>
      <c r="P272" s="33">
        <f>SUMIFS(Dump!R:R,Dump!B:B,C272,Dump!A:A,Y272)</f>
        <v>0</v>
      </c>
      <c r="Q272" s="34">
        <f t="shared" si="21"/>
        <v>0</v>
      </c>
      <c r="S272" s="4">
        <f>SUMIFS(Dump!E:E,Dump!B:B,C272,Dump!A:A,Y272)</f>
        <v>0</v>
      </c>
      <c r="T272" s="35">
        <f t="shared" si="22"/>
        <v>0</v>
      </c>
      <c r="V272" s="4">
        <f>SUMIFS(Dump!P:P,Dump!B:B,C272,Dump!A:A,Y272)</f>
        <v>0</v>
      </c>
      <c r="W272" s="37">
        <f t="shared" si="23"/>
        <v>0</v>
      </c>
      <c r="X272" s="39"/>
      <c r="Y272" s="54"/>
    </row>
    <row r="273">
      <c r="C273" s="53"/>
      <c r="G273" s="2" t="str">
        <f t="shared" si="27"/>
        <v/>
      </c>
      <c r="I273" s="4">
        <f>SUMIFS(Dump!D:D,Dump!B:B,C273)</f>
        <v>0</v>
      </c>
      <c r="J273" s="5">
        <f>SUMIFS(Dump!AE:AE,Dump!B:B,C273)</f>
        <v>0</v>
      </c>
      <c r="K273" s="4">
        <f>SUMPRODUCT(
  (TEXT(Dump!$A$2:$A994,"mmm-yy")=TEXT($Y273,"mmm-yy"))*
  (Dump!$B$2:$B994=$C273)*
  Dump!$D$2:$D994)</f>
        <v>0</v>
      </c>
      <c r="L273" s="4">
        <f>SUMPRODUCT(
  (TEXT(Dump!$A$2:$A994,"mmm-yy")=TEXT($Y273,"mmm-yy"))*
  (Dump!$B$2:$B994=$C273)*
  Dump!$E$2:$E994
)</f>
        <v>0</v>
      </c>
      <c r="M273" s="4">
        <f>SUMPRODUCT(
  (TEXT(Dump!$A$2:$A994,"mmm-yy")=TEXT($Y273,"mmm-yy"))*
  (Dump!$B$2:$B994=$C273)*
  Dump!$P$2:$P994
)</f>
        <v>0</v>
      </c>
      <c r="N273" s="32"/>
      <c r="O273" s="33">
        <f>SUMIFS(Dump!$D:$D,Dump!$B:$B,$C273,Dump!$A:$A,$Y273)</f>
        <v>0</v>
      </c>
      <c r="P273" s="33">
        <f>SUMIFS(Dump!R:R,Dump!B:B,C273,Dump!A:A,Y273)</f>
        <v>0</v>
      </c>
      <c r="Q273" s="34">
        <f t="shared" si="21"/>
        <v>0</v>
      </c>
      <c r="S273" s="4">
        <f>SUMIFS(Dump!E:E,Dump!B:B,C273,Dump!A:A,Y273)</f>
        <v>0</v>
      </c>
      <c r="T273" s="35">
        <f t="shared" si="22"/>
        <v>0</v>
      </c>
      <c r="V273" s="4">
        <f>SUMIFS(Dump!P:P,Dump!B:B,C273,Dump!A:A,Y273)</f>
        <v>0</v>
      </c>
      <c r="W273" s="37">
        <f t="shared" si="23"/>
        <v>0</v>
      </c>
      <c r="X273" s="39"/>
      <c r="Y273" s="54"/>
    </row>
    <row r="274">
      <c r="C274" s="53"/>
      <c r="G274" s="2" t="str">
        <f t="shared" si="27"/>
        <v/>
      </c>
      <c r="I274" s="4">
        <f>SUMIFS(Dump!D:D,Dump!B:B,C274)</f>
        <v>0</v>
      </c>
      <c r="J274" s="5">
        <f>SUMIFS(Dump!AE:AE,Dump!B:B,C274)</f>
        <v>0</v>
      </c>
      <c r="K274" s="4">
        <f>SUMPRODUCT(
  (TEXT(Dump!$A$2:$A994,"mmm-yy")=TEXT($Y274,"mmm-yy"))*
  (Dump!$B$2:$B994=$C274)*
  Dump!$D$2:$D994)</f>
        <v>0</v>
      </c>
      <c r="L274" s="4">
        <f>SUMPRODUCT(
  (TEXT(Dump!$A$2:$A994,"mmm-yy")=TEXT($Y274,"mmm-yy"))*
  (Dump!$B$2:$B994=$C274)*
  Dump!$E$2:$E994
)</f>
        <v>0</v>
      </c>
      <c r="M274" s="4">
        <f>SUMPRODUCT(
  (TEXT(Dump!$A$2:$A994,"mmm-yy")=TEXT($Y274,"mmm-yy"))*
  (Dump!$B$2:$B994=$C274)*
  Dump!$P$2:$P994
)</f>
        <v>0</v>
      </c>
      <c r="N274" s="32"/>
      <c r="O274" s="33">
        <f>SUMIFS(Dump!$D:$D,Dump!$B:$B,$C274,Dump!$A:$A,$Y274)</f>
        <v>0</v>
      </c>
      <c r="P274" s="33">
        <f>SUMIFS(Dump!R:R,Dump!B:B,C274,Dump!A:A,Y274)</f>
        <v>0</v>
      </c>
      <c r="Q274" s="34">
        <f t="shared" si="21"/>
        <v>0</v>
      </c>
      <c r="S274" s="4">
        <f>SUMIFS(Dump!E:E,Dump!B:B,C274,Dump!A:A,Y274)</f>
        <v>0</v>
      </c>
      <c r="T274" s="35">
        <f t="shared" si="22"/>
        <v>0</v>
      </c>
      <c r="V274" s="4">
        <f>SUMIFS(Dump!P:P,Dump!B:B,C274,Dump!A:A,Y274)</f>
        <v>0</v>
      </c>
      <c r="W274" s="37">
        <f t="shared" si="23"/>
        <v>0</v>
      </c>
      <c r="X274" s="39"/>
      <c r="Y274" s="54"/>
    </row>
    <row r="275">
      <c r="C275" s="53"/>
      <c r="G275" s="2" t="str">
        <f t="shared" si="27"/>
        <v/>
      </c>
      <c r="I275" s="4">
        <f>SUMIFS(Dump!D:D,Dump!B:B,C275)</f>
        <v>0</v>
      </c>
      <c r="J275" s="5">
        <f>SUMIFS(Dump!AE:AE,Dump!B:B,C275)</f>
        <v>0</v>
      </c>
      <c r="K275" s="4">
        <f>SUMPRODUCT(
  (TEXT(Dump!$A$2:$A994,"mmm-yy")=TEXT($Y275,"mmm-yy"))*
  (Dump!$B$2:$B994=$C275)*
  Dump!$D$2:$D994)</f>
        <v>0</v>
      </c>
      <c r="L275" s="4">
        <f>SUMPRODUCT(
  (TEXT(Dump!$A$2:$A994,"mmm-yy")=TEXT($Y275,"mmm-yy"))*
  (Dump!$B$2:$B994=$C275)*
  Dump!$E$2:$E994
)</f>
        <v>0</v>
      </c>
      <c r="M275" s="4">
        <f>SUMPRODUCT(
  (TEXT(Dump!$A$2:$A994,"mmm-yy")=TEXT($Y275,"mmm-yy"))*
  (Dump!$B$2:$B994=$C275)*
  Dump!$P$2:$P994
)</f>
        <v>0</v>
      </c>
      <c r="N275" s="32"/>
      <c r="O275" s="33">
        <f>SUMIFS(Dump!$D:$D,Dump!$B:$B,$C275,Dump!$A:$A,$Y275)</f>
        <v>0</v>
      </c>
      <c r="P275" s="33">
        <f>SUMIFS(Dump!R:R,Dump!B:B,C275,Dump!A:A,Y275)</f>
        <v>0</v>
      </c>
      <c r="Q275" s="34">
        <f t="shared" si="21"/>
        <v>0</v>
      </c>
      <c r="S275" s="4">
        <f>SUMIFS(Dump!E:E,Dump!B:B,C275,Dump!A:A,Y275)</f>
        <v>0</v>
      </c>
      <c r="T275" s="35">
        <f t="shared" si="22"/>
        <v>0</v>
      </c>
      <c r="V275" s="4">
        <f>SUMIFS(Dump!P:P,Dump!B:B,C275,Dump!A:A,Y275)</f>
        <v>0</v>
      </c>
      <c r="W275" s="37">
        <f t="shared" si="23"/>
        <v>0</v>
      </c>
      <c r="X275" s="39"/>
      <c r="Y275" s="54"/>
    </row>
    <row r="276">
      <c r="C276" s="53"/>
      <c r="G276" s="2" t="str">
        <f t="shared" si="27"/>
        <v/>
      </c>
      <c r="I276" s="4">
        <f>SUMIFS(Dump!D:D,Dump!B:B,C276)</f>
        <v>0</v>
      </c>
      <c r="J276" s="5">
        <f>SUMIFS(Dump!AE:AE,Dump!B:B,C276)</f>
        <v>0</v>
      </c>
      <c r="K276" s="4">
        <f>SUMPRODUCT(
  (TEXT(Dump!$A$2:$A994,"mmm-yy")=TEXT($Y276,"mmm-yy"))*
  (Dump!$B$2:$B994=$C276)*
  Dump!$D$2:$D994)</f>
        <v>0</v>
      </c>
      <c r="L276" s="4">
        <f>SUMPRODUCT(
  (TEXT(Dump!$A$2:$A994,"mmm-yy")=TEXT($Y276,"mmm-yy"))*
  (Dump!$B$2:$B994=$C276)*
  Dump!$E$2:$E994
)</f>
        <v>0</v>
      </c>
      <c r="M276" s="4">
        <f>SUMPRODUCT(
  (TEXT(Dump!$A$2:$A994,"mmm-yy")=TEXT($Y276,"mmm-yy"))*
  (Dump!$B$2:$B994=$C276)*
  Dump!$P$2:$P994
)</f>
        <v>0</v>
      </c>
      <c r="N276" s="32"/>
      <c r="O276" s="33">
        <f>SUMIFS(Dump!$D:$D,Dump!$B:$B,$C276,Dump!$A:$A,$Y276)</f>
        <v>0</v>
      </c>
      <c r="P276" s="33">
        <f>SUMIFS(Dump!R:R,Dump!B:B,C276,Dump!A:A,Y276)</f>
        <v>0</v>
      </c>
      <c r="Q276" s="34">
        <f t="shared" si="21"/>
        <v>0</v>
      </c>
      <c r="S276" s="4">
        <f>SUMIFS(Dump!E:E,Dump!B:B,C276,Dump!A:A,Y276)</f>
        <v>0</v>
      </c>
      <c r="T276" s="35">
        <f t="shared" si="22"/>
        <v>0</v>
      </c>
      <c r="V276" s="4">
        <f>SUMIFS(Dump!P:P,Dump!B:B,C276,Dump!A:A,Y276)</f>
        <v>0</v>
      </c>
      <c r="W276" s="37">
        <f t="shared" si="23"/>
        <v>0</v>
      </c>
      <c r="X276" s="39"/>
      <c r="Y276" s="54"/>
    </row>
    <row r="277">
      <c r="C277" s="53"/>
      <c r="G277" s="2" t="str">
        <f t="shared" si="27"/>
        <v/>
      </c>
      <c r="I277" s="4">
        <f>SUMIFS(Dump!D:D,Dump!B:B,C277)</f>
        <v>0</v>
      </c>
      <c r="J277" s="5">
        <f>SUMIFS(Dump!AE:AE,Dump!B:B,C277)</f>
        <v>0</v>
      </c>
      <c r="K277" s="4">
        <f>SUMPRODUCT(
  (TEXT(Dump!$A$2:$A994,"mmm-yy")=TEXT($Y277,"mmm-yy"))*
  (Dump!$B$2:$B994=$C277)*
  Dump!$D$2:$D994)</f>
        <v>0</v>
      </c>
      <c r="L277" s="4">
        <f>SUMPRODUCT(
  (TEXT(Dump!$A$2:$A994,"mmm-yy")=TEXT($Y277,"mmm-yy"))*
  (Dump!$B$2:$B994=$C277)*
  Dump!$E$2:$E994
)</f>
        <v>0</v>
      </c>
      <c r="M277" s="4">
        <f>SUMPRODUCT(
  (TEXT(Dump!$A$2:$A994,"mmm-yy")=TEXT($Y277,"mmm-yy"))*
  (Dump!$B$2:$B994=$C277)*
  Dump!$P$2:$P994
)</f>
        <v>0</v>
      </c>
      <c r="N277" s="32"/>
      <c r="O277" s="33">
        <f>SUMIFS(Dump!$D:$D,Dump!$B:$B,$C277,Dump!$A:$A,$Y277)</f>
        <v>0</v>
      </c>
      <c r="P277" s="33">
        <f>SUMIFS(Dump!R:R,Dump!B:B,C277,Dump!A:A,Y277)</f>
        <v>0</v>
      </c>
      <c r="Q277" s="34">
        <f t="shared" si="21"/>
        <v>0</v>
      </c>
      <c r="S277" s="4">
        <f>SUMIFS(Dump!E:E,Dump!B:B,C277,Dump!A:A,Y277)</f>
        <v>0</v>
      </c>
      <c r="T277" s="35">
        <f t="shared" si="22"/>
        <v>0</v>
      </c>
      <c r="V277" s="4">
        <f>SUMIFS(Dump!P:P,Dump!B:B,C277,Dump!A:A,Y277)</f>
        <v>0</v>
      </c>
      <c r="W277" s="37">
        <f t="shared" si="23"/>
        <v>0</v>
      </c>
      <c r="X277" s="39"/>
      <c r="Y277" s="54"/>
    </row>
    <row r="278">
      <c r="C278" s="53"/>
      <c r="G278" s="2" t="str">
        <f t="shared" si="27"/>
        <v/>
      </c>
      <c r="I278" s="4">
        <f>SUMIFS(Dump!D:D,Dump!B:B,C278)</f>
        <v>0</v>
      </c>
      <c r="J278" s="5">
        <f>SUMIFS(Dump!AE:AE,Dump!B:B,C278)</f>
        <v>0</v>
      </c>
      <c r="K278" s="4">
        <f>SUMPRODUCT(
  (TEXT(Dump!$A$2:$A994,"mmm-yy")=TEXT($Y278,"mmm-yy"))*
  (Dump!$B$2:$B994=$C278)*
  Dump!$D$2:$D994)</f>
        <v>0</v>
      </c>
      <c r="L278" s="4">
        <f>SUMPRODUCT(
  (TEXT(Dump!$A$2:$A994,"mmm-yy")=TEXT($Y278,"mmm-yy"))*
  (Dump!$B$2:$B994=$C278)*
  Dump!$E$2:$E994
)</f>
        <v>0</v>
      </c>
      <c r="M278" s="4">
        <f>SUMPRODUCT(
  (TEXT(Dump!$A$2:$A994,"mmm-yy")=TEXT($Y278,"mmm-yy"))*
  (Dump!$B$2:$B994=$C278)*
  Dump!$P$2:$P994
)</f>
        <v>0</v>
      </c>
      <c r="N278" s="32"/>
      <c r="O278" s="33">
        <f>SUMIFS(Dump!$D:$D,Dump!$B:$B,$C278,Dump!$A:$A,$Y278)</f>
        <v>0</v>
      </c>
      <c r="P278" s="33">
        <f>SUMIFS(Dump!R:R,Dump!B:B,C278,Dump!A:A,Y278)</f>
        <v>0</v>
      </c>
      <c r="Q278" s="34">
        <f t="shared" si="21"/>
        <v>0</v>
      </c>
      <c r="S278" s="4">
        <f>SUMIFS(Dump!E:E,Dump!B:B,C278,Dump!A:A,Y278)</f>
        <v>0</v>
      </c>
      <c r="T278" s="35">
        <f t="shared" si="22"/>
        <v>0</v>
      </c>
      <c r="V278" s="4">
        <f>SUMIFS(Dump!P:P,Dump!B:B,C278,Dump!A:A,Y278)</f>
        <v>0</v>
      </c>
      <c r="W278" s="37">
        <f t="shared" si="23"/>
        <v>0</v>
      </c>
      <c r="X278" s="39"/>
      <c r="Y278" s="54"/>
    </row>
    <row r="279">
      <c r="C279" s="53"/>
      <c r="G279" s="2" t="str">
        <f t="shared" si="27"/>
        <v/>
      </c>
      <c r="I279" s="4">
        <f>SUMIFS(Dump!D:D,Dump!B:B,C279)</f>
        <v>0</v>
      </c>
      <c r="J279" s="5">
        <f>SUMIFS(Dump!AE:AE,Dump!B:B,C279)</f>
        <v>0</v>
      </c>
      <c r="K279" s="4">
        <f>SUMPRODUCT(
  (TEXT(Dump!$A$2:$A994,"mmm-yy")=TEXT($Y279,"mmm-yy"))*
  (Dump!$B$2:$B994=$C279)*
  Dump!$D$2:$D994)</f>
        <v>0</v>
      </c>
      <c r="L279" s="4">
        <f>SUMPRODUCT(
  (TEXT(Dump!$A$2:$A994,"mmm-yy")=TEXT($Y279,"mmm-yy"))*
  (Dump!$B$2:$B994=$C279)*
  Dump!$E$2:$E994
)</f>
        <v>0</v>
      </c>
      <c r="M279" s="4">
        <f>SUMPRODUCT(
  (TEXT(Dump!$A$2:$A994,"mmm-yy")=TEXT($Y279,"mmm-yy"))*
  (Dump!$B$2:$B994=$C279)*
  Dump!$P$2:$P994
)</f>
        <v>0</v>
      </c>
      <c r="N279" s="32"/>
      <c r="O279" s="33">
        <f>SUMIFS(Dump!$D:$D,Dump!$B:$B,$C279,Dump!$A:$A,$Y279)</f>
        <v>0</v>
      </c>
      <c r="P279" s="33">
        <f>SUMIFS(Dump!R:R,Dump!B:B,C279,Dump!A:A,Y279)</f>
        <v>0</v>
      </c>
      <c r="Q279" s="34">
        <f t="shared" si="21"/>
        <v>0</v>
      </c>
      <c r="S279" s="4">
        <f>SUMIFS(Dump!E:E,Dump!B:B,C279,Dump!A:A,Y279)</f>
        <v>0</v>
      </c>
      <c r="T279" s="35">
        <f t="shared" si="22"/>
        <v>0</v>
      </c>
      <c r="V279" s="4">
        <f>SUMIFS(Dump!P:P,Dump!B:B,C279,Dump!A:A,Y279)</f>
        <v>0</v>
      </c>
      <c r="W279" s="37">
        <f t="shared" si="23"/>
        <v>0</v>
      </c>
      <c r="X279" s="39"/>
      <c r="Y279" s="54"/>
    </row>
    <row r="280">
      <c r="C280" s="53"/>
      <c r="G280" s="2" t="str">
        <f t="shared" si="27"/>
        <v/>
      </c>
      <c r="I280" s="4">
        <f>SUMIFS(Dump!D:D,Dump!B:B,C280)</f>
        <v>0</v>
      </c>
      <c r="J280" s="5">
        <f>SUMIFS(Dump!AE:AE,Dump!B:B,C280)</f>
        <v>0</v>
      </c>
      <c r="K280" s="4">
        <f>SUMPRODUCT(
  (TEXT(Dump!$A$2:$A994,"mmm-yy")=TEXT($Y280,"mmm-yy"))*
  (Dump!$B$2:$B994=$C280)*
  Dump!$D$2:$D994)</f>
        <v>0</v>
      </c>
      <c r="L280" s="4">
        <f>SUMPRODUCT(
  (TEXT(Dump!$A$2:$A994,"mmm-yy")=TEXT($Y280,"mmm-yy"))*
  (Dump!$B$2:$B994=$C280)*
  Dump!$E$2:$E994
)</f>
        <v>0</v>
      </c>
      <c r="M280" s="4">
        <f>SUMPRODUCT(
  (TEXT(Dump!$A$2:$A994,"mmm-yy")=TEXT($Y280,"mmm-yy"))*
  (Dump!$B$2:$B994=$C280)*
  Dump!$P$2:$P994
)</f>
        <v>0</v>
      </c>
      <c r="N280" s="32"/>
      <c r="O280" s="33">
        <f>SUMIFS(Dump!$D:$D,Dump!$B:$B,$C280,Dump!$A:$A,$Y280)</f>
        <v>0</v>
      </c>
      <c r="P280" s="33">
        <f>SUMIFS(Dump!R:R,Dump!B:B,C280,Dump!A:A,Y280)</f>
        <v>0</v>
      </c>
      <c r="Q280" s="34">
        <f t="shared" si="21"/>
        <v>0</v>
      </c>
      <c r="S280" s="4">
        <f>SUMIFS(Dump!E:E,Dump!B:B,C280,Dump!A:A,Y280)</f>
        <v>0</v>
      </c>
      <c r="T280" s="35">
        <f t="shared" si="22"/>
        <v>0</v>
      </c>
      <c r="V280" s="4">
        <f>SUMIFS(Dump!P:P,Dump!B:B,C280,Dump!A:A,Y280)</f>
        <v>0</v>
      </c>
      <c r="W280" s="37">
        <f t="shared" si="23"/>
        <v>0</v>
      </c>
      <c r="X280" s="39"/>
      <c r="Y280" s="54"/>
    </row>
    <row r="281">
      <c r="C281" s="53"/>
      <c r="G281" s="2" t="str">
        <f t="shared" si="27"/>
        <v/>
      </c>
      <c r="I281" s="4">
        <f>SUMIFS(Dump!D:D,Dump!B:B,C281)</f>
        <v>0</v>
      </c>
      <c r="J281" s="5">
        <f>SUMIFS(Dump!AE:AE,Dump!B:B,C281)</f>
        <v>0</v>
      </c>
      <c r="K281" s="4">
        <f>SUMPRODUCT(
  (TEXT(Dump!$A$2:$A994,"mmm-yy")=TEXT($Y281,"mmm-yy"))*
  (Dump!$B$2:$B994=$C281)*
  Dump!$D$2:$D994)</f>
        <v>0</v>
      </c>
      <c r="L281" s="4">
        <f>SUMPRODUCT(
  (TEXT(Dump!$A$2:$A994,"mmm-yy")=TEXT($Y281,"mmm-yy"))*
  (Dump!$B$2:$B994=$C281)*
  Dump!$E$2:$E994
)</f>
        <v>0</v>
      </c>
      <c r="M281" s="4">
        <f>SUMPRODUCT(
  (TEXT(Dump!$A$2:$A994,"mmm-yy")=TEXT($Y281,"mmm-yy"))*
  (Dump!$B$2:$B994=$C281)*
  Dump!$P$2:$P994
)</f>
        <v>0</v>
      </c>
      <c r="N281" s="32"/>
      <c r="O281" s="33">
        <f>SUMIFS(Dump!$D:$D,Dump!$B:$B,$C281,Dump!$A:$A,$Y281)</f>
        <v>0</v>
      </c>
      <c r="P281" s="33">
        <f>SUMIFS(Dump!R:R,Dump!B:B,C281,Dump!A:A,Y281)</f>
        <v>0</v>
      </c>
      <c r="Q281" s="34">
        <f t="shared" si="21"/>
        <v>0</v>
      </c>
      <c r="S281" s="4">
        <f>SUMIFS(Dump!E:E,Dump!B:B,C281,Dump!A:A,Y281)</f>
        <v>0</v>
      </c>
      <c r="T281" s="35">
        <f t="shared" si="22"/>
        <v>0</v>
      </c>
      <c r="V281" s="4">
        <f>SUMIFS(Dump!P:P,Dump!B:B,C281,Dump!A:A,Y281)</f>
        <v>0</v>
      </c>
      <c r="W281" s="37">
        <f t="shared" si="23"/>
        <v>0</v>
      </c>
      <c r="X281" s="39"/>
      <c r="Y281" s="54"/>
    </row>
    <row r="282">
      <c r="C282" s="53"/>
      <c r="G282" s="2" t="str">
        <f t="shared" si="27"/>
        <v/>
      </c>
      <c r="I282" s="4">
        <f>SUMIFS(Dump!D:D,Dump!B:B,C282)</f>
        <v>0</v>
      </c>
      <c r="J282" s="5">
        <f>SUMIFS(Dump!AE:AE,Dump!B:B,C282)</f>
        <v>0</v>
      </c>
      <c r="K282" s="4">
        <f>SUMPRODUCT(
  (TEXT(Dump!$A$2:$A994,"mmm-yy")=TEXT($Y282,"mmm-yy"))*
  (Dump!$B$2:$B994=$C282)*
  Dump!$D$2:$D994)</f>
        <v>0</v>
      </c>
      <c r="L282" s="4">
        <f>SUMPRODUCT(
  (TEXT(Dump!$A$2:$A994,"mmm-yy")=TEXT($Y282,"mmm-yy"))*
  (Dump!$B$2:$B994=$C282)*
  Dump!$E$2:$E994
)</f>
        <v>0</v>
      </c>
      <c r="M282" s="4">
        <f>SUMPRODUCT(
  (TEXT(Dump!$A$2:$A994,"mmm-yy")=TEXT($Y282,"mmm-yy"))*
  (Dump!$B$2:$B994=$C282)*
  Dump!$P$2:$P994
)</f>
        <v>0</v>
      </c>
      <c r="N282" s="32"/>
      <c r="O282" s="33">
        <f>SUMIFS(Dump!$D:$D,Dump!$B:$B,$C282,Dump!$A:$A,$Y282)</f>
        <v>0</v>
      </c>
      <c r="P282" s="33">
        <f>SUMIFS(Dump!R:R,Dump!B:B,C282,Dump!A:A,Y282)</f>
        <v>0</v>
      </c>
      <c r="Q282" s="34">
        <f t="shared" si="21"/>
        <v>0</v>
      </c>
      <c r="S282" s="4">
        <f>SUMIFS(Dump!E:E,Dump!B:B,C282,Dump!A:A,Y282)</f>
        <v>0</v>
      </c>
      <c r="T282" s="35">
        <f t="shared" si="22"/>
        <v>0</v>
      </c>
      <c r="V282" s="4">
        <f>SUMIFS(Dump!P:P,Dump!B:B,C282,Dump!A:A,Y282)</f>
        <v>0</v>
      </c>
      <c r="W282" s="37">
        <f t="shared" si="23"/>
        <v>0</v>
      </c>
      <c r="X282" s="39"/>
      <c r="Y282" s="54"/>
    </row>
    <row r="283">
      <c r="C283" s="53"/>
      <c r="G283" s="2" t="str">
        <f t="shared" si="27"/>
        <v/>
      </c>
      <c r="I283" s="4">
        <f>SUMIFS(Dump!D:D,Dump!B:B,C283)</f>
        <v>0</v>
      </c>
      <c r="J283" s="5">
        <f>SUMIFS(Dump!AE:AE,Dump!B:B,C283)</f>
        <v>0</v>
      </c>
      <c r="K283" s="4">
        <f>SUMPRODUCT(
  (TEXT(Dump!$A$2:$A994,"mmm-yy")=TEXT($Y283,"mmm-yy"))*
  (Dump!$B$2:$B994=$C283)*
  Dump!$D$2:$D994)</f>
        <v>0</v>
      </c>
      <c r="L283" s="4">
        <f>SUMPRODUCT(
  (TEXT(Dump!$A$2:$A994,"mmm-yy")=TEXT($Y283,"mmm-yy"))*
  (Dump!$B$2:$B994=$C283)*
  Dump!$E$2:$E994
)</f>
        <v>0</v>
      </c>
      <c r="M283" s="4">
        <f>SUMPRODUCT(
  (TEXT(Dump!$A$2:$A994,"mmm-yy")=TEXT($Y283,"mmm-yy"))*
  (Dump!$B$2:$B994=$C283)*
  Dump!$P$2:$P994
)</f>
        <v>0</v>
      </c>
      <c r="N283" s="32"/>
      <c r="O283" s="33">
        <f>SUMIFS(Dump!$D:$D,Dump!$B:$B,$C283,Dump!$A:$A,$Y283)</f>
        <v>0</v>
      </c>
      <c r="P283" s="33">
        <f>SUMIFS(Dump!R:R,Dump!B:B,C283,Dump!A:A,Y283)</f>
        <v>0</v>
      </c>
      <c r="Q283" s="34">
        <f t="shared" si="21"/>
        <v>0</v>
      </c>
      <c r="S283" s="4">
        <f>SUMIFS(Dump!E:E,Dump!B:B,C283,Dump!A:A,Y283)</f>
        <v>0</v>
      </c>
      <c r="T283" s="35">
        <f t="shared" si="22"/>
        <v>0</v>
      </c>
      <c r="V283" s="4">
        <f>SUMIFS(Dump!P:P,Dump!B:B,C283,Dump!A:A,Y283)</f>
        <v>0</v>
      </c>
      <c r="W283" s="37">
        <f t="shared" si="23"/>
        <v>0</v>
      </c>
      <c r="X283" s="39"/>
      <c r="Y283" s="54"/>
    </row>
    <row r="284">
      <c r="C284" s="53"/>
      <c r="G284" s="2" t="str">
        <f t="shared" si="27"/>
        <v/>
      </c>
      <c r="I284" s="4">
        <f>SUMIFS(Dump!D:D,Dump!B:B,C284)</f>
        <v>0</v>
      </c>
      <c r="J284" s="5">
        <f>SUMIFS(Dump!AE:AE,Dump!B:B,C284)</f>
        <v>0</v>
      </c>
      <c r="K284" s="4">
        <f>SUMPRODUCT(
  (TEXT(Dump!$A$2:$A994,"mmm-yy")=TEXT($Y284,"mmm-yy"))*
  (Dump!$B$2:$B994=$C284)*
  Dump!$D$2:$D994)</f>
        <v>0</v>
      </c>
      <c r="L284" s="4">
        <f>SUMPRODUCT(
  (TEXT(Dump!$A$2:$A994,"mmm-yy")=TEXT($Y284,"mmm-yy"))*
  (Dump!$B$2:$B994=$C284)*
  Dump!$E$2:$E994
)</f>
        <v>0</v>
      </c>
      <c r="M284" s="4">
        <f>SUMPRODUCT(
  (TEXT(Dump!$A$2:$A994,"mmm-yy")=TEXT($Y284,"mmm-yy"))*
  (Dump!$B$2:$B994=$C284)*
  Dump!$P$2:$P994
)</f>
        <v>0</v>
      </c>
      <c r="N284" s="32"/>
      <c r="O284" s="33">
        <f>SUMIFS(Dump!$D:$D,Dump!$B:$B,$C284,Dump!$A:$A,$Y284)</f>
        <v>0</v>
      </c>
      <c r="P284" s="33">
        <f>SUMIFS(Dump!R:R,Dump!B:B,C284,Dump!A:A,Y284)</f>
        <v>0</v>
      </c>
      <c r="Q284" s="34">
        <f t="shared" si="21"/>
        <v>0</v>
      </c>
      <c r="S284" s="4">
        <f>SUMIFS(Dump!E:E,Dump!B:B,C284,Dump!A:A,Y284)</f>
        <v>0</v>
      </c>
      <c r="T284" s="35">
        <f t="shared" si="22"/>
        <v>0</v>
      </c>
      <c r="V284" s="4">
        <f>SUMIFS(Dump!P:P,Dump!B:B,C284,Dump!A:A,Y284)</f>
        <v>0</v>
      </c>
      <c r="W284" s="37">
        <f t="shared" si="23"/>
        <v>0</v>
      </c>
      <c r="X284" s="39"/>
      <c r="Y284" s="54"/>
    </row>
    <row r="285">
      <c r="C285" s="53"/>
      <c r="G285" s="2" t="str">
        <f t="shared" si="27"/>
        <v/>
      </c>
      <c r="I285" s="4">
        <f>SUMIFS(Dump!D:D,Dump!B:B,C285)</f>
        <v>0</v>
      </c>
      <c r="J285" s="5">
        <f>SUMIFS(Dump!AE:AE,Dump!B:B,C285)</f>
        <v>0</v>
      </c>
      <c r="K285" s="4">
        <f>SUMPRODUCT(
  (TEXT(Dump!$A$2:$A994,"mmm-yy")=TEXT($Y285,"mmm-yy"))*
  (Dump!$B$2:$B994=$C285)*
  Dump!$D$2:$D994)</f>
        <v>0</v>
      </c>
      <c r="L285" s="4">
        <f>SUMPRODUCT(
  (TEXT(Dump!$A$2:$A994,"mmm-yy")=TEXT($Y285,"mmm-yy"))*
  (Dump!$B$2:$B994=$C285)*
  Dump!$E$2:$E994
)</f>
        <v>0</v>
      </c>
      <c r="M285" s="4">
        <f>SUMPRODUCT(
  (TEXT(Dump!$A$2:$A994,"mmm-yy")=TEXT($Y285,"mmm-yy"))*
  (Dump!$B$2:$B994=$C285)*
  Dump!$P$2:$P994
)</f>
        <v>0</v>
      </c>
      <c r="N285" s="32"/>
      <c r="O285" s="33">
        <f>SUMIFS(Dump!$D:$D,Dump!$B:$B,$C285,Dump!$A:$A,$Y285)</f>
        <v>0</v>
      </c>
      <c r="P285" s="33">
        <f>SUMIFS(Dump!R:R,Dump!B:B,C285,Dump!A:A,Y285)</f>
        <v>0</v>
      </c>
      <c r="Q285" s="34">
        <f t="shared" si="21"/>
        <v>0</v>
      </c>
      <c r="S285" s="4">
        <f>SUMIFS(Dump!E:E,Dump!B:B,C285,Dump!A:A,Y285)</f>
        <v>0</v>
      </c>
      <c r="T285" s="35">
        <f t="shared" si="22"/>
        <v>0</v>
      </c>
      <c r="V285" s="4">
        <f>SUMIFS(Dump!P:P,Dump!B:B,C285,Dump!A:A,Y285)</f>
        <v>0</v>
      </c>
      <c r="W285" s="37">
        <f t="shared" si="23"/>
        <v>0</v>
      </c>
      <c r="X285" s="39"/>
      <c r="Y285" s="54"/>
    </row>
    <row r="286">
      <c r="C286" s="53"/>
      <c r="G286" s="2" t="str">
        <f t="shared" si="27"/>
        <v/>
      </c>
      <c r="I286" s="4">
        <f>SUMIFS(Dump!D:D,Dump!B:B,C286)</f>
        <v>0</v>
      </c>
      <c r="J286" s="5">
        <f>SUMIFS(Dump!AE:AE,Dump!B:B,C286)</f>
        <v>0</v>
      </c>
      <c r="K286" s="4">
        <f>SUMPRODUCT(
  (TEXT(Dump!$A$2:$A994,"mmm-yy")=TEXT($Y286,"mmm-yy"))*
  (Dump!$B$2:$B994=$C286)*
  Dump!$D$2:$D994)</f>
        <v>0</v>
      </c>
      <c r="L286" s="4">
        <f>SUMPRODUCT(
  (TEXT(Dump!$A$2:$A994,"mmm-yy")=TEXT($Y286,"mmm-yy"))*
  (Dump!$B$2:$B994=$C286)*
  Dump!$E$2:$E994
)</f>
        <v>0</v>
      </c>
      <c r="M286" s="4">
        <f>SUMPRODUCT(
  (TEXT(Dump!$A$2:$A994,"mmm-yy")=TEXT($Y286,"mmm-yy"))*
  (Dump!$B$2:$B994=$C286)*
  Dump!$P$2:$P994
)</f>
        <v>0</v>
      </c>
      <c r="N286" s="32"/>
      <c r="O286" s="33">
        <f>SUMIFS(Dump!$D:$D,Dump!$B:$B,$C286,Dump!$A:$A,$Y286)</f>
        <v>0</v>
      </c>
      <c r="P286" s="33">
        <f>SUMIFS(Dump!R:R,Dump!B:B,C286,Dump!A:A,Y286)</f>
        <v>0</v>
      </c>
      <c r="Q286" s="34">
        <f t="shared" si="21"/>
        <v>0</v>
      </c>
      <c r="S286" s="4">
        <f>SUMIFS(Dump!E:E,Dump!B:B,C286,Dump!A:A,Y286)</f>
        <v>0</v>
      </c>
      <c r="T286" s="35">
        <f t="shared" si="22"/>
        <v>0</v>
      </c>
      <c r="V286" s="4">
        <f>SUMIFS(Dump!P:P,Dump!B:B,C286,Dump!A:A,Y286)</f>
        <v>0</v>
      </c>
      <c r="W286" s="37">
        <f t="shared" si="23"/>
        <v>0</v>
      </c>
      <c r="X286" s="39"/>
      <c r="Y286" s="54"/>
    </row>
    <row r="287">
      <c r="C287" s="53"/>
      <c r="G287" s="2" t="str">
        <f t="shared" si="27"/>
        <v/>
      </c>
      <c r="I287" s="4">
        <f>SUMIFS(Dump!D:D,Dump!B:B,C287)</f>
        <v>0</v>
      </c>
      <c r="J287" s="5">
        <f>SUMIFS(Dump!AE:AE,Dump!B:B,C287)</f>
        <v>0</v>
      </c>
      <c r="K287" s="4">
        <f>SUMPRODUCT(
  (TEXT(Dump!$A$2:$A994,"mmm-yy")=TEXT($Y287,"mmm-yy"))*
  (Dump!$B$2:$B994=$C287)*
  Dump!$D$2:$D994)</f>
        <v>0</v>
      </c>
      <c r="L287" s="4">
        <f>SUMPRODUCT(
  (TEXT(Dump!$A$2:$A994,"mmm-yy")=TEXT($Y287,"mmm-yy"))*
  (Dump!$B$2:$B994=$C287)*
  Dump!$E$2:$E994
)</f>
        <v>0</v>
      </c>
      <c r="M287" s="4">
        <f>SUMPRODUCT(
  (TEXT(Dump!$A$2:$A994,"mmm-yy")=TEXT($Y287,"mmm-yy"))*
  (Dump!$B$2:$B994=$C287)*
  Dump!$P$2:$P994
)</f>
        <v>0</v>
      </c>
      <c r="N287" s="32"/>
      <c r="O287" s="33">
        <f>SUMIFS(Dump!$D:$D,Dump!$B:$B,$C287,Dump!$A:$A,$Y287)</f>
        <v>0</v>
      </c>
      <c r="P287" s="33">
        <f>SUMIFS(Dump!R:R,Dump!B:B,C287,Dump!A:A,Y287)</f>
        <v>0</v>
      </c>
      <c r="Q287" s="34">
        <f t="shared" si="21"/>
        <v>0</v>
      </c>
      <c r="S287" s="4">
        <f>SUMIFS(Dump!E:E,Dump!B:B,C287,Dump!A:A,Y287)</f>
        <v>0</v>
      </c>
      <c r="T287" s="35">
        <f t="shared" si="22"/>
        <v>0</v>
      </c>
      <c r="V287" s="4">
        <f>SUMIFS(Dump!P:P,Dump!B:B,C287,Dump!A:A,Y287)</f>
        <v>0</v>
      </c>
      <c r="W287" s="37">
        <f t="shared" si="23"/>
        <v>0</v>
      </c>
      <c r="X287" s="39"/>
      <c r="Y287" s="54"/>
    </row>
    <row r="288">
      <c r="C288" s="53"/>
      <c r="G288" s="2" t="str">
        <f t="shared" si="27"/>
        <v/>
      </c>
      <c r="I288" s="4">
        <f>SUMIFS(Dump!D:D,Dump!B:B,C288)</f>
        <v>0</v>
      </c>
      <c r="J288" s="5">
        <f>SUMIFS(Dump!AE:AE,Dump!B:B,C288)</f>
        <v>0</v>
      </c>
      <c r="K288" s="4">
        <f>SUMPRODUCT(
  (TEXT(Dump!$A$2:$A994,"mmm-yy")=TEXT($Y288,"mmm-yy"))*
  (Dump!$B$2:$B994=$C288)*
  Dump!$D$2:$D994)</f>
        <v>0</v>
      </c>
      <c r="L288" s="4">
        <f>SUMPRODUCT(
  (TEXT(Dump!$A$2:$A994,"mmm-yy")=TEXT($Y288,"mmm-yy"))*
  (Dump!$B$2:$B994=$C288)*
  Dump!$E$2:$E994
)</f>
        <v>0</v>
      </c>
      <c r="M288" s="4">
        <f>SUMPRODUCT(
  (TEXT(Dump!$A$2:$A994,"mmm-yy")=TEXT($Y288,"mmm-yy"))*
  (Dump!$B$2:$B994=$C288)*
  Dump!$P$2:$P994
)</f>
        <v>0</v>
      </c>
      <c r="N288" s="32"/>
      <c r="O288" s="33">
        <f>SUMIFS(Dump!$D:$D,Dump!$B:$B,$C288,Dump!$A:$A,$Y288)</f>
        <v>0</v>
      </c>
      <c r="P288" s="33">
        <f>SUMIFS(Dump!R:R,Dump!B:B,C288,Dump!A:A,Y288)</f>
        <v>0</v>
      </c>
      <c r="Q288" s="34">
        <f t="shared" si="21"/>
        <v>0</v>
      </c>
      <c r="S288" s="4">
        <f>SUMIFS(Dump!E:E,Dump!B:B,C288,Dump!A:A,Y288)</f>
        <v>0</v>
      </c>
      <c r="T288" s="35">
        <f t="shared" si="22"/>
        <v>0</v>
      </c>
      <c r="V288" s="4">
        <f>SUMIFS(Dump!P:P,Dump!B:B,C288,Dump!A:A,Y288)</f>
        <v>0</v>
      </c>
      <c r="W288" s="37">
        <f t="shared" si="23"/>
        <v>0</v>
      </c>
      <c r="X288" s="39"/>
      <c r="Y288" s="54"/>
    </row>
    <row r="289">
      <c r="C289" s="53"/>
      <c r="G289" s="2" t="str">
        <f t="shared" si="27"/>
        <v/>
      </c>
      <c r="I289" s="4">
        <f>SUMIFS(Dump!D:D,Dump!B:B,C289)</f>
        <v>0</v>
      </c>
      <c r="J289" s="5">
        <f>SUMIFS(Dump!AE:AE,Dump!B:B,C289)</f>
        <v>0</v>
      </c>
      <c r="K289" s="4">
        <f>SUMPRODUCT(
  (TEXT(Dump!$A$2:$A994,"mmm-yy")=TEXT($Y289,"mmm-yy"))*
  (Dump!$B$2:$B994=$C289)*
  Dump!$D$2:$D994)</f>
        <v>0</v>
      </c>
      <c r="L289" s="4">
        <f>SUMPRODUCT(
  (TEXT(Dump!$A$2:$A994,"mmm-yy")=TEXT($Y289,"mmm-yy"))*
  (Dump!$B$2:$B994=$C289)*
  Dump!$E$2:$E994
)</f>
        <v>0</v>
      </c>
      <c r="M289" s="4">
        <f>SUMPRODUCT(
  (TEXT(Dump!$A$2:$A994,"mmm-yy")=TEXT($Y289,"mmm-yy"))*
  (Dump!$B$2:$B994=$C289)*
  Dump!$P$2:$P994
)</f>
        <v>0</v>
      </c>
      <c r="N289" s="32"/>
      <c r="O289" s="33">
        <f>SUMIFS(Dump!$D:$D,Dump!$B:$B,$C289,Dump!$A:$A,$Y289)</f>
        <v>0</v>
      </c>
      <c r="P289" s="33">
        <f>SUMIFS(Dump!R:R,Dump!B:B,C289,Dump!A:A,Y289)</f>
        <v>0</v>
      </c>
      <c r="Q289" s="34">
        <f t="shared" si="21"/>
        <v>0</v>
      </c>
      <c r="S289" s="4">
        <f>SUMIFS(Dump!E:E,Dump!B:B,C289,Dump!A:A,Y289)</f>
        <v>0</v>
      </c>
      <c r="T289" s="35">
        <f t="shared" si="22"/>
        <v>0</v>
      </c>
      <c r="V289" s="4">
        <f>SUMIFS(Dump!P:P,Dump!B:B,C289,Dump!A:A,Y289)</f>
        <v>0</v>
      </c>
      <c r="W289" s="37">
        <f t="shared" si="23"/>
        <v>0</v>
      </c>
      <c r="X289" s="39"/>
      <c r="Y289" s="54"/>
    </row>
    <row r="290">
      <c r="C290" s="53"/>
      <c r="G290" s="2" t="str">
        <f t="shared" si="27"/>
        <v/>
      </c>
      <c r="I290" s="4">
        <f>SUMIFS(Dump!D:D,Dump!B:B,C290)</f>
        <v>0</v>
      </c>
      <c r="J290" s="5">
        <f>SUMIFS(Dump!AE:AE,Dump!B:B,C290)</f>
        <v>0</v>
      </c>
      <c r="K290" s="4">
        <f>SUMPRODUCT(
  (TEXT(Dump!$A$2:$A994,"mmm-yy")=TEXT($Y290,"mmm-yy"))*
  (Dump!$B$2:$B994=$C290)*
  Dump!$D$2:$D994)</f>
        <v>0</v>
      </c>
      <c r="L290" s="4">
        <f>SUMPRODUCT(
  (TEXT(Dump!$A$2:$A994,"mmm-yy")=TEXT($Y290,"mmm-yy"))*
  (Dump!$B$2:$B994=$C290)*
  Dump!$E$2:$E994
)</f>
        <v>0</v>
      </c>
      <c r="M290" s="4">
        <f>SUMPRODUCT(
  (TEXT(Dump!$A$2:$A994,"mmm-yy")=TEXT($Y290,"mmm-yy"))*
  (Dump!$B$2:$B994=$C290)*
  Dump!$P$2:$P994
)</f>
        <v>0</v>
      </c>
      <c r="N290" s="32"/>
      <c r="O290" s="33">
        <f>SUMIFS(Dump!$D:$D,Dump!$B:$B,$C290,Dump!$A:$A,$Y290)</f>
        <v>0</v>
      </c>
      <c r="P290" s="33">
        <f>SUMIFS(Dump!R:R,Dump!B:B,C290,Dump!A:A,Y290)</f>
        <v>0</v>
      </c>
      <c r="Q290" s="34">
        <f t="shared" si="21"/>
        <v>0</v>
      </c>
      <c r="S290" s="4">
        <f>SUMIFS(Dump!E:E,Dump!B:B,C290,Dump!A:A,Y290)</f>
        <v>0</v>
      </c>
      <c r="T290" s="35">
        <f t="shared" si="22"/>
        <v>0</v>
      </c>
      <c r="V290" s="4">
        <f>SUMIFS(Dump!P:P,Dump!B:B,C290,Dump!A:A,Y290)</f>
        <v>0</v>
      </c>
      <c r="W290" s="37">
        <f t="shared" si="23"/>
        <v>0</v>
      </c>
      <c r="X290" s="39"/>
      <c r="Y290" s="54"/>
    </row>
    <row r="291">
      <c r="C291" s="53"/>
      <c r="G291" s="2" t="str">
        <f t="shared" si="27"/>
        <v/>
      </c>
      <c r="I291" s="4">
        <f>SUMIFS(Dump!D:D,Dump!B:B,C291)</f>
        <v>0</v>
      </c>
      <c r="J291" s="5">
        <f>SUMIFS(Dump!AE:AE,Dump!B:B,C291)</f>
        <v>0</v>
      </c>
      <c r="K291" s="4">
        <f>SUMPRODUCT(
  (TEXT(Dump!$A$2:$A994,"mmm-yy")=TEXT($Y291,"mmm-yy"))*
  (Dump!$B$2:$B994=$C291)*
  Dump!$D$2:$D994)</f>
        <v>0</v>
      </c>
      <c r="L291" s="4">
        <f>SUMPRODUCT(
  (TEXT(Dump!$A$2:$A994,"mmm-yy")=TEXT($Y291,"mmm-yy"))*
  (Dump!$B$2:$B994=$C291)*
  Dump!$E$2:$E994
)</f>
        <v>0</v>
      </c>
      <c r="M291" s="4">
        <f>SUMPRODUCT(
  (TEXT(Dump!$A$2:$A994,"mmm-yy")=TEXT($Y291,"mmm-yy"))*
  (Dump!$B$2:$B994=$C291)*
  Dump!$P$2:$P994
)</f>
        <v>0</v>
      </c>
      <c r="N291" s="32"/>
      <c r="O291" s="33">
        <f>SUMIFS(Dump!$D:$D,Dump!$B:$B,$C291,Dump!$A:$A,$Y291)</f>
        <v>0</v>
      </c>
      <c r="P291" s="33">
        <f>SUMIFS(Dump!R:R,Dump!B:B,C291,Dump!A:A,Y291)</f>
        <v>0</v>
      </c>
      <c r="Q291" s="34">
        <f t="shared" si="21"/>
        <v>0</v>
      </c>
      <c r="S291" s="4">
        <f>SUMIFS(Dump!E:E,Dump!B:B,C291,Dump!A:A,Y291)</f>
        <v>0</v>
      </c>
      <c r="T291" s="35">
        <f t="shared" si="22"/>
        <v>0</v>
      </c>
      <c r="V291" s="4">
        <f>SUMIFS(Dump!P:P,Dump!B:B,C291,Dump!A:A,Y291)</f>
        <v>0</v>
      </c>
      <c r="W291" s="37">
        <f t="shared" si="23"/>
        <v>0</v>
      </c>
      <c r="X291" s="39"/>
      <c r="Y291" s="54"/>
    </row>
    <row r="292">
      <c r="C292" s="53"/>
      <c r="G292" s="2" t="str">
        <f t="shared" si="27"/>
        <v/>
      </c>
      <c r="I292" s="4">
        <f>SUMIFS(Dump!D:D,Dump!B:B,C292)</f>
        <v>0</v>
      </c>
      <c r="J292" s="5">
        <f>SUMIFS(Dump!AE:AE,Dump!B:B,C292)</f>
        <v>0</v>
      </c>
      <c r="K292" s="4">
        <f>SUMPRODUCT(
  (TEXT(Dump!$A$2:$A994,"mmm-yy")=TEXT($Y292,"mmm-yy"))*
  (Dump!$B$2:$B994=$C292)*
  Dump!$D$2:$D994)</f>
        <v>0</v>
      </c>
      <c r="L292" s="4">
        <f>SUMPRODUCT(
  (TEXT(Dump!$A$2:$A994,"mmm-yy")=TEXT($Y292,"mmm-yy"))*
  (Dump!$B$2:$B994=$C292)*
  Dump!$E$2:$E994
)</f>
        <v>0</v>
      </c>
      <c r="M292" s="4">
        <f>SUMPRODUCT(
  (TEXT(Dump!$A$2:$A994,"mmm-yy")=TEXT($Y292,"mmm-yy"))*
  (Dump!$B$2:$B994=$C292)*
  Dump!$P$2:$P994
)</f>
        <v>0</v>
      </c>
      <c r="N292" s="32"/>
      <c r="O292" s="33">
        <f>SUMIFS(Dump!$D:$D,Dump!$B:$B,$C292,Dump!$A:$A,$Y292)</f>
        <v>0</v>
      </c>
      <c r="P292" s="33">
        <f>SUMIFS(Dump!R:R,Dump!B:B,C292,Dump!A:A,Y292)</f>
        <v>0</v>
      </c>
      <c r="Q292" s="34">
        <f t="shared" si="21"/>
        <v>0</v>
      </c>
      <c r="S292" s="4">
        <f>SUMIFS(Dump!E:E,Dump!B:B,C292,Dump!A:A,Y292)</f>
        <v>0</v>
      </c>
      <c r="T292" s="35">
        <f t="shared" si="22"/>
        <v>0</v>
      </c>
      <c r="V292" s="4">
        <f>SUMIFS(Dump!P:P,Dump!B:B,C292,Dump!A:A,Y292)</f>
        <v>0</v>
      </c>
      <c r="W292" s="37">
        <f t="shared" si="23"/>
        <v>0</v>
      </c>
      <c r="X292" s="39"/>
      <c r="Y292" s="54"/>
    </row>
    <row r="293">
      <c r="C293" s="53"/>
      <c r="G293" s="2" t="str">
        <f t="shared" si="27"/>
        <v/>
      </c>
      <c r="I293" s="4">
        <f>SUMIFS(Dump!D:D,Dump!B:B,C293)</f>
        <v>0</v>
      </c>
      <c r="J293" s="5">
        <f>SUMIFS(Dump!AE:AE,Dump!B:B,C293)</f>
        <v>0</v>
      </c>
      <c r="K293" s="4">
        <f>SUMPRODUCT(
  (TEXT(Dump!$A$2:$A994,"mmm-yy")=TEXT($Y293,"mmm-yy"))*
  (Dump!$B$2:$B994=$C293)*
  Dump!$D$2:$D994)</f>
        <v>0</v>
      </c>
      <c r="L293" s="4">
        <f>SUMPRODUCT(
  (TEXT(Dump!$A$2:$A994,"mmm-yy")=TEXT($Y293,"mmm-yy"))*
  (Dump!$B$2:$B994=$C293)*
  Dump!$E$2:$E994
)</f>
        <v>0</v>
      </c>
      <c r="M293" s="4">
        <f>SUMPRODUCT(
  (TEXT(Dump!$A$2:$A994,"mmm-yy")=TEXT($Y293,"mmm-yy"))*
  (Dump!$B$2:$B994=$C293)*
  Dump!$P$2:$P994
)</f>
        <v>0</v>
      </c>
      <c r="N293" s="32"/>
      <c r="O293" s="33">
        <f>SUMIFS(Dump!$D:$D,Dump!$B:$B,$C293,Dump!$A:$A,$Y293)</f>
        <v>0</v>
      </c>
      <c r="P293" s="33">
        <f>SUMIFS(Dump!R:R,Dump!B:B,C293,Dump!A:A,Y293)</f>
        <v>0</v>
      </c>
      <c r="Q293" s="34">
        <f t="shared" si="21"/>
        <v>0</v>
      </c>
      <c r="S293" s="4">
        <f>SUMIFS(Dump!E:E,Dump!B:B,C293,Dump!A:A,Y293)</f>
        <v>0</v>
      </c>
      <c r="T293" s="35">
        <f t="shared" si="22"/>
        <v>0</v>
      </c>
      <c r="V293" s="4">
        <f>SUMIFS(Dump!P:P,Dump!B:B,C293,Dump!A:A,Y293)</f>
        <v>0</v>
      </c>
      <c r="W293" s="37">
        <f t="shared" si="23"/>
        <v>0</v>
      </c>
      <c r="X293" s="39"/>
      <c r="Y293" s="54"/>
    </row>
    <row r="294">
      <c r="C294" s="53"/>
      <c r="G294" s="2" t="str">
        <f t="shared" si="27"/>
        <v/>
      </c>
      <c r="I294" s="4">
        <f>SUMIFS(Dump!D:D,Dump!B:B,C294)</f>
        <v>0</v>
      </c>
      <c r="J294" s="5">
        <f>SUMIFS(Dump!AE:AE,Dump!B:B,C294)</f>
        <v>0</v>
      </c>
      <c r="K294" s="4">
        <f>SUMPRODUCT(
  (TEXT(Dump!$A$2:$A994,"mmm-yy")=TEXT($Y294,"mmm-yy"))*
  (Dump!$B$2:$B994=$C294)*
  Dump!$D$2:$D994)</f>
        <v>0</v>
      </c>
      <c r="L294" s="4">
        <f>SUMPRODUCT(
  (TEXT(Dump!$A$2:$A994,"mmm-yy")=TEXT($Y294,"mmm-yy"))*
  (Dump!$B$2:$B994=$C294)*
  Dump!$E$2:$E994
)</f>
        <v>0</v>
      </c>
      <c r="M294" s="4">
        <f>SUMPRODUCT(
  (TEXT(Dump!$A$2:$A994,"mmm-yy")=TEXT($Y294,"mmm-yy"))*
  (Dump!$B$2:$B994=$C294)*
  Dump!$P$2:$P994
)</f>
        <v>0</v>
      </c>
      <c r="N294" s="32"/>
      <c r="O294" s="33">
        <f>SUMIFS(Dump!$D:$D,Dump!$B:$B,$C294,Dump!$A:$A,$Y294)</f>
        <v>0</v>
      </c>
      <c r="P294" s="33">
        <f>SUMIFS(Dump!R:R,Dump!B:B,C294,Dump!A:A,Y294)</f>
        <v>0</v>
      </c>
      <c r="Q294" s="34">
        <f t="shared" si="21"/>
        <v>0</v>
      </c>
      <c r="S294" s="4">
        <f>SUMIFS(Dump!E:E,Dump!B:B,C294,Dump!A:A,Y294)</f>
        <v>0</v>
      </c>
      <c r="T294" s="35">
        <f t="shared" si="22"/>
        <v>0</v>
      </c>
      <c r="V294" s="4">
        <f>SUMIFS(Dump!P:P,Dump!B:B,C294,Dump!A:A,Y294)</f>
        <v>0</v>
      </c>
      <c r="W294" s="37">
        <f t="shared" si="23"/>
        <v>0</v>
      </c>
      <c r="X294" s="39"/>
      <c r="Y294" s="54"/>
    </row>
    <row r="295">
      <c r="C295" s="53"/>
      <c r="G295" s="2" t="str">
        <f t="shared" si="27"/>
        <v/>
      </c>
      <c r="I295" s="4">
        <f>SUMIFS(Dump!D:D,Dump!B:B,C295)</f>
        <v>0</v>
      </c>
      <c r="J295" s="5">
        <f>SUMIFS(Dump!AE:AE,Dump!B:B,C295)</f>
        <v>0</v>
      </c>
      <c r="K295" s="4">
        <f>SUMPRODUCT(
  (TEXT(Dump!$A$2:$A994,"mmm-yy")=TEXT($Y295,"mmm-yy"))*
  (Dump!$B$2:$B994=$C295)*
  Dump!$D$2:$D994)</f>
        <v>0</v>
      </c>
      <c r="L295" s="4">
        <f>SUMPRODUCT(
  (TEXT(Dump!$A$2:$A994,"mmm-yy")=TEXT($Y295,"mmm-yy"))*
  (Dump!$B$2:$B994=$C295)*
  Dump!$E$2:$E994
)</f>
        <v>0</v>
      </c>
      <c r="M295" s="4">
        <f>SUMPRODUCT(
  (TEXT(Dump!$A$2:$A994,"mmm-yy")=TEXT($Y295,"mmm-yy"))*
  (Dump!$B$2:$B994=$C295)*
  Dump!$P$2:$P994
)</f>
        <v>0</v>
      </c>
      <c r="N295" s="32"/>
      <c r="O295" s="33">
        <f>SUMIFS(Dump!$D:$D,Dump!$B:$B,$C295,Dump!$A:$A,$Y295)</f>
        <v>0</v>
      </c>
      <c r="P295" s="33">
        <f>SUMIFS(Dump!R:R,Dump!B:B,C295,Dump!A:A,Y295)</f>
        <v>0</v>
      </c>
      <c r="Q295" s="34">
        <f t="shared" si="21"/>
        <v>0</v>
      </c>
      <c r="S295" s="4">
        <f>SUMIFS(Dump!E:E,Dump!B:B,C295,Dump!A:A,Y295)</f>
        <v>0</v>
      </c>
      <c r="T295" s="35">
        <f t="shared" si="22"/>
        <v>0</v>
      </c>
      <c r="V295" s="4">
        <f>SUMIFS(Dump!P:P,Dump!B:B,C295,Dump!A:A,Y295)</f>
        <v>0</v>
      </c>
      <c r="W295" s="37">
        <f t="shared" si="23"/>
        <v>0</v>
      </c>
      <c r="X295" s="39"/>
      <c r="Y295" s="54"/>
    </row>
    <row r="296">
      <c r="C296" s="53"/>
      <c r="G296" s="2" t="str">
        <f t="shared" si="27"/>
        <v/>
      </c>
      <c r="I296" s="4">
        <f>SUMIFS(Dump!D:D,Dump!B:B,C296)</f>
        <v>0</v>
      </c>
      <c r="J296" s="5">
        <f>SUMIFS(Dump!AE:AE,Dump!B:B,C296)</f>
        <v>0</v>
      </c>
      <c r="K296" s="4">
        <f>SUMPRODUCT(
  (TEXT(Dump!$A$2:$A994,"mmm-yy")=TEXT($Y296,"mmm-yy"))*
  (Dump!$B$2:$B994=$C296)*
  Dump!$D$2:$D994)</f>
        <v>0</v>
      </c>
      <c r="L296" s="4">
        <f>SUMPRODUCT(
  (TEXT(Dump!$A$2:$A994,"mmm-yy")=TEXT($Y296,"mmm-yy"))*
  (Dump!$B$2:$B994=$C296)*
  Dump!$E$2:$E994
)</f>
        <v>0</v>
      </c>
      <c r="M296" s="4">
        <f>SUMPRODUCT(
  (TEXT(Dump!$A$2:$A994,"mmm-yy")=TEXT($Y296,"mmm-yy"))*
  (Dump!$B$2:$B994=$C296)*
  Dump!$P$2:$P994
)</f>
        <v>0</v>
      </c>
      <c r="N296" s="32"/>
      <c r="O296" s="33">
        <f>SUMIFS(Dump!$D:$D,Dump!$B:$B,$C296,Dump!$A:$A,$Y296)</f>
        <v>0</v>
      </c>
      <c r="P296" s="33">
        <f>SUMIFS(Dump!R:R,Dump!B:B,C296,Dump!A:A,Y296)</f>
        <v>0</v>
      </c>
      <c r="Q296" s="34">
        <f t="shared" si="21"/>
        <v>0</v>
      </c>
      <c r="S296" s="4">
        <f>SUMIFS(Dump!E:E,Dump!B:B,C296,Dump!A:A,Y296)</f>
        <v>0</v>
      </c>
      <c r="T296" s="35">
        <f t="shared" si="22"/>
        <v>0</v>
      </c>
      <c r="V296" s="4">
        <f>SUMIFS(Dump!P:P,Dump!B:B,C296,Dump!A:A,Y296)</f>
        <v>0</v>
      </c>
      <c r="W296" s="37">
        <f t="shared" si="23"/>
        <v>0</v>
      </c>
      <c r="X296" s="39"/>
      <c r="Y296" s="54"/>
    </row>
    <row r="297">
      <c r="C297" s="53"/>
      <c r="G297" s="2" t="str">
        <f t="shared" si="27"/>
        <v/>
      </c>
      <c r="I297" s="4">
        <f>SUMIFS(Dump!D:D,Dump!B:B,C297)</f>
        <v>0</v>
      </c>
      <c r="J297" s="5">
        <f>SUMIFS(Dump!AE:AE,Dump!B:B,C297)</f>
        <v>0</v>
      </c>
      <c r="K297" s="4">
        <f>SUMPRODUCT(
  (TEXT(Dump!$A$2:$A994,"mmm-yy")=TEXT($Y297,"mmm-yy"))*
  (Dump!$B$2:$B994=$C297)*
  Dump!$D$2:$D994)</f>
        <v>0</v>
      </c>
      <c r="L297" s="4">
        <f>SUMPRODUCT(
  (TEXT(Dump!$A$2:$A994,"mmm-yy")=TEXT($Y297,"mmm-yy"))*
  (Dump!$B$2:$B994=$C297)*
  Dump!$E$2:$E994
)</f>
        <v>0</v>
      </c>
      <c r="M297" s="4">
        <f>SUMPRODUCT(
  (TEXT(Dump!$A$2:$A994,"mmm-yy")=TEXT($Y297,"mmm-yy"))*
  (Dump!$B$2:$B994=$C297)*
  Dump!$P$2:$P994
)</f>
        <v>0</v>
      </c>
      <c r="N297" s="32"/>
      <c r="O297" s="33">
        <f>SUMIFS(Dump!$D:$D,Dump!$B:$B,$C297,Dump!$A:$A,$Y297)</f>
        <v>0</v>
      </c>
      <c r="P297" s="33">
        <f>SUMIFS(Dump!R:R,Dump!B:B,C297,Dump!A:A,Y297)</f>
        <v>0</v>
      </c>
      <c r="Q297" s="34">
        <f t="shared" si="21"/>
        <v>0</v>
      </c>
      <c r="S297" s="4">
        <f>SUMIFS(Dump!E:E,Dump!B:B,C297,Dump!A:A,Y297)</f>
        <v>0</v>
      </c>
      <c r="T297" s="35">
        <f t="shared" si="22"/>
        <v>0</v>
      </c>
      <c r="V297" s="4">
        <f>SUMIFS(Dump!P:P,Dump!B:B,C297,Dump!A:A,Y297)</f>
        <v>0</v>
      </c>
      <c r="W297" s="37">
        <f t="shared" si="23"/>
        <v>0</v>
      </c>
      <c r="X297" s="39"/>
      <c r="Y297" s="54"/>
    </row>
    <row r="298">
      <c r="C298" s="53"/>
      <c r="G298" s="2" t="str">
        <f t="shared" si="27"/>
        <v/>
      </c>
      <c r="I298" s="4">
        <f>SUMIFS(Dump!D:D,Dump!B:B,C298)</f>
        <v>0</v>
      </c>
      <c r="J298" s="5">
        <f>SUMIFS(Dump!AE:AE,Dump!B:B,C298)</f>
        <v>0</v>
      </c>
      <c r="K298" s="4">
        <f>SUMPRODUCT(
  (TEXT(Dump!$A$2:$A994,"mmm-yy")=TEXT($Y298,"mmm-yy"))*
  (Dump!$B$2:$B994=$C298)*
  Dump!$D$2:$D994)</f>
        <v>0</v>
      </c>
      <c r="L298" s="4">
        <f>SUMPRODUCT(
  (TEXT(Dump!$A$2:$A994,"mmm-yy")=TEXT($Y298,"mmm-yy"))*
  (Dump!$B$2:$B994=$C298)*
  Dump!$E$2:$E994
)</f>
        <v>0</v>
      </c>
      <c r="M298" s="4">
        <f>SUMPRODUCT(
  (TEXT(Dump!$A$2:$A994,"mmm-yy")=TEXT($Y298,"mmm-yy"))*
  (Dump!$B$2:$B994=$C298)*
  Dump!$P$2:$P994
)</f>
        <v>0</v>
      </c>
      <c r="N298" s="32"/>
      <c r="O298" s="33">
        <f>SUMIFS(Dump!$D:$D,Dump!$B:$B,$C298,Dump!$A:$A,$Y298)</f>
        <v>0</v>
      </c>
      <c r="P298" s="33">
        <f>SUMIFS(Dump!R:R,Dump!B:B,C298,Dump!A:A,Y298)</f>
        <v>0</v>
      </c>
      <c r="Q298" s="34">
        <f t="shared" si="21"/>
        <v>0</v>
      </c>
      <c r="S298" s="4">
        <f>SUMIFS(Dump!E:E,Dump!B:B,C298,Dump!A:A,Y298)</f>
        <v>0</v>
      </c>
      <c r="T298" s="35">
        <f t="shared" si="22"/>
        <v>0</v>
      </c>
      <c r="V298" s="4">
        <f>SUMIFS(Dump!P:P,Dump!B:B,C298,Dump!A:A,Y298)</f>
        <v>0</v>
      </c>
      <c r="W298" s="37">
        <f t="shared" si="23"/>
        <v>0</v>
      </c>
      <c r="X298" s="39"/>
      <c r="Y298" s="54"/>
    </row>
    <row r="299">
      <c r="C299" s="53"/>
      <c r="G299" s="2" t="str">
        <f t="shared" si="27"/>
        <v/>
      </c>
      <c r="I299" s="4">
        <f>SUMIFS(Dump!D:D,Dump!B:B,C299)</f>
        <v>0</v>
      </c>
      <c r="J299" s="5">
        <f>SUMIFS(Dump!AE:AE,Dump!B:B,C299)</f>
        <v>0</v>
      </c>
      <c r="K299" s="4">
        <f>SUMPRODUCT(
  (TEXT(Dump!$A$2:$A994,"mmm-yy")=TEXT($Y299,"mmm-yy"))*
  (Dump!$B$2:$B994=$C299)*
  Dump!$D$2:$D994)</f>
        <v>0</v>
      </c>
      <c r="L299" s="4">
        <f>SUMPRODUCT(
  (TEXT(Dump!$A$2:$A994,"mmm-yy")=TEXT($Y299,"mmm-yy"))*
  (Dump!$B$2:$B994=$C299)*
  Dump!$E$2:$E994
)</f>
        <v>0</v>
      </c>
      <c r="M299" s="4">
        <f>SUMPRODUCT(
  (TEXT(Dump!$A$2:$A994,"mmm-yy")=TEXT($Y299,"mmm-yy"))*
  (Dump!$B$2:$B994=$C299)*
  Dump!$P$2:$P994
)</f>
        <v>0</v>
      </c>
      <c r="N299" s="32"/>
      <c r="O299" s="33">
        <f>SUMIFS(Dump!$D:$D,Dump!$B:$B,$C299,Dump!$A:$A,$Y299)</f>
        <v>0</v>
      </c>
      <c r="P299" s="33">
        <f>SUMIFS(Dump!R:R,Dump!B:B,C299,Dump!A:A,Y299)</f>
        <v>0</v>
      </c>
      <c r="Q299" s="34">
        <f t="shared" si="21"/>
        <v>0</v>
      </c>
      <c r="S299" s="4">
        <f>SUMIFS(Dump!E:E,Dump!B:B,C299,Dump!A:A,Y299)</f>
        <v>0</v>
      </c>
      <c r="T299" s="35">
        <f t="shared" si="22"/>
        <v>0</v>
      </c>
      <c r="V299" s="4">
        <f>SUMIFS(Dump!P:P,Dump!B:B,C299,Dump!A:A,Y299)</f>
        <v>0</v>
      </c>
      <c r="W299" s="37">
        <f t="shared" si="23"/>
        <v>0</v>
      </c>
      <c r="X299" s="39"/>
      <c r="Y299" s="54"/>
    </row>
    <row r="300">
      <c r="C300" s="53"/>
      <c r="G300" s="2" t="str">
        <f t="shared" si="27"/>
        <v/>
      </c>
      <c r="I300" s="4">
        <f>SUMIFS(Dump!D:D,Dump!B:B,C300)</f>
        <v>0</v>
      </c>
      <c r="J300" s="5">
        <f>SUMIFS(Dump!AE:AE,Dump!B:B,C300)</f>
        <v>0</v>
      </c>
      <c r="K300" s="4">
        <f>SUMPRODUCT(
  (TEXT(Dump!$A$2:$A994,"mmm-yy")=TEXT($Y300,"mmm-yy"))*
  (Dump!$B$2:$B994=$C300)*
  Dump!$D$2:$D994)</f>
        <v>0</v>
      </c>
      <c r="L300" s="4">
        <f>SUMPRODUCT(
  (TEXT(Dump!$A$2:$A994,"mmm-yy")=TEXT($Y300,"mmm-yy"))*
  (Dump!$B$2:$B994=$C300)*
  Dump!$E$2:$E994
)</f>
        <v>0</v>
      </c>
      <c r="M300" s="4">
        <f>SUMPRODUCT(
  (TEXT(Dump!$A$2:$A994,"mmm-yy")=TEXT($Y300,"mmm-yy"))*
  (Dump!$B$2:$B994=$C300)*
  Dump!$P$2:$P994
)</f>
        <v>0</v>
      </c>
      <c r="N300" s="32"/>
      <c r="O300" s="33">
        <f>SUMIFS(Dump!$D:$D,Dump!$B:$B,$C300,Dump!$A:$A,$Y300)</f>
        <v>0</v>
      </c>
      <c r="P300" s="33">
        <f>SUMIFS(Dump!R:R,Dump!B:B,C300,Dump!A:A,Y300)</f>
        <v>0</v>
      </c>
      <c r="Q300" s="34">
        <f t="shared" si="21"/>
        <v>0</v>
      </c>
      <c r="S300" s="4">
        <f>SUMIFS(Dump!E:E,Dump!B:B,C300,Dump!A:A,Y300)</f>
        <v>0</v>
      </c>
      <c r="T300" s="35">
        <f t="shared" si="22"/>
        <v>0</v>
      </c>
      <c r="V300" s="4">
        <f>SUMIFS(Dump!P:P,Dump!B:B,C300,Dump!A:A,Y300)</f>
        <v>0</v>
      </c>
      <c r="W300" s="37">
        <f t="shared" si="23"/>
        <v>0</v>
      </c>
      <c r="X300" s="39"/>
      <c r="Y300" s="54"/>
    </row>
    <row r="301">
      <c r="C301" s="53"/>
      <c r="G301" s="2" t="str">
        <f t="shared" si="27"/>
        <v/>
      </c>
      <c r="I301" s="4">
        <f>SUMIFS(Dump!D:D,Dump!B:B,C301)</f>
        <v>0</v>
      </c>
      <c r="J301" s="5">
        <f>SUMIFS(Dump!AE:AE,Dump!B:B,C301)</f>
        <v>0</v>
      </c>
      <c r="K301" s="4">
        <f>SUMPRODUCT(
  (TEXT(Dump!$A$2:$A994,"mmm-yy")=TEXT($Y301,"mmm-yy"))*
  (Dump!$B$2:$B994=$C301)*
  Dump!$D$2:$D994)</f>
        <v>0</v>
      </c>
      <c r="L301" s="4">
        <f>SUMPRODUCT(
  (TEXT(Dump!$A$2:$A994,"mmm-yy")=TEXT($Y301,"mmm-yy"))*
  (Dump!$B$2:$B994=$C301)*
  Dump!$E$2:$E994
)</f>
        <v>0</v>
      </c>
      <c r="M301" s="4">
        <f>SUMPRODUCT(
  (TEXT(Dump!$A$2:$A994,"mmm-yy")=TEXT($Y301,"mmm-yy"))*
  (Dump!$B$2:$B994=$C301)*
  Dump!$P$2:$P994
)</f>
        <v>0</v>
      </c>
      <c r="N301" s="32"/>
      <c r="O301" s="33">
        <f>SUMIFS(Dump!$D:$D,Dump!$B:$B,$C301,Dump!$A:$A,$Y301)</f>
        <v>0</v>
      </c>
      <c r="P301" s="33">
        <f>SUMIFS(Dump!R:R,Dump!B:B,C301,Dump!A:A,Y301)</f>
        <v>0</v>
      </c>
      <c r="Q301" s="34">
        <f t="shared" si="21"/>
        <v>0</v>
      </c>
      <c r="S301" s="4">
        <f>SUMIFS(Dump!E:E,Dump!B:B,C301,Dump!A:A,Y301)</f>
        <v>0</v>
      </c>
      <c r="T301" s="35">
        <f t="shared" si="22"/>
        <v>0</v>
      </c>
      <c r="V301" s="4">
        <f>SUMIFS(Dump!P:P,Dump!B:B,C301,Dump!A:A,Y301)</f>
        <v>0</v>
      </c>
      <c r="W301" s="37">
        <f t="shared" si="23"/>
        <v>0</v>
      </c>
      <c r="X301" s="39"/>
      <c r="Y301" s="54"/>
    </row>
    <row r="302">
      <c r="C302" s="53"/>
      <c r="G302" s="2" t="str">
        <f t="shared" si="27"/>
        <v/>
      </c>
      <c r="I302" s="4">
        <f>SUMIFS(Dump!D:D,Dump!B:B,C302)</f>
        <v>0</v>
      </c>
      <c r="J302" s="5">
        <f>SUMIFS(Dump!AE:AE,Dump!B:B,C302)</f>
        <v>0</v>
      </c>
      <c r="K302" s="4">
        <f>SUMPRODUCT(
  (TEXT(Dump!$A$2:$A994,"mmm-yy")=TEXT($Y302,"mmm-yy"))*
  (Dump!$B$2:$B994=$C302)*
  Dump!$D$2:$D994)</f>
        <v>0</v>
      </c>
      <c r="L302" s="4">
        <f>SUMPRODUCT(
  (TEXT(Dump!$A$2:$A994,"mmm-yy")=TEXT($Y302,"mmm-yy"))*
  (Dump!$B$2:$B994=$C302)*
  Dump!$E$2:$E994
)</f>
        <v>0</v>
      </c>
      <c r="M302" s="4">
        <f>SUMPRODUCT(
  (TEXT(Dump!$A$2:$A994,"mmm-yy")=TEXT($Y302,"mmm-yy"))*
  (Dump!$B$2:$B994=$C302)*
  Dump!$P$2:$P994
)</f>
        <v>0</v>
      </c>
      <c r="N302" s="32"/>
      <c r="O302" s="33">
        <f>SUMIFS(Dump!$D:$D,Dump!$B:$B,$C302,Dump!$A:$A,$Y302)</f>
        <v>0</v>
      </c>
      <c r="P302" s="33">
        <f>SUMIFS(Dump!R:R,Dump!B:B,C302,Dump!A:A,Y302)</f>
        <v>0</v>
      </c>
      <c r="Q302" s="34">
        <f t="shared" si="21"/>
        <v>0</v>
      </c>
      <c r="S302" s="4">
        <f>SUMIFS(Dump!E:E,Dump!B:B,C302,Dump!A:A,Y302)</f>
        <v>0</v>
      </c>
      <c r="T302" s="35">
        <f t="shared" si="22"/>
        <v>0</v>
      </c>
      <c r="V302" s="4">
        <f>SUMIFS(Dump!P:P,Dump!B:B,C302,Dump!A:A,Y302)</f>
        <v>0</v>
      </c>
      <c r="W302" s="37">
        <f t="shared" si="23"/>
        <v>0</v>
      </c>
      <c r="X302" s="39"/>
      <c r="Y302" s="54"/>
    </row>
    <row r="303">
      <c r="C303" s="53"/>
      <c r="G303" s="2" t="str">
        <f t="shared" si="27"/>
        <v/>
      </c>
      <c r="I303" s="4">
        <f>SUMIFS(Dump!D:D,Dump!B:B,C303)</f>
        <v>0</v>
      </c>
      <c r="J303" s="5">
        <f>SUMIFS(Dump!AE:AE,Dump!B:B,C303)</f>
        <v>0</v>
      </c>
      <c r="K303" s="4">
        <f>SUMPRODUCT(
  (TEXT(Dump!$A$2:$A994,"mmm-yy")=TEXT($Y303,"mmm-yy"))*
  (Dump!$B$2:$B994=$C303)*
  Dump!$D$2:$D994)</f>
        <v>0</v>
      </c>
      <c r="L303" s="4">
        <f>SUMPRODUCT(
  (TEXT(Dump!$A$2:$A994,"mmm-yy")=TEXT($Y303,"mmm-yy"))*
  (Dump!$B$2:$B994=$C303)*
  Dump!$E$2:$E994
)</f>
        <v>0</v>
      </c>
      <c r="M303" s="4">
        <f>SUMPRODUCT(
  (TEXT(Dump!$A$2:$A994,"mmm-yy")=TEXT($Y303,"mmm-yy"))*
  (Dump!$B$2:$B994=$C303)*
  Dump!$P$2:$P994
)</f>
        <v>0</v>
      </c>
      <c r="N303" s="32"/>
      <c r="O303" s="33">
        <f>SUMIFS(Dump!$D:$D,Dump!$B:$B,$C303,Dump!$A:$A,$Y303)</f>
        <v>0</v>
      </c>
      <c r="P303" s="33">
        <f>SUMIFS(Dump!R:R,Dump!B:B,C303,Dump!A:A,Y303)</f>
        <v>0</v>
      </c>
      <c r="Q303" s="34">
        <f t="shared" si="21"/>
        <v>0</v>
      </c>
      <c r="S303" s="4">
        <f>SUMIFS(Dump!E:E,Dump!B:B,C303,Dump!A:A,Y303)</f>
        <v>0</v>
      </c>
      <c r="T303" s="35">
        <f t="shared" si="22"/>
        <v>0</v>
      </c>
      <c r="V303" s="4">
        <f>SUMIFS(Dump!P:P,Dump!B:B,C303,Dump!A:A,Y303)</f>
        <v>0</v>
      </c>
      <c r="W303" s="37">
        <f t="shared" si="23"/>
        <v>0</v>
      </c>
      <c r="X303" s="39"/>
      <c r="Y303" s="54"/>
    </row>
    <row r="304">
      <c r="C304" s="53"/>
      <c r="G304" s="2" t="str">
        <f t="shared" si="27"/>
        <v/>
      </c>
      <c r="I304" s="4">
        <f>SUMIFS(Dump!D:D,Dump!B:B,C304)</f>
        <v>0</v>
      </c>
      <c r="J304" s="5">
        <f>SUMIFS(Dump!AE:AE,Dump!B:B,C304)</f>
        <v>0</v>
      </c>
      <c r="K304" s="4">
        <f>SUMPRODUCT(
  (TEXT(Dump!$A$2:$A994,"mmm-yy")=TEXT($Y304,"mmm-yy"))*
  (Dump!$B$2:$B994=$C304)*
  Dump!$D$2:$D994)</f>
        <v>0</v>
      </c>
      <c r="L304" s="4">
        <f>SUMPRODUCT(
  (TEXT(Dump!$A$2:$A994,"mmm-yy")=TEXT($Y304,"mmm-yy"))*
  (Dump!$B$2:$B994=$C304)*
  Dump!$E$2:$E994
)</f>
        <v>0</v>
      </c>
      <c r="M304" s="4">
        <f>SUMPRODUCT(
  (TEXT(Dump!$A$2:$A994,"mmm-yy")=TEXT($Y304,"mmm-yy"))*
  (Dump!$B$2:$B994=$C304)*
  Dump!$P$2:$P994
)</f>
        <v>0</v>
      </c>
      <c r="N304" s="32"/>
      <c r="O304" s="33">
        <f>SUMIFS(Dump!$D:$D,Dump!$B:$B,$C304,Dump!$A:$A,$Y304)</f>
        <v>0</v>
      </c>
      <c r="P304" s="33">
        <f>SUMIFS(Dump!R:R,Dump!B:B,C304,Dump!A:A,Y304)</f>
        <v>0</v>
      </c>
      <c r="Q304" s="34">
        <f t="shared" si="21"/>
        <v>0</v>
      </c>
      <c r="S304" s="4">
        <f>SUMIFS(Dump!E:E,Dump!B:B,C304,Dump!A:A,Y304)</f>
        <v>0</v>
      </c>
      <c r="T304" s="35">
        <f t="shared" si="22"/>
        <v>0</v>
      </c>
      <c r="V304" s="4">
        <f>SUMIFS(Dump!P:P,Dump!B:B,C304,Dump!A:A,Y304)</f>
        <v>0</v>
      </c>
      <c r="W304" s="37">
        <f t="shared" si="23"/>
        <v>0</v>
      </c>
      <c r="X304" s="39"/>
      <c r="Y304" s="54"/>
    </row>
    <row r="305">
      <c r="C305" s="53"/>
      <c r="G305" s="2" t="str">
        <f t="shared" si="27"/>
        <v/>
      </c>
      <c r="I305" s="4">
        <f>SUMIFS(Dump!D:D,Dump!B:B,C305)</f>
        <v>0</v>
      </c>
      <c r="J305" s="5">
        <f>SUMIFS(Dump!AE:AE,Dump!B:B,C305)</f>
        <v>0</v>
      </c>
      <c r="K305" s="4">
        <f>SUMPRODUCT(
  (TEXT(Dump!$A$2:$A994,"mmm-yy")=TEXT($Y305,"mmm-yy"))*
  (Dump!$B$2:$B994=$C305)*
  Dump!$D$2:$D994)</f>
        <v>0</v>
      </c>
      <c r="L305" s="4">
        <f>SUMPRODUCT(
  (TEXT(Dump!$A$2:$A994,"mmm-yy")=TEXT($Y305,"mmm-yy"))*
  (Dump!$B$2:$B994=$C305)*
  Dump!$E$2:$E994
)</f>
        <v>0</v>
      </c>
      <c r="M305" s="4">
        <f>SUMPRODUCT(
  (TEXT(Dump!$A$2:$A994,"mmm-yy")=TEXT($Y305,"mmm-yy"))*
  (Dump!$B$2:$B994=$C305)*
  Dump!$P$2:$P994
)</f>
        <v>0</v>
      </c>
      <c r="N305" s="32"/>
      <c r="O305" s="33">
        <f>SUMIFS(Dump!$D:$D,Dump!$B:$B,$C305,Dump!$A:$A,$Y305)</f>
        <v>0</v>
      </c>
      <c r="P305" s="33">
        <f>SUMIFS(Dump!R:R,Dump!B:B,C305,Dump!A:A,Y305)</f>
        <v>0</v>
      </c>
      <c r="Q305" s="34">
        <f t="shared" si="21"/>
        <v>0</v>
      </c>
      <c r="S305" s="4">
        <f>SUMIFS(Dump!E:E,Dump!B:B,C305,Dump!A:A,Y305)</f>
        <v>0</v>
      </c>
      <c r="T305" s="35">
        <f t="shared" si="22"/>
        <v>0</v>
      </c>
      <c r="V305" s="4">
        <f>SUMIFS(Dump!P:P,Dump!B:B,C305,Dump!A:A,Y305)</f>
        <v>0</v>
      </c>
      <c r="W305" s="37">
        <f t="shared" si="23"/>
        <v>0</v>
      </c>
      <c r="X305" s="39"/>
      <c r="Y305" s="54"/>
    </row>
    <row r="306">
      <c r="C306" s="53"/>
      <c r="G306" s="2" t="str">
        <f t="shared" si="27"/>
        <v/>
      </c>
      <c r="I306" s="4">
        <f>SUMIFS(Dump!D:D,Dump!B:B,C306)</f>
        <v>0</v>
      </c>
      <c r="J306" s="5">
        <f>SUMIFS(Dump!AE:AE,Dump!B:B,C306)</f>
        <v>0</v>
      </c>
      <c r="K306" s="4">
        <f>SUMPRODUCT(
  (TEXT(Dump!$A$2:$A994,"mmm-yy")=TEXT($Y306,"mmm-yy"))*
  (Dump!$B$2:$B994=$C306)*
  Dump!$D$2:$D994)</f>
        <v>0</v>
      </c>
      <c r="L306" s="4">
        <f>SUMPRODUCT(
  (TEXT(Dump!$A$2:$A994,"mmm-yy")=TEXT($Y306,"mmm-yy"))*
  (Dump!$B$2:$B994=$C306)*
  Dump!$E$2:$E994
)</f>
        <v>0</v>
      </c>
      <c r="M306" s="4">
        <f>SUMPRODUCT(
  (TEXT(Dump!$A$2:$A994,"mmm-yy")=TEXT($Y306,"mmm-yy"))*
  (Dump!$B$2:$B994=$C306)*
  Dump!$P$2:$P994
)</f>
        <v>0</v>
      </c>
      <c r="N306" s="32"/>
      <c r="O306" s="33">
        <f>SUMIFS(Dump!$D:$D,Dump!$B:$B,$C306,Dump!$A:$A,$Y306)</f>
        <v>0</v>
      </c>
      <c r="P306" s="33">
        <f>SUMIFS(Dump!R:R,Dump!B:B,C306,Dump!A:A,Y306)</f>
        <v>0</v>
      </c>
      <c r="Q306" s="34">
        <f t="shared" si="21"/>
        <v>0</v>
      </c>
      <c r="S306" s="4">
        <f>SUMIFS(Dump!E:E,Dump!B:B,C306,Dump!A:A,Y306)</f>
        <v>0</v>
      </c>
      <c r="T306" s="35">
        <f t="shared" si="22"/>
        <v>0</v>
      </c>
      <c r="V306" s="4">
        <f>SUMIFS(Dump!P:P,Dump!B:B,C306,Dump!A:A,Y306)</f>
        <v>0</v>
      </c>
      <c r="W306" s="37">
        <f t="shared" si="23"/>
        <v>0</v>
      </c>
      <c r="X306" s="39"/>
      <c r="Y306" s="54"/>
    </row>
    <row r="307">
      <c r="C307" s="53"/>
      <c r="G307" s="2" t="str">
        <f t="shared" si="27"/>
        <v/>
      </c>
      <c r="I307" s="4">
        <f>SUMIFS(Dump!D:D,Dump!B:B,C307)</f>
        <v>0</v>
      </c>
      <c r="J307" s="5">
        <f>SUMIFS(Dump!AE:AE,Dump!B:B,C307)</f>
        <v>0</v>
      </c>
      <c r="K307" s="4">
        <f>SUMPRODUCT(
  (TEXT(Dump!$A$2:$A994,"mmm-yy")=TEXT($Y307,"mmm-yy"))*
  (Dump!$B$2:$B994=$C307)*
  Dump!$D$2:$D994)</f>
        <v>0</v>
      </c>
      <c r="L307" s="4">
        <f>SUMPRODUCT(
  (TEXT(Dump!$A$2:$A994,"mmm-yy")=TEXT($Y307,"mmm-yy"))*
  (Dump!$B$2:$B994=$C307)*
  Dump!$E$2:$E994
)</f>
        <v>0</v>
      </c>
      <c r="M307" s="4">
        <f>SUMPRODUCT(
  (TEXT(Dump!$A$2:$A994,"mmm-yy")=TEXT($Y307,"mmm-yy"))*
  (Dump!$B$2:$B994=$C307)*
  Dump!$P$2:$P994
)</f>
        <v>0</v>
      </c>
      <c r="N307" s="32"/>
      <c r="O307" s="33">
        <f>SUMIFS(Dump!$D:$D,Dump!$B:$B,$C307,Dump!$A:$A,$Y307)</f>
        <v>0</v>
      </c>
      <c r="P307" s="33">
        <f>SUMIFS(Dump!R:R,Dump!B:B,C307,Dump!A:A,Y307)</f>
        <v>0</v>
      </c>
      <c r="Q307" s="34">
        <f t="shared" si="21"/>
        <v>0</v>
      </c>
      <c r="S307" s="4">
        <f>SUMIFS(Dump!E:E,Dump!B:B,C307,Dump!A:A,Y307)</f>
        <v>0</v>
      </c>
      <c r="T307" s="35">
        <f t="shared" si="22"/>
        <v>0</v>
      </c>
      <c r="V307" s="4">
        <f>SUMIFS(Dump!P:P,Dump!B:B,C307,Dump!A:A,Y307)</f>
        <v>0</v>
      </c>
      <c r="W307" s="37">
        <f t="shared" si="23"/>
        <v>0</v>
      </c>
      <c r="X307" s="39"/>
      <c r="Y307" s="54"/>
    </row>
    <row r="308">
      <c r="C308" s="53"/>
      <c r="G308" s="2" t="str">
        <f t="shared" si="27"/>
        <v/>
      </c>
      <c r="I308" s="4">
        <f>SUMIFS(Dump!D:D,Dump!B:B,C308)</f>
        <v>0</v>
      </c>
      <c r="J308" s="5">
        <f>SUMIFS(Dump!AE:AE,Dump!B:B,C308)</f>
        <v>0</v>
      </c>
      <c r="K308" s="4">
        <f>SUMPRODUCT(
  (TEXT(Dump!$A$2:$A994,"mmm-yy")=TEXT($Y308,"mmm-yy"))*
  (Dump!$B$2:$B994=$C308)*
  Dump!$D$2:$D994)</f>
        <v>0</v>
      </c>
      <c r="L308" s="4">
        <f>SUMPRODUCT(
  (TEXT(Dump!$A$2:$A994,"mmm-yy")=TEXT($Y308,"mmm-yy"))*
  (Dump!$B$2:$B994=$C308)*
  Dump!$E$2:$E994
)</f>
        <v>0</v>
      </c>
      <c r="M308" s="4">
        <f>SUMPRODUCT(
  (TEXT(Dump!$A$2:$A994,"mmm-yy")=TEXT($Y308,"mmm-yy"))*
  (Dump!$B$2:$B994=$C308)*
  Dump!$P$2:$P994
)</f>
        <v>0</v>
      </c>
      <c r="N308" s="32"/>
      <c r="O308" s="33">
        <f>SUMIFS(Dump!$D:$D,Dump!$B:$B,$C308,Dump!$A:$A,$Y308)</f>
        <v>0</v>
      </c>
      <c r="P308" s="33">
        <f>SUMIFS(Dump!R:R,Dump!B:B,C308,Dump!A:A,Y308)</f>
        <v>0</v>
      </c>
      <c r="Q308" s="34">
        <f t="shared" si="21"/>
        <v>0</v>
      </c>
      <c r="S308" s="4">
        <f>SUMIFS(Dump!E:E,Dump!B:B,C308,Dump!A:A,Y308)</f>
        <v>0</v>
      </c>
      <c r="T308" s="35">
        <f t="shared" si="22"/>
        <v>0</v>
      </c>
      <c r="V308" s="4">
        <f>SUMIFS(Dump!P:P,Dump!B:B,C308,Dump!A:A,Y308)</f>
        <v>0</v>
      </c>
      <c r="W308" s="37">
        <f t="shared" si="23"/>
        <v>0</v>
      </c>
      <c r="X308" s="39"/>
      <c r="Y308" s="54"/>
    </row>
    <row r="309">
      <c r="C309" s="53"/>
      <c r="G309" s="2" t="str">
        <f t="shared" si="27"/>
        <v/>
      </c>
      <c r="I309" s="4">
        <f>SUMIFS(Dump!D:D,Dump!B:B,C309)</f>
        <v>0</v>
      </c>
      <c r="J309" s="5">
        <f>SUMIFS(Dump!AE:AE,Dump!B:B,C309)</f>
        <v>0</v>
      </c>
      <c r="K309" s="4">
        <f>SUMPRODUCT(
  (TEXT(Dump!$A$2:$A994,"mmm-yy")=TEXT($Y309,"mmm-yy"))*
  (Dump!$B$2:$B994=$C309)*
  Dump!$D$2:$D994)</f>
        <v>0</v>
      </c>
      <c r="L309" s="4">
        <f>SUMPRODUCT(
  (TEXT(Dump!$A$2:$A994,"mmm-yy")=TEXT($Y309,"mmm-yy"))*
  (Dump!$B$2:$B994=$C309)*
  Dump!$E$2:$E994
)</f>
        <v>0</v>
      </c>
      <c r="M309" s="4">
        <f>SUMPRODUCT(
  (TEXT(Dump!$A$2:$A994,"mmm-yy")=TEXT($Y309,"mmm-yy"))*
  (Dump!$B$2:$B994=$C309)*
  Dump!$P$2:$P994
)</f>
        <v>0</v>
      </c>
      <c r="N309" s="32"/>
      <c r="O309" s="33">
        <f>SUMIFS(Dump!$D:$D,Dump!$B:$B,$C309,Dump!$A:$A,$Y309)</f>
        <v>0</v>
      </c>
      <c r="P309" s="33">
        <f>SUMIFS(Dump!R:R,Dump!B:B,C309,Dump!A:A,Y309)</f>
        <v>0</v>
      </c>
      <c r="Q309" s="34">
        <f t="shared" si="21"/>
        <v>0</v>
      </c>
      <c r="S309" s="4">
        <f>SUMIFS(Dump!E:E,Dump!B:B,C309,Dump!A:A,Y309)</f>
        <v>0</v>
      </c>
      <c r="T309" s="35">
        <f t="shared" si="22"/>
        <v>0</v>
      </c>
      <c r="V309" s="4">
        <f>SUMIFS(Dump!P:P,Dump!B:B,C309,Dump!A:A,Y309)</f>
        <v>0</v>
      </c>
      <c r="W309" s="37">
        <f t="shared" si="23"/>
        <v>0</v>
      </c>
      <c r="X309" s="39"/>
      <c r="Y309" s="54"/>
    </row>
    <row r="310">
      <c r="C310" s="53"/>
      <c r="G310" s="2" t="str">
        <f t="shared" si="27"/>
        <v/>
      </c>
      <c r="I310" s="4">
        <f>SUMIFS(Dump!D:D,Dump!B:B,C310)</f>
        <v>0</v>
      </c>
      <c r="J310" s="5">
        <f>SUMIFS(Dump!AE:AE,Dump!B:B,C310)</f>
        <v>0</v>
      </c>
      <c r="K310" s="4">
        <f>SUMPRODUCT(
  (TEXT(Dump!$A$2:$A994,"mmm-yy")=TEXT($Y310,"mmm-yy"))*
  (Dump!$B$2:$B994=$C310)*
  Dump!$D$2:$D994)</f>
        <v>0</v>
      </c>
      <c r="L310" s="4">
        <f>SUMPRODUCT(
  (TEXT(Dump!$A$2:$A994,"mmm-yy")=TEXT($Y310,"mmm-yy"))*
  (Dump!$B$2:$B994=$C310)*
  Dump!$E$2:$E994
)</f>
        <v>0</v>
      </c>
      <c r="M310" s="4">
        <f>SUMPRODUCT(
  (TEXT(Dump!$A$2:$A994,"mmm-yy")=TEXT($Y310,"mmm-yy"))*
  (Dump!$B$2:$B994=$C310)*
  Dump!$P$2:$P994
)</f>
        <v>0</v>
      </c>
      <c r="N310" s="32"/>
      <c r="O310" s="33">
        <f>SUMIFS(Dump!$D:$D,Dump!$B:$B,$C310,Dump!$A:$A,$Y310)</f>
        <v>0</v>
      </c>
      <c r="P310" s="33">
        <f>SUMIFS(Dump!R:R,Dump!B:B,C310,Dump!A:A,Y310)</f>
        <v>0</v>
      </c>
      <c r="Q310" s="34">
        <f t="shared" si="21"/>
        <v>0</v>
      </c>
      <c r="S310" s="4">
        <f>SUMIFS(Dump!E:E,Dump!B:B,C310,Dump!A:A,Y310)</f>
        <v>0</v>
      </c>
      <c r="T310" s="35">
        <f t="shared" si="22"/>
        <v>0</v>
      </c>
      <c r="V310" s="4">
        <f>SUMIFS(Dump!P:P,Dump!B:B,C310,Dump!A:A,Y310)</f>
        <v>0</v>
      </c>
      <c r="W310" s="37">
        <f t="shared" si="23"/>
        <v>0</v>
      </c>
      <c r="X310" s="39"/>
      <c r="Y310" s="54"/>
    </row>
    <row r="311">
      <c r="C311" s="53"/>
      <c r="G311" s="2" t="str">
        <f t="shared" si="27"/>
        <v/>
      </c>
      <c r="I311" s="4">
        <f>SUMIFS(Dump!D:D,Dump!B:B,C311)</f>
        <v>0</v>
      </c>
      <c r="J311" s="5">
        <f>SUMIFS(Dump!AE:AE,Dump!B:B,C311)</f>
        <v>0</v>
      </c>
      <c r="K311" s="4">
        <f>SUMPRODUCT(
  (TEXT(Dump!$A$2:$A994,"mmm-yy")=TEXT($Y311,"mmm-yy"))*
  (Dump!$B$2:$B994=$C311)*
  Dump!$D$2:$D994)</f>
        <v>0</v>
      </c>
      <c r="L311" s="4">
        <f>SUMPRODUCT(
  (TEXT(Dump!$A$2:$A994,"mmm-yy")=TEXT($Y311,"mmm-yy"))*
  (Dump!$B$2:$B994=$C311)*
  Dump!$E$2:$E994
)</f>
        <v>0</v>
      </c>
      <c r="M311" s="4">
        <f>SUMPRODUCT(
  (TEXT(Dump!$A$2:$A994,"mmm-yy")=TEXT($Y311,"mmm-yy"))*
  (Dump!$B$2:$B994=$C311)*
  Dump!$P$2:$P994
)</f>
        <v>0</v>
      </c>
      <c r="N311" s="32"/>
      <c r="O311" s="33">
        <f>SUMIFS(Dump!$D:$D,Dump!$B:$B,$C311,Dump!$A:$A,$Y311)</f>
        <v>0</v>
      </c>
      <c r="P311" s="33">
        <f>SUMIFS(Dump!R:R,Dump!B:B,C311,Dump!A:A,Y311)</f>
        <v>0</v>
      </c>
      <c r="Q311" s="34">
        <f t="shared" si="21"/>
        <v>0</v>
      </c>
      <c r="S311" s="4">
        <f>SUMIFS(Dump!E:E,Dump!B:B,C311,Dump!A:A,Y311)</f>
        <v>0</v>
      </c>
      <c r="T311" s="35">
        <f t="shared" si="22"/>
        <v>0</v>
      </c>
      <c r="V311" s="4">
        <f>SUMIFS(Dump!P:P,Dump!B:B,C311,Dump!A:A,Y311)</f>
        <v>0</v>
      </c>
      <c r="W311" s="37">
        <f t="shared" si="23"/>
        <v>0</v>
      </c>
      <c r="X311" s="39"/>
      <c r="Y311" s="54"/>
    </row>
    <row r="312">
      <c r="C312" s="53"/>
      <c r="G312" s="2" t="str">
        <f t="shared" si="27"/>
        <v/>
      </c>
      <c r="I312" s="4">
        <f>SUMIFS(Dump!D:D,Dump!B:B,C312)</f>
        <v>0</v>
      </c>
      <c r="J312" s="5">
        <f>SUMIFS(Dump!AE:AE,Dump!B:B,C312)</f>
        <v>0</v>
      </c>
      <c r="K312" s="4">
        <f>SUMPRODUCT(
  (TEXT(Dump!$A$2:$A994,"mmm-yy")=TEXT($Y312,"mmm-yy"))*
  (Dump!$B$2:$B994=$C312)*
  Dump!$D$2:$D994)</f>
        <v>0</v>
      </c>
      <c r="L312" s="4">
        <f>SUMPRODUCT(
  (TEXT(Dump!$A$2:$A994,"mmm-yy")=TEXT($Y312,"mmm-yy"))*
  (Dump!$B$2:$B994=$C312)*
  Dump!$E$2:$E994
)</f>
        <v>0</v>
      </c>
      <c r="M312" s="4">
        <f>SUMPRODUCT(
  (TEXT(Dump!$A$2:$A994,"mmm-yy")=TEXT($Y312,"mmm-yy"))*
  (Dump!$B$2:$B994=$C312)*
  Dump!$P$2:$P994
)</f>
        <v>0</v>
      </c>
      <c r="N312" s="32"/>
      <c r="O312" s="33">
        <f>SUMIFS(Dump!$D:$D,Dump!$B:$B,$C312,Dump!$A:$A,$Y312)</f>
        <v>0</v>
      </c>
      <c r="P312" s="33">
        <f>SUMIFS(Dump!R:R,Dump!B:B,C312,Dump!A:A,Y312)</f>
        <v>0</v>
      </c>
      <c r="Q312" s="34">
        <f t="shared" si="21"/>
        <v>0</v>
      </c>
      <c r="S312" s="4">
        <f>SUMIFS(Dump!E:E,Dump!B:B,C312,Dump!A:A,Y312)</f>
        <v>0</v>
      </c>
      <c r="T312" s="35">
        <f t="shared" si="22"/>
        <v>0</v>
      </c>
      <c r="V312" s="4">
        <f>SUMIFS(Dump!P:P,Dump!B:B,C312,Dump!A:A,Y312)</f>
        <v>0</v>
      </c>
      <c r="W312" s="37">
        <f t="shared" si="23"/>
        <v>0</v>
      </c>
      <c r="X312" s="39"/>
      <c r="Y312" s="54"/>
    </row>
    <row r="313">
      <c r="C313" s="53"/>
      <c r="G313" s="2" t="str">
        <f t="shared" si="27"/>
        <v/>
      </c>
      <c r="I313" s="4">
        <f>SUMIFS(Dump!D:D,Dump!B:B,C313)</f>
        <v>0</v>
      </c>
      <c r="J313" s="5">
        <f>SUMIFS(Dump!AE:AE,Dump!B:B,C313)</f>
        <v>0</v>
      </c>
      <c r="K313" s="4">
        <f>SUMPRODUCT(
  (TEXT(Dump!$A$2:$A994,"mmm-yy")=TEXT($Y313,"mmm-yy"))*
  (Dump!$B$2:$B994=$C313)*
  Dump!$D$2:$D994)</f>
        <v>0</v>
      </c>
      <c r="L313" s="4">
        <f>SUMPRODUCT(
  (TEXT(Dump!$A$2:$A994,"mmm-yy")=TEXT($Y313,"mmm-yy"))*
  (Dump!$B$2:$B994=$C313)*
  Dump!$E$2:$E994
)</f>
        <v>0</v>
      </c>
      <c r="M313" s="4">
        <f>SUMPRODUCT(
  (TEXT(Dump!$A$2:$A994,"mmm-yy")=TEXT($Y313,"mmm-yy"))*
  (Dump!$B$2:$B994=$C313)*
  Dump!$P$2:$P994
)</f>
        <v>0</v>
      </c>
      <c r="N313" s="32"/>
      <c r="O313" s="33">
        <f>SUMIFS(Dump!$D:$D,Dump!$B:$B,$C313,Dump!$A:$A,$Y313)</f>
        <v>0</v>
      </c>
      <c r="P313" s="33">
        <f>SUMIFS(Dump!R:R,Dump!B:B,C313,Dump!A:A,Y313)</f>
        <v>0</v>
      </c>
      <c r="Q313" s="34">
        <f t="shared" si="21"/>
        <v>0</v>
      </c>
      <c r="S313" s="4">
        <f>SUMIFS(Dump!E:E,Dump!B:B,C313,Dump!A:A,Y313)</f>
        <v>0</v>
      </c>
      <c r="T313" s="35">
        <f t="shared" si="22"/>
        <v>0</v>
      </c>
      <c r="V313" s="4">
        <f>SUMIFS(Dump!P:P,Dump!B:B,C313,Dump!A:A,Y313)</f>
        <v>0</v>
      </c>
      <c r="W313" s="37">
        <f t="shared" si="23"/>
        <v>0</v>
      </c>
      <c r="X313" s="39"/>
      <c r="Y313" s="54"/>
    </row>
    <row r="314">
      <c r="C314" s="53"/>
      <c r="G314" s="2" t="str">
        <f t="shared" si="27"/>
        <v/>
      </c>
      <c r="I314" s="4">
        <f>SUMIFS(Dump!D:D,Dump!B:B,C314)</f>
        <v>0</v>
      </c>
      <c r="J314" s="5">
        <f>SUMIFS(Dump!AE:AE,Dump!B:B,C314)</f>
        <v>0</v>
      </c>
      <c r="K314" s="4">
        <f>SUMPRODUCT(
  (TEXT(Dump!$A$2:$A994,"mmm-yy")=TEXT($Y314,"mmm-yy"))*
  (Dump!$B$2:$B994=$C314)*
  Dump!$D$2:$D994)</f>
        <v>0</v>
      </c>
      <c r="L314" s="4">
        <f>SUMPRODUCT(
  (TEXT(Dump!$A$2:$A994,"mmm-yy")=TEXT($Y314,"mmm-yy"))*
  (Dump!$B$2:$B994=$C314)*
  Dump!$E$2:$E994
)</f>
        <v>0</v>
      </c>
      <c r="M314" s="4">
        <f>SUMPRODUCT(
  (TEXT(Dump!$A$2:$A994,"mmm-yy")=TEXT($Y314,"mmm-yy"))*
  (Dump!$B$2:$B994=$C314)*
  Dump!$P$2:$P994
)</f>
        <v>0</v>
      </c>
      <c r="N314" s="32"/>
      <c r="O314" s="33">
        <f>SUMIFS(Dump!$D:$D,Dump!$B:$B,$C314,Dump!$A:$A,$Y314)</f>
        <v>0</v>
      </c>
      <c r="P314" s="33">
        <f>SUMIFS(Dump!R:R,Dump!B:B,C314,Dump!A:A,Y314)</f>
        <v>0</v>
      </c>
      <c r="Q314" s="34">
        <f t="shared" si="21"/>
        <v>0</v>
      </c>
      <c r="S314" s="4">
        <f>SUMIFS(Dump!E:E,Dump!B:B,C314,Dump!A:A,Y314)</f>
        <v>0</v>
      </c>
      <c r="T314" s="35">
        <f t="shared" si="22"/>
        <v>0</v>
      </c>
      <c r="V314" s="4">
        <f>SUMIFS(Dump!P:P,Dump!B:B,C314,Dump!A:A,Y314)</f>
        <v>0</v>
      </c>
      <c r="W314" s="37">
        <f t="shared" si="23"/>
        <v>0</v>
      </c>
      <c r="X314" s="39"/>
      <c r="Y314" s="54"/>
    </row>
    <row r="315">
      <c r="C315" s="53"/>
      <c r="G315" s="2" t="str">
        <f t="shared" si="27"/>
        <v/>
      </c>
      <c r="I315" s="4">
        <f>SUMIFS(Dump!D:D,Dump!B:B,C315)</f>
        <v>0</v>
      </c>
      <c r="J315" s="5">
        <f>SUMIFS(Dump!AE:AE,Dump!B:B,C315)</f>
        <v>0</v>
      </c>
      <c r="K315" s="4">
        <f>SUMPRODUCT(
  (TEXT(Dump!$A$2:$A994,"mmm-yy")=TEXT($Y315,"mmm-yy"))*
  (Dump!$B$2:$B994=$C315)*
  Dump!$D$2:$D994)</f>
        <v>0</v>
      </c>
      <c r="L315" s="4">
        <f>SUMPRODUCT(
  (TEXT(Dump!$A$2:$A994,"mmm-yy")=TEXT($Y315,"mmm-yy"))*
  (Dump!$B$2:$B994=$C315)*
  Dump!$E$2:$E994
)</f>
        <v>0</v>
      </c>
      <c r="M315" s="4">
        <f>SUMPRODUCT(
  (TEXT(Dump!$A$2:$A994,"mmm-yy")=TEXT($Y315,"mmm-yy"))*
  (Dump!$B$2:$B994=$C315)*
  Dump!$P$2:$P994
)</f>
        <v>0</v>
      </c>
      <c r="N315" s="32"/>
      <c r="O315" s="33">
        <f>SUMIFS(Dump!$D:$D,Dump!$B:$B,$C315,Dump!$A:$A,$Y315)</f>
        <v>0</v>
      </c>
      <c r="P315" s="33">
        <f>SUMIFS(Dump!R:R,Dump!B:B,C315,Dump!A:A,Y315)</f>
        <v>0</v>
      </c>
      <c r="Q315" s="34">
        <f t="shared" si="21"/>
        <v>0</v>
      </c>
      <c r="S315" s="4">
        <f>SUMIFS(Dump!E:E,Dump!B:B,C315,Dump!A:A,Y315)</f>
        <v>0</v>
      </c>
      <c r="T315" s="35">
        <f t="shared" si="22"/>
        <v>0</v>
      </c>
      <c r="V315" s="4">
        <f>SUMIFS(Dump!P:P,Dump!B:B,C315,Dump!A:A,Y315)</f>
        <v>0</v>
      </c>
      <c r="W315" s="37">
        <f t="shared" si="23"/>
        <v>0</v>
      </c>
      <c r="X315" s="39"/>
      <c r="Y315" s="54"/>
    </row>
    <row r="316">
      <c r="C316" s="53"/>
      <c r="G316" s="2" t="str">
        <f t="shared" si="27"/>
        <v/>
      </c>
      <c r="I316" s="4">
        <f>SUMIFS(Dump!D:D,Dump!B:B,C316)</f>
        <v>0</v>
      </c>
      <c r="J316" s="5">
        <f>SUMIFS(Dump!AE:AE,Dump!B:B,C316)</f>
        <v>0</v>
      </c>
      <c r="K316" s="4">
        <f>SUMPRODUCT(
  (TEXT(Dump!$A$2:$A994,"mmm-yy")=TEXT($Y316,"mmm-yy"))*
  (Dump!$B$2:$B994=$C316)*
  Dump!$D$2:$D994)</f>
        <v>0</v>
      </c>
      <c r="L316" s="4">
        <f>SUMPRODUCT(
  (TEXT(Dump!$A$2:$A994,"mmm-yy")=TEXT($Y316,"mmm-yy"))*
  (Dump!$B$2:$B994=$C316)*
  Dump!$E$2:$E994
)</f>
        <v>0</v>
      </c>
      <c r="M316" s="4">
        <f>SUMPRODUCT(
  (TEXT(Dump!$A$2:$A994,"mmm-yy")=TEXT($Y316,"mmm-yy"))*
  (Dump!$B$2:$B994=$C316)*
  Dump!$P$2:$P994
)</f>
        <v>0</v>
      </c>
      <c r="N316" s="32"/>
      <c r="O316" s="33">
        <f>SUMIFS(Dump!$D:$D,Dump!$B:$B,$C316,Dump!$A:$A,$Y316)</f>
        <v>0</v>
      </c>
      <c r="P316" s="33">
        <f>SUMIFS(Dump!R:R,Dump!B:B,C316,Dump!A:A,Y316)</f>
        <v>0</v>
      </c>
      <c r="Q316" s="34">
        <f t="shared" si="21"/>
        <v>0</v>
      </c>
      <c r="S316" s="4">
        <f>SUMIFS(Dump!E:E,Dump!B:B,C316,Dump!A:A,Y316)</f>
        <v>0</v>
      </c>
      <c r="T316" s="35">
        <f t="shared" si="22"/>
        <v>0</v>
      </c>
      <c r="V316" s="4">
        <f>SUMIFS(Dump!P:P,Dump!B:B,C316,Dump!A:A,Y316)</f>
        <v>0</v>
      </c>
      <c r="W316" s="37">
        <f t="shared" si="23"/>
        <v>0</v>
      </c>
      <c r="X316" s="39"/>
      <c r="Y316" s="54"/>
    </row>
    <row r="317">
      <c r="C317" s="53"/>
      <c r="G317" s="2" t="str">
        <f t="shared" si="27"/>
        <v/>
      </c>
      <c r="I317" s="4">
        <f>SUMIFS(Dump!D:D,Dump!B:B,C317)</f>
        <v>0</v>
      </c>
      <c r="J317" s="5">
        <f>SUMIFS(Dump!AE:AE,Dump!B:B,C317)</f>
        <v>0</v>
      </c>
      <c r="K317" s="4">
        <f>SUMPRODUCT(
  (TEXT(Dump!$A$2:$A994,"mmm-yy")=TEXT($Y317,"mmm-yy"))*
  (Dump!$B$2:$B994=$C317)*
  Dump!$D$2:$D994)</f>
        <v>0</v>
      </c>
      <c r="L317" s="4">
        <f>SUMPRODUCT(
  (TEXT(Dump!$A$2:$A994,"mmm-yy")=TEXT($Y317,"mmm-yy"))*
  (Dump!$B$2:$B994=$C317)*
  Dump!$E$2:$E994
)</f>
        <v>0</v>
      </c>
      <c r="M317" s="4">
        <f>SUMPRODUCT(
  (TEXT(Dump!$A$2:$A994,"mmm-yy")=TEXT($Y317,"mmm-yy"))*
  (Dump!$B$2:$B994=$C317)*
  Dump!$P$2:$P994
)</f>
        <v>0</v>
      </c>
      <c r="N317" s="32"/>
      <c r="O317" s="33">
        <f>SUMIFS(Dump!$D:$D,Dump!$B:$B,$C317,Dump!$A:$A,$Y317)</f>
        <v>0</v>
      </c>
      <c r="P317" s="33">
        <f>SUMIFS(Dump!R:R,Dump!B:B,C317,Dump!A:A,Y317)</f>
        <v>0</v>
      </c>
      <c r="Q317" s="34">
        <f t="shared" si="21"/>
        <v>0</v>
      </c>
      <c r="S317" s="4">
        <f>SUMIFS(Dump!E:E,Dump!B:B,C317,Dump!A:A,Y317)</f>
        <v>0</v>
      </c>
      <c r="T317" s="35">
        <f t="shared" si="22"/>
        <v>0</v>
      </c>
      <c r="V317" s="4">
        <f>SUMIFS(Dump!P:P,Dump!B:B,C317,Dump!A:A,Y317)</f>
        <v>0</v>
      </c>
      <c r="W317" s="37">
        <f t="shared" si="23"/>
        <v>0</v>
      </c>
      <c r="X317" s="39"/>
      <c r="Y317" s="54"/>
    </row>
    <row r="318">
      <c r="C318" s="53"/>
      <c r="G318" s="2" t="str">
        <f t="shared" si="27"/>
        <v/>
      </c>
      <c r="I318" s="4">
        <f>SUMIFS(Dump!D:D,Dump!B:B,C318)</f>
        <v>0</v>
      </c>
      <c r="J318" s="5">
        <f>SUMIFS(Dump!AE:AE,Dump!B:B,C318)</f>
        <v>0</v>
      </c>
      <c r="K318" s="4">
        <f>SUMPRODUCT(
  (TEXT(Dump!$A$2:$A994,"mmm-yy")=TEXT($Y318,"mmm-yy"))*
  (Dump!$B$2:$B994=$C318)*
  Dump!$D$2:$D994)</f>
        <v>0</v>
      </c>
      <c r="L318" s="4">
        <f>SUMPRODUCT(
  (TEXT(Dump!$A$2:$A994,"mmm-yy")=TEXT($Y318,"mmm-yy"))*
  (Dump!$B$2:$B994=$C318)*
  Dump!$E$2:$E994
)</f>
        <v>0</v>
      </c>
      <c r="M318" s="4">
        <f>SUMPRODUCT(
  (TEXT(Dump!$A$2:$A994,"mmm-yy")=TEXT($Y318,"mmm-yy"))*
  (Dump!$B$2:$B994=$C318)*
  Dump!$P$2:$P994
)</f>
        <v>0</v>
      </c>
      <c r="N318" s="32"/>
      <c r="O318" s="33">
        <f>SUMIFS(Dump!$D:$D,Dump!$B:$B,$C318,Dump!$A:$A,$Y318)</f>
        <v>0</v>
      </c>
      <c r="P318" s="33">
        <f>SUMIFS(Dump!R:R,Dump!B:B,C318,Dump!A:A,Y318)</f>
        <v>0</v>
      </c>
      <c r="Q318" s="34">
        <f t="shared" si="21"/>
        <v>0</v>
      </c>
      <c r="S318" s="4">
        <f>SUMIFS(Dump!E:E,Dump!B:B,C318,Dump!A:A,Y318)</f>
        <v>0</v>
      </c>
      <c r="T318" s="35">
        <f t="shared" si="22"/>
        <v>0</v>
      </c>
      <c r="V318" s="4">
        <f>SUMIFS(Dump!P:P,Dump!B:B,C318,Dump!A:A,Y318)</f>
        <v>0</v>
      </c>
      <c r="W318" s="37">
        <f t="shared" si="23"/>
        <v>0</v>
      </c>
      <c r="X318" s="39"/>
      <c r="Y318" s="54"/>
    </row>
    <row r="319">
      <c r="C319" s="53"/>
      <c r="G319" s="2" t="str">
        <f t="shared" si="27"/>
        <v/>
      </c>
      <c r="I319" s="4">
        <f>SUMIFS(Dump!D:D,Dump!B:B,C319)</f>
        <v>0</v>
      </c>
      <c r="J319" s="5">
        <f>SUMIFS(Dump!AE:AE,Dump!B:B,C319)</f>
        <v>0</v>
      </c>
      <c r="K319" s="4">
        <f>SUMPRODUCT(
  (TEXT(Dump!$A$2:$A994,"mmm-yy")=TEXT($Y319,"mmm-yy"))*
  (Dump!$B$2:$B994=$C319)*
  Dump!$D$2:$D994)</f>
        <v>0</v>
      </c>
      <c r="L319" s="4">
        <f>SUMPRODUCT(
  (TEXT(Dump!$A$2:$A994,"mmm-yy")=TEXT($Y319,"mmm-yy"))*
  (Dump!$B$2:$B994=$C319)*
  Dump!$E$2:$E994
)</f>
        <v>0</v>
      </c>
      <c r="M319" s="4">
        <f>SUMPRODUCT(
  (TEXT(Dump!$A$2:$A994,"mmm-yy")=TEXT($Y319,"mmm-yy"))*
  (Dump!$B$2:$B994=$C319)*
  Dump!$P$2:$P994
)</f>
        <v>0</v>
      </c>
      <c r="N319" s="32"/>
      <c r="O319" s="33">
        <f>SUMIFS(Dump!$D:$D,Dump!$B:$B,$C319,Dump!$A:$A,$Y319)</f>
        <v>0</v>
      </c>
      <c r="P319" s="33">
        <f>SUMIFS(Dump!R:R,Dump!B:B,C319,Dump!A:A,Y319)</f>
        <v>0</v>
      </c>
      <c r="Q319" s="34">
        <f t="shared" si="21"/>
        <v>0</v>
      </c>
      <c r="S319" s="4">
        <f>SUMIFS(Dump!E:E,Dump!B:B,C319,Dump!A:A,Y319)</f>
        <v>0</v>
      </c>
      <c r="T319" s="35">
        <f t="shared" si="22"/>
        <v>0</v>
      </c>
      <c r="V319" s="4">
        <f>SUMIFS(Dump!P:P,Dump!B:B,C319,Dump!A:A,Y319)</f>
        <v>0</v>
      </c>
      <c r="W319" s="37">
        <f t="shared" si="23"/>
        <v>0</v>
      </c>
      <c r="X319" s="39"/>
      <c r="Y319" s="54"/>
    </row>
    <row r="320">
      <c r="C320" s="53"/>
      <c r="G320" s="2" t="str">
        <f t="shared" si="27"/>
        <v/>
      </c>
      <c r="I320" s="4">
        <f>SUMIFS(Dump!D:D,Dump!B:B,C320)</f>
        <v>0</v>
      </c>
      <c r="J320" s="5">
        <f>SUMIFS(Dump!AE:AE,Dump!B:B,C320)</f>
        <v>0</v>
      </c>
      <c r="K320" s="4">
        <f>SUMPRODUCT(
  (TEXT(Dump!$A$2:$A994,"mmm-yy")=TEXT($Y320,"mmm-yy"))*
  (Dump!$B$2:$B994=$C320)*
  Dump!$D$2:$D994)</f>
        <v>0</v>
      </c>
      <c r="L320" s="4">
        <f>SUMPRODUCT(
  (TEXT(Dump!$A$2:$A994,"mmm-yy")=TEXT($Y320,"mmm-yy"))*
  (Dump!$B$2:$B994=$C320)*
  Dump!$E$2:$E994
)</f>
        <v>0</v>
      </c>
      <c r="M320" s="4">
        <f>SUMPRODUCT(
  (TEXT(Dump!$A$2:$A994,"mmm-yy")=TEXT($Y320,"mmm-yy"))*
  (Dump!$B$2:$B994=$C320)*
  Dump!$P$2:$P994
)</f>
        <v>0</v>
      </c>
      <c r="N320" s="32"/>
      <c r="O320" s="33">
        <f>SUMIFS(Dump!$D:$D,Dump!$B:$B,$C320,Dump!$A:$A,$Y320)</f>
        <v>0</v>
      </c>
      <c r="P320" s="33">
        <f>SUMIFS(Dump!R:R,Dump!B:B,C320,Dump!A:A,Y320)</f>
        <v>0</v>
      </c>
      <c r="Q320" s="34">
        <f t="shared" si="21"/>
        <v>0</v>
      </c>
      <c r="S320" s="4">
        <f>SUMIFS(Dump!E:E,Dump!B:B,C320,Dump!A:A,Y320)</f>
        <v>0</v>
      </c>
      <c r="T320" s="35">
        <f t="shared" si="22"/>
        <v>0</v>
      </c>
      <c r="V320" s="4">
        <f>SUMIFS(Dump!P:P,Dump!B:B,C320,Dump!A:A,Y320)</f>
        <v>0</v>
      </c>
      <c r="W320" s="37">
        <f t="shared" si="23"/>
        <v>0</v>
      </c>
      <c r="X320" s="39"/>
      <c r="Y320" s="54"/>
    </row>
    <row r="321">
      <c r="C321" s="53"/>
      <c r="G321" s="2" t="str">
        <f t="shared" si="27"/>
        <v/>
      </c>
      <c r="I321" s="4">
        <f>SUMIFS(Dump!D:D,Dump!B:B,C321)</f>
        <v>0</v>
      </c>
      <c r="J321" s="5">
        <f>SUMIFS(Dump!AE:AE,Dump!B:B,C321)</f>
        <v>0</v>
      </c>
      <c r="K321" s="4">
        <f>SUMPRODUCT(
  (TEXT(Dump!$A$2:$A994,"mmm-yy")=TEXT($Y321,"mmm-yy"))*
  (Dump!$B$2:$B994=$C321)*
  Dump!$D$2:$D994)</f>
        <v>0</v>
      </c>
      <c r="L321" s="4">
        <f>SUMPRODUCT(
  (TEXT(Dump!$A$2:$A994,"mmm-yy")=TEXT($Y321,"mmm-yy"))*
  (Dump!$B$2:$B994=$C321)*
  Dump!$E$2:$E994
)</f>
        <v>0</v>
      </c>
      <c r="M321" s="4">
        <f>SUMPRODUCT(
  (TEXT(Dump!$A$2:$A994,"mmm-yy")=TEXT($Y321,"mmm-yy"))*
  (Dump!$B$2:$B994=$C321)*
  Dump!$P$2:$P994
)</f>
        <v>0</v>
      </c>
      <c r="N321" s="32"/>
      <c r="O321" s="33">
        <f>SUMIFS(Dump!$D:$D,Dump!$B:$B,$C321,Dump!$A:$A,$Y321)</f>
        <v>0</v>
      </c>
      <c r="P321" s="33">
        <f>SUMIFS(Dump!R:R,Dump!B:B,C321,Dump!A:A,Y321)</f>
        <v>0</v>
      </c>
      <c r="Q321" s="34">
        <f t="shared" si="21"/>
        <v>0</v>
      </c>
      <c r="S321" s="4">
        <f>SUMIFS(Dump!E:E,Dump!B:B,C321,Dump!A:A,Y321)</f>
        <v>0</v>
      </c>
      <c r="T321" s="35">
        <f t="shared" si="22"/>
        <v>0</v>
      </c>
      <c r="V321" s="4">
        <f>SUMIFS(Dump!P:P,Dump!B:B,C321,Dump!A:A,Y321)</f>
        <v>0</v>
      </c>
      <c r="W321" s="37">
        <f t="shared" si="23"/>
        <v>0</v>
      </c>
      <c r="X321" s="39"/>
      <c r="Y321" s="54"/>
    </row>
    <row r="322">
      <c r="C322" s="53"/>
      <c r="G322" s="2" t="str">
        <f t="shared" si="27"/>
        <v/>
      </c>
      <c r="I322" s="4">
        <f>SUMIFS(Dump!D:D,Dump!B:B,C322)</f>
        <v>0</v>
      </c>
      <c r="J322" s="5">
        <f>SUMIFS(Dump!AE:AE,Dump!B:B,C322)</f>
        <v>0</v>
      </c>
      <c r="K322" s="4">
        <f>SUMPRODUCT(
  (TEXT(Dump!$A$2:$A994,"mmm-yy")=TEXT($Y322,"mmm-yy"))*
  (Dump!$B$2:$B994=$C322)*
  Dump!$D$2:$D994)</f>
        <v>0</v>
      </c>
      <c r="L322" s="4">
        <f>SUMPRODUCT(
  (TEXT(Dump!$A$2:$A994,"mmm-yy")=TEXT($Y322,"mmm-yy"))*
  (Dump!$B$2:$B994=$C322)*
  Dump!$E$2:$E994
)</f>
        <v>0</v>
      </c>
      <c r="M322" s="4">
        <f>SUMPRODUCT(
  (TEXT(Dump!$A$2:$A994,"mmm-yy")=TEXT($Y322,"mmm-yy"))*
  (Dump!$B$2:$B994=$C322)*
  Dump!$P$2:$P994
)</f>
        <v>0</v>
      </c>
      <c r="N322" s="32"/>
      <c r="O322" s="33">
        <f>SUMIFS(Dump!$D:$D,Dump!$B:$B,$C322,Dump!$A:$A,$Y322)</f>
        <v>0</v>
      </c>
      <c r="P322" s="33">
        <f>SUMIFS(Dump!R:R,Dump!B:B,C322,Dump!A:A,Y322)</f>
        <v>0</v>
      </c>
      <c r="Q322" s="34">
        <f t="shared" si="21"/>
        <v>0</v>
      </c>
      <c r="S322" s="4">
        <f>SUMIFS(Dump!E:E,Dump!B:B,C322,Dump!A:A,Y322)</f>
        <v>0</v>
      </c>
      <c r="T322" s="35">
        <f t="shared" si="22"/>
        <v>0</v>
      </c>
      <c r="V322" s="4">
        <f>SUMIFS(Dump!P:P,Dump!B:B,C322,Dump!A:A,Y322)</f>
        <v>0</v>
      </c>
      <c r="W322" s="37">
        <f t="shared" si="23"/>
        <v>0</v>
      </c>
      <c r="X322" s="39"/>
      <c r="Y322" s="54"/>
    </row>
    <row r="323">
      <c r="C323" s="53"/>
      <c r="G323" s="2" t="str">
        <f t="shared" si="27"/>
        <v/>
      </c>
      <c r="I323" s="4">
        <f>SUMIFS(Dump!D:D,Dump!B:B,C323)</f>
        <v>0</v>
      </c>
      <c r="J323" s="5">
        <f>SUMIFS(Dump!AE:AE,Dump!B:B,C323)</f>
        <v>0</v>
      </c>
      <c r="K323" s="4">
        <f>SUMPRODUCT(
  (TEXT(Dump!$A$2:$A994,"mmm-yy")=TEXT($Y323,"mmm-yy"))*
  (Dump!$B$2:$B994=$C323)*
  Dump!$D$2:$D994)</f>
        <v>0</v>
      </c>
      <c r="L323" s="4">
        <f>SUMPRODUCT(
  (TEXT(Dump!$A$2:$A994,"mmm-yy")=TEXT($Y323,"mmm-yy"))*
  (Dump!$B$2:$B994=$C323)*
  Dump!$E$2:$E994
)</f>
        <v>0</v>
      </c>
      <c r="M323" s="4">
        <f>SUMPRODUCT(
  (TEXT(Dump!$A$2:$A994,"mmm-yy")=TEXT($Y323,"mmm-yy"))*
  (Dump!$B$2:$B994=$C323)*
  Dump!$P$2:$P994
)</f>
        <v>0</v>
      </c>
      <c r="N323" s="32"/>
      <c r="O323" s="33">
        <f>SUMIFS(Dump!$D:$D,Dump!$B:$B,$C323,Dump!$A:$A,$Y323)</f>
        <v>0</v>
      </c>
      <c r="P323" s="33">
        <f>SUMIFS(Dump!R:R,Dump!B:B,C323,Dump!A:A,Y323)</f>
        <v>0</v>
      </c>
      <c r="Q323" s="34">
        <f t="shared" si="21"/>
        <v>0</v>
      </c>
      <c r="S323" s="4">
        <f>SUMIFS(Dump!E:E,Dump!B:B,C323,Dump!A:A,Y323)</f>
        <v>0</v>
      </c>
      <c r="T323" s="35">
        <f t="shared" si="22"/>
        <v>0</v>
      </c>
      <c r="V323" s="4">
        <f>SUMIFS(Dump!P:P,Dump!B:B,C323,Dump!A:A,Y323)</f>
        <v>0</v>
      </c>
      <c r="W323" s="37">
        <f t="shared" si="23"/>
        <v>0</v>
      </c>
      <c r="X323" s="39"/>
      <c r="Y323" s="54"/>
    </row>
    <row r="324">
      <c r="C324" s="53"/>
      <c r="G324" s="2" t="str">
        <f t="shared" si="27"/>
        <v/>
      </c>
      <c r="I324" s="4">
        <f>SUMIFS(Dump!D:D,Dump!B:B,C324)</f>
        <v>0</v>
      </c>
      <c r="J324" s="5">
        <f>SUMIFS(Dump!AE:AE,Dump!B:B,C324)</f>
        <v>0</v>
      </c>
      <c r="K324" s="4">
        <f>SUMPRODUCT(
  (TEXT(Dump!$A$2:$A994,"mmm-yy")=TEXT($Y324,"mmm-yy"))*
  (Dump!$B$2:$B994=$C324)*
  Dump!$D$2:$D994)</f>
        <v>0</v>
      </c>
      <c r="L324" s="4">
        <f>SUMPRODUCT(
  (TEXT(Dump!$A$2:$A994,"mmm-yy")=TEXT($Y324,"mmm-yy"))*
  (Dump!$B$2:$B994=$C324)*
  Dump!$E$2:$E994
)</f>
        <v>0</v>
      </c>
      <c r="M324" s="4">
        <f>SUMPRODUCT(
  (TEXT(Dump!$A$2:$A994,"mmm-yy")=TEXT($Y324,"mmm-yy"))*
  (Dump!$B$2:$B994=$C324)*
  Dump!$P$2:$P994
)</f>
        <v>0</v>
      </c>
      <c r="N324" s="32"/>
      <c r="O324" s="33">
        <f>SUMIFS(Dump!$D:$D,Dump!$B:$B,$C324,Dump!$A:$A,$Y324)</f>
        <v>0</v>
      </c>
      <c r="P324" s="33">
        <f>SUMIFS(Dump!R:R,Dump!B:B,C324,Dump!A:A,Y324)</f>
        <v>0</v>
      </c>
      <c r="Q324" s="34">
        <f t="shared" si="21"/>
        <v>0</v>
      </c>
      <c r="S324" s="4">
        <f>SUMIFS(Dump!E:E,Dump!B:B,C324,Dump!A:A,Y324)</f>
        <v>0</v>
      </c>
      <c r="T324" s="35">
        <f t="shared" si="22"/>
        <v>0</v>
      </c>
      <c r="V324" s="4">
        <f>SUMIFS(Dump!P:P,Dump!B:B,C324,Dump!A:A,Y324)</f>
        <v>0</v>
      </c>
      <c r="W324" s="37">
        <f t="shared" si="23"/>
        <v>0</v>
      </c>
      <c r="X324" s="39"/>
      <c r="Y324" s="54"/>
    </row>
    <row r="325">
      <c r="C325" s="53"/>
      <c r="G325" s="2" t="str">
        <f t="shared" si="27"/>
        <v/>
      </c>
      <c r="I325" s="4">
        <f>SUMIFS(Dump!D:D,Dump!B:B,C325)</f>
        <v>0</v>
      </c>
      <c r="J325" s="5">
        <f>SUMIFS(Dump!AE:AE,Dump!B:B,C325)</f>
        <v>0</v>
      </c>
      <c r="K325" s="4">
        <f>SUMPRODUCT(
  (TEXT(Dump!$A$2:$A994,"mmm-yy")=TEXT($Y325,"mmm-yy"))*
  (Dump!$B$2:$B994=$C325)*
  Dump!$D$2:$D994)</f>
        <v>0</v>
      </c>
      <c r="L325" s="4">
        <f>SUMPRODUCT(
  (TEXT(Dump!$A$2:$A994,"mmm-yy")=TEXT($Y325,"mmm-yy"))*
  (Dump!$B$2:$B994=$C325)*
  Dump!$E$2:$E994
)</f>
        <v>0</v>
      </c>
      <c r="M325" s="4">
        <f>SUMPRODUCT(
  (TEXT(Dump!$A$2:$A994,"mmm-yy")=TEXT($Y325,"mmm-yy"))*
  (Dump!$B$2:$B994=$C325)*
  Dump!$P$2:$P994
)</f>
        <v>0</v>
      </c>
      <c r="N325" s="32"/>
      <c r="O325" s="33">
        <f>SUMIFS(Dump!$D:$D,Dump!$B:$B,$C325,Dump!$A:$A,$Y325)</f>
        <v>0</v>
      </c>
      <c r="P325" s="33">
        <f>SUMIFS(Dump!R:R,Dump!B:B,C325,Dump!A:A,Y325)</f>
        <v>0</v>
      </c>
      <c r="Q325" s="34">
        <f t="shared" si="21"/>
        <v>0</v>
      </c>
      <c r="S325" s="4">
        <f>SUMIFS(Dump!E:E,Dump!B:B,C325,Dump!A:A,Y325)</f>
        <v>0</v>
      </c>
      <c r="T325" s="35">
        <f t="shared" si="22"/>
        <v>0</v>
      </c>
      <c r="V325" s="4">
        <f>SUMIFS(Dump!P:P,Dump!B:B,C325,Dump!A:A,Y325)</f>
        <v>0</v>
      </c>
      <c r="W325" s="37">
        <f t="shared" si="23"/>
        <v>0</v>
      </c>
      <c r="X325" s="39"/>
      <c r="Y325" s="54"/>
    </row>
    <row r="326">
      <c r="C326" s="53"/>
      <c r="G326" s="2" t="str">
        <f t="shared" si="27"/>
        <v/>
      </c>
      <c r="I326" s="4">
        <f>SUMIFS(Dump!D:D,Dump!B:B,C326)</f>
        <v>0</v>
      </c>
      <c r="J326" s="5">
        <f>SUMIFS(Dump!AE:AE,Dump!B:B,C326)</f>
        <v>0</v>
      </c>
      <c r="K326" s="4">
        <f>SUMPRODUCT(
  (TEXT(Dump!$A$2:$A994,"mmm-yy")=TEXT($Y326,"mmm-yy"))*
  (Dump!$B$2:$B994=$C326)*
  Dump!$D$2:$D994)</f>
        <v>0</v>
      </c>
      <c r="L326" s="4">
        <f>SUMPRODUCT(
  (TEXT(Dump!$A$2:$A994,"mmm-yy")=TEXT($Y326,"mmm-yy"))*
  (Dump!$B$2:$B994=$C326)*
  Dump!$E$2:$E994
)</f>
        <v>0</v>
      </c>
      <c r="M326" s="4">
        <f>SUMPRODUCT(
  (TEXT(Dump!$A$2:$A994,"mmm-yy")=TEXT($Y326,"mmm-yy"))*
  (Dump!$B$2:$B994=$C326)*
  Dump!$P$2:$P994
)</f>
        <v>0</v>
      </c>
      <c r="N326" s="32"/>
      <c r="O326" s="33">
        <f>SUMIFS(Dump!$D:$D,Dump!$B:$B,$C326,Dump!$A:$A,$Y326)</f>
        <v>0</v>
      </c>
      <c r="P326" s="33">
        <f>SUMIFS(Dump!R:R,Dump!B:B,C326,Dump!A:A,Y326)</f>
        <v>0</v>
      </c>
      <c r="Q326" s="34">
        <f t="shared" si="21"/>
        <v>0</v>
      </c>
      <c r="S326" s="4">
        <f>SUMIFS(Dump!E:E,Dump!B:B,C326,Dump!A:A,Y326)</f>
        <v>0</v>
      </c>
      <c r="T326" s="35">
        <f t="shared" si="22"/>
        <v>0</v>
      </c>
      <c r="V326" s="4">
        <f>SUMIFS(Dump!P:P,Dump!B:B,C326,Dump!A:A,Y326)</f>
        <v>0</v>
      </c>
      <c r="W326" s="37">
        <f t="shared" si="23"/>
        <v>0</v>
      </c>
      <c r="X326" s="39"/>
      <c r="Y326" s="54"/>
    </row>
    <row r="327">
      <c r="C327" s="53"/>
      <c r="G327" s="2" t="str">
        <f t="shared" si="27"/>
        <v/>
      </c>
      <c r="I327" s="4">
        <f>SUMIFS(Dump!D:D,Dump!B:B,C327)</f>
        <v>0</v>
      </c>
      <c r="J327" s="5">
        <f>SUMIFS(Dump!AE:AE,Dump!B:B,C327)</f>
        <v>0</v>
      </c>
      <c r="K327" s="4">
        <f>SUMPRODUCT(
  (TEXT(Dump!$A$2:$A994,"mmm-yy")=TEXT($Y327,"mmm-yy"))*
  (Dump!$B$2:$B994=$C327)*
  Dump!$D$2:$D994)</f>
        <v>0</v>
      </c>
      <c r="L327" s="4">
        <f>SUMPRODUCT(
  (TEXT(Dump!$A$2:$A994,"mmm-yy")=TEXT($Y327,"mmm-yy"))*
  (Dump!$B$2:$B994=$C327)*
  Dump!$E$2:$E994
)</f>
        <v>0</v>
      </c>
      <c r="M327" s="4">
        <f>SUMPRODUCT(
  (TEXT(Dump!$A$2:$A994,"mmm-yy")=TEXT($Y327,"mmm-yy"))*
  (Dump!$B$2:$B994=$C327)*
  Dump!$P$2:$P994
)</f>
        <v>0</v>
      </c>
      <c r="N327" s="32"/>
      <c r="O327" s="33">
        <f>SUMIFS(Dump!$D:$D,Dump!$B:$B,$C327,Dump!$A:$A,$Y327)</f>
        <v>0</v>
      </c>
      <c r="P327" s="33">
        <f>SUMIFS(Dump!R:R,Dump!B:B,C327,Dump!A:A,Y327)</f>
        <v>0</v>
      </c>
      <c r="Q327" s="34">
        <f t="shared" si="21"/>
        <v>0</v>
      </c>
      <c r="S327" s="4">
        <f>SUMIFS(Dump!E:E,Dump!B:B,C327,Dump!A:A,Y327)</f>
        <v>0</v>
      </c>
      <c r="T327" s="35">
        <f t="shared" si="22"/>
        <v>0</v>
      </c>
      <c r="V327" s="4">
        <f>SUMIFS(Dump!P:P,Dump!B:B,C327,Dump!A:A,Y327)</f>
        <v>0</v>
      </c>
      <c r="W327" s="37">
        <f t="shared" si="23"/>
        <v>0</v>
      </c>
      <c r="X327" s="39"/>
      <c r="Y327" s="54"/>
    </row>
    <row r="328">
      <c r="C328" s="53"/>
      <c r="G328" s="2" t="str">
        <f t="shared" si="27"/>
        <v/>
      </c>
      <c r="I328" s="4">
        <f>SUMIFS(Dump!D:D,Dump!B:B,C328)</f>
        <v>0</v>
      </c>
      <c r="J328" s="5">
        <f>SUMIFS(Dump!AE:AE,Dump!B:B,C328)</f>
        <v>0</v>
      </c>
      <c r="K328" s="4">
        <f>SUMPRODUCT(
  (TEXT(Dump!$A$2:$A994,"mmm-yy")=TEXT($Y328,"mmm-yy"))*
  (Dump!$B$2:$B994=$C328)*
  Dump!$D$2:$D994)</f>
        <v>0</v>
      </c>
      <c r="L328" s="4">
        <f>SUMPRODUCT(
  (TEXT(Dump!$A$2:$A994,"mmm-yy")=TEXT($Y328,"mmm-yy"))*
  (Dump!$B$2:$B994=$C328)*
  Dump!$E$2:$E994
)</f>
        <v>0</v>
      </c>
      <c r="M328" s="4">
        <f>SUMPRODUCT(
  (TEXT(Dump!$A$2:$A994,"mmm-yy")=TEXT($Y328,"mmm-yy"))*
  (Dump!$B$2:$B994=$C328)*
  Dump!$P$2:$P994
)</f>
        <v>0</v>
      </c>
      <c r="N328" s="32"/>
      <c r="O328" s="33">
        <f>SUMIFS(Dump!$D:$D,Dump!$B:$B,$C328,Dump!$A:$A,$Y328)</f>
        <v>0</v>
      </c>
      <c r="P328" s="33">
        <f>SUMIFS(Dump!R:R,Dump!B:B,C328,Dump!A:A,Y328)</f>
        <v>0</v>
      </c>
      <c r="Q328" s="34">
        <f t="shared" si="21"/>
        <v>0</v>
      </c>
      <c r="S328" s="4">
        <f>SUMIFS(Dump!E:E,Dump!B:B,C328,Dump!A:A,Y328)</f>
        <v>0</v>
      </c>
      <c r="T328" s="35">
        <f t="shared" si="22"/>
        <v>0</v>
      </c>
      <c r="V328" s="4">
        <f>SUMIFS(Dump!P:P,Dump!B:B,C328,Dump!A:A,Y328)</f>
        <v>0</v>
      </c>
      <c r="W328" s="37">
        <f t="shared" si="23"/>
        <v>0</v>
      </c>
      <c r="X328" s="39"/>
      <c r="Y328" s="54"/>
    </row>
    <row r="329">
      <c r="C329" s="53"/>
      <c r="G329" s="2" t="str">
        <f t="shared" si="27"/>
        <v/>
      </c>
      <c r="I329" s="4">
        <f>SUMIFS(Dump!D:D,Dump!B:B,C329)</f>
        <v>0</v>
      </c>
      <c r="J329" s="5">
        <f>SUMIFS(Dump!AE:AE,Dump!B:B,C329)</f>
        <v>0</v>
      </c>
      <c r="K329" s="4">
        <f>SUMPRODUCT(
  (TEXT(Dump!$A$2:$A994,"mmm-yy")=TEXT($Y329,"mmm-yy"))*
  (Dump!$B$2:$B994=$C329)*
  Dump!$D$2:$D994)</f>
        <v>0</v>
      </c>
      <c r="L329" s="4">
        <f>SUMPRODUCT(
  (TEXT(Dump!$A$2:$A994,"mmm-yy")=TEXT($Y329,"mmm-yy"))*
  (Dump!$B$2:$B994=$C329)*
  Dump!$E$2:$E994
)</f>
        <v>0</v>
      </c>
      <c r="M329" s="4">
        <f>SUMPRODUCT(
  (TEXT(Dump!$A$2:$A994,"mmm-yy")=TEXT($Y329,"mmm-yy"))*
  (Dump!$B$2:$B994=$C329)*
  Dump!$P$2:$P994
)</f>
        <v>0</v>
      </c>
      <c r="N329" s="32"/>
      <c r="O329" s="33">
        <f>SUMIFS(Dump!$D:$D,Dump!$B:$B,$C329,Dump!$A:$A,$Y329)</f>
        <v>0</v>
      </c>
      <c r="P329" s="33">
        <f>SUMIFS(Dump!R:R,Dump!B:B,C329,Dump!A:A,Y329)</f>
        <v>0</v>
      </c>
      <c r="Q329" s="34">
        <f t="shared" si="21"/>
        <v>0</v>
      </c>
      <c r="S329" s="4">
        <f>SUMIFS(Dump!E:E,Dump!B:B,C329,Dump!A:A,Y329)</f>
        <v>0</v>
      </c>
      <c r="T329" s="35">
        <f t="shared" si="22"/>
        <v>0</v>
      </c>
      <c r="V329" s="4">
        <f>SUMIFS(Dump!P:P,Dump!B:B,C329,Dump!A:A,Y329)</f>
        <v>0</v>
      </c>
      <c r="W329" s="37">
        <f t="shared" si="23"/>
        <v>0</v>
      </c>
      <c r="X329" s="39"/>
      <c r="Y329" s="54"/>
    </row>
    <row r="330">
      <c r="C330" s="53"/>
      <c r="G330" s="2" t="str">
        <f t="shared" si="27"/>
        <v/>
      </c>
      <c r="I330" s="4">
        <f>SUMIFS(Dump!D:D,Dump!B:B,C330)</f>
        <v>0</v>
      </c>
      <c r="J330" s="5">
        <f>SUMIFS(Dump!AE:AE,Dump!B:B,C330)</f>
        <v>0</v>
      </c>
      <c r="K330" s="4">
        <f>SUMPRODUCT(
  (TEXT(Dump!$A$2:$A994,"mmm-yy")=TEXT($Y330,"mmm-yy"))*
  (Dump!$B$2:$B994=$C330)*
  Dump!$D$2:$D994)</f>
        <v>0</v>
      </c>
      <c r="L330" s="4">
        <f>SUMPRODUCT(
  (TEXT(Dump!$A$2:$A994,"mmm-yy")=TEXT($Y330,"mmm-yy"))*
  (Dump!$B$2:$B994=$C330)*
  Dump!$E$2:$E994
)</f>
        <v>0</v>
      </c>
      <c r="M330" s="4">
        <f>SUMPRODUCT(
  (TEXT(Dump!$A$2:$A994,"mmm-yy")=TEXT($Y330,"mmm-yy"))*
  (Dump!$B$2:$B994=$C330)*
  Dump!$P$2:$P994
)</f>
        <v>0</v>
      </c>
      <c r="N330" s="32"/>
      <c r="O330" s="33">
        <f>SUMIFS(Dump!$D:$D,Dump!$B:$B,$C330,Dump!$A:$A,$Y330)</f>
        <v>0</v>
      </c>
      <c r="P330" s="33">
        <f>SUMIFS(Dump!R:R,Dump!B:B,C330,Dump!A:A,Y330)</f>
        <v>0</v>
      </c>
      <c r="Q330" s="34">
        <f t="shared" si="21"/>
        <v>0</v>
      </c>
      <c r="S330" s="4">
        <f>SUMIFS(Dump!E:E,Dump!B:B,C330,Dump!A:A,Y330)</f>
        <v>0</v>
      </c>
      <c r="T330" s="35">
        <f t="shared" si="22"/>
        <v>0</v>
      </c>
      <c r="V330" s="4">
        <f>SUMIFS(Dump!P:P,Dump!B:B,C330,Dump!A:A,Y330)</f>
        <v>0</v>
      </c>
      <c r="W330" s="37">
        <f t="shared" si="23"/>
        <v>0</v>
      </c>
      <c r="X330" s="39"/>
      <c r="Y330" s="54"/>
    </row>
    <row r="331">
      <c r="C331" s="53"/>
      <c r="G331" s="2" t="str">
        <f t="shared" si="27"/>
        <v/>
      </c>
      <c r="I331" s="4">
        <f>SUMIFS(Dump!D:D,Dump!B:B,C331)</f>
        <v>0</v>
      </c>
      <c r="J331" s="5">
        <f>SUMIFS(Dump!AE:AE,Dump!B:B,C331)</f>
        <v>0</v>
      </c>
      <c r="K331" s="4">
        <f>SUMPRODUCT(
  (TEXT(Dump!$A$2:$A994,"mmm-yy")=TEXT($Y331,"mmm-yy"))*
  (Dump!$B$2:$B994=$C331)*
  Dump!$D$2:$D994)</f>
        <v>0</v>
      </c>
      <c r="L331" s="4">
        <f>SUMPRODUCT(
  (TEXT(Dump!$A$2:$A994,"mmm-yy")=TEXT($Y331,"mmm-yy"))*
  (Dump!$B$2:$B994=$C331)*
  Dump!$E$2:$E994
)</f>
        <v>0</v>
      </c>
      <c r="M331" s="4">
        <f>SUMPRODUCT(
  (TEXT(Dump!$A$2:$A994,"mmm-yy")=TEXT($Y331,"mmm-yy"))*
  (Dump!$B$2:$B994=$C331)*
  Dump!$P$2:$P994
)</f>
        <v>0</v>
      </c>
      <c r="N331" s="32"/>
      <c r="O331" s="33">
        <f>SUMIFS(Dump!$D:$D,Dump!$B:$B,$C331,Dump!$A:$A,$Y331)</f>
        <v>0</v>
      </c>
      <c r="P331" s="33">
        <f>SUMIFS(Dump!R:R,Dump!B:B,C331,Dump!A:A,Y331)</f>
        <v>0</v>
      </c>
      <c r="Q331" s="34">
        <f t="shared" si="21"/>
        <v>0</v>
      </c>
      <c r="S331" s="4">
        <f>SUMIFS(Dump!E:E,Dump!B:B,C331,Dump!A:A,Y331)</f>
        <v>0</v>
      </c>
      <c r="T331" s="35">
        <f t="shared" si="22"/>
        <v>0</v>
      </c>
      <c r="V331" s="4">
        <f>SUMIFS(Dump!P:P,Dump!B:B,C331,Dump!A:A,Y331)</f>
        <v>0</v>
      </c>
      <c r="W331" s="37">
        <f t="shared" si="23"/>
        <v>0</v>
      </c>
      <c r="X331" s="39"/>
      <c r="Y331" s="54"/>
    </row>
    <row r="332">
      <c r="C332" s="53"/>
      <c r="G332" s="2" t="str">
        <f t="shared" si="27"/>
        <v/>
      </c>
      <c r="I332" s="4">
        <f>SUMIFS(Dump!D:D,Dump!B:B,C332)</f>
        <v>0</v>
      </c>
      <c r="J332" s="5">
        <f>SUMIFS(Dump!AE:AE,Dump!B:B,C332)</f>
        <v>0</v>
      </c>
      <c r="K332" s="4">
        <f>SUMPRODUCT(
  (TEXT(Dump!$A$2:$A994,"mmm-yy")=TEXT($Y332,"mmm-yy"))*
  (Dump!$B$2:$B994=$C332)*
  Dump!$D$2:$D994)</f>
        <v>0</v>
      </c>
      <c r="L332" s="4">
        <f>SUMPRODUCT(
  (TEXT(Dump!$A$2:$A994,"mmm-yy")=TEXT($Y332,"mmm-yy"))*
  (Dump!$B$2:$B994=$C332)*
  Dump!$E$2:$E994
)</f>
        <v>0</v>
      </c>
      <c r="M332" s="4">
        <f>SUMPRODUCT(
  (TEXT(Dump!$A$2:$A994,"mmm-yy")=TEXT($Y332,"mmm-yy"))*
  (Dump!$B$2:$B994=$C332)*
  Dump!$P$2:$P994
)</f>
        <v>0</v>
      </c>
      <c r="N332" s="32"/>
      <c r="O332" s="33">
        <f>SUMIFS(Dump!$D:$D,Dump!$B:$B,$C332,Dump!$A:$A,$Y332)</f>
        <v>0</v>
      </c>
      <c r="P332" s="33">
        <f>SUMIFS(Dump!R:R,Dump!B:B,C332,Dump!A:A,Y332)</f>
        <v>0</v>
      </c>
      <c r="Q332" s="34">
        <f t="shared" si="21"/>
        <v>0</v>
      </c>
      <c r="S332" s="4">
        <f>SUMIFS(Dump!E:E,Dump!B:B,C332,Dump!A:A,Y332)</f>
        <v>0</v>
      </c>
      <c r="T332" s="35">
        <f t="shared" si="22"/>
        <v>0</v>
      </c>
      <c r="V332" s="4">
        <f>SUMIFS(Dump!P:P,Dump!B:B,C332,Dump!A:A,Y332)</f>
        <v>0</v>
      </c>
      <c r="W332" s="37">
        <f t="shared" si="23"/>
        <v>0</v>
      </c>
      <c r="X332" s="39"/>
      <c r="Y332" s="54"/>
    </row>
    <row r="333">
      <c r="C333" s="53"/>
      <c r="G333" s="2" t="str">
        <f t="shared" si="27"/>
        <v/>
      </c>
      <c r="I333" s="4">
        <f>SUMIFS(Dump!D:D,Dump!B:B,C333)</f>
        <v>0</v>
      </c>
      <c r="J333" s="5">
        <f>SUMIFS(Dump!AE:AE,Dump!B:B,C333)</f>
        <v>0</v>
      </c>
      <c r="K333" s="4">
        <f>SUMPRODUCT(
  (TEXT(Dump!$A$2:$A994,"mmm-yy")=TEXT($Y333,"mmm-yy"))*
  (Dump!$B$2:$B994=$C333)*
  Dump!$D$2:$D994)</f>
        <v>0</v>
      </c>
      <c r="L333" s="4">
        <f>SUMPRODUCT(
  (TEXT(Dump!$A$2:$A994,"mmm-yy")=TEXT($Y333,"mmm-yy"))*
  (Dump!$B$2:$B994=$C333)*
  Dump!$E$2:$E994
)</f>
        <v>0</v>
      </c>
      <c r="M333" s="4">
        <f>SUMPRODUCT(
  (TEXT(Dump!$A$2:$A994,"mmm-yy")=TEXT($Y333,"mmm-yy"))*
  (Dump!$B$2:$B994=$C333)*
  Dump!$P$2:$P994
)</f>
        <v>0</v>
      </c>
      <c r="N333" s="32"/>
      <c r="O333" s="33">
        <f>SUMIFS(Dump!$D:$D,Dump!$B:$B,$C333,Dump!$A:$A,$Y333)</f>
        <v>0</v>
      </c>
      <c r="P333" s="33">
        <f>SUMIFS(Dump!R:R,Dump!B:B,C333,Dump!A:A,Y333)</f>
        <v>0</v>
      </c>
      <c r="Q333" s="34">
        <f t="shared" si="21"/>
        <v>0</v>
      </c>
      <c r="S333" s="4">
        <f>SUMIFS(Dump!E:E,Dump!B:B,C333,Dump!A:A,Y333)</f>
        <v>0</v>
      </c>
      <c r="T333" s="35">
        <f t="shared" si="22"/>
        <v>0</v>
      </c>
      <c r="V333" s="4">
        <f>SUMIFS(Dump!P:P,Dump!B:B,C333,Dump!A:A,Y333)</f>
        <v>0</v>
      </c>
      <c r="W333" s="37">
        <f t="shared" si="23"/>
        <v>0</v>
      </c>
      <c r="X333" s="39"/>
      <c r="Y333" s="54"/>
    </row>
    <row r="334">
      <c r="C334" s="53"/>
      <c r="G334" s="2" t="str">
        <f t="shared" si="27"/>
        <v/>
      </c>
      <c r="I334" s="4">
        <f>SUMIFS(Dump!D:D,Dump!B:B,C334)</f>
        <v>0</v>
      </c>
      <c r="J334" s="5">
        <f>SUMIFS(Dump!AE:AE,Dump!B:B,C334)</f>
        <v>0</v>
      </c>
      <c r="K334" s="4">
        <f>SUMPRODUCT(
  (TEXT(Dump!$A$2:$A994,"mmm-yy")=TEXT($Y334,"mmm-yy"))*
  (Dump!$B$2:$B994=$C334)*
  Dump!$D$2:$D994)</f>
        <v>0</v>
      </c>
      <c r="L334" s="4">
        <f>SUMPRODUCT(
  (TEXT(Dump!$A$2:$A994,"mmm-yy")=TEXT($Y334,"mmm-yy"))*
  (Dump!$B$2:$B994=$C334)*
  Dump!$E$2:$E994
)</f>
        <v>0</v>
      </c>
      <c r="M334" s="4">
        <f>SUMPRODUCT(
  (TEXT(Dump!$A$2:$A994,"mmm-yy")=TEXT($Y334,"mmm-yy"))*
  (Dump!$B$2:$B994=$C334)*
  Dump!$P$2:$P994
)</f>
        <v>0</v>
      </c>
      <c r="N334" s="32"/>
      <c r="O334" s="33">
        <f>SUMIFS(Dump!$D:$D,Dump!$B:$B,$C334,Dump!$A:$A,$Y334)</f>
        <v>0</v>
      </c>
      <c r="P334" s="33">
        <f>SUMIFS(Dump!R:R,Dump!B:B,C334,Dump!A:A,Y334)</f>
        <v>0</v>
      </c>
      <c r="Q334" s="34">
        <f t="shared" si="21"/>
        <v>0</v>
      </c>
      <c r="S334" s="4">
        <f>SUMIFS(Dump!E:E,Dump!B:B,C334,Dump!A:A,Y334)</f>
        <v>0</v>
      </c>
      <c r="T334" s="35">
        <f t="shared" si="22"/>
        <v>0</v>
      </c>
      <c r="V334" s="4">
        <f>SUMIFS(Dump!P:P,Dump!B:B,C334,Dump!A:A,Y334)</f>
        <v>0</v>
      </c>
      <c r="W334" s="37">
        <f t="shared" si="23"/>
        <v>0</v>
      </c>
      <c r="X334" s="39"/>
      <c r="Y334" s="54"/>
    </row>
    <row r="335">
      <c r="C335" s="53"/>
      <c r="G335" s="2" t="str">
        <f t="shared" si="27"/>
        <v/>
      </c>
      <c r="I335" s="4">
        <f>SUMIFS(Dump!D:D,Dump!B:B,C335)</f>
        <v>0</v>
      </c>
      <c r="J335" s="5">
        <f>SUMIFS(Dump!AE:AE,Dump!B:B,C335)</f>
        <v>0</v>
      </c>
      <c r="K335" s="4">
        <f>SUMPRODUCT(
  (TEXT(Dump!$A$2:$A994,"mmm-yy")=TEXT($Y335,"mmm-yy"))*
  (Dump!$B$2:$B994=$C335)*
  Dump!$D$2:$D994)</f>
        <v>0</v>
      </c>
      <c r="L335" s="4">
        <f>SUMPRODUCT(
  (TEXT(Dump!$A$2:$A994,"mmm-yy")=TEXT($Y335,"mmm-yy"))*
  (Dump!$B$2:$B994=$C335)*
  Dump!$E$2:$E994
)</f>
        <v>0</v>
      </c>
      <c r="M335" s="4">
        <f>SUMPRODUCT(
  (TEXT(Dump!$A$2:$A994,"mmm-yy")=TEXT($Y335,"mmm-yy"))*
  (Dump!$B$2:$B994=$C335)*
  Dump!$P$2:$P994
)</f>
        <v>0</v>
      </c>
      <c r="N335" s="32"/>
      <c r="O335" s="33">
        <f>SUMIFS(Dump!$D:$D,Dump!$B:$B,$C335,Dump!$A:$A,$Y335)</f>
        <v>0</v>
      </c>
      <c r="P335" s="33">
        <f>SUMIFS(Dump!R:R,Dump!B:B,C335,Dump!A:A,Y335)</f>
        <v>0</v>
      </c>
      <c r="Q335" s="34">
        <f t="shared" si="21"/>
        <v>0</v>
      </c>
      <c r="S335" s="4">
        <f>SUMIFS(Dump!E:E,Dump!B:B,C335,Dump!A:A,Y335)</f>
        <v>0</v>
      </c>
      <c r="T335" s="35">
        <f t="shared" si="22"/>
        <v>0</v>
      </c>
      <c r="V335" s="4">
        <f>SUMIFS(Dump!P:P,Dump!B:B,C335,Dump!A:A,Y335)</f>
        <v>0</v>
      </c>
      <c r="W335" s="37">
        <f t="shared" si="23"/>
        <v>0</v>
      </c>
      <c r="X335" s="39"/>
      <c r="Y335" s="54"/>
    </row>
    <row r="336">
      <c r="C336" s="53"/>
      <c r="G336" s="2" t="str">
        <f t="shared" si="27"/>
        <v/>
      </c>
      <c r="I336" s="4">
        <f>SUMIFS(Dump!D:D,Dump!B:B,C336)</f>
        <v>0</v>
      </c>
      <c r="J336" s="5">
        <f>SUMIFS(Dump!AE:AE,Dump!B:B,C336)</f>
        <v>0</v>
      </c>
      <c r="K336" s="4">
        <f>SUMPRODUCT(
  (TEXT(Dump!$A$2:$A994,"mmm-yy")=TEXT($Y336,"mmm-yy"))*
  (Dump!$B$2:$B994=$C336)*
  Dump!$D$2:$D994)</f>
        <v>0</v>
      </c>
      <c r="L336" s="4">
        <f>SUMPRODUCT(
  (TEXT(Dump!$A$2:$A994,"mmm-yy")=TEXT($Y336,"mmm-yy"))*
  (Dump!$B$2:$B994=$C336)*
  Dump!$E$2:$E994
)</f>
        <v>0</v>
      </c>
      <c r="M336" s="4">
        <f>SUMPRODUCT(
  (TEXT(Dump!$A$2:$A994,"mmm-yy")=TEXT($Y336,"mmm-yy"))*
  (Dump!$B$2:$B994=$C336)*
  Dump!$P$2:$P994
)</f>
        <v>0</v>
      </c>
      <c r="N336" s="32"/>
      <c r="O336" s="33">
        <f>SUMIFS(Dump!$D:$D,Dump!$B:$B,$C336,Dump!$A:$A,$Y336)</f>
        <v>0</v>
      </c>
      <c r="P336" s="33">
        <f>SUMIFS(Dump!R:R,Dump!B:B,C336,Dump!A:A,Y336)</f>
        <v>0</v>
      </c>
      <c r="Q336" s="34">
        <f t="shared" si="21"/>
        <v>0</v>
      </c>
      <c r="S336" s="4">
        <f>SUMIFS(Dump!E:E,Dump!B:B,C336,Dump!A:A,Y336)</f>
        <v>0</v>
      </c>
      <c r="T336" s="35">
        <f t="shared" si="22"/>
        <v>0</v>
      </c>
      <c r="V336" s="4">
        <f>SUMIFS(Dump!P:P,Dump!B:B,C336,Dump!A:A,Y336)</f>
        <v>0</v>
      </c>
      <c r="W336" s="37">
        <f t="shared" si="23"/>
        <v>0</v>
      </c>
      <c r="X336" s="39"/>
      <c r="Y336" s="54"/>
    </row>
    <row r="337">
      <c r="C337" s="53"/>
      <c r="G337" s="2" t="str">
        <f t="shared" si="27"/>
        <v/>
      </c>
      <c r="I337" s="4">
        <f>SUMIFS(Dump!D:D,Dump!B:B,C337)</f>
        <v>0</v>
      </c>
      <c r="J337" s="5">
        <f>SUMIFS(Dump!AE:AE,Dump!B:B,C337)</f>
        <v>0</v>
      </c>
      <c r="K337" s="4">
        <f>SUMPRODUCT(
  (TEXT(Dump!$A$2:$A994,"mmm-yy")=TEXT($Y337,"mmm-yy"))*
  (Dump!$B$2:$B994=$C337)*
  Dump!$D$2:$D994)</f>
        <v>0</v>
      </c>
      <c r="L337" s="4">
        <f>SUMPRODUCT(
  (TEXT(Dump!$A$2:$A994,"mmm-yy")=TEXT($Y337,"mmm-yy"))*
  (Dump!$B$2:$B994=$C337)*
  Dump!$E$2:$E994
)</f>
        <v>0</v>
      </c>
      <c r="M337" s="4">
        <f>SUMPRODUCT(
  (TEXT(Dump!$A$2:$A994,"mmm-yy")=TEXT($Y337,"mmm-yy"))*
  (Dump!$B$2:$B994=$C337)*
  Dump!$P$2:$P994
)</f>
        <v>0</v>
      </c>
      <c r="N337" s="32"/>
      <c r="O337" s="33">
        <f>SUMIFS(Dump!$D:$D,Dump!$B:$B,$C337,Dump!$A:$A,$Y337)</f>
        <v>0</v>
      </c>
      <c r="P337" s="33">
        <f>SUMIFS(Dump!R:R,Dump!B:B,C337,Dump!A:A,Y337)</f>
        <v>0</v>
      </c>
      <c r="Q337" s="34">
        <f t="shared" si="21"/>
        <v>0</v>
      </c>
      <c r="S337" s="4">
        <f>SUMIFS(Dump!E:E,Dump!B:B,C337,Dump!A:A,Y337)</f>
        <v>0</v>
      </c>
      <c r="T337" s="35">
        <f t="shared" si="22"/>
        <v>0</v>
      </c>
      <c r="V337" s="4">
        <f>SUMIFS(Dump!P:P,Dump!B:B,C337,Dump!A:A,Y337)</f>
        <v>0</v>
      </c>
      <c r="W337" s="37">
        <f t="shared" si="23"/>
        <v>0</v>
      </c>
      <c r="X337" s="39"/>
      <c r="Y337" s="54"/>
    </row>
    <row r="338">
      <c r="C338" s="53"/>
      <c r="G338" s="2" t="str">
        <f t="shared" si="27"/>
        <v/>
      </c>
      <c r="I338" s="4">
        <f>SUMIFS(Dump!D:D,Dump!B:B,C338)</f>
        <v>0</v>
      </c>
      <c r="J338" s="5">
        <f>SUMIFS(Dump!AE:AE,Dump!B:B,C338)</f>
        <v>0</v>
      </c>
      <c r="K338" s="4">
        <f>SUMPRODUCT(
  (TEXT(Dump!$A$2:$A994,"mmm-yy")=TEXT($Y338,"mmm-yy"))*
  (Dump!$B$2:$B994=$C338)*
  Dump!$D$2:$D994)</f>
        <v>0</v>
      </c>
      <c r="L338" s="4">
        <f>SUMPRODUCT(
  (TEXT(Dump!$A$2:$A994,"mmm-yy")=TEXT($Y338,"mmm-yy"))*
  (Dump!$B$2:$B994=$C338)*
  Dump!$E$2:$E994
)</f>
        <v>0</v>
      </c>
      <c r="M338" s="4">
        <f>SUMPRODUCT(
  (TEXT(Dump!$A$2:$A994,"mmm-yy")=TEXT($Y338,"mmm-yy"))*
  (Dump!$B$2:$B994=$C338)*
  Dump!$P$2:$P994
)</f>
        <v>0</v>
      </c>
      <c r="N338" s="32"/>
      <c r="O338" s="33">
        <f>SUMIFS(Dump!$D:$D,Dump!$B:$B,$C338,Dump!$A:$A,$Y338)</f>
        <v>0</v>
      </c>
      <c r="P338" s="33">
        <f>SUMIFS(Dump!R:R,Dump!B:B,C338,Dump!A:A,Y338)</f>
        <v>0</v>
      </c>
      <c r="Q338" s="34">
        <f t="shared" si="21"/>
        <v>0</v>
      </c>
      <c r="S338" s="4">
        <f>SUMIFS(Dump!E:E,Dump!B:B,C338,Dump!A:A,Y338)</f>
        <v>0</v>
      </c>
      <c r="T338" s="35">
        <f t="shared" si="22"/>
        <v>0</v>
      </c>
      <c r="V338" s="4">
        <f>SUMIFS(Dump!P:P,Dump!B:B,C338,Dump!A:A,Y338)</f>
        <v>0</v>
      </c>
      <c r="W338" s="37">
        <f t="shared" si="23"/>
        <v>0</v>
      </c>
      <c r="X338" s="39"/>
      <c r="Y338" s="54"/>
    </row>
    <row r="339">
      <c r="C339" s="53"/>
      <c r="G339" s="2" t="str">
        <f t="shared" si="27"/>
        <v/>
      </c>
      <c r="I339" s="4">
        <f>SUMIFS(Dump!D:D,Dump!B:B,C339)</f>
        <v>0</v>
      </c>
      <c r="J339" s="5">
        <f>SUMIFS(Dump!AE:AE,Dump!B:B,C339)</f>
        <v>0</v>
      </c>
      <c r="K339" s="4">
        <f>SUMPRODUCT(
  (TEXT(Dump!$A$2:$A994,"mmm-yy")=TEXT($Y339,"mmm-yy"))*
  (Dump!$B$2:$B994=$C339)*
  Dump!$D$2:$D994)</f>
        <v>0</v>
      </c>
      <c r="L339" s="4">
        <f>SUMPRODUCT(
  (TEXT(Dump!$A$2:$A994,"mmm-yy")=TEXT($Y339,"mmm-yy"))*
  (Dump!$B$2:$B994=$C339)*
  Dump!$E$2:$E994
)</f>
        <v>0</v>
      </c>
      <c r="M339" s="4">
        <f>SUMPRODUCT(
  (TEXT(Dump!$A$2:$A994,"mmm-yy")=TEXT($Y339,"mmm-yy"))*
  (Dump!$B$2:$B994=$C339)*
  Dump!$P$2:$P994
)</f>
        <v>0</v>
      </c>
      <c r="N339" s="32"/>
      <c r="O339" s="33">
        <f>SUMIFS(Dump!$D:$D,Dump!$B:$B,$C339,Dump!$A:$A,$Y339)</f>
        <v>0</v>
      </c>
      <c r="P339" s="33">
        <f>SUMIFS(Dump!R:R,Dump!B:B,C339,Dump!A:A,Y339)</f>
        <v>0</v>
      </c>
      <c r="Q339" s="34">
        <f t="shared" si="21"/>
        <v>0</v>
      </c>
      <c r="S339" s="4">
        <f>SUMIFS(Dump!E:E,Dump!B:B,C339,Dump!A:A,Y339)</f>
        <v>0</v>
      </c>
      <c r="T339" s="35">
        <f t="shared" si="22"/>
        <v>0</v>
      </c>
      <c r="V339" s="4">
        <f>SUMIFS(Dump!P:P,Dump!B:B,C339,Dump!A:A,Y339)</f>
        <v>0</v>
      </c>
      <c r="W339" s="37">
        <f t="shared" si="23"/>
        <v>0</v>
      </c>
      <c r="X339" s="39"/>
      <c r="Y339" s="54"/>
    </row>
    <row r="340">
      <c r="C340" s="53"/>
      <c r="G340" s="2" t="str">
        <f t="shared" si="27"/>
        <v/>
      </c>
      <c r="I340" s="4">
        <f>SUMIFS(Dump!D:D,Dump!B:B,C340)</f>
        <v>0</v>
      </c>
      <c r="J340" s="5">
        <f>SUMIFS(Dump!AE:AE,Dump!B:B,C340)</f>
        <v>0</v>
      </c>
      <c r="K340" s="4">
        <f>SUMPRODUCT(
  (TEXT(Dump!$A$2:$A994,"mmm-yy")=TEXT($Y340,"mmm-yy"))*
  (Dump!$B$2:$B994=$C340)*
  Dump!$D$2:$D994)</f>
        <v>0</v>
      </c>
      <c r="L340" s="4">
        <f>SUMPRODUCT(
  (TEXT(Dump!$A$2:$A994,"mmm-yy")=TEXT($Y340,"mmm-yy"))*
  (Dump!$B$2:$B994=$C340)*
  Dump!$E$2:$E994
)</f>
        <v>0</v>
      </c>
      <c r="M340" s="4">
        <f>SUMPRODUCT(
  (TEXT(Dump!$A$2:$A994,"mmm-yy")=TEXT($Y340,"mmm-yy"))*
  (Dump!$B$2:$B994=$C340)*
  Dump!$P$2:$P994
)</f>
        <v>0</v>
      </c>
      <c r="N340" s="32"/>
      <c r="O340" s="33">
        <f>SUMIFS(Dump!$D:$D,Dump!$B:$B,$C340,Dump!$A:$A,$Y340)</f>
        <v>0</v>
      </c>
      <c r="P340" s="33">
        <f>SUMIFS(Dump!R:R,Dump!B:B,C340,Dump!A:A,Y340)</f>
        <v>0</v>
      </c>
      <c r="Q340" s="34">
        <f t="shared" si="21"/>
        <v>0</v>
      </c>
      <c r="S340" s="4">
        <f>SUMIFS(Dump!E:E,Dump!B:B,C340,Dump!A:A,Y340)</f>
        <v>0</v>
      </c>
      <c r="T340" s="35">
        <f t="shared" si="22"/>
        <v>0</v>
      </c>
      <c r="V340" s="4">
        <f>SUMIFS(Dump!P:P,Dump!B:B,C340,Dump!A:A,Y340)</f>
        <v>0</v>
      </c>
      <c r="W340" s="37">
        <f t="shared" si="23"/>
        <v>0</v>
      </c>
      <c r="X340" s="39"/>
      <c r="Y340" s="54"/>
    </row>
    <row r="341">
      <c r="C341" s="53"/>
      <c r="G341" s="2" t="str">
        <f t="shared" si="27"/>
        <v/>
      </c>
      <c r="I341" s="4">
        <f>SUMIFS(Dump!D:D,Dump!B:B,C341)</f>
        <v>0</v>
      </c>
      <c r="J341" s="5">
        <f>SUMIFS(Dump!AE:AE,Dump!B:B,C341)</f>
        <v>0</v>
      </c>
      <c r="K341" s="4">
        <f>SUMPRODUCT(
  (TEXT(Dump!$A$2:$A994,"mmm-yy")=TEXT($Y341,"mmm-yy"))*
  (Dump!$B$2:$B994=$C341)*
  Dump!$D$2:$D994)</f>
        <v>0</v>
      </c>
      <c r="L341" s="4">
        <f>SUMPRODUCT(
  (TEXT(Dump!$A$2:$A994,"mmm-yy")=TEXT($Y341,"mmm-yy"))*
  (Dump!$B$2:$B994=$C341)*
  Dump!$E$2:$E994
)</f>
        <v>0</v>
      </c>
      <c r="M341" s="4">
        <f>SUMPRODUCT(
  (TEXT(Dump!$A$2:$A994,"mmm-yy")=TEXT($Y341,"mmm-yy"))*
  (Dump!$B$2:$B994=$C341)*
  Dump!$P$2:$P994
)</f>
        <v>0</v>
      </c>
      <c r="N341" s="32"/>
      <c r="O341" s="33">
        <f>SUMIFS(Dump!$D:$D,Dump!$B:$B,$C341,Dump!$A:$A,$Y341)</f>
        <v>0</v>
      </c>
      <c r="P341" s="33">
        <f>SUMIFS(Dump!R:R,Dump!B:B,C341,Dump!A:A,Y341)</f>
        <v>0</v>
      </c>
      <c r="Q341" s="34">
        <f t="shared" si="21"/>
        <v>0</v>
      </c>
      <c r="S341" s="4">
        <f>SUMIFS(Dump!E:E,Dump!B:B,C341,Dump!A:A,Y341)</f>
        <v>0</v>
      </c>
      <c r="T341" s="35">
        <f t="shared" si="22"/>
        <v>0</v>
      </c>
      <c r="V341" s="4">
        <f>SUMIFS(Dump!P:P,Dump!B:B,C341,Dump!A:A,Y341)</f>
        <v>0</v>
      </c>
      <c r="W341" s="37">
        <f t="shared" si="23"/>
        <v>0</v>
      </c>
      <c r="X341" s="39"/>
      <c r="Y341" s="54"/>
    </row>
    <row r="342">
      <c r="C342" s="53"/>
      <c r="G342" s="2" t="str">
        <f t="shared" si="27"/>
        <v/>
      </c>
      <c r="I342" s="4">
        <f>SUMIFS(Dump!D:D,Dump!B:B,C342)</f>
        <v>0</v>
      </c>
      <c r="J342" s="5">
        <f>SUMIFS(Dump!AE:AE,Dump!B:B,C342)</f>
        <v>0</v>
      </c>
      <c r="K342" s="4">
        <f>SUMPRODUCT(
  (TEXT(Dump!$A$2:$A994,"mmm-yy")=TEXT($Y342,"mmm-yy"))*
  (Dump!$B$2:$B994=$C342)*
  Dump!$D$2:$D994)</f>
        <v>0</v>
      </c>
      <c r="L342" s="4">
        <f>SUMPRODUCT(
  (TEXT(Dump!$A$2:$A994,"mmm-yy")=TEXT($Y342,"mmm-yy"))*
  (Dump!$B$2:$B994=$C342)*
  Dump!$E$2:$E994
)</f>
        <v>0</v>
      </c>
      <c r="M342" s="4">
        <f>SUMPRODUCT(
  (TEXT(Dump!$A$2:$A994,"mmm-yy")=TEXT($Y342,"mmm-yy"))*
  (Dump!$B$2:$B994=$C342)*
  Dump!$P$2:$P994
)</f>
        <v>0</v>
      </c>
      <c r="N342" s="32"/>
      <c r="O342" s="33">
        <f>SUMIFS(Dump!$D:$D,Dump!$B:$B,$C342,Dump!$A:$A,$Y342)</f>
        <v>0</v>
      </c>
      <c r="P342" s="33">
        <f>SUMIFS(Dump!R:R,Dump!B:B,C342,Dump!A:A,Y342)</f>
        <v>0</v>
      </c>
      <c r="Q342" s="34">
        <f t="shared" si="21"/>
        <v>0</v>
      </c>
      <c r="S342" s="4">
        <f>SUMIFS(Dump!E:E,Dump!B:B,C342,Dump!A:A,Y342)</f>
        <v>0</v>
      </c>
      <c r="T342" s="35">
        <f t="shared" si="22"/>
        <v>0</v>
      </c>
      <c r="V342" s="4">
        <f>SUMIFS(Dump!P:P,Dump!B:B,C342,Dump!A:A,Y342)</f>
        <v>0</v>
      </c>
      <c r="W342" s="37">
        <f t="shared" si="23"/>
        <v>0</v>
      </c>
      <c r="X342" s="39"/>
      <c r="Y342" s="54"/>
    </row>
    <row r="343">
      <c r="C343" s="53"/>
      <c r="G343" s="2" t="str">
        <f t="shared" si="27"/>
        <v/>
      </c>
      <c r="I343" s="4">
        <f>SUMIFS(Dump!D:D,Dump!B:B,C343)</f>
        <v>0</v>
      </c>
      <c r="J343" s="5">
        <f>SUMIFS(Dump!AE:AE,Dump!B:B,C343)</f>
        <v>0</v>
      </c>
      <c r="K343" s="4">
        <f>SUMPRODUCT(
  (TEXT(Dump!$A$2:$A994,"mmm-yy")=TEXT($Y343,"mmm-yy"))*
  (Dump!$B$2:$B994=$C343)*
  Dump!$D$2:$D994)</f>
        <v>0</v>
      </c>
      <c r="L343" s="4">
        <f>SUMPRODUCT(
  (TEXT(Dump!$A$2:$A994,"mmm-yy")=TEXT($Y343,"mmm-yy"))*
  (Dump!$B$2:$B994=$C343)*
  Dump!$E$2:$E994
)</f>
        <v>0</v>
      </c>
      <c r="M343" s="4">
        <f>SUMPRODUCT(
  (TEXT(Dump!$A$2:$A994,"mmm-yy")=TEXT($Y343,"mmm-yy"))*
  (Dump!$B$2:$B994=$C343)*
  Dump!$P$2:$P994
)</f>
        <v>0</v>
      </c>
      <c r="N343" s="32"/>
      <c r="O343" s="33">
        <f>SUMIFS(Dump!$D:$D,Dump!$B:$B,$C343,Dump!$A:$A,$Y343)</f>
        <v>0</v>
      </c>
      <c r="P343" s="33">
        <f>SUMIFS(Dump!R:R,Dump!B:B,C343,Dump!A:A,Y343)</f>
        <v>0</v>
      </c>
      <c r="Q343" s="34">
        <f t="shared" si="21"/>
        <v>0</v>
      </c>
      <c r="S343" s="4">
        <f>SUMIFS(Dump!E:E,Dump!B:B,C343,Dump!A:A,Y343)</f>
        <v>0</v>
      </c>
      <c r="T343" s="35">
        <f t="shared" si="22"/>
        <v>0</v>
      </c>
      <c r="V343" s="4">
        <f>SUMIFS(Dump!P:P,Dump!B:B,C343,Dump!A:A,Y343)</f>
        <v>0</v>
      </c>
      <c r="W343" s="37">
        <f t="shared" si="23"/>
        <v>0</v>
      </c>
      <c r="X343" s="39"/>
      <c r="Y343" s="54"/>
    </row>
    <row r="344">
      <c r="C344" s="53"/>
      <c r="G344" s="2" t="str">
        <f t="shared" si="27"/>
        <v/>
      </c>
      <c r="I344" s="4">
        <f>SUMIFS(Dump!D:D,Dump!B:B,C344)</f>
        <v>0</v>
      </c>
      <c r="J344" s="5">
        <f>SUMIFS(Dump!AE:AE,Dump!B:B,C344)</f>
        <v>0</v>
      </c>
      <c r="K344" s="4">
        <f>SUMPRODUCT(
  (TEXT(Dump!$A$2:$A994,"mmm-yy")=TEXT($Y344,"mmm-yy"))*
  (Dump!$B$2:$B994=$C344)*
  Dump!$D$2:$D994)</f>
        <v>0</v>
      </c>
      <c r="L344" s="4">
        <f>SUMPRODUCT(
  (TEXT(Dump!$A$2:$A994,"mmm-yy")=TEXT($Y344,"mmm-yy"))*
  (Dump!$B$2:$B994=$C344)*
  Dump!$E$2:$E994
)</f>
        <v>0</v>
      </c>
      <c r="M344" s="4">
        <f>SUMPRODUCT(
  (TEXT(Dump!$A$2:$A994,"mmm-yy")=TEXT($Y344,"mmm-yy"))*
  (Dump!$B$2:$B994=$C344)*
  Dump!$P$2:$P994
)</f>
        <v>0</v>
      </c>
      <c r="N344" s="32"/>
      <c r="O344" s="33">
        <f>SUMIFS(Dump!$D:$D,Dump!$B:$B,$C344,Dump!$A:$A,$Y344)</f>
        <v>0</v>
      </c>
      <c r="P344" s="33">
        <f>SUMIFS(Dump!R:R,Dump!B:B,C344,Dump!A:A,Y344)</f>
        <v>0</v>
      </c>
      <c r="Q344" s="34">
        <f t="shared" si="21"/>
        <v>0</v>
      </c>
      <c r="S344" s="4">
        <f>SUMIFS(Dump!E:E,Dump!B:B,C344,Dump!A:A,Y344)</f>
        <v>0</v>
      </c>
      <c r="T344" s="35">
        <f t="shared" si="22"/>
        <v>0</v>
      </c>
      <c r="V344" s="4">
        <f>SUMIFS(Dump!P:P,Dump!B:B,C344,Dump!A:A,Y344)</f>
        <v>0</v>
      </c>
      <c r="W344" s="37">
        <f t="shared" si="23"/>
        <v>0</v>
      </c>
      <c r="X344" s="39"/>
      <c r="Y344" s="54"/>
    </row>
    <row r="345">
      <c r="C345" s="53"/>
      <c r="G345" s="2" t="str">
        <f t="shared" si="27"/>
        <v/>
      </c>
      <c r="I345" s="4">
        <f>SUMIFS(Dump!D:D,Dump!B:B,C345)</f>
        <v>0</v>
      </c>
      <c r="J345" s="5">
        <f>SUMIFS(Dump!AE:AE,Dump!B:B,C345)</f>
        <v>0</v>
      </c>
      <c r="K345" s="4">
        <f>SUMPRODUCT(
  (TEXT(Dump!$A$2:$A994,"mmm-yy")=TEXT($Y345,"mmm-yy"))*
  (Dump!$B$2:$B994=$C345)*
  Dump!$D$2:$D994)</f>
        <v>0</v>
      </c>
      <c r="L345" s="4">
        <f>SUMPRODUCT(
  (TEXT(Dump!$A$2:$A994,"mmm-yy")=TEXT($Y345,"mmm-yy"))*
  (Dump!$B$2:$B994=$C345)*
  Dump!$E$2:$E994
)</f>
        <v>0</v>
      </c>
      <c r="M345" s="4">
        <f>SUMPRODUCT(
  (TEXT(Dump!$A$2:$A994,"mmm-yy")=TEXT($Y345,"mmm-yy"))*
  (Dump!$B$2:$B994=$C345)*
  Dump!$P$2:$P994
)</f>
        <v>0</v>
      </c>
      <c r="N345" s="32"/>
      <c r="O345" s="33">
        <f>SUMIFS(Dump!$D:$D,Dump!$B:$B,$C345,Dump!$A:$A,$Y345)</f>
        <v>0</v>
      </c>
      <c r="P345" s="33">
        <f>SUMIFS(Dump!R:R,Dump!B:B,C345,Dump!A:A,Y345)</f>
        <v>0</v>
      </c>
      <c r="Q345" s="34">
        <f t="shared" si="21"/>
        <v>0</v>
      </c>
      <c r="S345" s="4">
        <f>SUMIFS(Dump!E:E,Dump!B:B,C345,Dump!A:A,Y345)</f>
        <v>0</v>
      </c>
      <c r="T345" s="35">
        <f t="shared" si="22"/>
        <v>0</v>
      </c>
      <c r="V345" s="4">
        <f>SUMIFS(Dump!P:P,Dump!B:B,C345,Dump!A:A,Y345)</f>
        <v>0</v>
      </c>
      <c r="W345" s="37">
        <f t="shared" si="23"/>
        <v>0</v>
      </c>
      <c r="X345" s="39"/>
      <c r="Y345" s="54"/>
    </row>
    <row r="346">
      <c r="C346" s="53"/>
      <c r="G346" s="2" t="str">
        <f t="shared" si="27"/>
        <v/>
      </c>
      <c r="I346" s="4">
        <f>SUMIFS(Dump!D:D,Dump!B:B,C346)</f>
        <v>0</v>
      </c>
      <c r="J346" s="5">
        <f>SUMIFS(Dump!AE:AE,Dump!B:B,C346)</f>
        <v>0</v>
      </c>
      <c r="K346" s="4">
        <f>SUMPRODUCT(
  (TEXT(Dump!$A$2:$A994,"mmm-yy")=TEXT($Y346,"mmm-yy"))*
  (Dump!$B$2:$B994=$C346)*
  Dump!$D$2:$D994)</f>
        <v>0</v>
      </c>
      <c r="L346" s="4">
        <f>SUMPRODUCT(
  (TEXT(Dump!$A$2:$A994,"mmm-yy")=TEXT($Y346,"mmm-yy"))*
  (Dump!$B$2:$B994=$C346)*
  Dump!$E$2:$E994
)</f>
        <v>0</v>
      </c>
      <c r="M346" s="4">
        <f>SUMPRODUCT(
  (TEXT(Dump!$A$2:$A994,"mmm-yy")=TEXT($Y346,"mmm-yy"))*
  (Dump!$B$2:$B994=$C346)*
  Dump!$P$2:$P994
)</f>
        <v>0</v>
      </c>
      <c r="N346" s="32"/>
      <c r="O346" s="33">
        <f>SUMIFS(Dump!$D:$D,Dump!$B:$B,$C346,Dump!$A:$A,$Y346)</f>
        <v>0</v>
      </c>
      <c r="P346" s="33">
        <f>SUMIFS(Dump!R:R,Dump!B:B,C346,Dump!A:A,Y346)</f>
        <v>0</v>
      </c>
      <c r="Q346" s="34">
        <f t="shared" si="21"/>
        <v>0</v>
      </c>
      <c r="S346" s="4">
        <f>SUMIFS(Dump!E:E,Dump!B:B,C346,Dump!A:A,Y346)</f>
        <v>0</v>
      </c>
      <c r="T346" s="35">
        <f t="shared" si="22"/>
        <v>0</v>
      </c>
      <c r="V346" s="4">
        <f>SUMIFS(Dump!P:P,Dump!B:B,C346,Dump!A:A,Y346)</f>
        <v>0</v>
      </c>
      <c r="W346" s="37">
        <f t="shared" si="23"/>
        <v>0</v>
      </c>
      <c r="X346" s="39"/>
      <c r="Y346" s="54"/>
    </row>
    <row r="347">
      <c r="C347" s="53"/>
      <c r="G347" s="2" t="str">
        <f t="shared" si="27"/>
        <v/>
      </c>
      <c r="I347" s="4">
        <f>SUMIFS(Dump!D:D,Dump!B:B,C347)</f>
        <v>0</v>
      </c>
      <c r="J347" s="5">
        <f>SUMIFS(Dump!AE:AE,Dump!B:B,C347)</f>
        <v>0</v>
      </c>
      <c r="K347" s="4">
        <f>SUMPRODUCT(
  (TEXT(Dump!$A$2:$A994,"mmm-yy")=TEXT($Y347,"mmm-yy"))*
  (Dump!$B$2:$B994=$C347)*
  Dump!$D$2:$D994)</f>
        <v>0</v>
      </c>
      <c r="L347" s="4">
        <f>SUMPRODUCT(
  (TEXT(Dump!$A$2:$A994,"mmm-yy")=TEXT($Y347,"mmm-yy"))*
  (Dump!$B$2:$B994=$C347)*
  Dump!$E$2:$E994
)</f>
        <v>0</v>
      </c>
      <c r="M347" s="4">
        <f>SUMPRODUCT(
  (TEXT(Dump!$A$2:$A994,"mmm-yy")=TEXT($Y347,"mmm-yy"))*
  (Dump!$B$2:$B994=$C347)*
  Dump!$P$2:$P994
)</f>
        <v>0</v>
      </c>
      <c r="N347" s="32"/>
      <c r="O347" s="33">
        <f>SUMIFS(Dump!$D:$D,Dump!$B:$B,$C347,Dump!$A:$A,$Y347)</f>
        <v>0</v>
      </c>
      <c r="P347" s="33">
        <f>SUMIFS(Dump!R:R,Dump!B:B,C347,Dump!A:A,Y347)</f>
        <v>0</v>
      </c>
      <c r="Q347" s="34">
        <f t="shared" si="21"/>
        <v>0</v>
      </c>
      <c r="S347" s="4">
        <f>SUMIFS(Dump!E:E,Dump!B:B,C347,Dump!A:A,Y347)</f>
        <v>0</v>
      </c>
      <c r="T347" s="35">
        <f t="shared" si="22"/>
        <v>0</v>
      </c>
      <c r="V347" s="4">
        <f>SUMIFS(Dump!P:P,Dump!B:B,C347,Dump!A:A,Y347)</f>
        <v>0</v>
      </c>
      <c r="W347" s="37">
        <f t="shared" si="23"/>
        <v>0</v>
      </c>
      <c r="X347" s="39"/>
      <c r="Y347" s="54"/>
    </row>
    <row r="348">
      <c r="C348" s="53"/>
      <c r="G348" s="2" t="str">
        <f t="shared" si="27"/>
        <v/>
      </c>
      <c r="I348" s="4">
        <f>SUMIFS(Dump!D:D,Dump!B:B,C348)</f>
        <v>0</v>
      </c>
      <c r="J348" s="5">
        <f>SUMIFS(Dump!AE:AE,Dump!B:B,C348)</f>
        <v>0</v>
      </c>
      <c r="K348" s="4">
        <f>SUMPRODUCT(
  (TEXT(Dump!$A$2:$A994,"mmm-yy")=TEXT($Y348,"mmm-yy"))*
  (Dump!$B$2:$B994=$C348)*
  Dump!$D$2:$D994)</f>
        <v>0</v>
      </c>
      <c r="L348" s="4">
        <f>SUMPRODUCT(
  (TEXT(Dump!$A$2:$A994,"mmm-yy")=TEXT($Y348,"mmm-yy"))*
  (Dump!$B$2:$B994=$C348)*
  Dump!$E$2:$E994
)</f>
        <v>0</v>
      </c>
      <c r="M348" s="4">
        <f>SUMPRODUCT(
  (TEXT(Dump!$A$2:$A994,"mmm-yy")=TEXT($Y348,"mmm-yy"))*
  (Dump!$B$2:$B994=$C348)*
  Dump!$P$2:$P994
)</f>
        <v>0</v>
      </c>
      <c r="N348" s="32"/>
      <c r="O348" s="33">
        <f>SUMIFS(Dump!$D:$D,Dump!$B:$B,$C348,Dump!$A:$A,$Y348)</f>
        <v>0</v>
      </c>
      <c r="P348" s="33">
        <f>SUMIFS(Dump!R:R,Dump!B:B,C348,Dump!A:A,Y348)</f>
        <v>0</v>
      </c>
      <c r="Q348" s="34">
        <f t="shared" si="21"/>
        <v>0</v>
      </c>
      <c r="S348" s="4">
        <f>SUMIFS(Dump!E:E,Dump!B:B,C348,Dump!A:A,Y348)</f>
        <v>0</v>
      </c>
      <c r="T348" s="35">
        <f t="shared" si="22"/>
        <v>0</v>
      </c>
      <c r="V348" s="4">
        <f>SUMIFS(Dump!P:P,Dump!B:B,C348,Dump!A:A,Y348)</f>
        <v>0</v>
      </c>
      <c r="W348" s="37">
        <f t="shared" si="23"/>
        <v>0</v>
      </c>
      <c r="X348" s="39"/>
      <c r="Y348" s="54"/>
    </row>
    <row r="349">
      <c r="C349" s="53"/>
      <c r="G349" s="2" t="str">
        <f t="shared" si="27"/>
        <v/>
      </c>
      <c r="I349" s="4">
        <f>SUMIFS(Dump!D:D,Dump!B:B,C349)</f>
        <v>0</v>
      </c>
      <c r="J349" s="5">
        <f>SUMIFS(Dump!AE:AE,Dump!B:B,C349)</f>
        <v>0</v>
      </c>
      <c r="K349" s="4">
        <f>SUMPRODUCT(
  (TEXT(Dump!$A$2:$A994,"mmm-yy")=TEXT($Y349,"mmm-yy"))*
  (Dump!$B$2:$B994=$C349)*
  Dump!$D$2:$D994)</f>
        <v>0</v>
      </c>
      <c r="L349" s="4">
        <f>SUMPRODUCT(
  (TEXT(Dump!$A$2:$A994,"mmm-yy")=TEXT($Y349,"mmm-yy"))*
  (Dump!$B$2:$B994=$C349)*
  Dump!$E$2:$E994
)</f>
        <v>0</v>
      </c>
      <c r="M349" s="4">
        <f>SUMPRODUCT(
  (TEXT(Dump!$A$2:$A994,"mmm-yy")=TEXT($Y349,"mmm-yy"))*
  (Dump!$B$2:$B994=$C349)*
  Dump!$P$2:$P994
)</f>
        <v>0</v>
      </c>
      <c r="N349" s="32"/>
      <c r="O349" s="33">
        <f>SUMIFS(Dump!$D:$D,Dump!$B:$B,$C349,Dump!$A:$A,$Y349)</f>
        <v>0</v>
      </c>
      <c r="P349" s="33">
        <f>SUMIFS(Dump!R:R,Dump!B:B,C349,Dump!A:A,Y349)</f>
        <v>0</v>
      </c>
      <c r="Q349" s="34">
        <f t="shared" si="21"/>
        <v>0</v>
      </c>
      <c r="S349" s="4">
        <f>SUMIFS(Dump!E:E,Dump!B:B,C349,Dump!A:A,Y349)</f>
        <v>0</v>
      </c>
      <c r="T349" s="35">
        <f t="shared" si="22"/>
        <v>0</v>
      </c>
      <c r="V349" s="4">
        <f>SUMIFS(Dump!P:P,Dump!B:B,C349,Dump!A:A,Y349)</f>
        <v>0</v>
      </c>
      <c r="W349" s="37">
        <f t="shared" si="23"/>
        <v>0</v>
      </c>
      <c r="X349" s="39"/>
      <c r="Y349" s="54"/>
    </row>
    <row r="350">
      <c r="C350" s="53"/>
      <c r="G350" s="2" t="str">
        <f t="shared" si="27"/>
        <v/>
      </c>
      <c r="I350" s="4">
        <f>SUMIFS(Dump!D:D,Dump!B:B,C350)</f>
        <v>0</v>
      </c>
      <c r="J350" s="5">
        <f>SUMIFS(Dump!AE:AE,Dump!B:B,C350)</f>
        <v>0</v>
      </c>
      <c r="K350" s="4">
        <f>SUMPRODUCT(
  (TEXT(Dump!$A$2:$A994,"mmm-yy")=TEXT($Y350,"mmm-yy"))*
  (Dump!$B$2:$B994=$C350)*
  Dump!$D$2:$D994)</f>
        <v>0</v>
      </c>
      <c r="L350" s="4">
        <f>SUMPRODUCT(
  (TEXT(Dump!$A$2:$A994,"mmm-yy")=TEXT($Y350,"mmm-yy"))*
  (Dump!$B$2:$B994=$C350)*
  Dump!$E$2:$E994
)</f>
        <v>0</v>
      </c>
      <c r="M350" s="4">
        <f>SUMPRODUCT(
  (TEXT(Dump!$A$2:$A994,"mmm-yy")=TEXT($Y350,"mmm-yy"))*
  (Dump!$B$2:$B994=$C350)*
  Dump!$P$2:$P994
)</f>
        <v>0</v>
      </c>
      <c r="N350" s="32"/>
      <c r="O350" s="33">
        <f>SUMIFS(Dump!$D:$D,Dump!$B:$B,$C350,Dump!$A:$A,$Y350)</f>
        <v>0</v>
      </c>
      <c r="P350" s="33">
        <f>SUMIFS(Dump!R:R,Dump!B:B,C350,Dump!A:A,Y350)</f>
        <v>0</v>
      </c>
      <c r="Q350" s="34">
        <f t="shared" si="21"/>
        <v>0</v>
      </c>
      <c r="S350" s="4">
        <f>SUMIFS(Dump!E:E,Dump!B:B,C350,Dump!A:A,Y350)</f>
        <v>0</v>
      </c>
      <c r="T350" s="35">
        <f t="shared" si="22"/>
        <v>0</v>
      </c>
      <c r="V350" s="4">
        <f>SUMIFS(Dump!P:P,Dump!B:B,C350,Dump!A:A,Y350)</f>
        <v>0</v>
      </c>
      <c r="W350" s="37">
        <f t="shared" si="23"/>
        <v>0</v>
      </c>
      <c r="X350" s="39"/>
      <c r="Y350" s="54"/>
    </row>
    <row r="351">
      <c r="C351" s="53"/>
      <c r="G351" s="2" t="str">
        <f t="shared" si="27"/>
        <v/>
      </c>
      <c r="I351" s="4">
        <f>SUMIFS(Dump!D:D,Dump!B:B,C351)</f>
        <v>0</v>
      </c>
      <c r="J351" s="5">
        <f>SUMIFS(Dump!AE:AE,Dump!B:B,C351)</f>
        <v>0</v>
      </c>
      <c r="K351" s="4">
        <f>SUMPRODUCT(
  (TEXT(Dump!$A$2:$A994,"mmm-yy")=TEXT($Y351,"mmm-yy"))*
  (Dump!$B$2:$B994=$C351)*
  Dump!$D$2:$D994)</f>
        <v>0</v>
      </c>
      <c r="L351" s="4">
        <f>SUMPRODUCT(
  (TEXT(Dump!$A$2:$A994,"mmm-yy")=TEXT($Y351,"mmm-yy"))*
  (Dump!$B$2:$B994=$C351)*
  Dump!$E$2:$E994
)</f>
        <v>0</v>
      </c>
      <c r="M351" s="4">
        <f>SUMPRODUCT(
  (TEXT(Dump!$A$2:$A994,"mmm-yy")=TEXT($Y351,"mmm-yy"))*
  (Dump!$B$2:$B994=$C351)*
  Dump!$P$2:$P994
)</f>
        <v>0</v>
      </c>
      <c r="N351" s="32"/>
      <c r="O351" s="33">
        <f>SUMIFS(Dump!$D:$D,Dump!$B:$B,$C351,Dump!$A:$A,$Y351)</f>
        <v>0</v>
      </c>
      <c r="P351" s="33">
        <f>SUMIFS(Dump!R:R,Dump!B:B,C351,Dump!A:A,Y351)</f>
        <v>0</v>
      </c>
      <c r="Q351" s="34">
        <f t="shared" si="21"/>
        <v>0</v>
      </c>
      <c r="S351" s="4">
        <f>SUMIFS(Dump!E:E,Dump!B:B,C351,Dump!A:A,Y351)</f>
        <v>0</v>
      </c>
      <c r="T351" s="35">
        <f t="shared" si="22"/>
        <v>0</v>
      </c>
      <c r="V351" s="4">
        <f>SUMIFS(Dump!P:P,Dump!B:B,C351,Dump!A:A,Y351)</f>
        <v>0</v>
      </c>
      <c r="W351" s="37">
        <f t="shared" si="23"/>
        <v>0</v>
      </c>
      <c r="X351" s="39"/>
      <c r="Y351" s="54"/>
    </row>
    <row r="352">
      <c r="C352" s="53"/>
      <c r="G352" s="2" t="str">
        <f t="shared" si="27"/>
        <v/>
      </c>
      <c r="I352" s="4">
        <f>SUMIFS(Dump!D:D,Dump!B:B,C352)</f>
        <v>0</v>
      </c>
      <c r="J352" s="5">
        <f>SUMIFS(Dump!AE:AE,Dump!B:B,C352)</f>
        <v>0</v>
      </c>
      <c r="K352" s="4">
        <f>SUMPRODUCT(
  (TEXT(Dump!$A$2:$A994,"mmm-yy")=TEXT($Y352,"mmm-yy"))*
  (Dump!$B$2:$B994=$C352)*
  Dump!$D$2:$D994)</f>
        <v>0</v>
      </c>
      <c r="L352" s="4">
        <f>SUMPRODUCT(
  (TEXT(Dump!$A$2:$A994,"mmm-yy")=TEXT($Y352,"mmm-yy"))*
  (Dump!$B$2:$B994=$C352)*
  Dump!$E$2:$E994
)</f>
        <v>0</v>
      </c>
      <c r="M352" s="4">
        <f>SUMPRODUCT(
  (TEXT(Dump!$A$2:$A994,"mmm-yy")=TEXT($Y352,"mmm-yy"))*
  (Dump!$B$2:$B994=$C352)*
  Dump!$P$2:$P994
)</f>
        <v>0</v>
      </c>
      <c r="N352" s="32"/>
      <c r="O352" s="33">
        <f>SUMIFS(Dump!$D:$D,Dump!$B:$B,$C352,Dump!$A:$A,$Y352)</f>
        <v>0</v>
      </c>
      <c r="P352" s="33">
        <f>SUMIFS(Dump!R:R,Dump!B:B,C352,Dump!A:A,Y352)</f>
        <v>0</v>
      </c>
      <c r="Q352" s="34">
        <f t="shared" si="21"/>
        <v>0</v>
      </c>
      <c r="S352" s="4">
        <f>SUMIFS(Dump!E:E,Dump!B:B,C352,Dump!A:A,Y352)</f>
        <v>0</v>
      </c>
      <c r="T352" s="35">
        <f t="shared" si="22"/>
        <v>0</v>
      </c>
      <c r="V352" s="4">
        <f>SUMIFS(Dump!P:P,Dump!B:B,C352,Dump!A:A,Y352)</f>
        <v>0</v>
      </c>
      <c r="W352" s="37">
        <f t="shared" si="23"/>
        <v>0</v>
      </c>
      <c r="X352" s="39"/>
      <c r="Y352" s="54"/>
    </row>
    <row r="353">
      <c r="C353" s="53"/>
      <c r="G353" s="2" t="str">
        <f t="shared" si="27"/>
        <v/>
      </c>
      <c r="I353" s="4">
        <f>SUMIFS(Dump!D:D,Dump!B:B,C353)</f>
        <v>0</v>
      </c>
      <c r="J353" s="5">
        <f>SUMIFS(Dump!AE:AE,Dump!B:B,C353)</f>
        <v>0</v>
      </c>
      <c r="K353" s="4">
        <f>SUMPRODUCT(
  (TEXT(Dump!$A$2:$A994,"mmm-yy")=TEXT($Y353,"mmm-yy"))*
  (Dump!$B$2:$B994=$C353)*
  Dump!$D$2:$D994)</f>
        <v>0</v>
      </c>
      <c r="L353" s="4">
        <f>SUMPRODUCT(
  (TEXT(Dump!$A$2:$A994,"mmm-yy")=TEXT($Y353,"mmm-yy"))*
  (Dump!$B$2:$B994=$C353)*
  Dump!$E$2:$E994
)</f>
        <v>0</v>
      </c>
      <c r="M353" s="4">
        <f>SUMPRODUCT(
  (TEXT(Dump!$A$2:$A994,"mmm-yy")=TEXT($Y353,"mmm-yy"))*
  (Dump!$B$2:$B994=$C353)*
  Dump!$P$2:$P994
)</f>
        <v>0</v>
      </c>
      <c r="N353" s="32"/>
      <c r="O353" s="33">
        <f>SUMIFS(Dump!$D:$D,Dump!$B:$B,$C353,Dump!$A:$A,$Y353)</f>
        <v>0</v>
      </c>
      <c r="P353" s="33">
        <f>SUMIFS(Dump!R:R,Dump!B:B,C353,Dump!A:A,Y353)</f>
        <v>0</v>
      </c>
      <c r="Q353" s="34">
        <f t="shared" si="21"/>
        <v>0</v>
      </c>
      <c r="S353" s="4">
        <f>SUMIFS(Dump!E:E,Dump!B:B,C353,Dump!A:A,Y353)</f>
        <v>0</v>
      </c>
      <c r="T353" s="35">
        <f t="shared" si="22"/>
        <v>0</v>
      </c>
      <c r="V353" s="4">
        <f>SUMIFS(Dump!P:P,Dump!B:B,C353,Dump!A:A,Y353)</f>
        <v>0</v>
      </c>
      <c r="W353" s="37">
        <f t="shared" si="23"/>
        <v>0</v>
      </c>
      <c r="X353" s="39"/>
      <c r="Y353" s="54"/>
    </row>
    <row r="354">
      <c r="C354" s="53"/>
      <c r="G354" s="2" t="str">
        <f t="shared" si="27"/>
        <v/>
      </c>
      <c r="I354" s="4">
        <f>SUMIFS(Dump!D:D,Dump!B:B,C354)</f>
        <v>0</v>
      </c>
      <c r="J354" s="5">
        <f>SUMIFS(Dump!AE:AE,Dump!B:B,C354)</f>
        <v>0</v>
      </c>
      <c r="K354" s="4">
        <f>SUMPRODUCT(
  (TEXT(Dump!$A$2:$A994,"mmm-yy")=TEXT($Y354,"mmm-yy"))*
  (Dump!$B$2:$B994=$C354)*
  Dump!$D$2:$D994)</f>
        <v>0</v>
      </c>
      <c r="L354" s="4">
        <f>SUMPRODUCT(
  (TEXT(Dump!$A$2:$A994,"mmm-yy")=TEXT($Y354,"mmm-yy"))*
  (Dump!$B$2:$B994=$C354)*
  Dump!$E$2:$E994
)</f>
        <v>0</v>
      </c>
      <c r="M354" s="4">
        <f>SUMPRODUCT(
  (TEXT(Dump!$A$2:$A994,"mmm-yy")=TEXT($Y354,"mmm-yy"))*
  (Dump!$B$2:$B994=$C354)*
  Dump!$P$2:$P994
)</f>
        <v>0</v>
      </c>
      <c r="N354" s="32"/>
      <c r="O354" s="33">
        <f>SUMIFS(Dump!$D:$D,Dump!$B:$B,$C354,Dump!$A:$A,$Y354)</f>
        <v>0</v>
      </c>
      <c r="P354" s="33">
        <f>SUMIFS(Dump!R:R,Dump!B:B,C354,Dump!A:A,Y354)</f>
        <v>0</v>
      </c>
      <c r="Q354" s="34">
        <f t="shared" si="21"/>
        <v>0</v>
      </c>
      <c r="S354" s="4">
        <f>SUMIFS(Dump!E:E,Dump!B:B,C354,Dump!A:A,Y354)</f>
        <v>0</v>
      </c>
      <c r="T354" s="35">
        <f t="shared" si="22"/>
        <v>0</v>
      </c>
      <c r="V354" s="4">
        <f>SUMIFS(Dump!P:P,Dump!B:B,C354,Dump!A:A,Y354)</f>
        <v>0</v>
      </c>
      <c r="W354" s="37">
        <f t="shared" si="23"/>
        <v>0</v>
      </c>
      <c r="X354" s="39"/>
      <c r="Y354" s="54"/>
    </row>
    <row r="355">
      <c r="C355" s="53"/>
      <c r="G355" s="2" t="str">
        <f t="shared" si="27"/>
        <v/>
      </c>
      <c r="I355" s="4">
        <f>SUMIFS(Dump!D:D,Dump!B:B,C355)</f>
        <v>0</v>
      </c>
      <c r="J355" s="5">
        <f>SUMIFS(Dump!AE:AE,Dump!B:B,C355)</f>
        <v>0</v>
      </c>
      <c r="K355" s="4">
        <f>SUMPRODUCT(
  (TEXT(Dump!$A$2:$A994,"mmm-yy")=TEXT($Y355,"mmm-yy"))*
  (Dump!$B$2:$B994=$C355)*
  Dump!$D$2:$D994)</f>
        <v>0</v>
      </c>
      <c r="L355" s="4">
        <f>SUMPRODUCT(
  (TEXT(Dump!$A$2:$A994,"mmm-yy")=TEXT($Y355,"mmm-yy"))*
  (Dump!$B$2:$B994=$C355)*
  Dump!$E$2:$E994
)</f>
        <v>0</v>
      </c>
      <c r="M355" s="4">
        <f>SUMPRODUCT(
  (TEXT(Dump!$A$2:$A994,"mmm-yy")=TEXT($Y355,"mmm-yy"))*
  (Dump!$B$2:$B994=$C355)*
  Dump!$P$2:$P994
)</f>
        <v>0</v>
      </c>
      <c r="N355" s="32"/>
      <c r="O355" s="33">
        <f>SUMIFS(Dump!$D:$D,Dump!$B:$B,$C355,Dump!$A:$A,$Y355)</f>
        <v>0</v>
      </c>
      <c r="P355" s="33">
        <f>SUMIFS(Dump!R:R,Dump!B:B,C355,Dump!A:A,Y355)</f>
        <v>0</v>
      </c>
      <c r="Q355" s="34">
        <f t="shared" si="21"/>
        <v>0</v>
      </c>
      <c r="S355" s="4">
        <f>SUMIFS(Dump!E:E,Dump!B:B,C355,Dump!A:A,Y355)</f>
        <v>0</v>
      </c>
      <c r="T355" s="35">
        <f t="shared" si="22"/>
        <v>0</v>
      </c>
      <c r="V355" s="4">
        <f>SUMIFS(Dump!P:P,Dump!B:B,C355,Dump!A:A,Y355)</f>
        <v>0</v>
      </c>
      <c r="W355" s="37">
        <f t="shared" si="23"/>
        <v>0</v>
      </c>
      <c r="X355" s="39"/>
      <c r="Y355" s="54"/>
    </row>
    <row r="356">
      <c r="C356" s="53"/>
      <c r="G356" s="2" t="str">
        <f t="shared" si="27"/>
        <v/>
      </c>
      <c r="I356" s="4">
        <f>SUMIFS(Dump!D:D,Dump!B:B,C356)</f>
        <v>0</v>
      </c>
      <c r="J356" s="5">
        <f>SUMIFS(Dump!AE:AE,Dump!B:B,C356)</f>
        <v>0</v>
      </c>
      <c r="K356" s="4">
        <f>SUMPRODUCT(
  (TEXT(Dump!$A$2:$A994,"mmm-yy")=TEXT($Y356,"mmm-yy"))*
  (Dump!$B$2:$B994=$C356)*
  Dump!$D$2:$D994)</f>
        <v>0</v>
      </c>
      <c r="L356" s="4">
        <f>SUMPRODUCT(
  (TEXT(Dump!$A$2:$A994,"mmm-yy")=TEXT($Y356,"mmm-yy"))*
  (Dump!$B$2:$B994=$C356)*
  Dump!$E$2:$E994
)</f>
        <v>0</v>
      </c>
      <c r="M356" s="4">
        <f>SUMPRODUCT(
  (TEXT(Dump!$A$2:$A994,"mmm-yy")=TEXT($Y356,"mmm-yy"))*
  (Dump!$B$2:$B994=$C356)*
  Dump!$P$2:$P994
)</f>
        <v>0</v>
      </c>
      <c r="N356" s="32"/>
      <c r="O356" s="33">
        <f>SUMIFS(Dump!$D:$D,Dump!$B:$B,$C356,Dump!$A:$A,$Y356)</f>
        <v>0</v>
      </c>
      <c r="P356" s="33">
        <f>SUMIFS(Dump!R:R,Dump!B:B,C356,Dump!A:A,Y356)</f>
        <v>0</v>
      </c>
      <c r="Q356" s="34">
        <f t="shared" si="21"/>
        <v>0</v>
      </c>
      <c r="S356" s="4">
        <f>SUMIFS(Dump!E:E,Dump!B:B,C356,Dump!A:A,Y356)</f>
        <v>0</v>
      </c>
      <c r="T356" s="35">
        <f t="shared" si="22"/>
        <v>0</v>
      </c>
      <c r="V356" s="4">
        <f>SUMIFS(Dump!P:P,Dump!B:B,C356,Dump!A:A,Y356)</f>
        <v>0</v>
      </c>
      <c r="W356" s="37">
        <f t="shared" si="23"/>
        <v>0</v>
      </c>
      <c r="X356" s="39"/>
      <c r="Y356" s="54"/>
    </row>
    <row r="357">
      <c r="C357" s="53"/>
      <c r="G357" s="2" t="str">
        <f t="shared" si="27"/>
        <v/>
      </c>
      <c r="I357" s="4">
        <f>SUMIFS(Dump!D:D,Dump!B:B,C357)</f>
        <v>0</v>
      </c>
      <c r="J357" s="5">
        <f>SUMIFS(Dump!AE:AE,Dump!B:B,C357)</f>
        <v>0</v>
      </c>
      <c r="K357" s="4">
        <f>SUMPRODUCT(
  (TEXT(Dump!$A$2:$A994,"mmm-yy")=TEXT($Y357,"mmm-yy"))*
  (Dump!$B$2:$B994=$C357)*
  Dump!$D$2:$D994)</f>
        <v>0</v>
      </c>
      <c r="L357" s="4">
        <f>SUMPRODUCT(
  (TEXT(Dump!$A$2:$A994,"mmm-yy")=TEXT($Y357,"mmm-yy"))*
  (Dump!$B$2:$B994=$C357)*
  Dump!$E$2:$E994
)</f>
        <v>0</v>
      </c>
      <c r="M357" s="4">
        <f>SUMPRODUCT(
  (TEXT(Dump!$A$2:$A994,"mmm-yy")=TEXT($Y357,"mmm-yy"))*
  (Dump!$B$2:$B994=$C357)*
  Dump!$P$2:$P994
)</f>
        <v>0</v>
      </c>
      <c r="N357" s="32"/>
      <c r="O357" s="33">
        <f>SUMIFS(Dump!$D:$D,Dump!$B:$B,$C357,Dump!$A:$A,$Y357)</f>
        <v>0</v>
      </c>
      <c r="P357" s="33">
        <f>SUMIFS(Dump!R:R,Dump!B:B,C357,Dump!A:A,Y357)</f>
        <v>0</v>
      </c>
      <c r="Q357" s="34">
        <f t="shared" si="21"/>
        <v>0</v>
      </c>
      <c r="S357" s="4">
        <f>SUMIFS(Dump!E:E,Dump!B:B,C357,Dump!A:A,Y357)</f>
        <v>0</v>
      </c>
      <c r="T357" s="35">
        <f t="shared" si="22"/>
        <v>0</v>
      </c>
      <c r="V357" s="4">
        <f>SUMIFS(Dump!P:P,Dump!B:B,C357,Dump!A:A,Y357)</f>
        <v>0</v>
      </c>
      <c r="W357" s="37">
        <f t="shared" si="23"/>
        <v>0</v>
      </c>
      <c r="X357" s="39"/>
      <c r="Y357" s="54"/>
    </row>
    <row r="358">
      <c r="C358" s="53"/>
      <c r="G358" s="2" t="str">
        <f t="shared" si="27"/>
        <v/>
      </c>
      <c r="I358" s="4">
        <f>SUMIFS(Dump!D:D,Dump!B:B,C358)</f>
        <v>0</v>
      </c>
      <c r="J358" s="5">
        <f>SUMIFS(Dump!AE:AE,Dump!B:B,C358)</f>
        <v>0</v>
      </c>
      <c r="K358" s="4">
        <f>SUMPRODUCT(
  (TEXT(Dump!$A$2:$A994,"mmm-yy")=TEXT($Y358,"mmm-yy"))*
  (Dump!$B$2:$B994=$C358)*
  Dump!$D$2:$D994)</f>
        <v>0</v>
      </c>
      <c r="L358" s="4">
        <f>SUMPRODUCT(
  (TEXT(Dump!$A$2:$A994,"mmm-yy")=TEXT($Y358,"mmm-yy"))*
  (Dump!$B$2:$B994=$C358)*
  Dump!$E$2:$E994
)</f>
        <v>0</v>
      </c>
      <c r="M358" s="4">
        <f>SUMPRODUCT(
  (TEXT(Dump!$A$2:$A994,"mmm-yy")=TEXT($Y358,"mmm-yy"))*
  (Dump!$B$2:$B994=$C358)*
  Dump!$P$2:$P994
)</f>
        <v>0</v>
      </c>
      <c r="N358" s="32"/>
      <c r="O358" s="33">
        <f>SUMIFS(Dump!$D:$D,Dump!$B:$B,$C358,Dump!$A:$A,$Y358)</f>
        <v>0</v>
      </c>
      <c r="P358" s="33">
        <f>SUMIFS(Dump!R:R,Dump!B:B,C358,Dump!A:A,Y358)</f>
        <v>0</v>
      </c>
      <c r="Q358" s="34">
        <f t="shared" si="21"/>
        <v>0</v>
      </c>
      <c r="S358" s="4">
        <f>SUMIFS(Dump!E:E,Dump!B:B,C358,Dump!A:A,Y358)</f>
        <v>0</v>
      </c>
      <c r="T358" s="35">
        <f t="shared" si="22"/>
        <v>0</v>
      </c>
      <c r="V358" s="4">
        <f>SUMIFS(Dump!P:P,Dump!B:B,C358,Dump!A:A,Y358)</f>
        <v>0</v>
      </c>
      <c r="W358" s="37">
        <f t="shared" si="23"/>
        <v>0</v>
      </c>
      <c r="X358" s="39"/>
      <c r="Y358" s="54"/>
    </row>
    <row r="359">
      <c r="C359" s="53"/>
      <c r="G359" s="2" t="str">
        <f t="shared" si="27"/>
        <v/>
      </c>
      <c r="I359" s="4">
        <f>SUMIFS(Dump!D:D,Dump!B:B,C359)</f>
        <v>0</v>
      </c>
      <c r="J359" s="5">
        <f>SUMIFS(Dump!AE:AE,Dump!B:B,C359)</f>
        <v>0</v>
      </c>
      <c r="K359" s="4">
        <f>SUMPRODUCT(
  (TEXT(Dump!$A$2:$A994,"mmm-yy")=TEXT($Y359,"mmm-yy"))*
  (Dump!$B$2:$B994=$C359)*
  Dump!$D$2:$D994)</f>
        <v>0</v>
      </c>
      <c r="L359" s="4">
        <f>SUMPRODUCT(
  (TEXT(Dump!$A$2:$A994,"mmm-yy")=TEXT($Y359,"mmm-yy"))*
  (Dump!$B$2:$B994=$C359)*
  Dump!$E$2:$E994
)</f>
        <v>0</v>
      </c>
      <c r="M359" s="4">
        <f>SUMPRODUCT(
  (TEXT(Dump!$A$2:$A994,"mmm-yy")=TEXT($Y359,"mmm-yy"))*
  (Dump!$B$2:$B994=$C359)*
  Dump!$P$2:$P994
)</f>
        <v>0</v>
      </c>
      <c r="N359" s="32"/>
      <c r="O359" s="33">
        <f>SUMIFS(Dump!$D:$D,Dump!$B:$B,$C359,Dump!$A:$A,$Y359)</f>
        <v>0</v>
      </c>
      <c r="P359" s="33">
        <f>SUMIFS(Dump!R:R,Dump!B:B,C359,Dump!A:A,Y359)</f>
        <v>0</v>
      </c>
      <c r="Q359" s="34">
        <f t="shared" si="21"/>
        <v>0</v>
      </c>
      <c r="S359" s="4">
        <f>SUMIFS(Dump!E:E,Dump!B:B,C359,Dump!A:A,Y359)</f>
        <v>0</v>
      </c>
      <c r="T359" s="35">
        <f t="shared" si="22"/>
        <v>0</v>
      </c>
      <c r="V359" s="4">
        <f>SUMIFS(Dump!P:P,Dump!B:B,C359,Dump!A:A,Y359)</f>
        <v>0</v>
      </c>
      <c r="W359" s="37">
        <f t="shared" si="23"/>
        <v>0</v>
      </c>
      <c r="X359" s="39"/>
      <c r="Y359" s="54"/>
    </row>
    <row r="360">
      <c r="C360" s="53"/>
      <c r="G360" s="2" t="str">
        <f t="shared" si="27"/>
        <v/>
      </c>
      <c r="I360" s="4">
        <f>SUMIFS(Dump!D:D,Dump!B:B,C360)</f>
        <v>0</v>
      </c>
      <c r="J360" s="5">
        <f>SUMIFS(Dump!AE:AE,Dump!B:B,C360)</f>
        <v>0</v>
      </c>
      <c r="K360" s="4">
        <f>SUMPRODUCT(
  (TEXT(Dump!$A$2:$A994,"mmm-yy")=TEXT($Y360,"mmm-yy"))*
  (Dump!$B$2:$B994=$C360)*
  Dump!$D$2:$D994)</f>
        <v>0</v>
      </c>
      <c r="L360" s="4">
        <f>SUMPRODUCT(
  (TEXT(Dump!$A$2:$A994,"mmm-yy")=TEXT($Y360,"mmm-yy"))*
  (Dump!$B$2:$B994=$C360)*
  Dump!$E$2:$E994
)</f>
        <v>0</v>
      </c>
      <c r="M360" s="4">
        <f>SUMPRODUCT(
  (TEXT(Dump!$A$2:$A994,"mmm-yy")=TEXT($Y360,"mmm-yy"))*
  (Dump!$B$2:$B994=$C360)*
  Dump!$P$2:$P994
)</f>
        <v>0</v>
      </c>
      <c r="N360" s="32"/>
      <c r="O360" s="33">
        <f>SUMIFS(Dump!$D:$D,Dump!$B:$B,$C360,Dump!$A:$A,$Y360)</f>
        <v>0</v>
      </c>
      <c r="P360" s="33">
        <f>SUMIFS(Dump!R:R,Dump!B:B,C360,Dump!A:A,Y360)</f>
        <v>0</v>
      </c>
      <c r="Q360" s="34">
        <f t="shared" si="21"/>
        <v>0</v>
      </c>
      <c r="S360" s="4">
        <f>SUMIFS(Dump!E:E,Dump!B:B,C360,Dump!A:A,Y360)</f>
        <v>0</v>
      </c>
      <c r="T360" s="35">
        <f t="shared" si="22"/>
        <v>0</v>
      </c>
      <c r="V360" s="4">
        <f>SUMIFS(Dump!P:P,Dump!B:B,C360,Dump!A:A,Y360)</f>
        <v>0</v>
      </c>
      <c r="W360" s="37">
        <f t="shared" si="23"/>
        <v>0</v>
      </c>
      <c r="X360" s="39"/>
      <c r="Y360" s="54"/>
    </row>
    <row r="361">
      <c r="C361" s="53"/>
      <c r="G361" s="2" t="str">
        <f t="shared" si="27"/>
        <v/>
      </c>
      <c r="I361" s="4">
        <f>SUMIFS(Dump!D:D,Dump!B:B,C361)</f>
        <v>0</v>
      </c>
      <c r="J361" s="5">
        <f>SUMIFS(Dump!AE:AE,Dump!B:B,C361)</f>
        <v>0</v>
      </c>
      <c r="K361" s="4">
        <f>SUMPRODUCT(
  (TEXT(Dump!$A$2:$A994,"mmm-yy")=TEXT($Y361,"mmm-yy"))*
  (Dump!$B$2:$B994=$C361)*
  Dump!$D$2:$D994)</f>
        <v>0</v>
      </c>
      <c r="L361" s="4">
        <f>SUMPRODUCT(
  (TEXT(Dump!$A$2:$A994,"mmm-yy")=TEXT($Y361,"mmm-yy"))*
  (Dump!$B$2:$B994=$C361)*
  Dump!$E$2:$E994
)</f>
        <v>0</v>
      </c>
      <c r="M361" s="4">
        <f>SUMPRODUCT(
  (TEXT(Dump!$A$2:$A994,"mmm-yy")=TEXT($Y361,"mmm-yy"))*
  (Dump!$B$2:$B994=$C361)*
  Dump!$P$2:$P994
)</f>
        <v>0</v>
      </c>
      <c r="N361" s="32"/>
      <c r="O361" s="33">
        <f>SUMIFS(Dump!$D:$D,Dump!$B:$B,$C361,Dump!$A:$A,$Y361)</f>
        <v>0</v>
      </c>
      <c r="P361" s="33">
        <f>SUMIFS(Dump!R:R,Dump!B:B,C361,Dump!A:A,Y361)</f>
        <v>0</v>
      </c>
      <c r="Q361" s="34">
        <f t="shared" si="21"/>
        <v>0</v>
      </c>
      <c r="S361" s="4">
        <f>SUMIFS(Dump!E:E,Dump!B:B,C361,Dump!A:A,Y361)</f>
        <v>0</v>
      </c>
      <c r="T361" s="35">
        <f t="shared" si="22"/>
        <v>0</v>
      </c>
      <c r="V361" s="4">
        <f>SUMIFS(Dump!P:P,Dump!B:B,C361,Dump!A:A,Y361)</f>
        <v>0</v>
      </c>
      <c r="W361" s="37">
        <f t="shared" si="23"/>
        <v>0</v>
      </c>
      <c r="X361" s="39"/>
      <c r="Y361" s="54"/>
    </row>
    <row r="362">
      <c r="C362" s="53"/>
      <c r="G362" s="2" t="str">
        <f t="shared" si="27"/>
        <v/>
      </c>
      <c r="I362" s="4">
        <f>SUMIFS(Dump!D:D,Dump!B:B,C362)</f>
        <v>0</v>
      </c>
      <c r="J362" s="5">
        <f>SUMIFS(Dump!AE:AE,Dump!B:B,C362)</f>
        <v>0</v>
      </c>
      <c r="K362" s="4">
        <f>SUMPRODUCT(
  (TEXT(Dump!$A$2:$A994,"mmm-yy")=TEXT($Y362,"mmm-yy"))*
  (Dump!$B$2:$B994=$C362)*
  Dump!$D$2:$D994)</f>
        <v>0</v>
      </c>
      <c r="L362" s="4">
        <f>SUMPRODUCT(
  (TEXT(Dump!$A$2:$A994,"mmm-yy")=TEXT($Y362,"mmm-yy"))*
  (Dump!$B$2:$B994=$C362)*
  Dump!$E$2:$E994
)</f>
        <v>0</v>
      </c>
      <c r="M362" s="4">
        <f>SUMPRODUCT(
  (TEXT(Dump!$A$2:$A994,"mmm-yy")=TEXT($Y362,"mmm-yy"))*
  (Dump!$B$2:$B994=$C362)*
  Dump!$P$2:$P994
)</f>
        <v>0</v>
      </c>
      <c r="N362" s="32"/>
      <c r="O362" s="33">
        <f>SUMIFS(Dump!$D:$D,Dump!$B:$B,$C362,Dump!$A:$A,$Y362)</f>
        <v>0</v>
      </c>
      <c r="P362" s="33">
        <f>SUMIFS(Dump!R:R,Dump!B:B,C362,Dump!A:A,Y362)</f>
        <v>0</v>
      </c>
      <c r="Q362" s="34">
        <f t="shared" si="21"/>
        <v>0</v>
      </c>
      <c r="S362" s="4">
        <f>SUMIFS(Dump!E:E,Dump!B:B,C362,Dump!A:A,Y362)</f>
        <v>0</v>
      </c>
      <c r="T362" s="35">
        <f t="shared" si="22"/>
        <v>0</v>
      </c>
      <c r="V362" s="4">
        <f>SUMIFS(Dump!P:P,Dump!B:B,C362,Dump!A:A,Y362)</f>
        <v>0</v>
      </c>
      <c r="W362" s="37">
        <f t="shared" si="23"/>
        <v>0</v>
      </c>
      <c r="X362" s="39"/>
      <c r="Y362" s="54"/>
    </row>
    <row r="363">
      <c r="C363" s="53"/>
      <c r="G363" s="2" t="str">
        <f t="shared" si="27"/>
        <v/>
      </c>
      <c r="I363" s="4">
        <f>SUMIFS(Dump!D:D,Dump!B:B,C363)</f>
        <v>0</v>
      </c>
      <c r="J363" s="5">
        <f>SUMIFS(Dump!AE:AE,Dump!B:B,C363)</f>
        <v>0</v>
      </c>
      <c r="K363" s="4">
        <f>SUMPRODUCT(
  (TEXT(Dump!$A$2:$A994,"mmm-yy")=TEXT($Y363,"mmm-yy"))*
  (Dump!$B$2:$B994=$C363)*
  Dump!$D$2:$D994)</f>
        <v>0</v>
      </c>
      <c r="L363" s="4">
        <f>SUMPRODUCT(
  (TEXT(Dump!$A$2:$A994,"mmm-yy")=TEXT($Y363,"mmm-yy"))*
  (Dump!$B$2:$B994=$C363)*
  Dump!$E$2:$E994
)</f>
        <v>0</v>
      </c>
      <c r="M363" s="4">
        <f>SUMPRODUCT(
  (TEXT(Dump!$A$2:$A994,"mmm-yy")=TEXT($Y363,"mmm-yy"))*
  (Dump!$B$2:$B994=$C363)*
  Dump!$P$2:$P994
)</f>
        <v>0</v>
      </c>
      <c r="N363" s="32"/>
      <c r="O363" s="33">
        <f>SUMIFS(Dump!$D:$D,Dump!$B:$B,$C363,Dump!$A:$A,$Y363)</f>
        <v>0</v>
      </c>
      <c r="P363" s="33">
        <f>SUMIFS(Dump!R:R,Dump!B:B,C363,Dump!A:A,Y363)</f>
        <v>0</v>
      </c>
      <c r="Q363" s="34">
        <f t="shared" si="21"/>
        <v>0</v>
      </c>
      <c r="S363" s="4">
        <f>SUMIFS(Dump!E:E,Dump!B:B,C363,Dump!A:A,Y363)</f>
        <v>0</v>
      </c>
      <c r="T363" s="35">
        <f t="shared" si="22"/>
        <v>0</v>
      </c>
      <c r="V363" s="4">
        <f>SUMIFS(Dump!P:P,Dump!B:B,C363,Dump!A:A,Y363)</f>
        <v>0</v>
      </c>
      <c r="W363" s="37">
        <f t="shared" si="23"/>
        <v>0</v>
      </c>
      <c r="X363" s="39"/>
      <c r="Y363" s="54"/>
    </row>
    <row r="364">
      <c r="C364" s="53"/>
      <c r="G364" s="2" t="str">
        <f t="shared" si="27"/>
        <v/>
      </c>
      <c r="I364" s="4">
        <f>SUMIFS(Dump!D:D,Dump!B:B,C364)</f>
        <v>0</v>
      </c>
      <c r="J364" s="5">
        <f>SUMIFS(Dump!AE:AE,Dump!B:B,C364)</f>
        <v>0</v>
      </c>
      <c r="K364" s="4">
        <f>SUMPRODUCT(
  (TEXT(Dump!$A$2:$A994,"mmm-yy")=TEXT($Y364,"mmm-yy"))*
  (Dump!$B$2:$B994=$C364)*
  Dump!$D$2:$D994)</f>
        <v>0</v>
      </c>
      <c r="L364" s="4">
        <f>SUMPRODUCT(
  (TEXT(Dump!$A$2:$A994,"mmm-yy")=TEXT($Y364,"mmm-yy"))*
  (Dump!$B$2:$B994=$C364)*
  Dump!$E$2:$E994
)</f>
        <v>0</v>
      </c>
      <c r="M364" s="4">
        <f>SUMPRODUCT(
  (TEXT(Dump!$A$2:$A994,"mmm-yy")=TEXT($Y364,"mmm-yy"))*
  (Dump!$B$2:$B994=$C364)*
  Dump!$P$2:$P994
)</f>
        <v>0</v>
      </c>
      <c r="N364" s="32"/>
      <c r="O364" s="33">
        <f>SUMIFS(Dump!$D:$D,Dump!$B:$B,$C364,Dump!$A:$A,$Y364)</f>
        <v>0</v>
      </c>
      <c r="P364" s="33">
        <f>SUMIFS(Dump!R:R,Dump!B:B,C364,Dump!A:A,Y364)</f>
        <v>0</v>
      </c>
      <c r="Q364" s="34">
        <f t="shared" si="21"/>
        <v>0</v>
      </c>
      <c r="S364" s="4">
        <f>SUMIFS(Dump!E:E,Dump!B:B,C364,Dump!A:A,Y364)</f>
        <v>0</v>
      </c>
      <c r="T364" s="35">
        <f t="shared" si="22"/>
        <v>0</v>
      </c>
      <c r="V364" s="4">
        <f>SUMIFS(Dump!P:P,Dump!B:B,C364,Dump!A:A,Y364)</f>
        <v>0</v>
      </c>
      <c r="W364" s="37">
        <f t="shared" si="23"/>
        <v>0</v>
      </c>
      <c r="X364" s="39"/>
      <c r="Y364" s="54"/>
    </row>
    <row r="365">
      <c r="C365" s="53"/>
      <c r="G365" s="2" t="str">
        <f t="shared" si="27"/>
        <v/>
      </c>
      <c r="I365" s="4">
        <f>SUMIFS(Dump!D:D,Dump!B:B,C365)</f>
        <v>0</v>
      </c>
      <c r="J365" s="5">
        <f>SUMIFS(Dump!AE:AE,Dump!B:B,C365)</f>
        <v>0</v>
      </c>
      <c r="K365" s="4">
        <f>SUMPRODUCT(
  (TEXT(Dump!$A$2:$A994,"mmm-yy")=TEXT($Y365,"mmm-yy"))*
  (Dump!$B$2:$B994=$C365)*
  Dump!$D$2:$D994)</f>
        <v>0</v>
      </c>
      <c r="L365" s="4">
        <f>SUMPRODUCT(
  (TEXT(Dump!$A$2:$A994,"mmm-yy")=TEXT($Y365,"mmm-yy"))*
  (Dump!$B$2:$B994=$C365)*
  Dump!$E$2:$E994
)</f>
        <v>0</v>
      </c>
      <c r="M365" s="4">
        <f>SUMPRODUCT(
  (TEXT(Dump!$A$2:$A994,"mmm-yy")=TEXT($Y365,"mmm-yy"))*
  (Dump!$B$2:$B994=$C365)*
  Dump!$P$2:$P994
)</f>
        <v>0</v>
      </c>
      <c r="N365" s="32"/>
      <c r="O365" s="33">
        <f>SUMIFS(Dump!$D:$D,Dump!$B:$B,$C365,Dump!$A:$A,$Y365)</f>
        <v>0</v>
      </c>
      <c r="P365" s="33">
        <f>SUMIFS(Dump!R:R,Dump!B:B,C365,Dump!A:A,Y365)</f>
        <v>0</v>
      </c>
      <c r="Q365" s="34">
        <f t="shared" si="21"/>
        <v>0</v>
      </c>
      <c r="S365" s="4">
        <f>SUMIFS(Dump!E:E,Dump!B:B,C365,Dump!A:A,Y365)</f>
        <v>0</v>
      </c>
      <c r="T365" s="35">
        <f t="shared" si="22"/>
        <v>0</v>
      </c>
      <c r="V365" s="4">
        <f>SUMIFS(Dump!P:P,Dump!B:B,C365,Dump!A:A,Y365)</f>
        <v>0</v>
      </c>
      <c r="W365" s="37">
        <f t="shared" si="23"/>
        <v>0</v>
      </c>
      <c r="X365" s="39"/>
      <c r="Y365" s="54"/>
    </row>
    <row r="366">
      <c r="C366" s="53"/>
      <c r="G366" s="2" t="str">
        <f t="shared" si="27"/>
        <v/>
      </c>
      <c r="I366" s="4">
        <f>SUMIFS(Dump!D:D,Dump!B:B,C366)</f>
        <v>0</v>
      </c>
      <c r="J366" s="5">
        <f>SUMIFS(Dump!AE:AE,Dump!B:B,C366)</f>
        <v>0</v>
      </c>
      <c r="K366" s="4">
        <f>SUMPRODUCT(
  (TEXT(Dump!$A$2:$A994,"mmm-yy")=TEXT($Y366,"mmm-yy"))*
  (Dump!$B$2:$B994=$C366)*
  Dump!$D$2:$D994)</f>
        <v>0</v>
      </c>
      <c r="L366" s="4">
        <f>SUMPRODUCT(
  (TEXT(Dump!$A$2:$A994,"mmm-yy")=TEXT($Y366,"mmm-yy"))*
  (Dump!$B$2:$B994=$C366)*
  Dump!$E$2:$E994
)</f>
        <v>0</v>
      </c>
      <c r="M366" s="4">
        <f>SUMPRODUCT(
  (TEXT(Dump!$A$2:$A994,"mmm-yy")=TEXT($Y366,"mmm-yy"))*
  (Dump!$B$2:$B994=$C366)*
  Dump!$P$2:$P994
)</f>
        <v>0</v>
      </c>
      <c r="N366" s="32"/>
      <c r="O366" s="33">
        <f>SUMIFS(Dump!$D:$D,Dump!$B:$B,$C366,Dump!$A:$A,$Y366)</f>
        <v>0</v>
      </c>
      <c r="P366" s="33">
        <f>SUMIFS(Dump!R:R,Dump!B:B,C366,Dump!A:A,Y366)</f>
        <v>0</v>
      </c>
      <c r="Q366" s="34">
        <f t="shared" si="21"/>
        <v>0</v>
      </c>
      <c r="S366" s="4">
        <f>SUMIFS(Dump!E:E,Dump!B:B,C366,Dump!A:A,Y366)</f>
        <v>0</v>
      </c>
      <c r="T366" s="35">
        <f t="shared" si="22"/>
        <v>0</v>
      </c>
      <c r="V366" s="4">
        <f>SUMIFS(Dump!P:P,Dump!B:B,C366,Dump!A:A,Y366)</f>
        <v>0</v>
      </c>
      <c r="W366" s="37">
        <f t="shared" si="23"/>
        <v>0</v>
      </c>
      <c r="X366" s="39"/>
      <c r="Y366" s="54"/>
    </row>
    <row r="367">
      <c r="C367" s="53"/>
      <c r="G367" s="2" t="str">
        <f t="shared" si="27"/>
        <v/>
      </c>
      <c r="I367" s="4">
        <f>SUMIFS(Dump!D:D,Dump!B:B,C367)</f>
        <v>0</v>
      </c>
      <c r="J367" s="5">
        <f>SUMIFS(Dump!AE:AE,Dump!B:B,C367)</f>
        <v>0</v>
      </c>
      <c r="K367" s="4">
        <f>SUMPRODUCT(
  (TEXT(Dump!$A$2:$A994,"mmm-yy")=TEXT($Y367,"mmm-yy"))*
  (Dump!$B$2:$B994=$C367)*
  Dump!$D$2:$D994)</f>
        <v>0</v>
      </c>
      <c r="L367" s="4">
        <f>SUMPRODUCT(
  (TEXT(Dump!$A$2:$A994,"mmm-yy")=TEXT($Y367,"mmm-yy"))*
  (Dump!$B$2:$B994=$C367)*
  Dump!$E$2:$E994
)</f>
        <v>0</v>
      </c>
      <c r="M367" s="4">
        <f>SUMPRODUCT(
  (TEXT(Dump!$A$2:$A994,"mmm-yy")=TEXT($Y367,"mmm-yy"))*
  (Dump!$B$2:$B994=$C367)*
  Dump!$P$2:$P994
)</f>
        <v>0</v>
      </c>
      <c r="N367" s="32"/>
      <c r="O367" s="33">
        <f>SUMIFS(Dump!$D:$D,Dump!$B:$B,$C367,Dump!$A:$A,$Y367)</f>
        <v>0</v>
      </c>
      <c r="P367" s="33">
        <f>SUMIFS(Dump!R:R,Dump!B:B,C367,Dump!A:A,Y367)</f>
        <v>0</v>
      </c>
      <c r="Q367" s="34">
        <f t="shared" si="21"/>
        <v>0</v>
      </c>
      <c r="S367" s="4">
        <f>SUMIFS(Dump!E:E,Dump!B:B,C367,Dump!A:A,Y367)</f>
        <v>0</v>
      </c>
      <c r="T367" s="35">
        <f t="shared" si="22"/>
        <v>0</v>
      </c>
      <c r="V367" s="4">
        <f>SUMIFS(Dump!P:P,Dump!B:B,C367,Dump!A:A,Y367)</f>
        <v>0</v>
      </c>
      <c r="W367" s="37">
        <f t="shared" si="23"/>
        <v>0</v>
      </c>
      <c r="X367" s="39"/>
      <c r="Y367" s="54"/>
    </row>
    <row r="368">
      <c r="C368" s="53"/>
      <c r="G368" s="2" t="str">
        <f t="shared" si="27"/>
        <v/>
      </c>
      <c r="I368" s="4">
        <f>SUMIFS(Dump!D:D,Dump!B:B,C368)</f>
        <v>0</v>
      </c>
      <c r="J368" s="5">
        <f>SUMIFS(Dump!AE:AE,Dump!B:B,C368)</f>
        <v>0</v>
      </c>
      <c r="K368" s="4">
        <f>SUMPRODUCT(
  (TEXT(Dump!$A$2:$A994,"mmm-yy")=TEXT($Y368,"mmm-yy"))*
  (Dump!$B$2:$B994=$C368)*
  Dump!$D$2:$D994)</f>
        <v>0</v>
      </c>
      <c r="L368" s="4">
        <f>SUMPRODUCT(
  (TEXT(Dump!$A$2:$A994,"mmm-yy")=TEXT($Y368,"mmm-yy"))*
  (Dump!$B$2:$B994=$C368)*
  Dump!$E$2:$E994
)</f>
        <v>0</v>
      </c>
      <c r="M368" s="4">
        <f>SUMPRODUCT(
  (TEXT(Dump!$A$2:$A994,"mmm-yy")=TEXT($Y368,"mmm-yy"))*
  (Dump!$B$2:$B994=$C368)*
  Dump!$P$2:$P994
)</f>
        <v>0</v>
      </c>
      <c r="N368" s="32"/>
      <c r="O368" s="33">
        <f>SUMIFS(Dump!$D:$D,Dump!$B:$B,$C368,Dump!$A:$A,$Y368)</f>
        <v>0</v>
      </c>
      <c r="P368" s="33">
        <f>SUMIFS(Dump!R:R,Dump!B:B,C368,Dump!A:A,Y368)</f>
        <v>0</v>
      </c>
      <c r="Q368" s="34">
        <f t="shared" si="21"/>
        <v>0</v>
      </c>
      <c r="S368" s="4">
        <f>SUMIFS(Dump!E:E,Dump!B:B,C368,Dump!A:A,Y368)</f>
        <v>0</v>
      </c>
      <c r="T368" s="35">
        <f t="shared" si="22"/>
        <v>0</v>
      </c>
      <c r="V368" s="4">
        <f>SUMIFS(Dump!P:P,Dump!B:B,C368,Dump!A:A,Y368)</f>
        <v>0</v>
      </c>
      <c r="W368" s="37">
        <f t="shared" si="23"/>
        <v>0</v>
      </c>
      <c r="X368" s="39"/>
      <c r="Y368" s="54"/>
    </row>
    <row r="369">
      <c r="C369" s="53"/>
      <c r="G369" s="2" t="str">
        <f t="shared" si="27"/>
        <v/>
      </c>
      <c r="I369" s="4">
        <f>SUMIFS(Dump!D:D,Dump!B:B,C369)</f>
        <v>0</v>
      </c>
      <c r="J369" s="5">
        <f>SUMIFS(Dump!AE:AE,Dump!B:B,C369)</f>
        <v>0</v>
      </c>
      <c r="K369" s="4">
        <f>SUMPRODUCT(
  (TEXT(Dump!$A$2:$A994,"mmm-yy")=TEXT($Y369,"mmm-yy"))*
  (Dump!$B$2:$B994=$C369)*
  Dump!$D$2:$D994)</f>
        <v>0</v>
      </c>
      <c r="L369" s="4">
        <f>SUMPRODUCT(
  (TEXT(Dump!$A$2:$A994,"mmm-yy")=TEXT($Y369,"mmm-yy"))*
  (Dump!$B$2:$B994=$C369)*
  Dump!$E$2:$E994
)</f>
        <v>0</v>
      </c>
      <c r="M369" s="4">
        <f>SUMPRODUCT(
  (TEXT(Dump!$A$2:$A994,"mmm-yy")=TEXT($Y369,"mmm-yy"))*
  (Dump!$B$2:$B994=$C369)*
  Dump!$P$2:$P994
)</f>
        <v>0</v>
      </c>
      <c r="N369" s="32"/>
      <c r="O369" s="33">
        <f>SUMIFS(Dump!$D:$D,Dump!$B:$B,$C369,Dump!$A:$A,$Y369)</f>
        <v>0</v>
      </c>
      <c r="P369" s="33">
        <f>SUMIFS(Dump!R:R,Dump!B:B,C369,Dump!A:A,Y369)</f>
        <v>0</v>
      </c>
      <c r="Q369" s="34">
        <f t="shared" si="21"/>
        <v>0</v>
      </c>
      <c r="S369" s="4">
        <f>SUMIFS(Dump!E:E,Dump!B:B,C369,Dump!A:A,Y369)</f>
        <v>0</v>
      </c>
      <c r="T369" s="35">
        <f t="shared" si="22"/>
        <v>0</v>
      </c>
      <c r="V369" s="4">
        <f>SUMIFS(Dump!P:P,Dump!B:B,C369,Dump!A:A,Y369)</f>
        <v>0</v>
      </c>
      <c r="W369" s="37">
        <f t="shared" si="23"/>
        <v>0</v>
      </c>
      <c r="X369" s="39"/>
      <c r="Y369" s="54"/>
    </row>
    <row r="370">
      <c r="C370" s="53"/>
      <c r="G370" s="2" t="str">
        <f t="shared" si="27"/>
        <v/>
      </c>
      <c r="I370" s="4">
        <f>SUMIFS(Dump!D:D,Dump!B:B,C370)</f>
        <v>0</v>
      </c>
      <c r="J370" s="5">
        <f>SUMIFS(Dump!AE:AE,Dump!B:B,C370)</f>
        <v>0</v>
      </c>
      <c r="K370" s="4">
        <f>SUMPRODUCT(
  (TEXT(Dump!$A$2:$A994,"mmm-yy")=TEXT($Y370,"mmm-yy"))*
  (Dump!$B$2:$B994=$C370)*
  Dump!$D$2:$D994)</f>
        <v>0</v>
      </c>
      <c r="L370" s="4">
        <f>SUMPRODUCT(
  (TEXT(Dump!$A$2:$A994,"mmm-yy")=TEXT($Y370,"mmm-yy"))*
  (Dump!$B$2:$B994=$C370)*
  Dump!$E$2:$E994
)</f>
        <v>0</v>
      </c>
      <c r="M370" s="4">
        <f>SUMPRODUCT(
  (TEXT(Dump!$A$2:$A994,"mmm-yy")=TEXT($Y370,"mmm-yy"))*
  (Dump!$B$2:$B994=$C370)*
  Dump!$P$2:$P994
)</f>
        <v>0</v>
      </c>
      <c r="N370" s="32"/>
      <c r="O370" s="33">
        <f>SUMIFS(Dump!$D:$D,Dump!$B:$B,$C370,Dump!$A:$A,$Y370)</f>
        <v>0</v>
      </c>
      <c r="P370" s="33">
        <f>SUMIFS(Dump!R:R,Dump!B:B,C370,Dump!A:A,Y370)</f>
        <v>0</v>
      </c>
      <c r="Q370" s="34">
        <f t="shared" si="21"/>
        <v>0</v>
      </c>
      <c r="S370" s="4">
        <f>SUMIFS(Dump!E:E,Dump!B:B,C370,Dump!A:A,Y370)</f>
        <v>0</v>
      </c>
      <c r="T370" s="35">
        <f t="shared" si="22"/>
        <v>0</v>
      </c>
      <c r="V370" s="4">
        <f>SUMIFS(Dump!P:P,Dump!B:B,C370,Dump!A:A,Y370)</f>
        <v>0</v>
      </c>
      <c r="W370" s="37">
        <f t="shared" si="23"/>
        <v>0</v>
      </c>
      <c r="X370" s="39"/>
      <c r="Y370" s="54"/>
    </row>
    <row r="371">
      <c r="C371" s="53"/>
      <c r="G371" s="2" t="str">
        <f t="shared" si="27"/>
        <v/>
      </c>
      <c r="I371" s="4">
        <f>SUMIFS(Dump!D:D,Dump!B:B,C371)</f>
        <v>0</v>
      </c>
      <c r="J371" s="5">
        <f>SUMIFS(Dump!AE:AE,Dump!B:B,C371)</f>
        <v>0</v>
      </c>
      <c r="K371" s="4">
        <f>SUMPRODUCT(
  (TEXT(Dump!$A$2:$A994,"mmm-yy")=TEXT($Y371,"mmm-yy"))*
  (Dump!$B$2:$B994=$C371)*
  Dump!$D$2:$D994)</f>
        <v>0</v>
      </c>
      <c r="L371" s="4">
        <f>SUMPRODUCT(
  (TEXT(Dump!$A$2:$A994,"mmm-yy")=TEXT($Y371,"mmm-yy"))*
  (Dump!$B$2:$B994=$C371)*
  Dump!$E$2:$E994
)</f>
        <v>0</v>
      </c>
      <c r="M371" s="4">
        <f>SUMPRODUCT(
  (TEXT(Dump!$A$2:$A994,"mmm-yy")=TEXT($Y371,"mmm-yy"))*
  (Dump!$B$2:$B994=$C371)*
  Dump!$P$2:$P994
)</f>
        <v>0</v>
      </c>
      <c r="N371" s="32"/>
      <c r="O371" s="33">
        <f>SUMIFS(Dump!$D:$D,Dump!$B:$B,$C371,Dump!$A:$A,$Y371)</f>
        <v>0</v>
      </c>
      <c r="P371" s="33">
        <f>SUMIFS(Dump!R:R,Dump!B:B,C371,Dump!A:A,Y371)</f>
        <v>0</v>
      </c>
      <c r="Q371" s="34">
        <f t="shared" si="21"/>
        <v>0</v>
      </c>
      <c r="S371" s="4">
        <f>SUMIFS(Dump!E:E,Dump!B:B,C371,Dump!A:A,Y371)</f>
        <v>0</v>
      </c>
      <c r="T371" s="35">
        <f t="shared" si="22"/>
        <v>0</v>
      </c>
      <c r="V371" s="4">
        <f>SUMIFS(Dump!P:P,Dump!B:B,C371,Dump!A:A,Y371)</f>
        <v>0</v>
      </c>
      <c r="W371" s="37">
        <f t="shared" si="23"/>
        <v>0</v>
      </c>
      <c r="X371" s="39"/>
      <c r="Y371" s="54"/>
    </row>
    <row r="372">
      <c r="C372" s="53"/>
      <c r="G372" s="2" t="str">
        <f t="shared" si="27"/>
        <v/>
      </c>
      <c r="I372" s="4">
        <f>SUMIFS(Dump!D:D,Dump!B:B,C372)</f>
        <v>0</v>
      </c>
      <c r="J372" s="5">
        <f>SUMIFS(Dump!AE:AE,Dump!B:B,C372)</f>
        <v>0</v>
      </c>
      <c r="K372" s="4">
        <f>SUMPRODUCT(
  (TEXT(Dump!$A$2:$A994,"mmm-yy")=TEXT($Y372,"mmm-yy"))*
  (Dump!$B$2:$B994=$C372)*
  Dump!$D$2:$D994)</f>
        <v>0</v>
      </c>
      <c r="L372" s="4">
        <f>SUMPRODUCT(
  (TEXT(Dump!$A$2:$A994,"mmm-yy")=TEXT($Y372,"mmm-yy"))*
  (Dump!$B$2:$B994=$C372)*
  Dump!$E$2:$E994
)</f>
        <v>0</v>
      </c>
      <c r="M372" s="4">
        <f>SUMPRODUCT(
  (TEXT(Dump!$A$2:$A994,"mmm-yy")=TEXT($Y372,"mmm-yy"))*
  (Dump!$B$2:$B994=$C372)*
  Dump!$P$2:$P994
)</f>
        <v>0</v>
      </c>
      <c r="N372" s="32"/>
      <c r="O372" s="33">
        <f>SUMIFS(Dump!$D:$D,Dump!$B:$B,$C372,Dump!$A:$A,$Y372)</f>
        <v>0</v>
      </c>
      <c r="P372" s="33">
        <f>SUMIFS(Dump!R:R,Dump!B:B,C372,Dump!A:A,Y372)</f>
        <v>0</v>
      </c>
      <c r="Q372" s="34">
        <f t="shared" si="21"/>
        <v>0</v>
      </c>
      <c r="S372" s="4">
        <f>SUMIFS(Dump!E:E,Dump!B:B,C372,Dump!A:A,Y372)</f>
        <v>0</v>
      </c>
      <c r="T372" s="35">
        <f t="shared" si="22"/>
        <v>0</v>
      </c>
      <c r="V372" s="4">
        <f>SUMIFS(Dump!P:P,Dump!B:B,C372,Dump!A:A,Y372)</f>
        <v>0</v>
      </c>
      <c r="W372" s="37">
        <f t="shared" si="23"/>
        <v>0</v>
      </c>
      <c r="X372" s="39"/>
      <c r="Y372" s="54"/>
    </row>
    <row r="373">
      <c r="C373" s="53"/>
      <c r="G373" s="2" t="str">
        <f t="shared" si="27"/>
        <v/>
      </c>
      <c r="I373" s="4">
        <f>SUMIFS(Dump!D:D,Dump!B:B,C373)</f>
        <v>0</v>
      </c>
      <c r="J373" s="5">
        <f>SUMIFS(Dump!AE:AE,Dump!B:B,C373)</f>
        <v>0</v>
      </c>
      <c r="K373" s="4">
        <f>SUMPRODUCT(
  (TEXT(Dump!$A$2:$A994,"mmm-yy")=TEXT($Y373,"mmm-yy"))*
  (Dump!$B$2:$B994=$C373)*
  Dump!$D$2:$D994)</f>
        <v>0</v>
      </c>
      <c r="L373" s="4">
        <f>SUMPRODUCT(
  (TEXT(Dump!$A$2:$A994,"mmm-yy")=TEXT($Y373,"mmm-yy"))*
  (Dump!$B$2:$B994=$C373)*
  Dump!$E$2:$E994
)</f>
        <v>0</v>
      </c>
      <c r="M373" s="4">
        <f>SUMPRODUCT(
  (TEXT(Dump!$A$2:$A994,"mmm-yy")=TEXT($Y373,"mmm-yy"))*
  (Dump!$B$2:$B994=$C373)*
  Dump!$P$2:$P994
)</f>
        <v>0</v>
      </c>
      <c r="N373" s="32"/>
      <c r="O373" s="33">
        <f>SUMIFS(Dump!$D:$D,Dump!$B:$B,$C373,Dump!$A:$A,$Y373)</f>
        <v>0</v>
      </c>
      <c r="P373" s="33">
        <f>SUMIFS(Dump!R:R,Dump!B:B,C373,Dump!A:A,Y373)</f>
        <v>0</v>
      </c>
      <c r="Q373" s="34">
        <f t="shared" si="21"/>
        <v>0</v>
      </c>
      <c r="S373" s="4">
        <f>SUMIFS(Dump!E:E,Dump!B:B,C373,Dump!A:A,Y373)</f>
        <v>0</v>
      </c>
      <c r="T373" s="35">
        <f t="shared" si="22"/>
        <v>0</v>
      </c>
      <c r="V373" s="4">
        <f>SUMIFS(Dump!P:P,Dump!B:B,C373,Dump!A:A,Y373)</f>
        <v>0</v>
      </c>
      <c r="W373" s="37">
        <f t="shared" si="23"/>
        <v>0</v>
      </c>
      <c r="X373" s="39"/>
      <c r="Y373" s="54"/>
    </row>
    <row r="374">
      <c r="C374" s="53"/>
      <c r="G374" s="2" t="str">
        <f t="shared" si="27"/>
        <v/>
      </c>
      <c r="I374" s="4">
        <f>SUMIFS(Dump!D:D,Dump!B:B,C374)</f>
        <v>0</v>
      </c>
      <c r="J374" s="5">
        <f>SUMIFS(Dump!AE:AE,Dump!B:B,C374)</f>
        <v>0</v>
      </c>
      <c r="K374" s="4">
        <f>SUMPRODUCT(
  (TEXT(Dump!$A$2:$A994,"mmm-yy")=TEXT($Y374,"mmm-yy"))*
  (Dump!$B$2:$B994=$C374)*
  Dump!$D$2:$D994)</f>
        <v>0</v>
      </c>
      <c r="L374" s="4">
        <f>SUMPRODUCT(
  (TEXT(Dump!$A$2:$A994,"mmm-yy")=TEXT($Y374,"mmm-yy"))*
  (Dump!$B$2:$B994=$C374)*
  Dump!$E$2:$E994
)</f>
        <v>0</v>
      </c>
      <c r="M374" s="4">
        <f>SUMPRODUCT(
  (TEXT(Dump!$A$2:$A994,"mmm-yy")=TEXT($Y374,"mmm-yy"))*
  (Dump!$B$2:$B994=$C374)*
  Dump!$P$2:$P994
)</f>
        <v>0</v>
      </c>
      <c r="N374" s="32"/>
      <c r="O374" s="33">
        <f>SUMIFS(Dump!$D:$D,Dump!$B:$B,$C374,Dump!$A:$A,$Y374)</f>
        <v>0</v>
      </c>
      <c r="P374" s="33">
        <f>SUMIFS(Dump!R:R,Dump!B:B,C374,Dump!A:A,Y374)</f>
        <v>0</v>
      </c>
      <c r="Q374" s="34">
        <f t="shared" si="21"/>
        <v>0</v>
      </c>
      <c r="S374" s="4">
        <f>SUMIFS(Dump!E:E,Dump!B:B,C374,Dump!A:A,Y374)</f>
        <v>0</v>
      </c>
      <c r="T374" s="35">
        <f t="shared" si="22"/>
        <v>0</v>
      </c>
      <c r="V374" s="4">
        <f>SUMIFS(Dump!P:P,Dump!B:B,C374,Dump!A:A,Y374)</f>
        <v>0</v>
      </c>
      <c r="W374" s="37">
        <f t="shared" si="23"/>
        <v>0</v>
      </c>
      <c r="X374" s="39"/>
      <c r="Y374" s="54"/>
    </row>
    <row r="375">
      <c r="C375" s="53"/>
      <c r="G375" s="2" t="str">
        <f t="shared" si="27"/>
        <v/>
      </c>
      <c r="I375" s="4">
        <f>SUMIFS(Dump!D:D,Dump!B:B,C375)</f>
        <v>0</v>
      </c>
      <c r="J375" s="5">
        <f>SUMIFS(Dump!AE:AE,Dump!B:B,C375)</f>
        <v>0</v>
      </c>
      <c r="K375" s="4">
        <f>SUMPRODUCT(
  (TEXT(Dump!$A$2:$A994,"mmm-yy")=TEXT($Y375,"mmm-yy"))*
  (Dump!$B$2:$B994=$C375)*
  Dump!$D$2:$D994)</f>
        <v>0</v>
      </c>
      <c r="L375" s="4">
        <f>SUMPRODUCT(
  (TEXT(Dump!$A$2:$A994,"mmm-yy")=TEXT($Y375,"mmm-yy"))*
  (Dump!$B$2:$B994=$C375)*
  Dump!$E$2:$E994
)</f>
        <v>0</v>
      </c>
      <c r="M375" s="4">
        <f>SUMPRODUCT(
  (TEXT(Dump!$A$2:$A994,"mmm-yy")=TEXT($Y375,"mmm-yy"))*
  (Dump!$B$2:$B994=$C375)*
  Dump!$P$2:$P994
)</f>
        <v>0</v>
      </c>
      <c r="N375" s="32"/>
      <c r="O375" s="33">
        <f>SUMIFS(Dump!$D:$D,Dump!$B:$B,$C375,Dump!$A:$A,$Y375)</f>
        <v>0</v>
      </c>
      <c r="P375" s="33">
        <f>SUMIFS(Dump!R:R,Dump!B:B,C375,Dump!A:A,Y375)</f>
        <v>0</v>
      </c>
      <c r="Q375" s="34">
        <f t="shared" si="21"/>
        <v>0</v>
      </c>
      <c r="S375" s="4">
        <f>SUMIFS(Dump!E:E,Dump!B:B,C375,Dump!A:A,Y375)</f>
        <v>0</v>
      </c>
      <c r="T375" s="35">
        <f t="shared" si="22"/>
        <v>0</v>
      </c>
      <c r="V375" s="4">
        <f>SUMIFS(Dump!P:P,Dump!B:B,C375,Dump!A:A,Y375)</f>
        <v>0</v>
      </c>
      <c r="W375" s="37">
        <f t="shared" si="23"/>
        <v>0</v>
      </c>
      <c r="X375" s="39"/>
      <c r="Y375" s="54"/>
    </row>
    <row r="376">
      <c r="C376" s="53"/>
      <c r="G376" s="2" t="str">
        <f t="shared" si="27"/>
        <v/>
      </c>
      <c r="I376" s="4">
        <f>SUMIFS(Dump!D:D,Dump!B:B,C376)</f>
        <v>0</v>
      </c>
      <c r="J376" s="5">
        <f>SUMIFS(Dump!AE:AE,Dump!B:B,C376)</f>
        <v>0</v>
      </c>
      <c r="K376" s="4">
        <f>SUMPRODUCT(
  (TEXT(Dump!$A$2:$A994,"mmm-yy")=TEXT($Y376,"mmm-yy"))*
  (Dump!$B$2:$B994=$C376)*
  Dump!$D$2:$D994)</f>
        <v>0</v>
      </c>
      <c r="L376" s="4">
        <f>SUMPRODUCT(
  (TEXT(Dump!$A$2:$A994,"mmm-yy")=TEXT($Y376,"mmm-yy"))*
  (Dump!$B$2:$B994=$C376)*
  Dump!$E$2:$E994
)</f>
        <v>0</v>
      </c>
      <c r="M376" s="4">
        <f>SUMPRODUCT(
  (TEXT(Dump!$A$2:$A994,"mmm-yy")=TEXT($Y376,"mmm-yy"))*
  (Dump!$B$2:$B994=$C376)*
  Dump!$P$2:$P994
)</f>
        <v>0</v>
      </c>
      <c r="N376" s="32"/>
      <c r="O376" s="33">
        <f>SUMIFS(Dump!$D:$D,Dump!$B:$B,$C376,Dump!$A:$A,$Y376)</f>
        <v>0</v>
      </c>
      <c r="P376" s="33">
        <f>SUMIFS(Dump!R:R,Dump!B:B,C376,Dump!A:A,Y376)</f>
        <v>0</v>
      </c>
      <c r="Q376" s="34">
        <f t="shared" si="21"/>
        <v>0</v>
      </c>
      <c r="S376" s="4">
        <f>SUMIFS(Dump!E:E,Dump!B:B,C376,Dump!A:A,Y376)</f>
        <v>0</v>
      </c>
      <c r="T376" s="35">
        <f t="shared" si="22"/>
        <v>0</v>
      </c>
      <c r="V376" s="4">
        <f>SUMIFS(Dump!P:P,Dump!B:B,C376,Dump!A:A,Y376)</f>
        <v>0</v>
      </c>
      <c r="W376" s="37">
        <f t="shared" si="23"/>
        <v>0</v>
      </c>
      <c r="X376" s="39"/>
      <c r="Y376" s="54"/>
    </row>
    <row r="377">
      <c r="C377" s="53"/>
      <c r="G377" s="2" t="str">
        <f t="shared" si="27"/>
        <v/>
      </c>
      <c r="I377" s="4">
        <f>SUMIFS(Dump!D:D,Dump!B:B,C377)</f>
        <v>0</v>
      </c>
      <c r="J377" s="5">
        <f>SUMIFS(Dump!AE:AE,Dump!B:B,C377)</f>
        <v>0</v>
      </c>
      <c r="K377" s="4">
        <f>SUMPRODUCT(
  (TEXT(Dump!$A$2:$A994,"mmm-yy")=TEXT($Y377,"mmm-yy"))*
  (Dump!$B$2:$B994=$C377)*
  Dump!$D$2:$D994)</f>
        <v>0</v>
      </c>
      <c r="L377" s="4">
        <f>SUMPRODUCT(
  (TEXT(Dump!$A$2:$A994,"mmm-yy")=TEXT($Y377,"mmm-yy"))*
  (Dump!$B$2:$B994=$C377)*
  Dump!$E$2:$E994
)</f>
        <v>0</v>
      </c>
      <c r="M377" s="4">
        <f>SUMPRODUCT(
  (TEXT(Dump!$A$2:$A994,"mmm-yy")=TEXT($Y377,"mmm-yy"))*
  (Dump!$B$2:$B994=$C377)*
  Dump!$P$2:$P994
)</f>
        <v>0</v>
      </c>
      <c r="N377" s="32"/>
      <c r="O377" s="33">
        <f>SUMIFS(Dump!$D:$D,Dump!$B:$B,$C377,Dump!$A:$A,$Y377)</f>
        <v>0</v>
      </c>
      <c r="P377" s="33">
        <f>SUMIFS(Dump!R:R,Dump!B:B,C377,Dump!A:A,Y377)</f>
        <v>0</v>
      </c>
      <c r="Q377" s="34">
        <f t="shared" si="21"/>
        <v>0</v>
      </c>
      <c r="S377" s="4">
        <f>SUMIFS(Dump!E:E,Dump!B:B,C377,Dump!A:A,Y377)</f>
        <v>0</v>
      </c>
      <c r="T377" s="35">
        <f t="shared" si="22"/>
        <v>0</v>
      </c>
      <c r="V377" s="4">
        <f>SUMIFS(Dump!P:P,Dump!B:B,C377,Dump!A:A,Y377)</f>
        <v>0</v>
      </c>
      <c r="W377" s="37">
        <f t="shared" si="23"/>
        <v>0</v>
      </c>
      <c r="X377" s="39"/>
      <c r="Y377" s="54"/>
    </row>
    <row r="378">
      <c r="C378" s="53"/>
      <c r="G378" s="2" t="str">
        <f t="shared" si="27"/>
        <v/>
      </c>
      <c r="I378" s="4">
        <f>SUMIFS(Dump!D:D,Dump!B:B,C378)</f>
        <v>0</v>
      </c>
      <c r="J378" s="5">
        <f>SUMIFS(Dump!AE:AE,Dump!B:B,C378)</f>
        <v>0</v>
      </c>
      <c r="K378" s="4">
        <f>SUMPRODUCT(
  (TEXT(Dump!$A$2:$A994,"mmm-yy")=TEXT($Y378,"mmm-yy"))*
  (Dump!$B$2:$B994=$C378)*
  Dump!$D$2:$D994)</f>
        <v>0</v>
      </c>
      <c r="L378" s="4">
        <f>SUMPRODUCT(
  (TEXT(Dump!$A$2:$A994,"mmm-yy")=TEXT($Y378,"mmm-yy"))*
  (Dump!$B$2:$B994=$C378)*
  Dump!$E$2:$E994
)</f>
        <v>0</v>
      </c>
      <c r="M378" s="4">
        <f>SUMPRODUCT(
  (TEXT(Dump!$A$2:$A994,"mmm-yy")=TEXT($Y378,"mmm-yy"))*
  (Dump!$B$2:$B994=$C378)*
  Dump!$P$2:$P994
)</f>
        <v>0</v>
      </c>
      <c r="N378" s="32"/>
      <c r="O378" s="33">
        <f>SUMIFS(Dump!$D:$D,Dump!$B:$B,$C378,Dump!$A:$A,$Y378)</f>
        <v>0</v>
      </c>
      <c r="P378" s="33">
        <f>SUMIFS(Dump!R:R,Dump!B:B,C378,Dump!A:A,Y378)</f>
        <v>0</v>
      </c>
      <c r="Q378" s="34">
        <f t="shared" si="21"/>
        <v>0</v>
      </c>
      <c r="S378" s="4">
        <f>SUMIFS(Dump!E:E,Dump!B:B,C378,Dump!A:A,Y378)</f>
        <v>0</v>
      </c>
      <c r="T378" s="35">
        <f t="shared" si="22"/>
        <v>0</v>
      </c>
      <c r="V378" s="4">
        <f>SUMIFS(Dump!P:P,Dump!B:B,C378,Dump!A:A,Y378)</f>
        <v>0</v>
      </c>
      <c r="W378" s="37">
        <f t="shared" si="23"/>
        <v>0</v>
      </c>
      <c r="X378" s="39"/>
      <c r="Y378" s="54"/>
    </row>
    <row r="379">
      <c r="C379" s="53"/>
      <c r="G379" s="2" t="str">
        <f t="shared" si="27"/>
        <v/>
      </c>
      <c r="I379" s="4">
        <f>SUMIFS(Dump!D:D,Dump!B:B,C379)</f>
        <v>0</v>
      </c>
      <c r="J379" s="5">
        <f>SUMIFS(Dump!AE:AE,Dump!B:B,C379)</f>
        <v>0</v>
      </c>
      <c r="K379" s="4">
        <f>SUMPRODUCT(
  (TEXT(Dump!$A$2:$A994,"mmm-yy")=TEXT($Y379,"mmm-yy"))*
  (Dump!$B$2:$B994=$C379)*
  Dump!$D$2:$D994)</f>
        <v>0</v>
      </c>
      <c r="L379" s="4">
        <f>SUMPRODUCT(
  (TEXT(Dump!$A$2:$A994,"mmm-yy")=TEXT($Y379,"mmm-yy"))*
  (Dump!$B$2:$B994=$C379)*
  Dump!$E$2:$E994
)</f>
        <v>0</v>
      </c>
      <c r="M379" s="4">
        <f>SUMPRODUCT(
  (TEXT(Dump!$A$2:$A994,"mmm-yy")=TEXT($Y379,"mmm-yy"))*
  (Dump!$B$2:$B994=$C379)*
  Dump!$P$2:$P994
)</f>
        <v>0</v>
      </c>
      <c r="N379" s="32"/>
      <c r="O379" s="33">
        <f>SUMIFS(Dump!$D:$D,Dump!$B:$B,$C379,Dump!$A:$A,$Y379)</f>
        <v>0</v>
      </c>
      <c r="P379" s="33">
        <f>SUMIFS(Dump!R:R,Dump!B:B,C379,Dump!A:A,Y379)</f>
        <v>0</v>
      </c>
      <c r="Q379" s="34">
        <f t="shared" si="21"/>
        <v>0</v>
      </c>
      <c r="S379" s="4">
        <f>SUMIFS(Dump!E:E,Dump!B:B,C379,Dump!A:A,Y379)</f>
        <v>0</v>
      </c>
      <c r="T379" s="35">
        <f t="shared" si="22"/>
        <v>0</v>
      </c>
      <c r="V379" s="4">
        <f>SUMIFS(Dump!P:P,Dump!B:B,C379,Dump!A:A,Y379)</f>
        <v>0</v>
      </c>
      <c r="W379" s="37">
        <f t="shared" si="23"/>
        <v>0</v>
      </c>
      <c r="X379" s="39"/>
      <c r="Y379" s="54"/>
    </row>
    <row r="380">
      <c r="C380" s="53"/>
      <c r="G380" s="2" t="str">
        <f t="shared" si="27"/>
        <v/>
      </c>
      <c r="I380" s="4">
        <f>SUMIFS(Dump!D:D,Dump!B:B,C380)</f>
        <v>0</v>
      </c>
      <c r="J380" s="5">
        <f>SUMIFS(Dump!AE:AE,Dump!B:B,C380)</f>
        <v>0</v>
      </c>
      <c r="K380" s="4">
        <f>SUMPRODUCT(
  (TEXT(Dump!$A$2:$A994,"mmm-yy")=TEXT($Y380,"mmm-yy"))*
  (Dump!$B$2:$B994=$C380)*
  Dump!$D$2:$D994)</f>
        <v>0</v>
      </c>
      <c r="L380" s="4">
        <f>SUMPRODUCT(
  (TEXT(Dump!$A$2:$A994,"mmm-yy")=TEXT($Y380,"mmm-yy"))*
  (Dump!$B$2:$B994=$C380)*
  Dump!$E$2:$E994
)</f>
        <v>0</v>
      </c>
      <c r="M380" s="4">
        <f>SUMPRODUCT(
  (TEXT(Dump!$A$2:$A994,"mmm-yy")=TEXT($Y380,"mmm-yy"))*
  (Dump!$B$2:$B994=$C380)*
  Dump!$P$2:$P994
)</f>
        <v>0</v>
      </c>
      <c r="N380" s="32"/>
      <c r="O380" s="33">
        <f>SUMIFS(Dump!$D:$D,Dump!$B:$B,$C380,Dump!$A:$A,$Y380)</f>
        <v>0</v>
      </c>
      <c r="P380" s="33">
        <f>SUMIFS(Dump!R:R,Dump!B:B,C380,Dump!A:A,Y380)</f>
        <v>0</v>
      </c>
      <c r="Q380" s="34">
        <f t="shared" si="21"/>
        <v>0</v>
      </c>
      <c r="S380" s="4">
        <f>SUMIFS(Dump!E:E,Dump!B:B,C380,Dump!A:A,Y380)</f>
        <v>0</v>
      </c>
      <c r="T380" s="35">
        <f t="shared" si="22"/>
        <v>0</v>
      </c>
      <c r="V380" s="4">
        <f>SUMIFS(Dump!P:P,Dump!B:B,C380,Dump!A:A,Y380)</f>
        <v>0</v>
      </c>
      <c r="W380" s="37">
        <f t="shared" si="23"/>
        <v>0</v>
      </c>
      <c r="X380" s="39"/>
      <c r="Y380" s="54"/>
    </row>
    <row r="381">
      <c r="C381" s="53"/>
      <c r="G381" s="2" t="str">
        <f t="shared" si="27"/>
        <v/>
      </c>
      <c r="I381" s="4">
        <f>SUMIFS(Dump!D:D,Dump!B:B,C381)</f>
        <v>0</v>
      </c>
      <c r="J381" s="5">
        <f>SUMIFS(Dump!AE:AE,Dump!B:B,C381)</f>
        <v>0</v>
      </c>
      <c r="K381" s="4">
        <f>SUMPRODUCT(
  (TEXT(Dump!$A$2:$A994,"mmm-yy")=TEXT($Y381,"mmm-yy"))*
  (Dump!$B$2:$B994=$C381)*
  Dump!$D$2:$D994)</f>
        <v>0</v>
      </c>
      <c r="L381" s="4">
        <f>SUMPRODUCT(
  (TEXT(Dump!$A$2:$A994,"mmm-yy")=TEXT($Y381,"mmm-yy"))*
  (Dump!$B$2:$B994=$C381)*
  Dump!$E$2:$E994
)</f>
        <v>0</v>
      </c>
      <c r="M381" s="4">
        <f>SUMPRODUCT(
  (TEXT(Dump!$A$2:$A994,"mmm-yy")=TEXT($Y381,"mmm-yy"))*
  (Dump!$B$2:$B994=$C381)*
  Dump!$P$2:$P994
)</f>
        <v>0</v>
      </c>
      <c r="N381" s="32"/>
      <c r="O381" s="33">
        <f>SUMIFS(Dump!$D:$D,Dump!$B:$B,$C381,Dump!$A:$A,$Y381)</f>
        <v>0</v>
      </c>
      <c r="P381" s="33">
        <f>SUMIFS(Dump!R:R,Dump!B:B,C381,Dump!A:A,Y381)</f>
        <v>0</v>
      </c>
      <c r="Q381" s="34">
        <f t="shared" si="21"/>
        <v>0</v>
      </c>
      <c r="S381" s="4">
        <f>SUMIFS(Dump!E:E,Dump!B:B,C381,Dump!A:A,Y381)</f>
        <v>0</v>
      </c>
      <c r="T381" s="35">
        <f t="shared" si="22"/>
        <v>0</v>
      </c>
      <c r="V381" s="4">
        <f>SUMIFS(Dump!P:P,Dump!B:B,C381,Dump!A:A,Y381)</f>
        <v>0</v>
      </c>
      <c r="W381" s="37">
        <f t="shared" si="23"/>
        <v>0</v>
      </c>
      <c r="X381" s="39"/>
      <c r="Y381" s="54"/>
    </row>
    <row r="382">
      <c r="C382" s="53"/>
      <c r="G382" s="2" t="str">
        <f t="shared" si="27"/>
        <v/>
      </c>
      <c r="I382" s="4">
        <f>SUMIFS(Dump!D:D,Dump!B:B,C382)</f>
        <v>0</v>
      </c>
      <c r="J382" s="5">
        <f>SUMIFS(Dump!AE:AE,Dump!B:B,C382)</f>
        <v>0</v>
      </c>
      <c r="K382" s="4">
        <f>SUMPRODUCT(
  (TEXT(Dump!$A$2:$A994,"mmm-yy")=TEXT($Y382,"mmm-yy"))*
  (Dump!$B$2:$B994=$C382)*
  Dump!$D$2:$D994)</f>
        <v>0</v>
      </c>
      <c r="L382" s="4">
        <f>SUMPRODUCT(
  (TEXT(Dump!$A$2:$A994,"mmm-yy")=TEXT($Y382,"mmm-yy"))*
  (Dump!$B$2:$B994=$C382)*
  Dump!$E$2:$E994
)</f>
        <v>0</v>
      </c>
      <c r="M382" s="4">
        <f>SUMPRODUCT(
  (TEXT(Dump!$A$2:$A994,"mmm-yy")=TEXT($Y382,"mmm-yy"))*
  (Dump!$B$2:$B994=$C382)*
  Dump!$P$2:$P994
)</f>
        <v>0</v>
      </c>
      <c r="N382" s="32"/>
      <c r="O382" s="33">
        <f>SUMIFS(Dump!$D:$D,Dump!$B:$B,$C382,Dump!$A:$A,$Y382)</f>
        <v>0</v>
      </c>
      <c r="P382" s="33">
        <f>SUMIFS(Dump!R:R,Dump!B:B,C382,Dump!A:A,Y382)</f>
        <v>0</v>
      </c>
      <c r="Q382" s="34">
        <f t="shared" si="21"/>
        <v>0</v>
      </c>
      <c r="S382" s="4">
        <f>SUMIFS(Dump!E:E,Dump!B:B,C382,Dump!A:A,Y382)</f>
        <v>0</v>
      </c>
      <c r="T382" s="35">
        <f t="shared" si="22"/>
        <v>0</v>
      </c>
      <c r="V382" s="4">
        <f>SUMIFS(Dump!P:P,Dump!B:B,C382,Dump!A:A,Y382)</f>
        <v>0</v>
      </c>
      <c r="W382" s="37">
        <f t="shared" si="23"/>
        <v>0</v>
      </c>
      <c r="X382" s="39"/>
      <c r="Y382" s="54"/>
    </row>
    <row r="383">
      <c r="C383" s="53"/>
      <c r="G383" s="2" t="str">
        <f t="shared" si="27"/>
        <v/>
      </c>
      <c r="I383" s="4">
        <f>SUMIFS(Dump!D:D,Dump!B:B,C383)</f>
        <v>0</v>
      </c>
      <c r="J383" s="5">
        <f>SUMIFS(Dump!AE:AE,Dump!B:B,C383)</f>
        <v>0</v>
      </c>
      <c r="K383" s="4">
        <f>SUMPRODUCT(
  (TEXT(Dump!$A$2:$A994,"mmm-yy")=TEXT($Y383,"mmm-yy"))*
  (Dump!$B$2:$B994=$C383)*
  Dump!$D$2:$D994)</f>
        <v>0</v>
      </c>
      <c r="L383" s="4">
        <f>SUMPRODUCT(
  (TEXT(Dump!$A$2:$A994,"mmm-yy")=TEXT($Y383,"mmm-yy"))*
  (Dump!$B$2:$B994=$C383)*
  Dump!$E$2:$E994
)</f>
        <v>0</v>
      </c>
      <c r="M383" s="4">
        <f>SUMPRODUCT(
  (TEXT(Dump!$A$2:$A994,"mmm-yy")=TEXT($Y383,"mmm-yy"))*
  (Dump!$B$2:$B994=$C383)*
  Dump!$P$2:$P994
)</f>
        <v>0</v>
      </c>
      <c r="N383" s="32"/>
      <c r="O383" s="33">
        <f>SUMIFS(Dump!$D:$D,Dump!$B:$B,$C383,Dump!$A:$A,$Y383)</f>
        <v>0</v>
      </c>
      <c r="P383" s="33">
        <f>SUMIFS(Dump!R:R,Dump!B:B,C383,Dump!A:A,Y383)</f>
        <v>0</v>
      </c>
      <c r="Q383" s="34">
        <f t="shared" si="21"/>
        <v>0</v>
      </c>
      <c r="S383" s="4">
        <f>SUMIFS(Dump!E:E,Dump!B:B,C383,Dump!A:A,Y383)</f>
        <v>0</v>
      </c>
      <c r="T383" s="35">
        <f t="shared" si="22"/>
        <v>0</v>
      </c>
      <c r="V383" s="4">
        <f>SUMIFS(Dump!P:P,Dump!B:B,C383,Dump!A:A,Y383)</f>
        <v>0</v>
      </c>
      <c r="W383" s="37">
        <f t="shared" si="23"/>
        <v>0</v>
      </c>
      <c r="X383" s="39"/>
      <c r="Y383" s="54"/>
    </row>
    <row r="384">
      <c r="C384" s="53"/>
      <c r="G384" s="2" t="str">
        <f t="shared" si="27"/>
        <v/>
      </c>
      <c r="I384" s="4">
        <f>SUMIFS(Dump!D:D,Dump!B:B,C384)</f>
        <v>0</v>
      </c>
      <c r="J384" s="5">
        <f>SUMIFS(Dump!AE:AE,Dump!B:B,C384)</f>
        <v>0</v>
      </c>
      <c r="K384" s="4">
        <f>SUMPRODUCT(
  (TEXT(Dump!$A$2:$A994,"mmm-yy")=TEXT($Y384,"mmm-yy"))*
  (Dump!$B$2:$B994=$C384)*
  Dump!$D$2:$D994)</f>
        <v>0</v>
      </c>
      <c r="L384" s="4">
        <f>SUMPRODUCT(
  (TEXT(Dump!$A$2:$A994,"mmm-yy")=TEXT($Y384,"mmm-yy"))*
  (Dump!$B$2:$B994=$C384)*
  Dump!$E$2:$E994
)</f>
        <v>0</v>
      </c>
      <c r="M384" s="4">
        <f>SUMPRODUCT(
  (TEXT(Dump!$A$2:$A994,"mmm-yy")=TEXT($Y384,"mmm-yy"))*
  (Dump!$B$2:$B994=$C384)*
  Dump!$P$2:$P994
)</f>
        <v>0</v>
      </c>
      <c r="N384" s="32"/>
      <c r="O384" s="33">
        <f>SUMIFS(Dump!$D:$D,Dump!$B:$B,$C384,Dump!$A:$A,$Y384)</f>
        <v>0</v>
      </c>
      <c r="P384" s="33">
        <f>SUMIFS(Dump!R:R,Dump!B:B,C384,Dump!A:A,Y384)</f>
        <v>0</v>
      </c>
      <c r="Q384" s="34">
        <f t="shared" si="21"/>
        <v>0</v>
      </c>
      <c r="S384" s="4">
        <f>SUMIFS(Dump!E:E,Dump!B:B,C384,Dump!A:A,Y384)</f>
        <v>0</v>
      </c>
      <c r="T384" s="35">
        <f t="shared" si="22"/>
        <v>0</v>
      </c>
      <c r="V384" s="4">
        <f>SUMIFS(Dump!P:P,Dump!B:B,C384,Dump!A:A,Y384)</f>
        <v>0</v>
      </c>
      <c r="W384" s="37">
        <f t="shared" si="23"/>
        <v>0</v>
      </c>
      <c r="X384" s="39"/>
      <c r="Y384" s="54"/>
    </row>
    <row r="385">
      <c r="C385" s="53"/>
      <c r="G385" s="2" t="str">
        <f t="shared" si="27"/>
        <v/>
      </c>
      <c r="I385" s="4">
        <f>SUMIFS(Dump!D:D,Dump!B:B,C385)</f>
        <v>0</v>
      </c>
      <c r="J385" s="5">
        <f>SUMIFS(Dump!AE:AE,Dump!B:B,C385)</f>
        <v>0</v>
      </c>
      <c r="K385" s="4">
        <f>SUMPRODUCT(
  (TEXT(Dump!$A$2:$A994,"mmm-yy")=TEXT($Y385,"mmm-yy"))*
  (Dump!$B$2:$B994=$C385)*
  Dump!$D$2:$D994)</f>
        <v>0</v>
      </c>
      <c r="L385" s="4">
        <f>SUMPRODUCT(
  (TEXT(Dump!$A$2:$A994,"mmm-yy")=TEXT($Y385,"mmm-yy"))*
  (Dump!$B$2:$B994=$C385)*
  Dump!$E$2:$E994
)</f>
        <v>0</v>
      </c>
      <c r="M385" s="4">
        <f>SUMPRODUCT(
  (TEXT(Dump!$A$2:$A994,"mmm-yy")=TEXT($Y385,"mmm-yy"))*
  (Dump!$B$2:$B994=$C385)*
  Dump!$P$2:$P994
)</f>
        <v>0</v>
      </c>
      <c r="N385" s="32"/>
      <c r="O385" s="33">
        <f>SUMIFS(Dump!$D:$D,Dump!$B:$B,$C385,Dump!$A:$A,$Y385)</f>
        <v>0</v>
      </c>
      <c r="P385" s="33">
        <f>SUMIFS(Dump!R:R,Dump!B:B,C385,Dump!A:A,Y385)</f>
        <v>0</v>
      </c>
      <c r="Q385" s="34">
        <f t="shared" si="21"/>
        <v>0</v>
      </c>
      <c r="S385" s="4">
        <f>SUMIFS(Dump!E:E,Dump!B:B,C385,Dump!A:A,Y385)</f>
        <v>0</v>
      </c>
      <c r="T385" s="35">
        <f t="shared" si="22"/>
        <v>0</v>
      </c>
      <c r="V385" s="4">
        <f>SUMIFS(Dump!P:P,Dump!B:B,C385,Dump!A:A,Y385)</f>
        <v>0</v>
      </c>
      <c r="W385" s="37">
        <f t="shared" si="23"/>
        <v>0</v>
      </c>
      <c r="X385" s="39"/>
      <c r="Y385" s="54"/>
    </row>
    <row r="386">
      <c r="C386" s="53"/>
      <c r="G386" s="2" t="str">
        <f t="shared" si="27"/>
        <v/>
      </c>
      <c r="I386" s="4">
        <f>SUMIFS(Dump!D:D,Dump!B:B,C386)</f>
        <v>0</v>
      </c>
      <c r="J386" s="5">
        <f>SUMIFS(Dump!AE:AE,Dump!B:B,C386)</f>
        <v>0</v>
      </c>
      <c r="K386" s="4">
        <f>SUMPRODUCT(
  (TEXT(Dump!$A$2:$A994,"mmm-yy")=TEXT($Y386,"mmm-yy"))*
  (Dump!$B$2:$B994=$C386)*
  Dump!$D$2:$D994)</f>
        <v>0</v>
      </c>
      <c r="L386" s="4">
        <f>SUMPRODUCT(
  (TEXT(Dump!$A$2:$A994,"mmm-yy")=TEXT($Y386,"mmm-yy"))*
  (Dump!$B$2:$B994=$C386)*
  Dump!$E$2:$E994
)</f>
        <v>0</v>
      </c>
      <c r="M386" s="4">
        <f>SUMPRODUCT(
  (TEXT(Dump!$A$2:$A994,"mmm-yy")=TEXT($Y386,"mmm-yy"))*
  (Dump!$B$2:$B994=$C386)*
  Dump!$P$2:$P994
)</f>
        <v>0</v>
      </c>
      <c r="N386" s="32"/>
      <c r="O386" s="33">
        <f>SUMIFS(Dump!$D:$D,Dump!$B:$B,$C386,Dump!$A:$A,$Y386)</f>
        <v>0</v>
      </c>
      <c r="P386" s="33">
        <f>SUMIFS(Dump!R:R,Dump!B:B,C386,Dump!A:A,Y386)</f>
        <v>0</v>
      </c>
      <c r="Q386" s="34">
        <f t="shared" si="21"/>
        <v>0</v>
      </c>
      <c r="S386" s="4">
        <f>SUMIFS(Dump!E:E,Dump!B:B,C386,Dump!A:A,Y386)</f>
        <v>0</v>
      </c>
      <c r="T386" s="35">
        <f t="shared" si="22"/>
        <v>0</v>
      </c>
      <c r="V386" s="4">
        <f>SUMIFS(Dump!P:P,Dump!B:B,C386,Dump!A:A,Y386)</f>
        <v>0</v>
      </c>
      <c r="W386" s="37">
        <f t="shared" si="23"/>
        <v>0</v>
      </c>
      <c r="X386" s="39"/>
      <c r="Y386" s="54"/>
    </row>
    <row r="387">
      <c r="C387" s="53"/>
      <c r="G387" s="2" t="str">
        <f t="shared" si="27"/>
        <v/>
      </c>
      <c r="I387" s="4">
        <f>SUMIFS(Dump!D:D,Dump!B:B,C387)</f>
        <v>0</v>
      </c>
      <c r="J387" s="5">
        <f>SUMIFS(Dump!AE:AE,Dump!B:B,C387)</f>
        <v>0</v>
      </c>
      <c r="K387" s="4">
        <f>SUMPRODUCT(
  (TEXT(Dump!$A$2:$A994,"mmm-yy")=TEXT($Y387,"mmm-yy"))*
  (Dump!$B$2:$B994=$C387)*
  Dump!$D$2:$D994)</f>
        <v>0</v>
      </c>
      <c r="L387" s="4">
        <f>SUMPRODUCT(
  (TEXT(Dump!$A$2:$A994,"mmm-yy")=TEXT($Y387,"mmm-yy"))*
  (Dump!$B$2:$B994=$C387)*
  Dump!$E$2:$E994
)</f>
        <v>0</v>
      </c>
      <c r="M387" s="4">
        <f>SUMPRODUCT(
  (TEXT(Dump!$A$2:$A994,"mmm-yy")=TEXT($Y387,"mmm-yy"))*
  (Dump!$B$2:$B994=$C387)*
  Dump!$P$2:$P994
)</f>
        <v>0</v>
      </c>
      <c r="N387" s="32"/>
      <c r="O387" s="33">
        <f>SUMIFS(Dump!$D:$D,Dump!$B:$B,$C387,Dump!$A:$A,$Y387)</f>
        <v>0</v>
      </c>
      <c r="P387" s="33">
        <f>SUMIFS(Dump!R:R,Dump!B:B,C387,Dump!A:A,Y387)</f>
        <v>0</v>
      </c>
      <c r="Q387" s="34">
        <f t="shared" si="21"/>
        <v>0</v>
      </c>
      <c r="S387" s="4">
        <f>SUMIFS(Dump!E:E,Dump!B:B,C387,Dump!A:A,Y387)</f>
        <v>0</v>
      </c>
      <c r="T387" s="35">
        <f t="shared" si="22"/>
        <v>0</v>
      </c>
      <c r="V387" s="4">
        <f>SUMIFS(Dump!P:P,Dump!B:B,C387,Dump!A:A,Y387)</f>
        <v>0</v>
      </c>
      <c r="W387" s="37">
        <f t="shared" si="23"/>
        <v>0</v>
      </c>
      <c r="X387" s="39"/>
      <c r="Y387" s="54"/>
    </row>
    <row r="388">
      <c r="C388" s="53"/>
      <c r="G388" s="2" t="str">
        <f t="shared" si="27"/>
        <v/>
      </c>
      <c r="I388" s="4">
        <f>SUMIFS(Dump!D:D,Dump!B:B,C388)</f>
        <v>0</v>
      </c>
      <c r="J388" s="5">
        <f>SUMIFS(Dump!AE:AE,Dump!B:B,C388)</f>
        <v>0</v>
      </c>
      <c r="K388" s="4">
        <f>SUMPRODUCT(
  (TEXT(Dump!$A$2:$A994,"mmm-yy")=TEXT($Y388,"mmm-yy"))*
  (Dump!$B$2:$B994=$C388)*
  Dump!$D$2:$D994)</f>
        <v>0</v>
      </c>
      <c r="L388" s="4">
        <f>SUMPRODUCT(
  (TEXT(Dump!$A$2:$A994,"mmm-yy")=TEXT($Y388,"mmm-yy"))*
  (Dump!$B$2:$B994=$C388)*
  Dump!$E$2:$E994
)</f>
        <v>0</v>
      </c>
      <c r="M388" s="4">
        <f>SUMPRODUCT(
  (TEXT(Dump!$A$2:$A994,"mmm-yy")=TEXT($Y388,"mmm-yy"))*
  (Dump!$B$2:$B994=$C388)*
  Dump!$P$2:$P994
)</f>
        <v>0</v>
      </c>
      <c r="N388" s="32"/>
      <c r="O388" s="33">
        <f>SUMIFS(Dump!$D:$D,Dump!$B:$B,$C388,Dump!$A:$A,$Y388)</f>
        <v>0</v>
      </c>
      <c r="P388" s="33">
        <f>SUMIFS(Dump!R:R,Dump!B:B,C388,Dump!A:A,Y388)</f>
        <v>0</v>
      </c>
      <c r="Q388" s="34">
        <f t="shared" si="21"/>
        <v>0</v>
      </c>
      <c r="S388" s="4">
        <f>SUMIFS(Dump!E:E,Dump!B:B,C388,Dump!A:A,Y388)</f>
        <v>0</v>
      </c>
      <c r="T388" s="35">
        <f t="shared" si="22"/>
        <v>0</v>
      </c>
      <c r="V388" s="4">
        <f>SUMIFS(Dump!P:P,Dump!B:B,C388,Dump!A:A,Y388)</f>
        <v>0</v>
      </c>
      <c r="W388" s="37">
        <f t="shared" si="23"/>
        <v>0</v>
      </c>
      <c r="X388" s="39"/>
      <c r="Y388" s="54"/>
    </row>
    <row r="389">
      <c r="C389" s="53"/>
      <c r="G389" s="2" t="str">
        <f t="shared" si="27"/>
        <v/>
      </c>
      <c r="I389" s="4">
        <f>SUMIFS(Dump!D:D,Dump!B:B,C389)</f>
        <v>0</v>
      </c>
      <c r="J389" s="5">
        <f>SUMIFS(Dump!AE:AE,Dump!B:B,C389)</f>
        <v>0</v>
      </c>
      <c r="K389" s="4">
        <f>SUMPRODUCT(
  (TEXT(Dump!$A$2:$A994,"mmm-yy")=TEXT($Y389,"mmm-yy"))*
  (Dump!$B$2:$B994=$C389)*
  Dump!$D$2:$D994)</f>
        <v>0</v>
      </c>
      <c r="L389" s="4">
        <f>SUMPRODUCT(
  (TEXT(Dump!$A$2:$A994,"mmm-yy")=TEXT($Y389,"mmm-yy"))*
  (Dump!$B$2:$B994=$C389)*
  Dump!$E$2:$E994
)</f>
        <v>0</v>
      </c>
      <c r="M389" s="4">
        <f>SUMPRODUCT(
  (TEXT(Dump!$A$2:$A994,"mmm-yy")=TEXT($Y389,"mmm-yy"))*
  (Dump!$B$2:$B994=$C389)*
  Dump!$P$2:$P994
)</f>
        <v>0</v>
      </c>
      <c r="N389" s="32"/>
      <c r="O389" s="33">
        <f>SUMIFS(Dump!$D:$D,Dump!$B:$B,$C389,Dump!$A:$A,$Y389)</f>
        <v>0</v>
      </c>
      <c r="P389" s="33">
        <f>SUMIFS(Dump!R:R,Dump!B:B,C389,Dump!A:A,Y389)</f>
        <v>0</v>
      </c>
      <c r="Q389" s="34">
        <f t="shared" si="21"/>
        <v>0</v>
      </c>
      <c r="S389" s="4">
        <f>SUMIFS(Dump!E:E,Dump!B:B,C389,Dump!A:A,Y389)</f>
        <v>0</v>
      </c>
      <c r="T389" s="35">
        <f t="shared" si="22"/>
        <v>0</v>
      </c>
      <c r="V389" s="4">
        <f>SUMIFS(Dump!P:P,Dump!B:B,C389,Dump!A:A,Y389)</f>
        <v>0</v>
      </c>
      <c r="W389" s="37">
        <f t="shared" si="23"/>
        <v>0</v>
      </c>
      <c r="X389" s="39"/>
      <c r="Y389" s="54"/>
    </row>
    <row r="390">
      <c r="C390" s="53"/>
      <c r="G390" s="2" t="str">
        <f t="shared" si="27"/>
        <v/>
      </c>
      <c r="I390" s="4">
        <f>SUMIFS(Dump!D:D,Dump!B:B,C390)</f>
        <v>0</v>
      </c>
      <c r="J390" s="5">
        <f>SUMIFS(Dump!AE:AE,Dump!B:B,C390)</f>
        <v>0</v>
      </c>
      <c r="K390" s="4">
        <f>SUMPRODUCT(
  (TEXT(Dump!$A$2:$A994,"mmm-yy")=TEXT($Y390,"mmm-yy"))*
  (Dump!$B$2:$B994=$C390)*
  Dump!$D$2:$D994)</f>
        <v>0</v>
      </c>
      <c r="L390" s="4">
        <f>SUMPRODUCT(
  (TEXT(Dump!$A$2:$A994,"mmm-yy")=TEXT($Y390,"mmm-yy"))*
  (Dump!$B$2:$B994=$C390)*
  Dump!$E$2:$E994
)</f>
        <v>0</v>
      </c>
      <c r="M390" s="4">
        <f>SUMPRODUCT(
  (TEXT(Dump!$A$2:$A994,"mmm-yy")=TEXT($Y390,"mmm-yy"))*
  (Dump!$B$2:$B994=$C390)*
  Dump!$P$2:$P994
)</f>
        <v>0</v>
      </c>
      <c r="N390" s="32"/>
      <c r="O390" s="33">
        <f>SUMIFS(Dump!$D:$D,Dump!$B:$B,$C390,Dump!$A:$A,$Y390)</f>
        <v>0</v>
      </c>
      <c r="P390" s="33">
        <f>SUMIFS(Dump!R:R,Dump!B:B,C390,Dump!A:A,Y390)</f>
        <v>0</v>
      </c>
      <c r="Q390" s="34">
        <f t="shared" si="21"/>
        <v>0</v>
      </c>
      <c r="S390" s="4">
        <f>SUMIFS(Dump!E:E,Dump!B:B,C390,Dump!A:A,Y390)</f>
        <v>0</v>
      </c>
      <c r="T390" s="35">
        <f t="shared" si="22"/>
        <v>0</v>
      </c>
      <c r="V390" s="4">
        <f>SUMIFS(Dump!P:P,Dump!B:B,C390,Dump!A:A,Y390)</f>
        <v>0</v>
      </c>
      <c r="W390" s="37">
        <f t="shared" si="23"/>
        <v>0</v>
      </c>
      <c r="X390" s="39"/>
      <c r="Y390" s="54"/>
    </row>
    <row r="391">
      <c r="C391" s="53"/>
      <c r="G391" s="2" t="str">
        <f t="shared" si="27"/>
        <v/>
      </c>
      <c r="I391" s="4">
        <f>SUMIFS(Dump!D:D,Dump!B:B,C391)</f>
        <v>0</v>
      </c>
      <c r="J391" s="5">
        <f>SUMIFS(Dump!AE:AE,Dump!B:B,C391)</f>
        <v>0</v>
      </c>
      <c r="K391" s="4">
        <f>SUMPRODUCT(
  (TEXT(Dump!$A$2:$A994,"mmm-yy")=TEXT($Y391,"mmm-yy"))*
  (Dump!$B$2:$B994=$C391)*
  Dump!$D$2:$D994)</f>
        <v>0</v>
      </c>
      <c r="L391" s="4">
        <f>SUMPRODUCT(
  (TEXT(Dump!$A$2:$A994,"mmm-yy")=TEXT($Y391,"mmm-yy"))*
  (Dump!$B$2:$B994=$C391)*
  Dump!$E$2:$E994
)</f>
        <v>0</v>
      </c>
      <c r="M391" s="4">
        <f>SUMPRODUCT(
  (TEXT(Dump!$A$2:$A994,"mmm-yy")=TEXT($Y391,"mmm-yy"))*
  (Dump!$B$2:$B994=$C391)*
  Dump!$P$2:$P994
)</f>
        <v>0</v>
      </c>
      <c r="N391" s="32"/>
      <c r="O391" s="33">
        <f>SUMIFS(Dump!$D:$D,Dump!$B:$B,$C391,Dump!$A:$A,$Y391)</f>
        <v>0</v>
      </c>
      <c r="P391" s="33">
        <f>SUMIFS(Dump!R:R,Dump!B:B,C391,Dump!A:A,Y391)</f>
        <v>0</v>
      </c>
      <c r="Q391" s="34">
        <f t="shared" si="21"/>
        <v>0</v>
      </c>
      <c r="S391" s="4">
        <f>SUMIFS(Dump!E:E,Dump!B:B,C391,Dump!A:A,Y391)</f>
        <v>0</v>
      </c>
      <c r="T391" s="35">
        <f t="shared" si="22"/>
        <v>0</v>
      </c>
      <c r="V391" s="4">
        <f>SUMIFS(Dump!P:P,Dump!B:B,C391,Dump!A:A,Y391)</f>
        <v>0</v>
      </c>
      <c r="W391" s="37">
        <f t="shared" si="23"/>
        <v>0</v>
      </c>
      <c r="X391" s="39"/>
      <c r="Y391" s="54"/>
    </row>
    <row r="392">
      <c r="C392" s="53"/>
      <c r="G392" s="2" t="str">
        <f t="shared" si="27"/>
        <v/>
      </c>
      <c r="I392" s="4">
        <f>SUMIFS(Dump!D:D,Dump!B:B,C392)</f>
        <v>0</v>
      </c>
      <c r="J392" s="5">
        <f>SUMIFS(Dump!AE:AE,Dump!B:B,C392)</f>
        <v>0</v>
      </c>
      <c r="K392" s="4">
        <f>SUMPRODUCT(
  (TEXT(Dump!$A$2:$A994,"mmm-yy")=TEXT($Y392,"mmm-yy"))*
  (Dump!$B$2:$B994=$C392)*
  Dump!$D$2:$D994)</f>
        <v>0</v>
      </c>
      <c r="L392" s="4">
        <f>SUMPRODUCT(
  (TEXT(Dump!$A$2:$A994,"mmm-yy")=TEXT($Y392,"mmm-yy"))*
  (Dump!$B$2:$B994=$C392)*
  Dump!$E$2:$E994
)</f>
        <v>0</v>
      </c>
      <c r="M392" s="4">
        <f>SUMPRODUCT(
  (TEXT(Dump!$A$2:$A994,"mmm-yy")=TEXT($Y392,"mmm-yy"))*
  (Dump!$B$2:$B994=$C392)*
  Dump!$P$2:$P994
)</f>
        <v>0</v>
      </c>
      <c r="N392" s="32"/>
      <c r="O392" s="33">
        <f>SUMIFS(Dump!$D:$D,Dump!$B:$B,$C392,Dump!$A:$A,$Y392)</f>
        <v>0</v>
      </c>
      <c r="P392" s="33">
        <f>SUMIFS(Dump!R:R,Dump!B:B,C392,Dump!A:A,Y392)</f>
        <v>0</v>
      </c>
      <c r="Q392" s="34">
        <f t="shared" si="21"/>
        <v>0</v>
      </c>
      <c r="S392" s="4">
        <f>SUMIFS(Dump!E:E,Dump!B:B,C392,Dump!A:A,Y392)</f>
        <v>0</v>
      </c>
      <c r="T392" s="35">
        <f t="shared" si="22"/>
        <v>0</v>
      </c>
      <c r="V392" s="4">
        <f>SUMIFS(Dump!P:P,Dump!B:B,C392,Dump!A:A,Y392)</f>
        <v>0</v>
      </c>
      <c r="W392" s="37">
        <f t="shared" si="23"/>
        <v>0</v>
      </c>
      <c r="X392" s="39"/>
      <c r="Y392" s="54"/>
    </row>
    <row r="393">
      <c r="C393" s="53"/>
      <c r="G393" s="2" t="str">
        <f t="shared" si="27"/>
        <v/>
      </c>
      <c r="I393" s="4">
        <f>SUMIFS(Dump!D:D,Dump!B:B,C393)</f>
        <v>0</v>
      </c>
      <c r="J393" s="5">
        <f>SUMIFS(Dump!AE:AE,Dump!B:B,C393)</f>
        <v>0</v>
      </c>
      <c r="K393" s="4">
        <f>SUMPRODUCT(
  (TEXT(Dump!$A$2:$A994,"mmm-yy")=TEXT($Y393,"mmm-yy"))*
  (Dump!$B$2:$B994=$C393)*
  Dump!$D$2:$D994)</f>
        <v>0</v>
      </c>
      <c r="L393" s="4">
        <f>SUMPRODUCT(
  (TEXT(Dump!$A$2:$A994,"mmm-yy")=TEXT($Y393,"mmm-yy"))*
  (Dump!$B$2:$B994=$C393)*
  Dump!$E$2:$E994
)</f>
        <v>0</v>
      </c>
      <c r="M393" s="4">
        <f>SUMPRODUCT(
  (TEXT(Dump!$A$2:$A994,"mmm-yy")=TEXT($Y393,"mmm-yy"))*
  (Dump!$B$2:$B994=$C393)*
  Dump!$P$2:$P994
)</f>
        <v>0</v>
      </c>
      <c r="N393" s="32"/>
      <c r="O393" s="33">
        <f>SUMIFS(Dump!$D:$D,Dump!$B:$B,$C393,Dump!$A:$A,$Y393)</f>
        <v>0</v>
      </c>
      <c r="P393" s="33">
        <f>SUMIFS(Dump!R:R,Dump!B:B,C393,Dump!A:A,Y393)</f>
        <v>0</v>
      </c>
      <c r="Q393" s="34">
        <f t="shared" si="21"/>
        <v>0</v>
      </c>
      <c r="S393" s="4">
        <f>SUMIFS(Dump!E:E,Dump!B:B,C393,Dump!A:A,Y393)</f>
        <v>0</v>
      </c>
      <c r="T393" s="35">
        <f t="shared" si="22"/>
        <v>0</v>
      </c>
      <c r="V393" s="4">
        <f>SUMIFS(Dump!P:P,Dump!B:B,C393,Dump!A:A,Y393)</f>
        <v>0</v>
      </c>
      <c r="W393" s="37">
        <f t="shared" si="23"/>
        <v>0</v>
      </c>
      <c r="X393" s="39"/>
      <c r="Y393" s="54"/>
    </row>
    <row r="394">
      <c r="C394" s="53"/>
      <c r="G394" s="2" t="str">
        <f t="shared" si="27"/>
        <v/>
      </c>
      <c r="I394" s="4">
        <f>SUMIFS(Dump!D:D,Dump!B:B,C394)</f>
        <v>0</v>
      </c>
      <c r="J394" s="5">
        <f>SUMIFS(Dump!AE:AE,Dump!B:B,C394)</f>
        <v>0</v>
      </c>
      <c r="K394" s="4">
        <f>SUMPRODUCT(
  (TEXT(Dump!$A$2:$A994,"mmm-yy")=TEXT($Y394,"mmm-yy"))*
  (Dump!$B$2:$B994=$C394)*
  Dump!$D$2:$D994)</f>
        <v>0</v>
      </c>
      <c r="L394" s="4">
        <f>SUMPRODUCT(
  (TEXT(Dump!$A$2:$A994,"mmm-yy")=TEXT($Y394,"mmm-yy"))*
  (Dump!$B$2:$B994=$C394)*
  Dump!$E$2:$E994
)</f>
        <v>0</v>
      </c>
      <c r="M394" s="4">
        <f>SUMPRODUCT(
  (TEXT(Dump!$A$2:$A994,"mmm-yy")=TEXT($Y394,"mmm-yy"))*
  (Dump!$B$2:$B994=$C394)*
  Dump!$P$2:$P994
)</f>
        <v>0</v>
      </c>
      <c r="N394" s="32"/>
      <c r="O394" s="33">
        <f>SUMIFS(Dump!$D:$D,Dump!$B:$B,$C394,Dump!$A:$A,$Y394)</f>
        <v>0</v>
      </c>
      <c r="P394" s="33">
        <f>SUMIFS(Dump!R:R,Dump!B:B,C394,Dump!A:A,Y394)</f>
        <v>0</v>
      </c>
      <c r="Q394" s="34">
        <f t="shared" si="21"/>
        <v>0</v>
      </c>
      <c r="S394" s="4">
        <f>SUMIFS(Dump!E:E,Dump!B:B,C394,Dump!A:A,Y394)</f>
        <v>0</v>
      </c>
      <c r="T394" s="35">
        <f t="shared" si="22"/>
        <v>0</v>
      </c>
      <c r="V394" s="4">
        <f>SUMIFS(Dump!P:P,Dump!B:B,C394,Dump!A:A,Y394)</f>
        <v>0</v>
      </c>
      <c r="W394" s="37">
        <f t="shared" si="23"/>
        <v>0</v>
      </c>
      <c r="X394" s="39"/>
      <c r="Y394" s="54"/>
    </row>
    <row r="395">
      <c r="C395" s="53"/>
      <c r="G395" s="2" t="str">
        <f t="shared" si="27"/>
        <v/>
      </c>
      <c r="I395" s="4">
        <f>SUMIFS(Dump!D:D,Dump!B:B,C395)</f>
        <v>0</v>
      </c>
      <c r="J395" s="5">
        <f>SUMIFS(Dump!AE:AE,Dump!B:B,C395)</f>
        <v>0</v>
      </c>
      <c r="K395" s="4">
        <f>SUMPRODUCT(
  (TEXT(Dump!$A$2:$A994,"mmm-yy")=TEXT($Y395,"mmm-yy"))*
  (Dump!$B$2:$B994=$C395)*
  Dump!$D$2:$D994)</f>
        <v>0</v>
      </c>
      <c r="L395" s="4">
        <f>SUMPRODUCT(
  (TEXT(Dump!$A$2:$A994,"mmm-yy")=TEXT($Y395,"mmm-yy"))*
  (Dump!$B$2:$B994=$C395)*
  Dump!$E$2:$E994
)</f>
        <v>0</v>
      </c>
      <c r="M395" s="4">
        <f>SUMPRODUCT(
  (TEXT(Dump!$A$2:$A994,"mmm-yy")=TEXT($Y395,"mmm-yy"))*
  (Dump!$B$2:$B994=$C395)*
  Dump!$P$2:$P994
)</f>
        <v>0</v>
      </c>
      <c r="N395" s="32"/>
      <c r="O395" s="33">
        <f>SUMIFS(Dump!$D:$D,Dump!$B:$B,$C395,Dump!$A:$A,$Y395)</f>
        <v>0</v>
      </c>
      <c r="P395" s="33">
        <f>SUMIFS(Dump!R:R,Dump!B:B,C395,Dump!A:A,Y395)</f>
        <v>0</v>
      </c>
      <c r="Q395" s="34">
        <f t="shared" si="21"/>
        <v>0</v>
      </c>
      <c r="S395" s="4">
        <f>SUMIFS(Dump!E:E,Dump!B:B,C395,Dump!A:A,Y395)</f>
        <v>0</v>
      </c>
      <c r="T395" s="35">
        <f t="shared" si="22"/>
        <v>0</v>
      </c>
      <c r="V395" s="4">
        <f>SUMIFS(Dump!P:P,Dump!B:B,C395,Dump!A:A,Y395)</f>
        <v>0</v>
      </c>
      <c r="W395" s="37">
        <f t="shared" si="23"/>
        <v>0</v>
      </c>
      <c r="X395" s="39"/>
      <c r="Y395" s="54"/>
    </row>
    <row r="396">
      <c r="C396" s="53"/>
      <c r="G396" s="2" t="str">
        <f t="shared" si="27"/>
        <v/>
      </c>
      <c r="I396" s="4">
        <f>SUMIFS(Dump!D:D,Dump!B:B,C396)</f>
        <v>0</v>
      </c>
      <c r="J396" s="5">
        <f>SUMIFS(Dump!AE:AE,Dump!B:B,C396)</f>
        <v>0</v>
      </c>
      <c r="K396" s="4">
        <f>SUMPRODUCT(
  (TEXT(Dump!$A$2:$A994,"mmm-yy")=TEXT($Y396,"mmm-yy"))*
  (Dump!$B$2:$B994=$C396)*
  Dump!$D$2:$D994)</f>
        <v>0</v>
      </c>
      <c r="L396" s="4">
        <f>SUMPRODUCT(
  (TEXT(Dump!$A$2:$A994,"mmm-yy")=TEXT($Y396,"mmm-yy"))*
  (Dump!$B$2:$B994=$C396)*
  Dump!$E$2:$E994
)</f>
        <v>0</v>
      </c>
      <c r="M396" s="4">
        <f>SUMPRODUCT(
  (TEXT(Dump!$A$2:$A994,"mmm-yy")=TEXT($Y396,"mmm-yy"))*
  (Dump!$B$2:$B994=$C396)*
  Dump!$P$2:$P994
)</f>
        <v>0</v>
      </c>
      <c r="N396" s="32"/>
      <c r="O396" s="33">
        <f>SUMIFS(Dump!$D:$D,Dump!$B:$B,$C396,Dump!$A:$A,$Y396)</f>
        <v>0</v>
      </c>
      <c r="P396" s="33">
        <f>SUMIFS(Dump!R:R,Dump!B:B,C396,Dump!A:A,Y396)</f>
        <v>0</v>
      </c>
      <c r="Q396" s="34">
        <f t="shared" si="21"/>
        <v>0</v>
      </c>
      <c r="S396" s="4">
        <f>SUMIFS(Dump!E:E,Dump!B:B,C396,Dump!A:A,Y396)</f>
        <v>0</v>
      </c>
      <c r="T396" s="35">
        <f t="shared" si="22"/>
        <v>0</v>
      </c>
      <c r="V396" s="4">
        <f>SUMIFS(Dump!P:P,Dump!B:B,C396,Dump!A:A,Y396)</f>
        <v>0</v>
      </c>
      <c r="W396" s="37">
        <f t="shared" si="23"/>
        <v>0</v>
      </c>
      <c r="X396" s="39"/>
      <c r="Y396" s="54"/>
    </row>
    <row r="397">
      <c r="C397" s="53"/>
      <c r="G397" s="2" t="str">
        <f t="shared" si="27"/>
        <v/>
      </c>
      <c r="I397" s="4">
        <f>SUMIFS(Dump!D:D,Dump!B:B,C397)</f>
        <v>0</v>
      </c>
      <c r="J397" s="5">
        <f>SUMIFS(Dump!AE:AE,Dump!B:B,C397)</f>
        <v>0</v>
      </c>
      <c r="K397" s="4">
        <f>SUMPRODUCT(
  (TEXT(Dump!$A$2:$A994,"mmm-yy")=TEXT($Y397,"mmm-yy"))*
  (Dump!$B$2:$B994=$C397)*
  Dump!$D$2:$D994)</f>
        <v>0</v>
      </c>
      <c r="L397" s="4">
        <f>SUMPRODUCT(
  (TEXT(Dump!$A$2:$A994,"mmm-yy")=TEXT($Y397,"mmm-yy"))*
  (Dump!$B$2:$B994=$C397)*
  Dump!$E$2:$E994
)</f>
        <v>0</v>
      </c>
      <c r="M397" s="4">
        <f>SUMPRODUCT(
  (TEXT(Dump!$A$2:$A994,"mmm-yy")=TEXT($Y397,"mmm-yy"))*
  (Dump!$B$2:$B994=$C397)*
  Dump!$P$2:$P994
)</f>
        <v>0</v>
      </c>
      <c r="N397" s="32"/>
      <c r="O397" s="33">
        <f>SUMIFS(Dump!$D:$D,Dump!$B:$B,$C397,Dump!$A:$A,$Y397)</f>
        <v>0</v>
      </c>
      <c r="P397" s="33">
        <f>SUMIFS(Dump!R:R,Dump!B:B,C397,Dump!A:A,Y397)</f>
        <v>0</v>
      </c>
      <c r="Q397" s="34">
        <f t="shared" si="21"/>
        <v>0</v>
      </c>
      <c r="S397" s="4">
        <f>SUMIFS(Dump!E:E,Dump!B:B,C397,Dump!A:A,Y397)</f>
        <v>0</v>
      </c>
      <c r="T397" s="35">
        <f t="shared" si="22"/>
        <v>0</v>
      </c>
      <c r="V397" s="4">
        <f>SUMIFS(Dump!P:P,Dump!B:B,C397,Dump!A:A,Y397)</f>
        <v>0</v>
      </c>
      <c r="W397" s="37">
        <f t="shared" si="23"/>
        <v>0</v>
      </c>
      <c r="X397" s="39"/>
      <c r="Y397" s="54"/>
    </row>
    <row r="398">
      <c r="C398" s="53"/>
      <c r="G398" s="2" t="str">
        <f t="shared" si="27"/>
        <v/>
      </c>
      <c r="I398" s="4">
        <f>SUMIFS(Dump!D:D,Dump!B:B,C398)</f>
        <v>0</v>
      </c>
      <c r="J398" s="5">
        <f>SUMIFS(Dump!AE:AE,Dump!B:B,C398)</f>
        <v>0</v>
      </c>
      <c r="K398" s="4">
        <f>SUMPRODUCT(
  (TEXT(Dump!$A$2:$A994,"mmm-yy")=TEXT($Y398,"mmm-yy"))*
  (Dump!$B$2:$B994=$C398)*
  Dump!$D$2:$D994)</f>
        <v>0</v>
      </c>
      <c r="L398" s="4">
        <f>SUMPRODUCT(
  (TEXT(Dump!$A$2:$A994,"mmm-yy")=TEXT($Y398,"mmm-yy"))*
  (Dump!$B$2:$B994=$C398)*
  Dump!$E$2:$E994
)</f>
        <v>0</v>
      </c>
      <c r="M398" s="4">
        <f>SUMPRODUCT(
  (TEXT(Dump!$A$2:$A994,"mmm-yy")=TEXT($Y398,"mmm-yy"))*
  (Dump!$B$2:$B994=$C398)*
  Dump!$P$2:$P994
)</f>
        <v>0</v>
      </c>
      <c r="N398" s="32"/>
      <c r="O398" s="33">
        <f>SUMIFS(Dump!$D:$D,Dump!$B:$B,$C398,Dump!$A:$A,$Y398)</f>
        <v>0</v>
      </c>
      <c r="P398" s="33">
        <f>SUMIFS(Dump!R:R,Dump!B:B,C398,Dump!A:A,Y398)</f>
        <v>0</v>
      </c>
      <c r="Q398" s="34">
        <f t="shared" si="21"/>
        <v>0</v>
      </c>
      <c r="S398" s="4">
        <f>SUMIFS(Dump!E:E,Dump!B:B,C398,Dump!A:A,Y398)</f>
        <v>0</v>
      </c>
      <c r="T398" s="35">
        <f t="shared" si="22"/>
        <v>0</v>
      </c>
      <c r="V398" s="4">
        <f>SUMIFS(Dump!P:P,Dump!B:B,C398,Dump!A:A,Y398)</f>
        <v>0</v>
      </c>
      <c r="W398" s="37">
        <f t="shared" si="23"/>
        <v>0</v>
      </c>
      <c r="X398" s="39"/>
      <c r="Y398" s="54"/>
    </row>
    <row r="399">
      <c r="C399" s="53"/>
      <c r="G399" s="2" t="str">
        <f t="shared" si="27"/>
        <v/>
      </c>
      <c r="I399" s="4">
        <f>SUMIFS(Dump!D:D,Dump!B:B,C399)</f>
        <v>0</v>
      </c>
      <c r="J399" s="5">
        <f>SUMIFS(Dump!AE:AE,Dump!B:B,C399)</f>
        <v>0</v>
      </c>
      <c r="K399" s="4">
        <f>SUMPRODUCT(
  (TEXT(Dump!$A$2:$A994,"mmm-yy")=TEXT($Y399,"mmm-yy"))*
  (Dump!$B$2:$B994=$C399)*
  Dump!$D$2:$D994)</f>
        <v>0</v>
      </c>
      <c r="L399" s="4">
        <f>SUMPRODUCT(
  (TEXT(Dump!$A$2:$A994,"mmm-yy")=TEXT($Y399,"mmm-yy"))*
  (Dump!$B$2:$B994=$C399)*
  Dump!$E$2:$E994
)</f>
        <v>0</v>
      </c>
      <c r="M399" s="4">
        <f>SUMPRODUCT(
  (TEXT(Dump!$A$2:$A994,"mmm-yy")=TEXT($Y399,"mmm-yy"))*
  (Dump!$B$2:$B994=$C399)*
  Dump!$P$2:$P994
)</f>
        <v>0</v>
      </c>
      <c r="N399" s="32"/>
      <c r="O399" s="33">
        <f>SUMIFS(Dump!$D:$D,Dump!$B:$B,$C399,Dump!$A:$A,$Y399)</f>
        <v>0</v>
      </c>
      <c r="P399" s="33">
        <f>SUMIFS(Dump!R:R,Dump!B:B,C399,Dump!A:A,Y399)</f>
        <v>0</v>
      </c>
      <c r="Q399" s="34">
        <f t="shared" si="21"/>
        <v>0</v>
      </c>
      <c r="S399" s="4">
        <f>SUMIFS(Dump!E:E,Dump!B:B,C399,Dump!A:A,Y399)</f>
        <v>0</v>
      </c>
      <c r="T399" s="35">
        <f t="shared" si="22"/>
        <v>0</v>
      </c>
      <c r="V399" s="4">
        <f>SUMIFS(Dump!P:P,Dump!B:B,C399,Dump!A:A,Y399)</f>
        <v>0</v>
      </c>
      <c r="W399" s="37">
        <f t="shared" si="23"/>
        <v>0</v>
      </c>
      <c r="X399" s="39"/>
      <c r="Y399" s="54"/>
    </row>
    <row r="400">
      <c r="C400" s="53"/>
      <c r="G400" s="2" t="str">
        <f t="shared" si="27"/>
        <v/>
      </c>
      <c r="I400" s="4">
        <f>SUMIFS(Dump!D:D,Dump!B:B,C400)</f>
        <v>0</v>
      </c>
      <c r="J400" s="5">
        <f>SUMIFS(Dump!AE:AE,Dump!B:B,C400)</f>
        <v>0</v>
      </c>
      <c r="K400" s="4">
        <f>SUMPRODUCT(
  (TEXT(Dump!$A$2:$A994,"mmm-yy")=TEXT($Y400,"mmm-yy"))*
  (Dump!$B$2:$B994=$C400)*
  Dump!$D$2:$D994)</f>
        <v>0</v>
      </c>
      <c r="L400" s="4">
        <f>SUMPRODUCT(
  (TEXT(Dump!$A$2:$A994,"mmm-yy")=TEXT($Y400,"mmm-yy"))*
  (Dump!$B$2:$B994=$C400)*
  Dump!$E$2:$E994
)</f>
        <v>0</v>
      </c>
      <c r="M400" s="4">
        <f>SUMPRODUCT(
  (TEXT(Dump!$A$2:$A994,"mmm-yy")=TEXT($Y400,"mmm-yy"))*
  (Dump!$B$2:$B994=$C400)*
  Dump!$P$2:$P994
)</f>
        <v>0</v>
      </c>
      <c r="N400" s="32"/>
      <c r="O400" s="33">
        <f>SUMIFS(Dump!$D:$D,Dump!$B:$B,$C400,Dump!$A:$A,$Y400)</f>
        <v>0</v>
      </c>
      <c r="P400" s="33">
        <f>SUMIFS(Dump!R:R,Dump!B:B,C400,Dump!A:A,Y400)</f>
        <v>0</v>
      </c>
      <c r="Q400" s="34">
        <f t="shared" si="21"/>
        <v>0</v>
      </c>
      <c r="S400" s="4">
        <f>SUMIFS(Dump!E:E,Dump!B:B,C400,Dump!A:A,Y400)</f>
        <v>0</v>
      </c>
      <c r="T400" s="35">
        <f t="shared" si="22"/>
        <v>0</v>
      </c>
      <c r="V400" s="4">
        <f>SUMIFS(Dump!P:P,Dump!B:B,C400,Dump!A:A,Y400)</f>
        <v>0</v>
      </c>
      <c r="W400" s="37">
        <f t="shared" si="23"/>
        <v>0</v>
      </c>
      <c r="X400" s="39"/>
      <c r="Y400" s="54"/>
    </row>
    <row r="401">
      <c r="C401" s="53"/>
      <c r="G401" s="2" t="str">
        <f t="shared" si="27"/>
        <v/>
      </c>
      <c r="I401" s="4">
        <f>SUMIFS(Dump!D:D,Dump!B:B,C401)</f>
        <v>0</v>
      </c>
      <c r="J401" s="5">
        <f>SUMIFS(Dump!AE:AE,Dump!B:B,C401)</f>
        <v>0</v>
      </c>
      <c r="K401" s="4">
        <f>SUMPRODUCT(
  (TEXT(Dump!$A$2:$A994,"mmm-yy")=TEXT($Y401,"mmm-yy"))*
  (Dump!$B$2:$B994=$C401)*
  Dump!$D$2:$D994)</f>
        <v>0</v>
      </c>
      <c r="L401" s="4">
        <f>SUMPRODUCT(
  (TEXT(Dump!$A$2:$A994,"mmm-yy")=TEXT($Y401,"mmm-yy"))*
  (Dump!$B$2:$B994=$C401)*
  Dump!$E$2:$E994
)</f>
        <v>0</v>
      </c>
      <c r="M401" s="4">
        <f>SUMPRODUCT(
  (TEXT(Dump!$A$2:$A994,"mmm-yy")=TEXT($Y401,"mmm-yy"))*
  (Dump!$B$2:$B994=$C401)*
  Dump!$P$2:$P994
)</f>
        <v>0</v>
      </c>
      <c r="N401" s="32"/>
      <c r="O401" s="33">
        <f>SUMIFS(Dump!$D:$D,Dump!$B:$B,$C401,Dump!$A:$A,$Y401)</f>
        <v>0</v>
      </c>
      <c r="P401" s="33">
        <f>SUMIFS(Dump!R:R,Dump!B:B,C401,Dump!A:A,Y401)</f>
        <v>0</v>
      </c>
      <c r="Q401" s="34">
        <f t="shared" si="21"/>
        <v>0</v>
      </c>
      <c r="S401" s="4">
        <f>SUMIFS(Dump!E:E,Dump!B:B,C401,Dump!A:A,Y401)</f>
        <v>0</v>
      </c>
      <c r="T401" s="35">
        <f t="shared" si="22"/>
        <v>0</v>
      </c>
      <c r="V401" s="4">
        <f>SUMIFS(Dump!P:P,Dump!B:B,C401,Dump!A:A,Y401)</f>
        <v>0</v>
      </c>
      <c r="W401" s="37">
        <f t="shared" si="23"/>
        <v>0</v>
      </c>
      <c r="X401" s="39"/>
      <c r="Y401" s="54"/>
    </row>
    <row r="402">
      <c r="C402" s="53"/>
      <c r="G402" s="2" t="str">
        <f t="shared" si="27"/>
        <v/>
      </c>
      <c r="I402" s="4">
        <f>SUMIFS(Dump!D:D,Dump!B:B,C402)</f>
        <v>0</v>
      </c>
      <c r="J402" s="5">
        <f>SUMIFS(Dump!AE:AE,Dump!B:B,C402)</f>
        <v>0</v>
      </c>
      <c r="K402" s="4">
        <f>SUMPRODUCT(
  (TEXT(Dump!$A$2:$A994,"mmm-yy")=TEXT($Y402,"mmm-yy"))*
  (Dump!$B$2:$B994=$C402)*
  Dump!$D$2:$D994)</f>
        <v>0</v>
      </c>
      <c r="L402" s="4">
        <f>SUMPRODUCT(
  (TEXT(Dump!$A$2:$A994,"mmm-yy")=TEXT($Y402,"mmm-yy"))*
  (Dump!$B$2:$B994=$C402)*
  Dump!$E$2:$E994
)</f>
        <v>0</v>
      </c>
      <c r="M402" s="4">
        <f>SUMPRODUCT(
  (TEXT(Dump!$A$2:$A994,"mmm-yy")=TEXT($Y402,"mmm-yy"))*
  (Dump!$B$2:$B994=$C402)*
  Dump!$P$2:$P994
)</f>
        <v>0</v>
      </c>
      <c r="N402" s="32"/>
      <c r="O402" s="33">
        <f>SUMIFS(Dump!$D:$D,Dump!$B:$B,$C402,Dump!$A:$A,$Y402)</f>
        <v>0</v>
      </c>
      <c r="P402" s="33">
        <f>SUMIFS(Dump!R:R,Dump!B:B,C402,Dump!A:A,Y402)</f>
        <v>0</v>
      </c>
      <c r="Q402" s="34">
        <f t="shared" si="21"/>
        <v>0</v>
      </c>
      <c r="S402" s="4">
        <f>SUMIFS(Dump!E:E,Dump!B:B,C402,Dump!A:A,Y402)</f>
        <v>0</v>
      </c>
      <c r="T402" s="35">
        <f t="shared" si="22"/>
        <v>0</v>
      </c>
      <c r="V402" s="4">
        <f>SUMIFS(Dump!P:P,Dump!B:B,C402,Dump!A:A,Y402)</f>
        <v>0</v>
      </c>
      <c r="W402" s="37">
        <f t="shared" si="23"/>
        <v>0</v>
      </c>
      <c r="X402" s="39"/>
      <c r="Y402" s="54"/>
    </row>
    <row r="403">
      <c r="C403" s="53"/>
      <c r="G403" s="2" t="str">
        <f t="shared" si="27"/>
        <v/>
      </c>
      <c r="I403" s="4">
        <f>SUMIFS(Dump!D:D,Dump!B:B,C403)</f>
        <v>0</v>
      </c>
      <c r="J403" s="5">
        <f>SUMIFS(Dump!AE:AE,Dump!B:B,C403)</f>
        <v>0</v>
      </c>
      <c r="K403" s="4">
        <f>SUMPRODUCT(
  (TEXT(Dump!$A$2:$A994,"mmm-yy")=TEXT($Y403,"mmm-yy"))*
  (Dump!$B$2:$B994=$C403)*
  Dump!$D$2:$D994)</f>
        <v>0</v>
      </c>
      <c r="L403" s="4">
        <f>SUMPRODUCT(
  (TEXT(Dump!$A$2:$A994,"mmm-yy")=TEXT($Y403,"mmm-yy"))*
  (Dump!$B$2:$B994=$C403)*
  Dump!$E$2:$E994
)</f>
        <v>0</v>
      </c>
      <c r="M403" s="4">
        <f>SUMPRODUCT(
  (TEXT(Dump!$A$2:$A994,"mmm-yy")=TEXT($Y403,"mmm-yy"))*
  (Dump!$B$2:$B994=$C403)*
  Dump!$P$2:$P994
)</f>
        <v>0</v>
      </c>
      <c r="N403" s="32"/>
      <c r="O403" s="33">
        <f>SUMIFS(Dump!$D:$D,Dump!$B:$B,$C403,Dump!$A:$A,$Y403)</f>
        <v>0</v>
      </c>
      <c r="P403" s="33">
        <f>SUMIFS(Dump!R:R,Dump!B:B,C403,Dump!A:A,Y403)</f>
        <v>0</v>
      </c>
      <c r="Q403" s="34">
        <f t="shared" si="21"/>
        <v>0</v>
      </c>
      <c r="S403" s="4">
        <f>SUMIFS(Dump!E:E,Dump!B:B,C403,Dump!A:A,Y403)</f>
        <v>0</v>
      </c>
      <c r="T403" s="35">
        <f t="shared" si="22"/>
        <v>0</v>
      </c>
      <c r="V403" s="4">
        <f>SUMIFS(Dump!P:P,Dump!B:B,C403,Dump!A:A,Y403)</f>
        <v>0</v>
      </c>
      <c r="W403" s="37">
        <f t="shared" si="23"/>
        <v>0</v>
      </c>
      <c r="X403" s="39"/>
      <c r="Y403" s="54"/>
    </row>
    <row r="404">
      <c r="C404" s="53"/>
      <c r="G404" s="2" t="str">
        <f t="shared" si="27"/>
        <v/>
      </c>
      <c r="I404" s="4">
        <f>SUMIFS(Dump!D:D,Dump!B:B,C404)</f>
        <v>0</v>
      </c>
      <c r="J404" s="5">
        <f>SUMIFS(Dump!AE:AE,Dump!B:B,C404)</f>
        <v>0</v>
      </c>
      <c r="K404" s="4">
        <f>SUMPRODUCT(
  (TEXT(Dump!$A$2:$A994,"mmm-yy")=TEXT($Y404,"mmm-yy"))*
  (Dump!$B$2:$B994=$C404)*
  Dump!$D$2:$D994)</f>
        <v>0</v>
      </c>
      <c r="L404" s="4">
        <f>SUMPRODUCT(
  (TEXT(Dump!$A$2:$A994,"mmm-yy")=TEXT($Y404,"mmm-yy"))*
  (Dump!$B$2:$B994=$C404)*
  Dump!$E$2:$E994
)</f>
        <v>0</v>
      </c>
      <c r="M404" s="4">
        <f>SUMPRODUCT(
  (TEXT(Dump!$A$2:$A994,"mmm-yy")=TEXT($Y404,"mmm-yy"))*
  (Dump!$B$2:$B994=$C404)*
  Dump!$P$2:$P994
)</f>
        <v>0</v>
      </c>
      <c r="N404" s="32"/>
      <c r="O404" s="33">
        <f>SUMIFS(Dump!$D:$D,Dump!$B:$B,$C404,Dump!$A:$A,$Y404)</f>
        <v>0</v>
      </c>
      <c r="P404" s="33">
        <f>SUMIFS(Dump!R:R,Dump!B:B,C404,Dump!A:A,Y404)</f>
        <v>0</v>
      </c>
      <c r="Q404" s="34">
        <f t="shared" si="21"/>
        <v>0</v>
      </c>
      <c r="S404" s="4">
        <f>SUMIFS(Dump!E:E,Dump!B:B,C404,Dump!A:A,Y404)</f>
        <v>0</v>
      </c>
      <c r="T404" s="35">
        <f t="shared" si="22"/>
        <v>0</v>
      </c>
      <c r="V404" s="4">
        <f>SUMIFS(Dump!P:P,Dump!B:B,C404,Dump!A:A,Y404)</f>
        <v>0</v>
      </c>
      <c r="W404" s="37">
        <f t="shared" si="23"/>
        <v>0</v>
      </c>
      <c r="X404" s="39"/>
      <c r="Y404" s="54"/>
    </row>
    <row r="405">
      <c r="C405" s="53"/>
      <c r="G405" s="2" t="str">
        <f t="shared" si="27"/>
        <v/>
      </c>
      <c r="I405" s="4">
        <f>SUMIFS(Dump!D:D,Dump!B:B,C405)</f>
        <v>0</v>
      </c>
      <c r="J405" s="5">
        <f>SUMIFS(Dump!AE:AE,Dump!B:B,C405)</f>
        <v>0</v>
      </c>
      <c r="K405" s="4">
        <f>SUMPRODUCT(
  (TEXT(Dump!$A$2:$A994,"mmm-yy")=TEXT($Y405,"mmm-yy"))*
  (Dump!$B$2:$B994=$C405)*
  Dump!$D$2:$D994)</f>
        <v>0</v>
      </c>
      <c r="L405" s="4">
        <f>SUMPRODUCT(
  (TEXT(Dump!$A$2:$A994,"mmm-yy")=TEXT($Y405,"mmm-yy"))*
  (Dump!$B$2:$B994=$C405)*
  Dump!$E$2:$E994
)</f>
        <v>0</v>
      </c>
      <c r="M405" s="4">
        <f>SUMPRODUCT(
  (TEXT(Dump!$A$2:$A994,"mmm-yy")=TEXT($Y405,"mmm-yy"))*
  (Dump!$B$2:$B994=$C405)*
  Dump!$P$2:$P994
)</f>
        <v>0</v>
      </c>
      <c r="N405" s="32"/>
      <c r="O405" s="33">
        <f>SUMIFS(Dump!$D:$D,Dump!$B:$B,$C405,Dump!$A:$A,$Y405)</f>
        <v>0</v>
      </c>
      <c r="P405" s="33">
        <f>SUMIFS(Dump!R:R,Dump!B:B,C405,Dump!A:A,Y405)</f>
        <v>0</v>
      </c>
      <c r="Q405" s="34">
        <f t="shared" si="21"/>
        <v>0</v>
      </c>
      <c r="S405" s="4">
        <f>SUMIFS(Dump!E:E,Dump!B:B,C405,Dump!A:A,Y405)</f>
        <v>0</v>
      </c>
      <c r="T405" s="35">
        <f t="shared" si="22"/>
        <v>0</v>
      </c>
      <c r="V405" s="4">
        <f>SUMIFS(Dump!P:P,Dump!B:B,C405,Dump!A:A,Y405)</f>
        <v>0</v>
      </c>
      <c r="W405" s="37">
        <f t="shared" si="23"/>
        <v>0</v>
      </c>
      <c r="X405" s="39"/>
      <c r="Y405" s="54"/>
    </row>
    <row r="406">
      <c r="C406" s="53"/>
      <c r="G406" s="2" t="str">
        <f t="shared" si="27"/>
        <v/>
      </c>
      <c r="I406" s="4">
        <f>SUMIFS(Dump!D:D,Dump!B:B,C406)</f>
        <v>0</v>
      </c>
      <c r="J406" s="5">
        <f>SUMIFS(Dump!AE:AE,Dump!B:B,C406)</f>
        <v>0</v>
      </c>
      <c r="K406" s="4">
        <f>SUMPRODUCT(
  (TEXT(Dump!$A$2:$A994,"mmm-yy")=TEXT($Y406,"mmm-yy"))*
  (Dump!$B$2:$B994=$C406)*
  Dump!$D$2:$D994)</f>
        <v>0</v>
      </c>
      <c r="L406" s="4">
        <f>SUMPRODUCT(
  (TEXT(Dump!$A$2:$A994,"mmm-yy")=TEXT($Y406,"mmm-yy"))*
  (Dump!$B$2:$B994=$C406)*
  Dump!$E$2:$E994
)</f>
        <v>0</v>
      </c>
      <c r="M406" s="4">
        <f>SUMPRODUCT(
  (TEXT(Dump!$A$2:$A994,"mmm-yy")=TEXT($Y406,"mmm-yy"))*
  (Dump!$B$2:$B994=$C406)*
  Dump!$P$2:$P994
)</f>
        <v>0</v>
      </c>
      <c r="N406" s="32"/>
      <c r="O406" s="33">
        <f>SUMIFS(Dump!$D:$D,Dump!$B:$B,$C406,Dump!$A:$A,$Y406)</f>
        <v>0</v>
      </c>
      <c r="P406" s="33">
        <f>SUMIFS(Dump!R:R,Dump!B:B,C406,Dump!A:A,Y406)</f>
        <v>0</v>
      </c>
      <c r="Q406" s="34">
        <f t="shared" si="21"/>
        <v>0</v>
      </c>
      <c r="S406" s="4">
        <f>SUMIFS(Dump!E:E,Dump!B:B,C406,Dump!A:A,Y406)</f>
        <v>0</v>
      </c>
      <c r="T406" s="35">
        <f t="shared" si="22"/>
        <v>0</v>
      </c>
      <c r="V406" s="4">
        <f>SUMIFS(Dump!P:P,Dump!B:B,C406,Dump!A:A,Y406)</f>
        <v>0</v>
      </c>
      <c r="W406" s="37">
        <f t="shared" si="23"/>
        <v>0</v>
      </c>
      <c r="X406" s="39"/>
      <c r="Y406" s="54"/>
    </row>
    <row r="407">
      <c r="C407" s="53"/>
      <c r="G407" s="2" t="str">
        <f t="shared" si="27"/>
        <v/>
      </c>
      <c r="I407" s="4">
        <f>SUMIFS(Dump!D:D,Dump!B:B,C407)</f>
        <v>0</v>
      </c>
      <c r="J407" s="5">
        <f>SUMIFS(Dump!AE:AE,Dump!B:B,C407)</f>
        <v>0</v>
      </c>
      <c r="K407" s="4">
        <f>SUMPRODUCT(
  (TEXT(Dump!$A$2:$A994,"mmm-yy")=TEXT($Y407,"mmm-yy"))*
  (Dump!$B$2:$B994=$C407)*
  Dump!$D$2:$D994)</f>
        <v>0</v>
      </c>
      <c r="L407" s="4">
        <f>SUMPRODUCT(
  (TEXT(Dump!$A$2:$A994,"mmm-yy")=TEXT($Y407,"mmm-yy"))*
  (Dump!$B$2:$B994=$C407)*
  Dump!$E$2:$E994
)</f>
        <v>0</v>
      </c>
      <c r="M407" s="4">
        <f>SUMPRODUCT(
  (TEXT(Dump!$A$2:$A994,"mmm-yy")=TEXT($Y407,"mmm-yy"))*
  (Dump!$B$2:$B994=$C407)*
  Dump!$P$2:$P994
)</f>
        <v>0</v>
      </c>
      <c r="N407" s="32"/>
      <c r="O407" s="33">
        <f>SUMIFS(Dump!$D:$D,Dump!$B:$B,$C407,Dump!$A:$A,$Y407)</f>
        <v>0</v>
      </c>
      <c r="P407" s="33">
        <f>SUMIFS(Dump!R:R,Dump!B:B,C407,Dump!A:A,Y407)</f>
        <v>0</v>
      </c>
      <c r="Q407" s="34">
        <f t="shared" si="21"/>
        <v>0</v>
      </c>
      <c r="S407" s="4">
        <f>SUMIFS(Dump!E:E,Dump!B:B,C407,Dump!A:A,Y407)</f>
        <v>0</v>
      </c>
      <c r="T407" s="35">
        <f t="shared" si="22"/>
        <v>0</v>
      </c>
      <c r="V407" s="4">
        <f>SUMIFS(Dump!P:P,Dump!B:B,C407,Dump!A:A,Y407)</f>
        <v>0</v>
      </c>
      <c r="W407" s="37">
        <f t="shared" si="23"/>
        <v>0</v>
      </c>
      <c r="X407" s="39"/>
      <c r="Y407" s="54"/>
    </row>
    <row r="408">
      <c r="C408" s="53"/>
      <c r="G408" s="2" t="str">
        <f t="shared" si="27"/>
        <v/>
      </c>
      <c r="I408" s="4">
        <f>SUMIFS(Dump!D:D,Dump!B:B,C408)</f>
        <v>0</v>
      </c>
      <c r="J408" s="5">
        <f>SUMIFS(Dump!AE:AE,Dump!B:B,C408)</f>
        <v>0</v>
      </c>
      <c r="K408" s="4">
        <f>SUMPRODUCT(
  (TEXT(Dump!$A$2:$A994,"mmm-yy")=TEXT($Y408,"mmm-yy"))*
  (Dump!$B$2:$B994=$C408)*
  Dump!$D$2:$D994)</f>
        <v>0</v>
      </c>
      <c r="L408" s="4">
        <f>SUMPRODUCT(
  (TEXT(Dump!$A$2:$A994,"mmm-yy")=TEXT($Y408,"mmm-yy"))*
  (Dump!$B$2:$B994=$C408)*
  Dump!$E$2:$E994
)</f>
        <v>0</v>
      </c>
      <c r="M408" s="4">
        <f>SUMPRODUCT(
  (TEXT(Dump!$A$2:$A994,"mmm-yy")=TEXT($Y408,"mmm-yy"))*
  (Dump!$B$2:$B994=$C408)*
  Dump!$P$2:$P994
)</f>
        <v>0</v>
      </c>
      <c r="N408" s="32"/>
      <c r="O408" s="33">
        <f>SUMIFS(Dump!$D:$D,Dump!$B:$B,$C408,Dump!$A:$A,$Y408)</f>
        <v>0</v>
      </c>
      <c r="P408" s="33">
        <f>SUMIFS(Dump!R:R,Dump!B:B,C408,Dump!A:A,Y408)</f>
        <v>0</v>
      </c>
      <c r="Q408" s="34">
        <f t="shared" si="21"/>
        <v>0</v>
      </c>
      <c r="S408" s="4">
        <f>SUMIFS(Dump!E:E,Dump!B:B,C408,Dump!A:A,Y408)</f>
        <v>0</v>
      </c>
      <c r="T408" s="35">
        <f t="shared" si="22"/>
        <v>0</v>
      </c>
      <c r="V408" s="4">
        <f>SUMIFS(Dump!P:P,Dump!B:B,C408,Dump!A:A,Y408)</f>
        <v>0</v>
      </c>
      <c r="W408" s="37">
        <f t="shared" si="23"/>
        <v>0</v>
      </c>
      <c r="X408" s="39"/>
      <c r="Y408" s="54"/>
    </row>
    <row r="409">
      <c r="C409" s="53"/>
      <c r="G409" s="2" t="str">
        <f t="shared" si="27"/>
        <v/>
      </c>
      <c r="I409" s="4">
        <f>SUMIFS(Dump!D:D,Dump!B:B,C409)</f>
        <v>0</v>
      </c>
      <c r="J409" s="5">
        <f>SUMIFS(Dump!AE:AE,Dump!B:B,C409)</f>
        <v>0</v>
      </c>
      <c r="K409" s="4">
        <f>SUMPRODUCT(
  (TEXT(Dump!$A$2:$A994,"mmm-yy")=TEXT($Y409,"mmm-yy"))*
  (Dump!$B$2:$B994=$C409)*
  Dump!$D$2:$D994)</f>
        <v>0</v>
      </c>
      <c r="L409" s="4">
        <f>SUMPRODUCT(
  (TEXT(Dump!$A$2:$A994,"mmm-yy")=TEXT($Y409,"mmm-yy"))*
  (Dump!$B$2:$B994=$C409)*
  Dump!$E$2:$E994
)</f>
        <v>0</v>
      </c>
      <c r="M409" s="4">
        <f>SUMPRODUCT(
  (TEXT(Dump!$A$2:$A994,"mmm-yy")=TEXT($Y409,"mmm-yy"))*
  (Dump!$B$2:$B994=$C409)*
  Dump!$P$2:$P994
)</f>
        <v>0</v>
      </c>
      <c r="N409" s="32"/>
      <c r="O409" s="33">
        <f>SUMIFS(Dump!$D:$D,Dump!$B:$B,$C409,Dump!$A:$A,$Y409)</f>
        <v>0</v>
      </c>
      <c r="P409" s="33">
        <f>SUMIFS(Dump!R:R,Dump!B:B,C409,Dump!A:A,Y409)</f>
        <v>0</v>
      </c>
      <c r="Q409" s="34">
        <f t="shared" si="21"/>
        <v>0</v>
      </c>
      <c r="S409" s="4">
        <f>SUMIFS(Dump!E:E,Dump!B:B,C409,Dump!A:A,Y409)</f>
        <v>0</v>
      </c>
      <c r="T409" s="35">
        <f t="shared" si="22"/>
        <v>0</v>
      </c>
      <c r="V409" s="4">
        <f>SUMIFS(Dump!P:P,Dump!B:B,C409,Dump!A:A,Y409)</f>
        <v>0</v>
      </c>
      <c r="W409" s="37">
        <f t="shared" si="23"/>
        <v>0</v>
      </c>
      <c r="X409" s="39"/>
      <c r="Y409" s="54"/>
    </row>
    <row r="410">
      <c r="C410" s="53"/>
      <c r="G410" s="2" t="str">
        <f t="shared" si="27"/>
        <v/>
      </c>
      <c r="I410" s="4">
        <f>SUMIFS(Dump!D:D,Dump!B:B,C410)</f>
        <v>0</v>
      </c>
      <c r="J410" s="5">
        <f>SUMIFS(Dump!AE:AE,Dump!B:B,C410)</f>
        <v>0</v>
      </c>
      <c r="K410" s="4">
        <f>SUMPRODUCT(
  (TEXT(Dump!$A$2:$A994,"mmm-yy")=TEXT($Y410,"mmm-yy"))*
  (Dump!$B$2:$B994=$C410)*
  Dump!$D$2:$D994)</f>
        <v>0</v>
      </c>
      <c r="L410" s="4">
        <f>SUMPRODUCT(
  (TEXT(Dump!$A$2:$A994,"mmm-yy")=TEXT($Y410,"mmm-yy"))*
  (Dump!$B$2:$B994=$C410)*
  Dump!$E$2:$E994
)</f>
        <v>0</v>
      </c>
      <c r="M410" s="4">
        <f>SUMPRODUCT(
  (TEXT(Dump!$A$2:$A994,"mmm-yy")=TEXT($Y410,"mmm-yy"))*
  (Dump!$B$2:$B994=$C410)*
  Dump!$P$2:$P994
)</f>
        <v>0</v>
      </c>
      <c r="N410" s="32"/>
      <c r="O410" s="33">
        <f>SUMIFS(Dump!$D:$D,Dump!$B:$B,$C410,Dump!$A:$A,$Y410)</f>
        <v>0</v>
      </c>
      <c r="P410" s="33">
        <f>SUMIFS(Dump!R:R,Dump!B:B,C410,Dump!A:A,Y410)</f>
        <v>0</v>
      </c>
      <c r="Q410" s="34">
        <f t="shared" si="21"/>
        <v>0</v>
      </c>
      <c r="S410" s="4">
        <f>SUMIFS(Dump!E:E,Dump!B:B,C410,Dump!A:A,Y410)</f>
        <v>0</v>
      </c>
      <c r="T410" s="35">
        <f t="shared" si="22"/>
        <v>0</v>
      </c>
      <c r="V410" s="4">
        <f>SUMIFS(Dump!P:P,Dump!B:B,C410,Dump!A:A,Y410)</f>
        <v>0</v>
      </c>
      <c r="W410" s="37">
        <f t="shared" si="23"/>
        <v>0</v>
      </c>
      <c r="X410" s="39"/>
      <c r="Y410" s="54"/>
    </row>
    <row r="411">
      <c r="C411" s="53"/>
      <c r="G411" s="2" t="str">
        <f t="shared" si="27"/>
        <v/>
      </c>
      <c r="I411" s="4">
        <f>SUMIFS(Dump!D:D,Dump!B:B,C411)</f>
        <v>0</v>
      </c>
      <c r="J411" s="5">
        <f>SUMIFS(Dump!AE:AE,Dump!B:B,C411)</f>
        <v>0</v>
      </c>
      <c r="K411" s="4">
        <f>SUMPRODUCT(
  (TEXT(Dump!$A$2:$A994,"mmm-yy")=TEXT($Y411,"mmm-yy"))*
  (Dump!$B$2:$B994=$C411)*
  Dump!$D$2:$D994)</f>
        <v>0</v>
      </c>
      <c r="L411" s="4">
        <f>SUMPRODUCT(
  (TEXT(Dump!$A$2:$A994,"mmm-yy")=TEXT($Y411,"mmm-yy"))*
  (Dump!$B$2:$B994=$C411)*
  Dump!$E$2:$E994
)</f>
        <v>0</v>
      </c>
      <c r="M411" s="4">
        <f>SUMPRODUCT(
  (TEXT(Dump!$A$2:$A994,"mmm-yy")=TEXT($Y411,"mmm-yy"))*
  (Dump!$B$2:$B994=$C411)*
  Dump!$P$2:$P994
)</f>
        <v>0</v>
      </c>
      <c r="N411" s="32"/>
      <c r="O411" s="33">
        <f>SUMIFS(Dump!$D:$D,Dump!$B:$B,$C411,Dump!$A:$A,$Y411)</f>
        <v>0</v>
      </c>
      <c r="P411" s="33">
        <f>SUMIFS(Dump!R:R,Dump!B:B,C411,Dump!A:A,Y411)</f>
        <v>0</v>
      </c>
      <c r="Q411" s="34">
        <f t="shared" si="21"/>
        <v>0</v>
      </c>
      <c r="S411" s="4">
        <f>SUMIFS(Dump!E:E,Dump!B:B,C411,Dump!A:A,Y411)</f>
        <v>0</v>
      </c>
      <c r="T411" s="35">
        <f t="shared" si="22"/>
        <v>0</v>
      </c>
      <c r="V411" s="4">
        <f>SUMIFS(Dump!P:P,Dump!B:B,C411,Dump!A:A,Y411)</f>
        <v>0</v>
      </c>
      <c r="W411" s="37">
        <f t="shared" si="23"/>
        <v>0</v>
      </c>
      <c r="X411" s="39"/>
      <c r="Y411" s="54"/>
    </row>
    <row r="412">
      <c r="C412" s="53"/>
      <c r="G412" s="2" t="str">
        <f t="shared" si="27"/>
        <v/>
      </c>
      <c r="I412" s="4">
        <f>SUMIFS(Dump!D:D,Dump!B:B,C412)</f>
        <v>0</v>
      </c>
      <c r="J412" s="5">
        <f>SUMIFS(Dump!AE:AE,Dump!B:B,C412)</f>
        <v>0</v>
      </c>
      <c r="K412" s="4">
        <f>SUMPRODUCT(
  (TEXT(Dump!$A$2:$A994,"mmm-yy")=TEXT($Y412,"mmm-yy"))*
  (Dump!$B$2:$B994=$C412)*
  Dump!$D$2:$D994)</f>
        <v>0</v>
      </c>
      <c r="L412" s="4">
        <f>SUMPRODUCT(
  (TEXT(Dump!$A$2:$A994,"mmm-yy")=TEXT($Y412,"mmm-yy"))*
  (Dump!$B$2:$B994=$C412)*
  Dump!$E$2:$E994
)</f>
        <v>0</v>
      </c>
      <c r="M412" s="4">
        <f>SUMPRODUCT(
  (TEXT(Dump!$A$2:$A994,"mmm-yy")=TEXT($Y412,"mmm-yy"))*
  (Dump!$B$2:$B994=$C412)*
  Dump!$P$2:$P994
)</f>
        <v>0</v>
      </c>
      <c r="N412" s="32"/>
      <c r="O412" s="33">
        <f>SUMIFS(Dump!$D:$D,Dump!$B:$B,$C412,Dump!$A:$A,$Y412)</f>
        <v>0</v>
      </c>
      <c r="P412" s="33">
        <f>SUMIFS(Dump!R:R,Dump!B:B,C412,Dump!A:A,Y412)</f>
        <v>0</v>
      </c>
      <c r="Q412" s="34">
        <f t="shared" si="21"/>
        <v>0</v>
      </c>
      <c r="S412" s="4">
        <f>SUMIFS(Dump!E:E,Dump!B:B,C412,Dump!A:A,Y412)</f>
        <v>0</v>
      </c>
      <c r="T412" s="35">
        <f t="shared" si="22"/>
        <v>0</v>
      </c>
      <c r="V412" s="4">
        <f>SUMIFS(Dump!P:P,Dump!B:B,C412,Dump!A:A,Y412)</f>
        <v>0</v>
      </c>
      <c r="W412" s="37">
        <f t="shared" si="23"/>
        <v>0</v>
      </c>
      <c r="X412" s="39"/>
      <c r="Y412" s="54"/>
    </row>
    <row r="413">
      <c r="C413" s="53"/>
      <c r="G413" s="2" t="str">
        <f t="shared" si="27"/>
        <v/>
      </c>
      <c r="I413" s="4">
        <f>SUMIFS(Dump!D:D,Dump!B:B,C413)</f>
        <v>0</v>
      </c>
      <c r="J413" s="5">
        <f>SUMIFS(Dump!AE:AE,Dump!B:B,C413)</f>
        <v>0</v>
      </c>
      <c r="K413" s="4">
        <f>SUMPRODUCT(
  (TEXT(Dump!$A$2:$A994,"mmm-yy")=TEXT($Y413,"mmm-yy"))*
  (Dump!$B$2:$B994=$C413)*
  Dump!$D$2:$D994)</f>
        <v>0</v>
      </c>
      <c r="L413" s="4">
        <f>SUMPRODUCT(
  (TEXT(Dump!$A$2:$A994,"mmm-yy")=TEXT($Y413,"mmm-yy"))*
  (Dump!$B$2:$B994=$C413)*
  Dump!$E$2:$E994
)</f>
        <v>0</v>
      </c>
      <c r="M413" s="4">
        <f>SUMPRODUCT(
  (TEXT(Dump!$A$2:$A994,"mmm-yy")=TEXT($Y413,"mmm-yy"))*
  (Dump!$B$2:$B994=$C413)*
  Dump!$P$2:$P994
)</f>
        <v>0</v>
      </c>
      <c r="N413" s="32"/>
      <c r="O413" s="33">
        <f>SUMIFS(Dump!$D:$D,Dump!$B:$B,$C413,Dump!$A:$A,$Y413)</f>
        <v>0</v>
      </c>
      <c r="P413" s="33">
        <f>SUMIFS(Dump!R:R,Dump!B:B,C413,Dump!A:A,Y413)</f>
        <v>0</v>
      </c>
      <c r="Q413" s="34">
        <f t="shared" si="21"/>
        <v>0</v>
      </c>
      <c r="S413" s="4">
        <f>SUMIFS(Dump!E:E,Dump!B:B,C413,Dump!A:A,Y413)</f>
        <v>0</v>
      </c>
      <c r="T413" s="35">
        <f t="shared" si="22"/>
        <v>0</v>
      </c>
      <c r="V413" s="4">
        <f>SUMIFS(Dump!P:P,Dump!B:B,C413,Dump!A:A,Y413)</f>
        <v>0</v>
      </c>
      <c r="W413" s="37">
        <f t="shared" si="23"/>
        <v>0</v>
      </c>
      <c r="X413" s="39"/>
      <c r="Y413" s="54"/>
    </row>
    <row r="414">
      <c r="C414" s="53"/>
      <c r="G414" s="2" t="str">
        <f t="shared" si="27"/>
        <v/>
      </c>
      <c r="I414" s="4">
        <f>SUMIFS(Dump!D:D,Dump!B:B,C414)</f>
        <v>0</v>
      </c>
      <c r="J414" s="5">
        <f>SUMIFS(Dump!AE:AE,Dump!B:B,C414)</f>
        <v>0</v>
      </c>
      <c r="K414" s="4">
        <f>SUMPRODUCT(
  (TEXT(Dump!$A$2:$A994,"mmm-yy")=TEXT($Y414,"mmm-yy"))*
  (Dump!$B$2:$B994=$C414)*
  Dump!$D$2:$D994)</f>
        <v>0</v>
      </c>
      <c r="L414" s="4">
        <f>SUMPRODUCT(
  (TEXT(Dump!$A$2:$A994,"mmm-yy")=TEXT($Y414,"mmm-yy"))*
  (Dump!$B$2:$B994=$C414)*
  Dump!$E$2:$E994
)</f>
        <v>0</v>
      </c>
      <c r="M414" s="4">
        <f>SUMPRODUCT(
  (TEXT(Dump!$A$2:$A994,"mmm-yy")=TEXT($Y414,"mmm-yy"))*
  (Dump!$B$2:$B994=$C414)*
  Dump!$P$2:$P994
)</f>
        <v>0</v>
      </c>
      <c r="N414" s="32"/>
      <c r="O414" s="33">
        <f>SUMIFS(Dump!$D:$D,Dump!$B:$B,$C414,Dump!$A:$A,$Y414)</f>
        <v>0</v>
      </c>
      <c r="P414" s="33">
        <f>SUMIFS(Dump!R:R,Dump!B:B,C414,Dump!A:A,Y414)</f>
        <v>0</v>
      </c>
      <c r="Q414" s="34">
        <f t="shared" si="21"/>
        <v>0</v>
      </c>
      <c r="S414" s="4">
        <f>SUMIFS(Dump!E:E,Dump!B:B,C414,Dump!A:A,Y414)</f>
        <v>0</v>
      </c>
      <c r="T414" s="35">
        <f t="shared" si="22"/>
        <v>0</v>
      </c>
      <c r="V414" s="4">
        <f>SUMIFS(Dump!P:P,Dump!B:B,C414,Dump!A:A,Y414)</f>
        <v>0</v>
      </c>
      <c r="W414" s="37">
        <f t="shared" si="23"/>
        <v>0</v>
      </c>
      <c r="X414" s="39"/>
      <c r="Y414" s="54"/>
    </row>
    <row r="415">
      <c r="C415" s="53"/>
      <c r="G415" s="2" t="str">
        <f t="shared" si="27"/>
        <v/>
      </c>
      <c r="I415" s="4">
        <f>SUMIFS(Dump!D:D,Dump!B:B,C415)</f>
        <v>0</v>
      </c>
      <c r="J415" s="5">
        <f>SUMIFS(Dump!AE:AE,Dump!B:B,C415)</f>
        <v>0</v>
      </c>
      <c r="K415" s="4">
        <f>SUMPRODUCT(
  (TEXT(Dump!$A$2:$A994,"mmm-yy")=TEXT($Y415,"mmm-yy"))*
  (Dump!$B$2:$B994=$C415)*
  Dump!$D$2:$D994)</f>
        <v>0</v>
      </c>
      <c r="L415" s="4">
        <f>SUMPRODUCT(
  (TEXT(Dump!$A$2:$A994,"mmm-yy")=TEXT($Y415,"mmm-yy"))*
  (Dump!$B$2:$B994=$C415)*
  Dump!$E$2:$E994
)</f>
        <v>0</v>
      </c>
      <c r="M415" s="4">
        <f>SUMPRODUCT(
  (TEXT(Dump!$A$2:$A994,"mmm-yy")=TEXT($Y415,"mmm-yy"))*
  (Dump!$B$2:$B994=$C415)*
  Dump!$P$2:$P994
)</f>
        <v>0</v>
      </c>
      <c r="N415" s="32"/>
      <c r="O415" s="33">
        <f>SUMIFS(Dump!$D:$D,Dump!$B:$B,$C415,Dump!$A:$A,$Y415)</f>
        <v>0</v>
      </c>
      <c r="P415" s="33">
        <f>SUMIFS(Dump!R:R,Dump!B:B,C415,Dump!A:A,Y415)</f>
        <v>0</v>
      </c>
      <c r="Q415" s="34">
        <f t="shared" si="21"/>
        <v>0</v>
      </c>
      <c r="S415" s="4">
        <f>SUMIFS(Dump!E:E,Dump!B:B,C415,Dump!A:A,Y415)</f>
        <v>0</v>
      </c>
      <c r="T415" s="35">
        <f t="shared" si="22"/>
        <v>0</v>
      </c>
      <c r="V415" s="4">
        <f>SUMIFS(Dump!P:P,Dump!B:B,C415,Dump!A:A,Y415)</f>
        <v>0</v>
      </c>
      <c r="W415" s="37">
        <f t="shared" si="23"/>
        <v>0</v>
      </c>
      <c r="X415" s="39"/>
      <c r="Y415" s="54"/>
    </row>
    <row r="416">
      <c r="C416" s="53"/>
      <c r="G416" s="2" t="str">
        <f t="shared" si="27"/>
        <v/>
      </c>
      <c r="I416" s="4">
        <f>SUMIFS(Dump!D:D,Dump!B:B,C416)</f>
        <v>0</v>
      </c>
      <c r="J416" s="5">
        <f>SUMIFS(Dump!AE:AE,Dump!B:B,C416)</f>
        <v>0</v>
      </c>
      <c r="K416" s="4">
        <f>SUMPRODUCT(
  (TEXT(Dump!$A$2:$A994,"mmm-yy")=TEXT($Y416,"mmm-yy"))*
  (Dump!$B$2:$B994=$C416)*
  Dump!$D$2:$D994)</f>
        <v>0</v>
      </c>
      <c r="L416" s="4">
        <f>SUMPRODUCT(
  (TEXT(Dump!$A$2:$A994,"mmm-yy")=TEXT($Y416,"mmm-yy"))*
  (Dump!$B$2:$B994=$C416)*
  Dump!$E$2:$E994
)</f>
        <v>0</v>
      </c>
      <c r="M416" s="4">
        <f>SUMPRODUCT(
  (TEXT(Dump!$A$2:$A994,"mmm-yy")=TEXT($Y416,"mmm-yy"))*
  (Dump!$B$2:$B994=$C416)*
  Dump!$P$2:$P994
)</f>
        <v>0</v>
      </c>
      <c r="N416" s="32"/>
      <c r="O416" s="33">
        <f>SUMIFS(Dump!$D:$D,Dump!$B:$B,$C416,Dump!$A:$A,$Y416)</f>
        <v>0</v>
      </c>
      <c r="P416" s="33">
        <f>SUMIFS(Dump!R:R,Dump!B:B,C416,Dump!A:A,Y416)</f>
        <v>0</v>
      </c>
      <c r="Q416" s="34">
        <f t="shared" si="21"/>
        <v>0</v>
      </c>
      <c r="S416" s="4">
        <f>SUMIFS(Dump!E:E,Dump!B:B,C416,Dump!A:A,Y416)</f>
        <v>0</v>
      </c>
      <c r="T416" s="35">
        <f t="shared" si="22"/>
        <v>0</v>
      </c>
      <c r="V416" s="4">
        <f>SUMIFS(Dump!P:P,Dump!B:B,C416,Dump!A:A,Y416)</f>
        <v>0</v>
      </c>
      <c r="W416" s="37">
        <f t="shared" si="23"/>
        <v>0</v>
      </c>
      <c r="X416" s="39"/>
      <c r="Y416" s="54"/>
    </row>
    <row r="417">
      <c r="C417" s="53"/>
      <c r="G417" s="2" t="str">
        <f t="shared" si="27"/>
        <v/>
      </c>
      <c r="I417" s="4">
        <f>SUMIFS(Dump!D:D,Dump!B:B,C417)</f>
        <v>0</v>
      </c>
      <c r="J417" s="5">
        <f>SUMIFS(Dump!AE:AE,Dump!B:B,C417)</f>
        <v>0</v>
      </c>
      <c r="K417" s="4">
        <f>SUMPRODUCT(
  (TEXT(Dump!$A$2:$A994,"mmm-yy")=TEXT($Y417,"mmm-yy"))*
  (Dump!$B$2:$B994=$C417)*
  Dump!$D$2:$D994)</f>
        <v>0</v>
      </c>
      <c r="L417" s="4">
        <f>SUMPRODUCT(
  (TEXT(Dump!$A$2:$A994,"mmm-yy")=TEXT($Y417,"mmm-yy"))*
  (Dump!$B$2:$B994=$C417)*
  Dump!$E$2:$E994
)</f>
        <v>0</v>
      </c>
      <c r="M417" s="4">
        <f>SUMPRODUCT(
  (TEXT(Dump!$A$2:$A994,"mmm-yy")=TEXT($Y417,"mmm-yy"))*
  (Dump!$B$2:$B994=$C417)*
  Dump!$P$2:$P994
)</f>
        <v>0</v>
      </c>
      <c r="N417" s="32"/>
      <c r="O417" s="33">
        <f>SUMIFS(Dump!$D:$D,Dump!$B:$B,$C417,Dump!$A:$A,$Y417)</f>
        <v>0</v>
      </c>
      <c r="P417" s="33">
        <f>SUMIFS(Dump!R:R,Dump!B:B,C417,Dump!A:A,Y417)</f>
        <v>0</v>
      </c>
      <c r="Q417" s="34">
        <f t="shared" si="21"/>
        <v>0</v>
      </c>
      <c r="S417" s="4">
        <f>SUMIFS(Dump!E:E,Dump!B:B,C417,Dump!A:A,Y417)</f>
        <v>0</v>
      </c>
      <c r="T417" s="35">
        <f t="shared" si="22"/>
        <v>0</v>
      </c>
      <c r="V417" s="4">
        <f>SUMIFS(Dump!P:P,Dump!B:B,C417,Dump!A:A,Y417)</f>
        <v>0</v>
      </c>
      <c r="W417" s="37">
        <f t="shared" si="23"/>
        <v>0</v>
      </c>
      <c r="X417" s="39"/>
      <c r="Y417" s="54"/>
    </row>
    <row r="418">
      <c r="C418" s="53"/>
      <c r="G418" s="2" t="str">
        <f t="shared" si="27"/>
        <v/>
      </c>
      <c r="I418" s="4">
        <f>SUMIFS(Dump!D:D,Dump!B:B,C418)</f>
        <v>0</v>
      </c>
      <c r="J418" s="5">
        <f>SUMIFS(Dump!AE:AE,Dump!B:B,C418)</f>
        <v>0</v>
      </c>
      <c r="K418" s="4">
        <f>SUMPRODUCT(
  (TEXT(Dump!$A$2:$A994,"mmm-yy")=TEXT($Y418,"mmm-yy"))*
  (Dump!$B$2:$B994=$C418)*
  Dump!$D$2:$D994)</f>
        <v>0</v>
      </c>
      <c r="L418" s="4">
        <f>SUMPRODUCT(
  (TEXT(Dump!$A$2:$A994,"mmm-yy")=TEXT($Y418,"mmm-yy"))*
  (Dump!$B$2:$B994=$C418)*
  Dump!$E$2:$E994
)</f>
        <v>0</v>
      </c>
      <c r="M418" s="4">
        <f>SUMPRODUCT(
  (TEXT(Dump!$A$2:$A994,"mmm-yy")=TEXT($Y418,"mmm-yy"))*
  (Dump!$B$2:$B994=$C418)*
  Dump!$P$2:$P994
)</f>
        <v>0</v>
      </c>
      <c r="N418" s="32"/>
      <c r="O418" s="33">
        <f>SUMIFS(Dump!$D:$D,Dump!$B:$B,$C418,Dump!$A:$A,$Y418)</f>
        <v>0</v>
      </c>
      <c r="P418" s="33">
        <f>SUMIFS(Dump!R:R,Dump!B:B,C418,Dump!A:A,Y418)</f>
        <v>0</v>
      </c>
      <c r="Q418" s="34">
        <f t="shared" si="21"/>
        <v>0</v>
      </c>
      <c r="S418" s="4">
        <f>SUMIFS(Dump!E:E,Dump!B:B,C418,Dump!A:A,Y418)</f>
        <v>0</v>
      </c>
      <c r="T418" s="35">
        <f t="shared" si="22"/>
        <v>0</v>
      </c>
      <c r="V418" s="4">
        <f>SUMIFS(Dump!P:P,Dump!B:B,C418,Dump!A:A,Y418)</f>
        <v>0</v>
      </c>
      <c r="W418" s="37">
        <f t="shared" si="23"/>
        <v>0</v>
      </c>
      <c r="X418" s="39"/>
      <c r="Y418" s="54"/>
    </row>
    <row r="419">
      <c r="C419" s="53"/>
      <c r="G419" s="2" t="str">
        <f t="shared" si="27"/>
        <v/>
      </c>
      <c r="I419" s="4">
        <f>SUMIFS(Dump!D:D,Dump!B:B,C419)</f>
        <v>0</v>
      </c>
      <c r="J419" s="5">
        <f>SUMIFS(Dump!AE:AE,Dump!B:B,C419)</f>
        <v>0</v>
      </c>
      <c r="K419" s="4">
        <f>SUMPRODUCT(
  (TEXT(Dump!$A$2:$A994,"mmm-yy")=TEXT($Y419,"mmm-yy"))*
  (Dump!$B$2:$B994=$C419)*
  Dump!$D$2:$D994)</f>
        <v>0</v>
      </c>
      <c r="L419" s="4">
        <f>SUMPRODUCT(
  (TEXT(Dump!$A$2:$A994,"mmm-yy")=TEXT($Y419,"mmm-yy"))*
  (Dump!$B$2:$B994=$C419)*
  Dump!$E$2:$E994
)</f>
        <v>0</v>
      </c>
      <c r="M419" s="4">
        <f>SUMPRODUCT(
  (TEXT(Dump!$A$2:$A994,"mmm-yy")=TEXT($Y419,"mmm-yy"))*
  (Dump!$B$2:$B994=$C419)*
  Dump!$P$2:$P994
)</f>
        <v>0</v>
      </c>
      <c r="N419" s="32"/>
      <c r="O419" s="33">
        <f>SUMIFS(Dump!$D:$D,Dump!$B:$B,$C419,Dump!$A:$A,$Y419)</f>
        <v>0</v>
      </c>
      <c r="P419" s="33">
        <f>SUMIFS(Dump!R:R,Dump!B:B,C419,Dump!A:A,Y419)</f>
        <v>0</v>
      </c>
      <c r="Q419" s="34">
        <f t="shared" si="21"/>
        <v>0</v>
      </c>
      <c r="S419" s="4">
        <f>SUMIFS(Dump!E:E,Dump!B:B,C419,Dump!A:A,Y419)</f>
        <v>0</v>
      </c>
      <c r="T419" s="35">
        <f t="shared" si="22"/>
        <v>0</v>
      </c>
      <c r="V419" s="4">
        <f>SUMIFS(Dump!P:P,Dump!B:B,C419,Dump!A:A,Y419)</f>
        <v>0</v>
      </c>
      <c r="W419" s="37">
        <f t="shared" si="23"/>
        <v>0</v>
      </c>
      <c r="X419" s="39"/>
      <c r="Y419" s="54"/>
    </row>
    <row r="420">
      <c r="C420" s="53"/>
      <c r="G420" s="2" t="str">
        <f t="shared" si="27"/>
        <v/>
      </c>
      <c r="I420" s="4">
        <f>SUMIFS(Dump!D:D,Dump!B:B,C420)</f>
        <v>0</v>
      </c>
      <c r="J420" s="5">
        <f>SUMIFS(Dump!AE:AE,Dump!B:B,C420)</f>
        <v>0</v>
      </c>
      <c r="K420" s="4">
        <f>SUMPRODUCT(
  (TEXT(Dump!$A$2:$A994,"mmm-yy")=TEXT($Y420,"mmm-yy"))*
  (Dump!$B$2:$B994=$C420)*
  Dump!$D$2:$D994)</f>
        <v>0</v>
      </c>
      <c r="L420" s="4">
        <f>SUMPRODUCT(
  (TEXT(Dump!$A$2:$A994,"mmm-yy")=TEXT($Y420,"mmm-yy"))*
  (Dump!$B$2:$B994=$C420)*
  Dump!$E$2:$E994
)</f>
        <v>0</v>
      </c>
      <c r="M420" s="4">
        <f>SUMPRODUCT(
  (TEXT(Dump!$A$2:$A994,"mmm-yy")=TEXT($Y420,"mmm-yy"))*
  (Dump!$B$2:$B994=$C420)*
  Dump!$P$2:$P994
)</f>
        <v>0</v>
      </c>
      <c r="N420" s="32"/>
      <c r="O420" s="33">
        <f>SUMIFS(Dump!$D:$D,Dump!$B:$B,$C420,Dump!$A:$A,$Y420)</f>
        <v>0</v>
      </c>
      <c r="P420" s="33">
        <f>SUMIFS(Dump!R:R,Dump!B:B,C420,Dump!A:A,Y420)</f>
        <v>0</v>
      </c>
      <c r="Q420" s="34">
        <f t="shared" si="21"/>
        <v>0</v>
      </c>
      <c r="S420" s="4">
        <f>SUMIFS(Dump!E:E,Dump!B:B,C420,Dump!A:A,Y420)</f>
        <v>0</v>
      </c>
      <c r="T420" s="35">
        <f t="shared" si="22"/>
        <v>0</v>
      </c>
      <c r="V420" s="4">
        <f>SUMIFS(Dump!P:P,Dump!B:B,C420,Dump!A:A,Y420)</f>
        <v>0</v>
      </c>
      <c r="W420" s="37">
        <f t="shared" si="23"/>
        <v>0</v>
      </c>
      <c r="X420" s="39"/>
      <c r="Y420" s="54"/>
    </row>
    <row r="421">
      <c r="C421" s="53"/>
      <c r="G421" s="2" t="str">
        <f t="shared" si="27"/>
        <v/>
      </c>
      <c r="I421" s="4">
        <f>SUMIFS(Dump!D:D,Dump!B:B,C421)</f>
        <v>0</v>
      </c>
      <c r="J421" s="5">
        <f>SUMIFS(Dump!AE:AE,Dump!B:B,C421)</f>
        <v>0</v>
      </c>
      <c r="K421" s="4">
        <f>SUMPRODUCT(
  (TEXT(Dump!$A$2:$A994,"mmm-yy")=TEXT($Y421,"mmm-yy"))*
  (Dump!$B$2:$B994=$C421)*
  Dump!$D$2:$D994)</f>
        <v>0</v>
      </c>
      <c r="L421" s="4">
        <f>SUMPRODUCT(
  (TEXT(Dump!$A$2:$A994,"mmm-yy")=TEXT($Y421,"mmm-yy"))*
  (Dump!$B$2:$B994=$C421)*
  Dump!$E$2:$E994
)</f>
        <v>0</v>
      </c>
      <c r="M421" s="4">
        <f>SUMPRODUCT(
  (TEXT(Dump!$A$2:$A994,"mmm-yy")=TEXT($Y421,"mmm-yy"))*
  (Dump!$B$2:$B994=$C421)*
  Dump!$P$2:$P994
)</f>
        <v>0</v>
      </c>
      <c r="N421" s="32"/>
      <c r="O421" s="33">
        <f>SUMIFS(Dump!$D:$D,Dump!$B:$B,$C421,Dump!$A:$A,$Y421)</f>
        <v>0</v>
      </c>
      <c r="P421" s="33">
        <f>SUMIFS(Dump!R:R,Dump!B:B,C421,Dump!A:A,Y421)</f>
        <v>0</v>
      </c>
      <c r="Q421" s="34">
        <f t="shared" si="21"/>
        <v>0</v>
      </c>
      <c r="S421" s="4">
        <f>SUMIFS(Dump!E:E,Dump!B:B,C421,Dump!A:A,Y421)</f>
        <v>0</v>
      </c>
      <c r="T421" s="35">
        <f t="shared" si="22"/>
        <v>0</v>
      </c>
      <c r="V421" s="4">
        <f>SUMIFS(Dump!P:P,Dump!B:B,C421,Dump!A:A,Y421)</f>
        <v>0</v>
      </c>
      <c r="W421" s="37">
        <f t="shared" si="23"/>
        <v>0</v>
      </c>
      <c r="X421" s="39"/>
      <c r="Y421" s="54"/>
    </row>
    <row r="422">
      <c r="C422" s="53"/>
      <c r="G422" s="2" t="str">
        <f t="shared" si="27"/>
        <v/>
      </c>
      <c r="I422" s="4">
        <f>SUMIFS(Dump!D:D,Dump!B:B,C422)</f>
        <v>0</v>
      </c>
      <c r="J422" s="5">
        <f>SUMIFS(Dump!AE:AE,Dump!B:B,C422)</f>
        <v>0</v>
      </c>
      <c r="K422" s="4">
        <f>SUMPRODUCT(
  (TEXT(Dump!$A$2:$A994,"mmm-yy")=TEXT($Y422,"mmm-yy"))*
  (Dump!$B$2:$B994=$C422)*
  Dump!$D$2:$D994)</f>
        <v>0</v>
      </c>
      <c r="L422" s="4">
        <f>SUMPRODUCT(
  (TEXT(Dump!$A$2:$A994,"mmm-yy")=TEXT($Y422,"mmm-yy"))*
  (Dump!$B$2:$B994=$C422)*
  Dump!$E$2:$E994
)</f>
        <v>0</v>
      </c>
      <c r="M422" s="4">
        <f>SUMPRODUCT(
  (TEXT(Dump!$A$2:$A994,"mmm-yy")=TEXT($Y422,"mmm-yy"))*
  (Dump!$B$2:$B994=$C422)*
  Dump!$P$2:$P994
)</f>
        <v>0</v>
      </c>
      <c r="N422" s="32"/>
      <c r="O422" s="33">
        <f>SUMIFS(Dump!$D:$D,Dump!$B:$B,$C422,Dump!$A:$A,$Y422)</f>
        <v>0</v>
      </c>
      <c r="P422" s="33">
        <f>SUMIFS(Dump!R:R,Dump!B:B,C422,Dump!A:A,Y422)</f>
        <v>0</v>
      </c>
      <c r="Q422" s="34">
        <f t="shared" si="21"/>
        <v>0</v>
      </c>
      <c r="S422" s="4">
        <f>SUMIFS(Dump!E:E,Dump!B:B,C422,Dump!A:A,Y422)</f>
        <v>0</v>
      </c>
      <c r="T422" s="35">
        <f t="shared" si="22"/>
        <v>0</v>
      </c>
      <c r="V422" s="4">
        <f>SUMIFS(Dump!P:P,Dump!B:B,C422,Dump!A:A,Y422)</f>
        <v>0</v>
      </c>
      <c r="W422" s="37">
        <f t="shared" si="23"/>
        <v>0</v>
      </c>
      <c r="X422" s="39"/>
      <c r="Y422" s="54"/>
    </row>
    <row r="423">
      <c r="C423" s="53"/>
      <c r="G423" s="2" t="str">
        <f t="shared" si="27"/>
        <v/>
      </c>
      <c r="I423" s="4">
        <f>SUMIFS(Dump!D:D,Dump!B:B,C423)</f>
        <v>0</v>
      </c>
      <c r="J423" s="5">
        <f>SUMIFS(Dump!AE:AE,Dump!B:B,C423)</f>
        <v>0</v>
      </c>
      <c r="K423" s="4">
        <f>SUMPRODUCT(
  (TEXT(Dump!$A$2:$A994,"mmm-yy")=TEXT($Y423,"mmm-yy"))*
  (Dump!$B$2:$B994=$C423)*
  Dump!$D$2:$D994)</f>
        <v>0</v>
      </c>
      <c r="L423" s="4">
        <f>SUMPRODUCT(
  (TEXT(Dump!$A$2:$A994,"mmm-yy")=TEXT($Y423,"mmm-yy"))*
  (Dump!$B$2:$B994=$C423)*
  Dump!$E$2:$E994
)</f>
        <v>0</v>
      </c>
      <c r="M423" s="4">
        <f>SUMPRODUCT(
  (TEXT(Dump!$A$2:$A994,"mmm-yy")=TEXT($Y423,"mmm-yy"))*
  (Dump!$B$2:$B994=$C423)*
  Dump!$P$2:$P994
)</f>
        <v>0</v>
      </c>
      <c r="N423" s="32"/>
      <c r="O423" s="33">
        <f>SUMIFS(Dump!$D:$D,Dump!$B:$B,$C423,Dump!$A:$A,$Y423)</f>
        <v>0</v>
      </c>
      <c r="P423" s="33">
        <f>SUMIFS(Dump!R:R,Dump!B:B,C423,Dump!A:A,Y423)</f>
        <v>0</v>
      </c>
      <c r="Q423" s="34">
        <f t="shared" si="21"/>
        <v>0</v>
      </c>
      <c r="S423" s="4">
        <f>SUMIFS(Dump!E:E,Dump!B:B,C423,Dump!A:A,Y423)</f>
        <v>0</v>
      </c>
      <c r="T423" s="35">
        <f t="shared" si="22"/>
        <v>0</v>
      </c>
      <c r="V423" s="4">
        <f>SUMIFS(Dump!P:P,Dump!B:B,C423,Dump!A:A,Y423)</f>
        <v>0</v>
      </c>
      <c r="W423" s="37">
        <f t="shared" si="23"/>
        <v>0</v>
      </c>
      <c r="X423" s="39"/>
      <c r="Y423" s="54"/>
    </row>
    <row r="424">
      <c r="C424" s="53"/>
      <c r="G424" s="2" t="str">
        <f t="shared" si="27"/>
        <v/>
      </c>
      <c r="I424" s="4">
        <f>SUMIFS(Dump!D:D,Dump!B:B,C424)</f>
        <v>0</v>
      </c>
      <c r="J424" s="5">
        <f>SUMIFS(Dump!AE:AE,Dump!B:B,C424)</f>
        <v>0</v>
      </c>
      <c r="K424" s="4">
        <f>SUMPRODUCT(
  (TEXT(Dump!$A$2:$A994,"mmm-yy")=TEXT($Y424,"mmm-yy"))*
  (Dump!$B$2:$B994=$C424)*
  Dump!$D$2:$D994)</f>
        <v>0</v>
      </c>
      <c r="L424" s="4">
        <f>SUMPRODUCT(
  (TEXT(Dump!$A$2:$A994,"mmm-yy")=TEXT($Y424,"mmm-yy"))*
  (Dump!$B$2:$B994=$C424)*
  Dump!$E$2:$E994
)</f>
        <v>0</v>
      </c>
      <c r="M424" s="4">
        <f>SUMPRODUCT(
  (TEXT(Dump!$A$2:$A994,"mmm-yy")=TEXT($Y424,"mmm-yy"))*
  (Dump!$B$2:$B994=$C424)*
  Dump!$P$2:$P994
)</f>
        <v>0</v>
      </c>
      <c r="N424" s="32"/>
      <c r="O424" s="33">
        <f>SUMIFS(Dump!$D:$D,Dump!$B:$B,$C424,Dump!$A:$A,$Y424)</f>
        <v>0</v>
      </c>
      <c r="P424" s="33">
        <f>SUMIFS(Dump!R:R,Dump!B:B,C424,Dump!A:A,Y424)</f>
        <v>0</v>
      </c>
      <c r="Q424" s="34">
        <f t="shared" si="21"/>
        <v>0</v>
      </c>
      <c r="S424" s="4">
        <f>SUMIFS(Dump!E:E,Dump!B:B,C424,Dump!A:A,Y424)</f>
        <v>0</v>
      </c>
      <c r="T424" s="35">
        <f t="shared" si="22"/>
        <v>0</v>
      </c>
      <c r="V424" s="4">
        <f>SUMIFS(Dump!P:P,Dump!B:B,C424,Dump!A:A,Y424)</f>
        <v>0</v>
      </c>
      <c r="W424" s="37">
        <f t="shared" si="23"/>
        <v>0</v>
      </c>
      <c r="X424" s="39"/>
      <c r="Y424" s="54"/>
    </row>
    <row r="425">
      <c r="C425" s="53"/>
      <c r="G425" s="2" t="str">
        <f t="shared" si="27"/>
        <v/>
      </c>
      <c r="I425" s="4">
        <f>SUMIFS(Dump!D:D,Dump!B:B,C425)</f>
        <v>0</v>
      </c>
      <c r="J425" s="5">
        <f>SUMIFS(Dump!AE:AE,Dump!B:B,C425)</f>
        <v>0</v>
      </c>
      <c r="K425" s="4">
        <f>SUMPRODUCT(
  (TEXT(Dump!$A$2:$A994,"mmm-yy")=TEXT($Y425,"mmm-yy"))*
  (Dump!$B$2:$B994=$C425)*
  Dump!$D$2:$D994)</f>
        <v>0</v>
      </c>
      <c r="L425" s="4">
        <f>SUMPRODUCT(
  (TEXT(Dump!$A$2:$A994,"mmm-yy")=TEXT($Y425,"mmm-yy"))*
  (Dump!$B$2:$B994=$C425)*
  Dump!$E$2:$E994
)</f>
        <v>0</v>
      </c>
      <c r="M425" s="4">
        <f>SUMPRODUCT(
  (TEXT(Dump!$A$2:$A994,"mmm-yy")=TEXT($Y425,"mmm-yy"))*
  (Dump!$B$2:$B994=$C425)*
  Dump!$P$2:$P994
)</f>
        <v>0</v>
      </c>
      <c r="N425" s="32"/>
      <c r="O425" s="33">
        <f>SUMIFS(Dump!$D:$D,Dump!$B:$B,$C425,Dump!$A:$A,$Y425)</f>
        <v>0</v>
      </c>
      <c r="P425" s="33">
        <f>SUMIFS(Dump!R:R,Dump!B:B,C425,Dump!A:A,Y425)</f>
        <v>0</v>
      </c>
      <c r="Q425" s="34">
        <f t="shared" si="21"/>
        <v>0</v>
      </c>
      <c r="S425" s="4">
        <f>SUMIFS(Dump!E:E,Dump!B:B,C425,Dump!A:A,Y425)</f>
        <v>0</v>
      </c>
      <c r="T425" s="35">
        <f t="shared" si="22"/>
        <v>0</v>
      </c>
      <c r="V425" s="4">
        <f>SUMIFS(Dump!P:P,Dump!B:B,C425,Dump!A:A,Y425)</f>
        <v>0</v>
      </c>
      <c r="W425" s="37">
        <f t="shared" si="23"/>
        <v>0</v>
      </c>
      <c r="X425" s="39"/>
      <c r="Y425" s="54"/>
    </row>
    <row r="426">
      <c r="C426" s="53"/>
      <c r="G426" s="2" t="str">
        <f t="shared" si="27"/>
        <v/>
      </c>
      <c r="I426" s="4">
        <f>SUMIFS(Dump!D:D,Dump!B:B,C426)</f>
        <v>0</v>
      </c>
      <c r="J426" s="5">
        <f>SUMIFS(Dump!AE:AE,Dump!B:B,C426)</f>
        <v>0</v>
      </c>
      <c r="K426" s="4">
        <f>SUMPRODUCT(
  (TEXT(Dump!$A$2:$A994,"mmm-yy")=TEXT($Y426,"mmm-yy"))*
  (Dump!$B$2:$B994=$C426)*
  Dump!$D$2:$D994)</f>
        <v>0</v>
      </c>
      <c r="L426" s="4">
        <f>SUMPRODUCT(
  (TEXT(Dump!$A$2:$A994,"mmm-yy")=TEXT($Y426,"mmm-yy"))*
  (Dump!$B$2:$B994=$C426)*
  Dump!$E$2:$E994
)</f>
        <v>0</v>
      </c>
      <c r="M426" s="4">
        <f>SUMPRODUCT(
  (TEXT(Dump!$A$2:$A994,"mmm-yy")=TEXT($Y426,"mmm-yy"))*
  (Dump!$B$2:$B994=$C426)*
  Dump!$P$2:$P994
)</f>
        <v>0</v>
      </c>
      <c r="N426" s="32"/>
      <c r="O426" s="33">
        <f>SUMIFS(Dump!$D:$D,Dump!$B:$B,$C426,Dump!$A:$A,$Y426)</f>
        <v>0</v>
      </c>
      <c r="P426" s="33">
        <f>SUMIFS(Dump!R:R,Dump!B:B,C426,Dump!A:A,Y426)</f>
        <v>0</v>
      </c>
      <c r="Q426" s="34">
        <f t="shared" si="21"/>
        <v>0</v>
      </c>
      <c r="S426" s="4">
        <f>SUMIFS(Dump!E:E,Dump!B:B,C426,Dump!A:A,Y426)</f>
        <v>0</v>
      </c>
      <c r="T426" s="35">
        <f t="shared" si="22"/>
        <v>0</v>
      </c>
      <c r="V426" s="4">
        <f>SUMIFS(Dump!P:P,Dump!B:B,C426,Dump!A:A,Y426)</f>
        <v>0</v>
      </c>
      <c r="W426" s="37">
        <f t="shared" si="23"/>
        <v>0</v>
      </c>
      <c r="X426" s="39"/>
      <c r="Y426" s="54"/>
    </row>
    <row r="427">
      <c r="C427" s="53"/>
      <c r="G427" s="2" t="str">
        <f t="shared" si="27"/>
        <v/>
      </c>
      <c r="I427" s="4">
        <f>SUMIFS(Dump!D:D,Dump!B:B,C427)</f>
        <v>0</v>
      </c>
      <c r="J427" s="5">
        <f>SUMIFS(Dump!AE:AE,Dump!B:B,C427)</f>
        <v>0</v>
      </c>
      <c r="K427" s="4">
        <f>SUMPRODUCT(
  (TEXT(Dump!$A$2:$A994,"mmm-yy")=TEXT($Y427,"mmm-yy"))*
  (Dump!$B$2:$B994=$C427)*
  Dump!$D$2:$D994)</f>
        <v>0</v>
      </c>
      <c r="L427" s="4">
        <f>SUMPRODUCT(
  (TEXT(Dump!$A$2:$A994,"mmm-yy")=TEXT($Y427,"mmm-yy"))*
  (Dump!$B$2:$B994=$C427)*
  Dump!$E$2:$E994
)</f>
        <v>0</v>
      </c>
      <c r="M427" s="4">
        <f>SUMPRODUCT(
  (TEXT(Dump!$A$2:$A994,"mmm-yy")=TEXT($Y427,"mmm-yy"))*
  (Dump!$B$2:$B994=$C427)*
  Dump!$P$2:$P994
)</f>
        <v>0</v>
      </c>
      <c r="N427" s="32"/>
      <c r="O427" s="33">
        <f>SUMIFS(Dump!$D:$D,Dump!$B:$B,$C427,Dump!$A:$A,$Y427)</f>
        <v>0</v>
      </c>
      <c r="P427" s="33">
        <f>SUMIFS(Dump!R:R,Dump!B:B,C427,Dump!A:A,Y427)</f>
        <v>0</v>
      </c>
      <c r="Q427" s="34">
        <f t="shared" si="21"/>
        <v>0</v>
      </c>
      <c r="S427" s="4">
        <f>SUMIFS(Dump!E:E,Dump!B:B,C427,Dump!A:A,Y427)</f>
        <v>0</v>
      </c>
      <c r="T427" s="35">
        <f t="shared" si="22"/>
        <v>0</v>
      </c>
      <c r="V427" s="4">
        <f>SUMIFS(Dump!P:P,Dump!B:B,C427,Dump!A:A,Y427)</f>
        <v>0</v>
      </c>
      <c r="W427" s="37">
        <f t="shared" si="23"/>
        <v>0</v>
      </c>
      <c r="X427" s="39"/>
      <c r="Y427" s="54"/>
    </row>
    <row r="428">
      <c r="C428" s="53"/>
      <c r="G428" s="2" t="str">
        <f t="shared" si="27"/>
        <v/>
      </c>
      <c r="I428" s="4">
        <f>SUMIFS(Dump!D:D,Dump!B:B,C428)</f>
        <v>0</v>
      </c>
      <c r="J428" s="5">
        <f>SUMIFS(Dump!AE:AE,Dump!B:B,C428)</f>
        <v>0</v>
      </c>
      <c r="K428" s="4">
        <f>SUMPRODUCT(
  (TEXT(Dump!$A$2:$A994,"mmm-yy")=TEXT($Y428,"mmm-yy"))*
  (Dump!$B$2:$B994=$C428)*
  Dump!$D$2:$D994)</f>
        <v>0</v>
      </c>
      <c r="L428" s="4">
        <f>SUMPRODUCT(
  (TEXT(Dump!$A$2:$A994,"mmm-yy")=TEXT($Y428,"mmm-yy"))*
  (Dump!$B$2:$B994=$C428)*
  Dump!$E$2:$E994
)</f>
        <v>0</v>
      </c>
      <c r="M428" s="4">
        <f>SUMPRODUCT(
  (TEXT(Dump!$A$2:$A994,"mmm-yy")=TEXT($Y428,"mmm-yy"))*
  (Dump!$B$2:$B994=$C428)*
  Dump!$P$2:$P994
)</f>
        <v>0</v>
      </c>
      <c r="N428" s="32"/>
      <c r="O428" s="33">
        <f>SUMIFS(Dump!$D:$D,Dump!$B:$B,$C428,Dump!$A:$A,$Y428)</f>
        <v>0</v>
      </c>
      <c r="P428" s="33">
        <f>SUMIFS(Dump!R:R,Dump!B:B,C428,Dump!A:A,Y428)</f>
        <v>0</v>
      </c>
      <c r="Q428" s="34">
        <f t="shared" si="21"/>
        <v>0</v>
      </c>
      <c r="S428" s="4">
        <f>SUMIFS(Dump!E:E,Dump!B:B,C428,Dump!A:A,Y428)</f>
        <v>0</v>
      </c>
      <c r="T428" s="35">
        <f t="shared" si="22"/>
        <v>0</v>
      </c>
      <c r="V428" s="4">
        <f>SUMIFS(Dump!P:P,Dump!B:B,C428,Dump!A:A,Y428)</f>
        <v>0</v>
      </c>
      <c r="W428" s="37">
        <f t="shared" si="23"/>
        <v>0</v>
      </c>
      <c r="X428" s="39"/>
      <c r="Y428" s="54"/>
    </row>
    <row r="429">
      <c r="C429" s="53"/>
      <c r="G429" s="2" t="str">
        <f t="shared" si="27"/>
        <v/>
      </c>
      <c r="I429" s="4">
        <f>SUMIFS(Dump!D:D,Dump!B:B,C429)</f>
        <v>0</v>
      </c>
      <c r="J429" s="5">
        <f>SUMIFS(Dump!AE:AE,Dump!B:B,C429)</f>
        <v>0</v>
      </c>
      <c r="K429" s="4">
        <f>SUMPRODUCT(
  (TEXT(Dump!$A$2:$A994,"mmm-yy")=TEXT($Y429,"mmm-yy"))*
  (Dump!$B$2:$B994=$C429)*
  Dump!$D$2:$D994)</f>
        <v>0</v>
      </c>
      <c r="L429" s="4">
        <f>SUMPRODUCT(
  (TEXT(Dump!$A$2:$A994,"mmm-yy")=TEXT($Y429,"mmm-yy"))*
  (Dump!$B$2:$B994=$C429)*
  Dump!$E$2:$E994
)</f>
        <v>0</v>
      </c>
      <c r="M429" s="4">
        <f>SUMPRODUCT(
  (TEXT(Dump!$A$2:$A994,"mmm-yy")=TEXT($Y429,"mmm-yy"))*
  (Dump!$B$2:$B994=$C429)*
  Dump!$P$2:$P994
)</f>
        <v>0</v>
      </c>
      <c r="N429" s="32"/>
      <c r="O429" s="33">
        <f>SUMIFS(Dump!$D:$D,Dump!$B:$B,$C429,Dump!$A:$A,$Y429)</f>
        <v>0</v>
      </c>
      <c r="P429" s="33">
        <f>SUMIFS(Dump!R:R,Dump!B:B,C429,Dump!A:A,Y429)</f>
        <v>0</v>
      </c>
      <c r="Q429" s="34">
        <f t="shared" si="21"/>
        <v>0</v>
      </c>
      <c r="S429" s="4">
        <f>SUMIFS(Dump!E:E,Dump!B:B,C429,Dump!A:A,Y429)</f>
        <v>0</v>
      </c>
      <c r="T429" s="35">
        <f t="shared" si="22"/>
        <v>0</v>
      </c>
      <c r="V429" s="4">
        <f>SUMIFS(Dump!P:P,Dump!B:B,C429,Dump!A:A,Y429)</f>
        <v>0</v>
      </c>
      <c r="W429" s="37">
        <f t="shared" si="23"/>
        <v>0</v>
      </c>
      <c r="X429" s="39"/>
      <c r="Y429" s="54"/>
    </row>
    <row r="430">
      <c r="C430" s="53"/>
      <c r="G430" s="2" t="str">
        <f t="shared" si="27"/>
        <v/>
      </c>
      <c r="I430" s="4">
        <f>SUMIFS(Dump!D:D,Dump!B:B,C430)</f>
        <v>0</v>
      </c>
      <c r="J430" s="5">
        <f>SUMIFS(Dump!AE:AE,Dump!B:B,C430)</f>
        <v>0</v>
      </c>
      <c r="K430" s="4">
        <f>SUMPRODUCT(
  (TEXT(Dump!$A$2:$A994,"mmm-yy")=TEXT($Y430,"mmm-yy"))*
  (Dump!$B$2:$B994=$C430)*
  Dump!$D$2:$D994)</f>
        <v>0</v>
      </c>
      <c r="L430" s="4">
        <f>SUMPRODUCT(
  (TEXT(Dump!$A$2:$A994,"mmm-yy")=TEXT($Y430,"mmm-yy"))*
  (Dump!$B$2:$B994=$C430)*
  Dump!$E$2:$E994
)</f>
        <v>0</v>
      </c>
      <c r="M430" s="4">
        <f>SUMPRODUCT(
  (TEXT(Dump!$A$2:$A994,"mmm-yy")=TEXT($Y430,"mmm-yy"))*
  (Dump!$B$2:$B994=$C430)*
  Dump!$P$2:$P994
)</f>
        <v>0</v>
      </c>
      <c r="N430" s="32"/>
      <c r="O430" s="33">
        <f>SUMIFS(Dump!$D:$D,Dump!$B:$B,$C430,Dump!$A:$A,$Y430)</f>
        <v>0</v>
      </c>
      <c r="P430" s="33">
        <f>SUMIFS(Dump!R:R,Dump!B:B,C430,Dump!A:A,Y430)</f>
        <v>0</v>
      </c>
      <c r="Q430" s="34">
        <f t="shared" si="21"/>
        <v>0</v>
      </c>
      <c r="S430" s="4">
        <f>SUMIFS(Dump!E:E,Dump!B:B,C430,Dump!A:A,Y430)</f>
        <v>0</v>
      </c>
      <c r="T430" s="35">
        <f t="shared" si="22"/>
        <v>0</v>
      </c>
      <c r="V430" s="4">
        <f>SUMIFS(Dump!P:P,Dump!B:B,C430,Dump!A:A,Y430)</f>
        <v>0</v>
      </c>
      <c r="W430" s="37">
        <f t="shared" si="23"/>
        <v>0</v>
      </c>
      <c r="X430" s="39"/>
      <c r="Y430" s="54"/>
    </row>
    <row r="431">
      <c r="C431" s="53"/>
      <c r="G431" s="2" t="str">
        <f t="shared" si="27"/>
        <v/>
      </c>
      <c r="I431" s="4">
        <f>SUMIFS(Dump!D:D,Dump!B:B,C431)</f>
        <v>0</v>
      </c>
      <c r="J431" s="5">
        <f>SUMIFS(Dump!AE:AE,Dump!B:B,C431)</f>
        <v>0</v>
      </c>
      <c r="K431" s="4">
        <f>SUMPRODUCT(
  (TEXT(Dump!$A$2:$A994,"mmm-yy")=TEXT($Y431,"mmm-yy"))*
  (Dump!$B$2:$B994=$C431)*
  Dump!$D$2:$D994)</f>
        <v>0</v>
      </c>
      <c r="L431" s="4">
        <f>SUMPRODUCT(
  (TEXT(Dump!$A$2:$A994,"mmm-yy")=TEXT($Y431,"mmm-yy"))*
  (Dump!$B$2:$B994=$C431)*
  Dump!$E$2:$E994
)</f>
        <v>0</v>
      </c>
      <c r="M431" s="4">
        <f>SUMPRODUCT(
  (TEXT(Dump!$A$2:$A994,"mmm-yy")=TEXT($Y431,"mmm-yy"))*
  (Dump!$B$2:$B994=$C431)*
  Dump!$P$2:$P994
)</f>
        <v>0</v>
      </c>
      <c r="N431" s="32"/>
      <c r="O431" s="33">
        <f>SUMIFS(Dump!$D:$D,Dump!$B:$B,$C431,Dump!$A:$A,$Y431)</f>
        <v>0</v>
      </c>
      <c r="P431" s="33">
        <f>SUMIFS(Dump!R:R,Dump!B:B,C431,Dump!A:A,Y431)</f>
        <v>0</v>
      </c>
      <c r="Q431" s="34">
        <f t="shared" si="21"/>
        <v>0</v>
      </c>
      <c r="S431" s="4">
        <f>SUMIFS(Dump!E:E,Dump!B:B,C431,Dump!A:A,Y431)</f>
        <v>0</v>
      </c>
      <c r="T431" s="35">
        <f t="shared" si="22"/>
        <v>0</v>
      </c>
      <c r="V431" s="4">
        <f>SUMIFS(Dump!P:P,Dump!B:B,C431,Dump!A:A,Y431)</f>
        <v>0</v>
      </c>
      <c r="W431" s="37">
        <f t="shared" si="23"/>
        <v>0</v>
      </c>
      <c r="X431" s="39"/>
      <c r="Y431" s="54"/>
    </row>
    <row r="432">
      <c r="C432" s="53"/>
      <c r="G432" s="2" t="str">
        <f t="shared" si="27"/>
        <v/>
      </c>
      <c r="I432" s="4">
        <f>SUMIFS(Dump!D:D,Dump!B:B,C432)</f>
        <v>0</v>
      </c>
      <c r="J432" s="5">
        <f>SUMIFS(Dump!AE:AE,Dump!B:B,C432)</f>
        <v>0</v>
      </c>
      <c r="K432" s="4">
        <f>SUMPRODUCT(
  (TEXT(Dump!$A$2:$A994,"mmm-yy")=TEXT($Y432,"mmm-yy"))*
  (Dump!$B$2:$B994=$C432)*
  Dump!$D$2:$D994)</f>
        <v>0</v>
      </c>
      <c r="L432" s="4">
        <f>SUMPRODUCT(
  (TEXT(Dump!$A$2:$A994,"mmm-yy")=TEXT($Y432,"mmm-yy"))*
  (Dump!$B$2:$B994=$C432)*
  Dump!$E$2:$E994
)</f>
        <v>0</v>
      </c>
      <c r="M432" s="4">
        <f>SUMPRODUCT(
  (TEXT(Dump!$A$2:$A994,"mmm-yy")=TEXT($Y432,"mmm-yy"))*
  (Dump!$B$2:$B994=$C432)*
  Dump!$P$2:$P994
)</f>
        <v>0</v>
      </c>
      <c r="N432" s="32"/>
      <c r="O432" s="33">
        <f>SUMIFS(Dump!$D:$D,Dump!$B:$B,$C432,Dump!$A:$A,$Y432)</f>
        <v>0</v>
      </c>
      <c r="P432" s="33">
        <f>SUMIFS(Dump!R:R,Dump!B:B,C432,Dump!A:A,Y432)</f>
        <v>0</v>
      </c>
      <c r="Q432" s="34">
        <f t="shared" si="21"/>
        <v>0</v>
      </c>
      <c r="S432" s="4">
        <f>SUMIFS(Dump!E:E,Dump!B:B,C432,Dump!A:A,Y432)</f>
        <v>0</v>
      </c>
      <c r="T432" s="35">
        <f t="shared" si="22"/>
        <v>0</v>
      </c>
      <c r="V432" s="4">
        <f>SUMIFS(Dump!P:P,Dump!B:B,C432,Dump!A:A,Y432)</f>
        <v>0</v>
      </c>
      <c r="W432" s="37">
        <f t="shared" si="23"/>
        <v>0</v>
      </c>
      <c r="X432" s="39"/>
      <c r="Y432" s="54"/>
    </row>
    <row r="433">
      <c r="C433" s="53"/>
      <c r="G433" s="2" t="str">
        <f t="shared" si="27"/>
        <v/>
      </c>
      <c r="I433" s="4">
        <f>SUMIFS(Dump!D:D,Dump!B:B,C433)</f>
        <v>0</v>
      </c>
      <c r="J433" s="5">
        <f>SUMIFS(Dump!AE:AE,Dump!B:B,C433)</f>
        <v>0</v>
      </c>
      <c r="K433" s="4">
        <f>SUMPRODUCT(
  (TEXT(Dump!$A$2:$A994,"mmm-yy")=TEXT($Y433,"mmm-yy"))*
  (Dump!$B$2:$B994=$C433)*
  Dump!$D$2:$D994)</f>
        <v>0</v>
      </c>
      <c r="L433" s="4">
        <f>SUMPRODUCT(
  (TEXT(Dump!$A$2:$A994,"mmm-yy")=TEXT($Y433,"mmm-yy"))*
  (Dump!$B$2:$B994=$C433)*
  Dump!$E$2:$E994
)</f>
        <v>0</v>
      </c>
      <c r="M433" s="4">
        <f>SUMPRODUCT(
  (TEXT(Dump!$A$2:$A994,"mmm-yy")=TEXT($Y433,"mmm-yy"))*
  (Dump!$B$2:$B994=$C433)*
  Dump!$P$2:$P994
)</f>
        <v>0</v>
      </c>
      <c r="N433" s="32"/>
      <c r="O433" s="33">
        <f>SUMIFS(Dump!$D:$D,Dump!$B:$B,$C433,Dump!$A:$A,$Y433)</f>
        <v>0</v>
      </c>
      <c r="P433" s="33">
        <f>SUMIFS(Dump!R:R,Dump!B:B,C433,Dump!A:A,Y433)</f>
        <v>0</v>
      </c>
      <c r="Q433" s="34">
        <f t="shared" si="21"/>
        <v>0</v>
      </c>
      <c r="S433" s="4">
        <f>SUMIFS(Dump!E:E,Dump!B:B,C433,Dump!A:A,Y433)</f>
        <v>0</v>
      </c>
      <c r="T433" s="35">
        <f t="shared" si="22"/>
        <v>0</v>
      </c>
      <c r="V433" s="4">
        <f>SUMIFS(Dump!P:P,Dump!B:B,C433,Dump!A:A,Y433)</f>
        <v>0</v>
      </c>
      <c r="W433" s="37">
        <f t="shared" si="23"/>
        <v>0</v>
      </c>
      <c r="X433" s="39"/>
      <c r="Y433" s="54"/>
    </row>
    <row r="434">
      <c r="C434" s="53"/>
      <c r="G434" s="2" t="str">
        <f t="shared" si="27"/>
        <v/>
      </c>
      <c r="I434" s="4">
        <f>SUMIFS(Dump!D:D,Dump!B:B,C434)</f>
        <v>0</v>
      </c>
      <c r="J434" s="5">
        <f>SUMIFS(Dump!AE:AE,Dump!B:B,C434)</f>
        <v>0</v>
      </c>
      <c r="K434" s="4">
        <f>SUMPRODUCT(
  (TEXT(Dump!$A$2:$A994,"mmm-yy")=TEXT($Y434,"mmm-yy"))*
  (Dump!$B$2:$B994=$C434)*
  Dump!$D$2:$D994)</f>
        <v>0</v>
      </c>
      <c r="L434" s="4">
        <f>SUMPRODUCT(
  (TEXT(Dump!$A$2:$A994,"mmm-yy")=TEXT($Y434,"mmm-yy"))*
  (Dump!$B$2:$B994=$C434)*
  Dump!$E$2:$E994
)</f>
        <v>0</v>
      </c>
      <c r="M434" s="4">
        <f>SUMPRODUCT(
  (TEXT(Dump!$A$2:$A994,"mmm-yy")=TEXT($Y434,"mmm-yy"))*
  (Dump!$B$2:$B994=$C434)*
  Dump!$P$2:$P994
)</f>
        <v>0</v>
      </c>
      <c r="N434" s="32"/>
      <c r="O434" s="33">
        <f>SUMIFS(Dump!$D:$D,Dump!$B:$B,$C434,Dump!$A:$A,$Y434)</f>
        <v>0</v>
      </c>
      <c r="P434" s="33">
        <f>SUMIFS(Dump!R:R,Dump!B:B,C434,Dump!A:A,Y434)</f>
        <v>0</v>
      </c>
      <c r="Q434" s="34">
        <f t="shared" si="21"/>
        <v>0</v>
      </c>
      <c r="S434" s="4">
        <f>SUMIFS(Dump!E:E,Dump!B:B,C434,Dump!A:A,Y434)</f>
        <v>0</v>
      </c>
      <c r="T434" s="35">
        <f t="shared" si="22"/>
        <v>0</v>
      </c>
      <c r="V434" s="4">
        <f>SUMIFS(Dump!P:P,Dump!B:B,C434,Dump!A:A,Y434)</f>
        <v>0</v>
      </c>
      <c r="W434" s="37">
        <f t="shared" si="23"/>
        <v>0</v>
      </c>
      <c r="X434" s="39"/>
      <c r="Y434" s="54"/>
    </row>
    <row r="435">
      <c r="C435" s="53"/>
      <c r="G435" s="2" t="str">
        <f t="shared" si="27"/>
        <v/>
      </c>
      <c r="I435" s="4">
        <f>SUMIFS(Dump!D:D,Dump!B:B,C435)</f>
        <v>0</v>
      </c>
      <c r="J435" s="5">
        <f>SUMIFS(Dump!AE:AE,Dump!B:B,C435)</f>
        <v>0</v>
      </c>
      <c r="K435" s="4">
        <f>SUMPRODUCT(
  (TEXT(Dump!$A$2:$A994,"mmm-yy")=TEXT($Y435,"mmm-yy"))*
  (Dump!$B$2:$B994=$C435)*
  Dump!$D$2:$D994)</f>
        <v>0</v>
      </c>
      <c r="L435" s="4">
        <f>SUMPRODUCT(
  (TEXT(Dump!$A$2:$A994,"mmm-yy")=TEXT($Y435,"mmm-yy"))*
  (Dump!$B$2:$B994=$C435)*
  Dump!$E$2:$E994
)</f>
        <v>0</v>
      </c>
      <c r="M435" s="4">
        <f>SUMPRODUCT(
  (TEXT(Dump!$A$2:$A994,"mmm-yy")=TEXT($Y435,"mmm-yy"))*
  (Dump!$B$2:$B994=$C435)*
  Dump!$P$2:$P994
)</f>
        <v>0</v>
      </c>
      <c r="N435" s="32"/>
      <c r="O435" s="33">
        <f>SUMIFS(Dump!$D:$D,Dump!$B:$B,$C435,Dump!$A:$A,$Y435)</f>
        <v>0</v>
      </c>
      <c r="P435" s="33">
        <f>SUMIFS(Dump!R:R,Dump!B:B,C435,Dump!A:A,Y435)</f>
        <v>0</v>
      </c>
      <c r="Q435" s="34">
        <f t="shared" si="21"/>
        <v>0</v>
      </c>
      <c r="S435" s="4">
        <f>SUMIFS(Dump!E:E,Dump!B:B,C435,Dump!A:A,Y435)</f>
        <v>0</v>
      </c>
      <c r="T435" s="35">
        <f t="shared" si="22"/>
        <v>0</v>
      </c>
      <c r="V435" s="4">
        <f>SUMIFS(Dump!P:P,Dump!B:B,C435,Dump!A:A,Y435)</f>
        <v>0</v>
      </c>
      <c r="W435" s="37">
        <f t="shared" si="23"/>
        <v>0</v>
      </c>
      <c r="X435" s="39"/>
      <c r="Y435" s="54"/>
    </row>
    <row r="436">
      <c r="C436" s="53"/>
      <c r="G436" s="2" t="str">
        <f t="shared" si="27"/>
        <v/>
      </c>
      <c r="I436" s="4">
        <f>SUMIFS(Dump!D:D,Dump!B:B,C436)</f>
        <v>0</v>
      </c>
      <c r="J436" s="5">
        <f>SUMIFS(Dump!AE:AE,Dump!B:B,C436)</f>
        <v>0</v>
      </c>
      <c r="K436" s="4">
        <f>SUMPRODUCT(
  (TEXT(Dump!$A$2:$A994,"mmm-yy")=TEXT($Y436,"mmm-yy"))*
  (Dump!$B$2:$B994=$C436)*
  Dump!$D$2:$D994)</f>
        <v>0</v>
      </c>
      <c r="L436" s="4">
        <f>SUMPRODUCT(
  (TEXT(Dump!$A$2:$A994,"mmm-yy")=TEXT($Y436,"mmm-yy"))*
  (Dump!$B$2:$B994=$C436)*
  Dump!$E$2:$E994
)</f>
        <v>0</v>
      </c>
      <c r="M436" s="4">
        <f>SUMPRODUCT(
  (TEXT(Dump!$A$2:$A994,"mmm-yy")=TEXT($Y436,"mmm-yy"))*
  (Dump!$B$2:$B994=$C436)*
  Dump!$P$2:$P994
)</f>
        <v>0</v>
      </c>
      <c r="N436" s="32"/>
      <c r="O436" s="33">
        <f>SUMIFS(Dump!$D:$D,Dump!$B:$B,$C436,Dump!$A:$A,$Y436)</f>
        <v>0</v>
      </c>
      <c r="P436" s="33">
        <f>SUMIFS(Dump!R:R,Dump!B:B,C436,Dump!A:A,Y436)</f>
        <v>0</v>
      </c>
      <c r="Q436" s="34">
        <f t="shared" si="21"/>
        <v>0</v>
      </c>
      <c r="S436" s="4">
        <f>SUMIFS(Dump!E:E,Dump!B:B,C436,Dump!A:A,Y436)</f>
        <v>0</v>
      </c>
      <c r="T436" s="35">
        <f t="shared" si="22"/>
        <v>0</v>
      </c>
      <c r="V436" s="4">
        <f>SUMIFS(Dump!P:P,Dump!B:B,C436,Dump!A:A,Y436)</f>
        <v>0</v>
      </c>
      <c r="W436" s="37">
        <f t="shared" si="23"/>
        <v>0</v>
      </c>
      <c r="X436" s="39"/>
      <c r="Y436" s="54"/>
    </row>
    <row r="437">
      <c r="C437" s="53"/>
      <c r="G437" s="2" t="str">
        <f t="shared" si="27"/>
        <v/>
      </c>
      <c r="I437" s="4">
        <f>SUMIFS(Dump!D:D,Dump!B:B,C437)</f>
        <v>0</v>
      </c>
      <c r="J437" s="5">
        <f>SUMIFS(Dump!AE:AE,Dump!B:B,C437)</f>
        <v>0</v>
      </c>
      <c r="K437" s="4">
        <f>SUMPRODUCT(
  (TEXT(Dump!$A$2:$A994,"mmm-yy")=TEXT($Y437,"mmm-yy"))*
  (Dump!$B$2:$B994=$C437)*
  Dump!$D$2:$D994)</f>
        <v>0</v>
      </c>
      <c r="L437" s="4">
        <f>SUMPRODUCT(
  (TEXT(Dump!$A$2:$A994,"mmm-yy")=TEXT($Y437,"mmm-yy"))*
  (Dump!$B$2:$B994=$C437)*
  Dump!$E$2:$E994
)</f>
        <v>0</v>
      </c>
      <c r="M437" s="4">
        <f>SUMPRODUCT(
  (TEXT(Dump!$A$2:$A994,"mmm-yy")=TEXT($Y437,"mmm-yy"))*
  (Dump!$B$2:$B994=$C437)*
  Dump!$P$2:$P994
)</f>
        <v>0</v>
      </c>
      <c r="N437" s="32"/>
      <c r="O437" s="33">
        <f>SUMIFS(Dump!$D:$D,Dump!$B:$B,$C437,Dump!$A:$A,$Y437)</f>
        <v>0</v>
      </c>
      <c r="P437" s="33">
        <f>SUMIFS(Dump!R:R,Dump!B:B,C437,Dump!A:A,Y437)</f>
        <v>0</v>
      </c>
      <c r="Q437" s="34">
        <f t="shared" si="21"/>
        <v>0</v>
      </c>
      <c r="S437" s="4">
        <f>SUMIFS(Dump!E:E,Dump!B:B,C437,Dump!A:A,Y437)</f>
        <v>0</v>
      </c>
      <c r="T437" s="35">
        <f t="shared" si="22"/>
        <v>0</v>
      </c>
      <c r="V437" s="4">
        <f>SUMIFS(Dump!P:P,Dump!B:B,C437,Dump!A:A,Y437)</f>
        <v>0</v>
      </c>
      <c r="W437" s="37">
        <f t="shared" si="23"/>
        <v>0</v>
      </c>
      <c r="X437" s="39"/>
      <c r="Y437" s="54"/>
    </row>
    <row r="438">
      <c r="C438" s="53"/>
      <c r="G438" s="2" t="str">
        <f t="shared" si="27"/>
        <v/>
      </c>
      <c r="I438" s="4">
        <f>SUMIFS(Dump!D:D,Dump!B:B,C438)</f>
        <v>0</v>
      </c>
      <c r="J438" s="5">
        <f>SUMIFS(Dump!AE:AE,Dump!B:B,C438)</f>
        <v>0</v>
      </c>
      <c r="K438" s="4">
        <f>SUMPRODUCT(
  (TEXT(Dump!$A$2:$A994,"mmm-yy")=TEXT($Y438,"mmm-yy"))*
  (Dump!$B$2:$B994=$C438)*
  Dump!$D$2:$D994)</f>
        <v>0</v>
      </c>
      <c r="L438" s="4">
        <f>SUMPRODUCT(
  (TEXT(Dump!$A$2:$A994,"mmm-yy")=TEXT($Y438,"mmm-yy"))*
  (Dump!$B$2:$B994=$C438)*
  Dump!$E$2:$E994
)</f>
        <v>0</v>
      </c>
      <c r="M438" s="4">
        <f>SUMPRODUCT(
  (TEXT(Dump!$A$2:$A994,"mmm-yy")=TEXT($Y438,"mmm-yy"))*
  (Dump!$B$2:$B994=$C438)*
  Dump!$P$2:$P994
)</f>
        <v>0</v>
      </c>
      <c r="N438" s="32"/>
      <c r="O438" s="33">
        <f>SUMIFS(Dump!$D:$D,Dump!$B:$B,$C438,Dump!$A:$A,$Y438)</f>
        <v>0</v>
      </c>
      <c r="P438" s="33">
        <f>SUMIFS(Dump!R:R,Dump!B:B,C438,Dump!A:A,Y438)</f>
        <v>0</v>
      </c>
      <c r="Q438" s="34">
        <f t="shared" si="21"/>
        <v>0</v>
      </c>
      <c r="S438" s="4">
        <f>SUMIFS(Dump!E:E,Dump!B:B,C438,Dump!A:A,Y438)</f>
        <v>0</v>
      </c>
      <c r="T438" s="35">
        <f t="shared" si="22"/>
        <v>0</v>
      </c>
      <c r="V438" s="4">
        <f>SUMIFS(Dump!P:P,Dump!B:B,C438,Dump!A:A,Y438)</f>
        <v>0</v>
      </c>
      <c r="W438" s="37">
        <f t="shared" si="23"/>
        <v>0</v>
      </c>
      <c r="X438" s="39"/>
      <c r="Y438" s="54"/>
    </row>
    <row r="439">
      <c r="C439" s="53"/>
      <c r="G439" s="2" t="str">
        <f t="shared" si="27"/>
        <v/>
      </c>
      <c r="I439" s="4">
        <f>SUMIFS(Dump!D:D,Dump!B:B,C439)</f>
        <v>0</v>
      </c>
      <c r="J439" s="5">
        <f>SUMIFS(Dump!AE:AE,Dump!B:B,C439)</f>
        <v>0</v>
      </c>
      <c r="K439" s="4">
        <f>SUMPRODUCT(
  (TEXT(Dump!$A$2:$A994,"mmm-yy")=TEXT($Y439,"mmm-yy"))*
  (Dump!$B$2:$B994=$C439)*
  Dump!$D$2:$D994)</f>
        <v>0</v>
      </c>
      <c r="L439" s="4">
        <f>SUMPRODUCT(
  (TEXT(Dump!$A$2:$A994,"mmm-yy")=TEXT($Y439,"mmm-yy"))*
  (Dump!$B$2:$B994=$C439)*
  Dump!$E$2:$E994
)</f>
        <v>0</v>
      </c>
      <c r="M439" s="4">
        <f>SUMPRODUCT(
  (TEXT(Dump!$A$2:$A994,"mmm-yy")=TEXT($Y439,"mmm-yy"))*
  (Dump!$B$2:$B994=$C439)*
  Dump!$P$2:$P994
)</f>
        <v>0</v>
      </c>
      <c r="N439" s="32"/>
      <c r="O439" s="33">
        <f>SUMIFS(Dump!$D:$D,Dump!$B:$B,$C439,Dump!$A:$A,$Y439)</f>
        <v>0</v>
      </c>
      <c r="P439" s="33">
        <f>SUMIFS(Dump!R:R,Dump!B:B,C439,Dump!A:A,Y439)</f>
        <v>0</v>
      </c>
      <c r="Q439" s="34">
        <f t="shared" si="21"/>
        <v>0</v>
      </c>
      <c r="S439" s="4">
        <f>SUMIFS(Dump!E:E,Dump!B:B,C439,Dump!A:A,Y439)</f>
        <v>0</v>
      </c>
      <c r="T439" s="35">
        <f t="shared" si="22"/>
        <v>0</v>
      </c>
      <c r="V439" s="4">
        <f>SUMIFS(Dump!P:P,Dump!B:B,C439,Dump!A:A,Y439)</f>
        <v>0</v>
      </c>
      <c r="W439" s="37">
        <f t="shared" si="23"/>
        <v>0</v>
      </c>
      <c r="X439" s="39"/>
      <c r="Y439" s="54"/>
    </row>
    <row r="440">
      <c r="C440" s="53"/>
      <c r="G440" s="2" t="str">
        <f t="shared" si="27"/>
        <v/>
      </c>
      <c r="I440" s="4">
        <f>SUMIFS(Dump!D:D,Dump!B:B,C440)</f>
        <v>0</v>
      </c>
      <c r="J440" s="5">
        <f>SUMIFS(Dump!AE:AE,Dump!B:B,C440)</f>
        <v>0</v>
      </c>
      <c r="K440" s="4">
        <f>SUMPRODUCT(
  (TEXT(Dump!$A$2:$A994,"mmm-yy")=TEXT($Y440,"mmm-yy"))*
  (Dump!$B$2:$B994=$C440)*
  Dump!$D$2:$D994)</f>
        <v>0</v>
      </c>
      <c r="L440" s="4">
        <f>SUMPRODUCT(
  (TEXT(Dump!$A$2:$A994,"mmm-yy")=TEXT($Y440,"mmm-yy"))*
  (Dump!$B$2:$B994=$C440)*
  Dump!$E$2:$E994
)</f>
        <v>0</v>
      </c>
      <c r="M440" s="4">
        <f>SUMPRODUCT(
  (TEXT(Dump!$A$2:$A994,"mmm-yy")=TEXT($Y440,"mmm-yy"))*
  (Dump!$B$2:$B994=$C440)*
  Dump!$P$2:$P994
)</f>
        <v>0</v>
      </c>
      <c r="N440" s="32"/>
      <c r="O440" s="33">
        <f>SUMIFS(Dump!$D:$D,Dump!$B:$B,$C440,Dump!$A:$A,$Y440)</f>
        <v>0</v>
      </c>
      <c r="P440" s="33">
        <f>SUMIFS(Dump!R:R,Dump!B:B,C440,Dump!A:A,Y440)</f>
        <v>0</v>
      </c>
      <c r="Q440" s="34">
        <f t="shared" si="21"/>
        <v>0</v>
      </c>
      <c r="S440" s="4">
        <f>SUMIFS(Dump!E:E,Dump!B:B,C440,Dump!A:A,Y440)</f>
        <v>0</v>
      </c>
      <c r="T440" s="35">
        <f t="shared" si="22"/>
        <v>0</v>
      </c>
      <c r="V440" s="4">
        <f>SUMIFS(Dump!P:P,Dump!B:B,C440,Dump!A:A,Y440)</f>
        <v>0</v>
      </c>
      <c r="W440" s="37">
        <f t="shared" si="23"/>
        <v>0</v>
      </c>
      <c r="X440" s="39"/>
      <c r="Y440" s="54"/>
    </row>
    <row r="441">
      <c r="C441" s="53"/>
      <c r="G441" s="2" t="str">
        <f t="shared" si="27"/>
        <v/>
      </c>
      <c r="I441" s="4">
        <f>SUMIFS(Dump!D:D,Dump!B:B,C441)</f>
        <v>0</v>
      </c>
      <c r="J441" s="5">
        <f>SUMIFS(Dump!AE:AE,Dump!B:B,C441)</f>
        <v>0</v>
      </c>
      <c r="K441" s="4">
        <f>SUMPRODUCT(
  (TEXT(Dump!$A$2:$A994,"mmm-yy")=TEXT($Y441,"mmm-yy"))*
  (Dump!$B$2:$B994=$C441)*
  Dump!$D$2:$D994)</f>
        <v>0</v>
      </c>
      <c r="L441" s="4">
        <f>SUMPRODUCT(
  (TEXT(Dump!$A$2:$A994,"mmm-yy")=TEXT($Y441,"mmm-yy"))*
  (Dump!$B$2:$B994=$C441)*
  Dump!$E$2:$E994
)</f>
        <v>0</v>
      </c>
      <c r="M441" s="4">
        <f>SUMPRODUCT(
  (TEXT(Dump!$A$2:$A994,"mmm-yy")=TEXT($Y441,"mmm-yy"))*
  (Dump!$B$2:$B994=$C441)*
  Dump!$P$2:$P994
)</f>
        <v>0</v>
      </c>
      <c r="N441" s="32"/>
      <c r="O441" s="33">
        <f>SUMIFS(Dump!$D:$D,Dump!$B:$B,$C441,Dump!$A:$A,$Y441)</f>
        <v>0</v>
      </c>
      <c r="P441" s="33">
        <f>SUMIFS(Dump!R:R,Dump!B:B,C441,Dump!A:A,Y441)</f>
        <v>0</v>
      </c>
      <c r="Q441" s="34">
        <f t="shared" si="21"/>
        <v>0</v>
      </c>
      <c r="S441" s="4">
        <f>SUMIFS(Dump!E:E,Dump!B:B,C441,Dump!A:A,Y441)</f>
        <v>0</v>
      </c>
      <c r="T441" s="35">
        <f t="shared" si="22"/>
        <v>0</v>
      </c>
      <c r="V441" s="4">
        <f>SUMIFS(Dump!P:P,Dump!B:B,C441,Dump!A:A,Y441)</f>
        <v>0</v>
      </c>
      <c r="W441" s="37">
        <f t="shared" si="23"/>
        <v>0</v>
      </c>
      <c r="X441" s="39"/>
      <c r="Y441" s="54"/>
    </row>
    <row r="442">
      <c r="C442" s="53"/>
      <c r="G442" s="2" t="str">
        <f t="shared" si="27"/>
        <v/>
      </c>
      <c r="I442" s="4">
        <f>SUMIFS(Dump!D:D,Dump!B:B,C442)</f>
        <v>0</v>
      </c>
      <c r="J442" s="5">
        <f>SUMIFS(Dump!AE:AE,Dump!B:B,C442)</f>
        <v>0</v>
      </c>
      <c r="K442" s="4">
        <f>SUMPRODUCT(
  (TEXT(Dump!$A$2:$A994,"mmm-yy")=TEXT($Y442,"mmm-yy"))*
  (Dump!$B$2:$B994=$C442)*
  Dump!$D$2:$D994)</f>
        <v>0</v>
      </c>
      <c r="L442" s="4">
        <f>SUMPRODUCT(
  (TEXT(Dump!$A$2:$A994,"mmm-yy")=TEXT($Y442,"mmm-yy"))*
  (Dump!$B$2:$B994=$C442)*
  Dump!$E$2:$E994
)</f>
        <v>0</v>
      </c>
      <c r="M442" s="4">
        <f>SUMPRODUCT(
  (TEXT(Dump!$A$2:$A994,"mmm-yy")=TEXT($Y442,"mmm-yy"))*
  (Dump!$B$2:$B994=$C442)*
  Dump!$P$2:$P994
)</f>
        <v>0</v>
      </c>
      <c r="N442" s="32"/>
      <c r="O442" s="33">
        <f>SUMIFS(Dump!$D:$D,Dump!$B:$B,$C442,Dump!$A:$A,$Y442)</f>
        <v>0</v>
      </c>
      <c r="P442" s="33">
        <f>SUMIFS(Dump!R:R,Dump!B:B,C442,Dump!A:A,Y442)</f>
        <v>0</v>
      </c>
      <c r="Q442" s="34">
        <f t="shared" si="21"/>
        <v>0</v>
      </c>
      <c r="S442" s="4">
        <f>SUMIFS(Dump!E:E,Dump!B:B,C442,Dump!A:A,Y442)</f>
        <v>0</v>
      </c>
      <c r="T442" s="35">
        <f t="shared" si="22"/>
        <v>0</v>
      </c>
      <c r="V442" s="4">
        <f>SUMIFS(Dump!P:P,Dump!B:B,C442,Dump!A:A,Y442)</f>
        <v>0</v>
      </c>
      <c r="W442" s="37">
        <f t="shared" si="23"/>
        <v>0</v>
      </c>
      <c r="X442" s="39"/>
      <c r="Y442" s="54"/>
    </row>
    <row r="443">
      <c r="C443" s="53"/>
      <c r="G443" s="2" t="str">
        <f t="shared" si="27"/>
        <v/>
      </c>
      <c r="I443" s="4">
        <f>SUMIFS(Dump!D:D,Dump!B:B,C443)</f>
        <v>0</v>
      </c>
      <c r="J443" s="5">
        <f>SUMIFS(Dump!AE:AE,Dump!B:B,C443)</f>
        <v>0</v>
      </c>
      <c r="K443" s="4">
        <f>SUMPRODUCT(
  (TEXT(Dump!$A$2:$A994,"mmm-yy")=TEXT($Y443,"mmm-yy"))*
  (Dump!$B$2:$B994=$C443)*
  Dump!$D$2:$D994)</f>
        <v>0</v>
      </c>
      <c r="L443" s="4">
        <f>SUMPRODUCT(
  (TEXT(Dump!$A$2:$A994,"mmm-yy")=TEXT($Y443,"mmm-yy"))*
  (Dump!$B$2:$B994=$C443)*
  Dump!$E$2:$E994
)</f>
        <v>0</v>
      </c>
      <c r="M443" s="4">
        <f>SUMPRODUCT(
  (TEXT(Dump!$A$2:$A994,"mmm-yy")=TEXT($Y443,"mmm-yy"))*
  (Dump!$B$2:$B994=$C443)*
  Dump!$P$2:$P994
)</f>
        <v>0</v>
      </c>
      <c r="N443" s="32"/>
      <c r="O443" s="33">
        <f>SUMIFS(Dump!$D:$D,Dump!$B:$B,$C443,Dump!$A:$A,$Y443)</f>
        <v>0</v>
      </c>
      <c r="P443" s="33">
        <f>SUMIFS(Dump!R:R,Dump!B:B,C443,Dump!A:A,Y443)</f>
        <v>0</v>
      </c>
      <c r="Q443" s="34">
        <f t="shared" si="21"/>
        <v>0</v>
      </c>
      <c r="S443" s="4">
        <f>SUMIFS(Dump!E:E,Dump!B:B,C443,Dump!A:A,Y443)</f>
        <v>0</v>
      </c>
      <c r="T443" s="35">
        <f t="shared" si="22"/>
        <v>0</v>
      </c>
      <c r="V443" s="4">
        <f>SUMIFS(Dump!P:P,Dump!B:B,C443,Dump!A:A,Y443)</f>
        <v>0</v>
      </c>
      <c r="W443" s="37">
        <f t="shared" si="23"/>
        <v>0</v>
      </c>
      <c r="X443" s="39"/>
      <c r="Y443" s="54"/>
    </row>
    <row r="444">
      <c r="C444" s="53"/>
      <c r="G444" s="2" t="str">
        <f t="shared" si="27"/>
        <v/>
      </c>
      <c r="I444" s="4">
        <f>SUMIFS(Dump!D:D,Dump!B:B,C444)</f>
        <v>0</v>
      </c>
      <c r="J444" s="5">
        <f>SUMIFS(Dump!AE:AE,Dump!B:B,C444)</f>
        <v>0</v>
      </c>
      <c r="K444" s="4">
        <f>SUMPRODUCT(
  (TEXT(Dump!$A$2:$A994,"mmm-yy")=TEXT($Y444,"mmm-yy"))*
  (Dump!$B$2:$B994=$C444)*
  Dump!$D$2:$D994)</f>
        <v>0</v>
      </c>
      <c r="L444" s="4">
        <f>SUMPRODUCT(
  (TEXT(Dump!$A$2:$A994,"mmm-yy")=TEXT($Y444,"mmm-yy"))*
  (Dump!$B$2:$B994=$C444)*
  Dump!$E$2:$E994
)</f>
        <v>0</v>
      </c>
      <c r="M444" s="4">
        <f>SUMPRODUCT(
  (TEXT(Dump!$A$2:$A994,"mmm-yy")=TEXT($Y444,"mmm-yy"))*
  (Dump!$B$2:$B994=$C444)*
  Dump!$P$2:$P994
)</f>
        <v>0</v>
      </c>
      <c r="N444" s="32"/>
      <c r="O444" s="33">
        <f>SUMIFS(Dump!$D:$D,Dump!$B:$B,$C444,Dump!$A:$A,$Y444)</f>
        <v>0</v>
      </c>
      <c r="P444" s="33">
        <f>SUMIFS(Dump!R:R,Dump!B:B,C444,Dump!A:A,Y444)</f>
        <v>0</v>
      </c>
      <c r="Q444" s="34">
        <f t="shared" si="21"/>
        <v>0</v>
      </c>
      <c r="S444" s="4">
        <f>SUMIFS(Dump!E:E,Dump!B:B,C444,Dump!A:A,Y444)</f>
        <v>0</v>
      </c>
      <c r="T444" s="35">
        <f t="shared" si="22"/>
        <v>0</v>
      </c>
      <c r="V444" s="4">
        <f>SUMIFS(Dump!P:P,Dump!B:B,C444,Dump!A:A,Y444)</f>
        <v>0</v>
      </c>
      <c r="W444" s="37">
        <f t="shared" si="23"/>
        <v>0</v>
      </c>
      <c r="X444" s="39"/>
      <c r="Y444" s="54"/>
    </row>
    <row r="445">
      <c r="C445" s="53"/>
      <c r="G445" s="2" t="str">
        <f t="shared" si="27"/>
        <v/>
      </c>
      <c r="I445" s="4">
        <f>SUMIFS(Dump!D:D,Dump!B:B,C445)</f>
        <v>0</v>
      </c>
      <c r="J445" s="5">
        <f>SUMIFS(Dump!AE:AE,Dump!B:B,C445)</f>
        <v>0</v>
      </c>
      <c r="K445" s="4">
        <f>SUMPRODUCT(
  (TEXT(Dump!$A$2:$A994,"mmm-yy")=TEXT($Y445,"mmm-yy"))*
  (Dump!$B$2:$B994=$C445)*
  Dump!$D$2:$D994)</f>
        <v>0</v>
      </c>
      <c r="L445" s="4">
        <f>SUMPRODUCT(
  (TEXT(Dump!$A$2:$A994,"mmm-yy")=TEXT($Y445,"mmm-yy"))*
  (Dump!$B$2:$B994=$C445)*
  Dump!$E$2:$E994
)</f>
        <v>0</v>
      </c>
      <c r="M445" s="4">
        <f>SUMPRODUCT(
  (TEXT(Dump!$A$2:$A994,"mmm-yy")=TEXT($Y445,"mmm-yy"))*
  (Dump!$B$2:$B994=$C445)*
  Dump!$P$2:$P994
)</f>
        <v>0</v>
      </c>
      <c r="N445" s="32"/>
      <c r="O445" s="33">
        <f>SUMIFS(Dump!$D:$D,Dump!$B:$B,$C445,Dump!$A:$A,$Y445)</f>
        <v>0</v>
      </c>
      <c r="P445" s="33">
        <f>SUMIFS(Dump!R:R,Dump!B:B,C445,Dump!A:A,Y445)</f>
        <v>0</v>
      </c>
      <c r="Q445" s="34">
        <f t="shared" si="21"/>
        <v>0</v>
      </c>
      <c r="S445" s="4">
        <f>SUMIFS(Dump!E:E,Dump!B:B,C445,Dump!A:A,Y445)</f>
        <v>0</v>
      </c>
      <c r="T445" s="35">
        <f t="shared" si="22"/>
        <v>0</v>
      </c>
      <c r="V445" s="4">
        <f>SUMIFS(Dump!P:P,Dump!B:B,C445,Dump!A:A,Y445)</f>
        <v>0</v>
      </c>
      <c r="W445" s="37">
        <f t="shared" si="23"/>
        <v>0</v>
      </c>
      <c r="X445" s="39"/>
      <c r="Y445" s="54"/>
    </row>
    <row r="446">
      <c r="C446" s="53"/>
      <c r="G446" s="2" t="str">
        <f t="shared" si="27"/>
        <v/>
      </c>
      <c r="I446" s="4">
        <f>SUMIFS(Dump!D:D,Dump!B:B,C446)</f>
        <v>0</v>
      </c>
      <c r="J446" s="5">
        <f>SUMIFS(Dump!AE:AE,Dump!B:B,C446)</f>
        <v>0</v>
      </c>
      <c r="K446" s="4">
        <f>SUMPRODUCT(
  (TEXT(Dump!$A$2:$A994,"mmm-yy")=TEXT($Y446,"mmm-yy"))*
  (Dump!$B$2:$B994=$C446)*
  Dump!$D$2:$D994)</f>
        <v>0</v>
      </c>
      <c r="L446" s="4">
        <f>SUMPRODUCT(
  (TEXT(Dump!$A$2:$A994,"mmm-yy")=TEXT($Y446,"mmm-yy"))*
  (Dump!$B$2:$B994=$C446)*
  Dump!$E$2:$E994
)</f>
        <v>0</v>
      </c>
      <c r="M446" s="4">
        <f>SUMPRODUCT(
  (TEXT(Dump!$A$2:$A994,"mmm-yy")=TEXT($Y446,"mmm-yy"))*
  (Dump!$B$2:$B994=$C446)*
  Dump!$P$2:$P994
)</f>
        <v>0</v>
      </c>
      <c r="N446" s="32"/>
      <c r="O446" s="33">
        <f>SUMIFS(Dump!$D:$D,Dump!$B:$B,$C446,Dump!$A:$A,$Y446)</f>
        <v>0</v>
      </c>
      <c r="P446" s="33">
        <f>SUMIFS(Dump!R:R,Dump!B:B,C446,Dump!A:A,Y446)</f>
        <v>0</v>
      </c>
      <c r="Q446" s="34">
        <f t="shared" si="21"/>
        <v>0</v>
      </c>
      <c r="S446" s="4">
        <f>SUMIFS(Dump!E:E,Dump!B:B,C446,Dump!A:A,Y446)</f>
        <v>0</v>
      </c>
      <c r="T446" s="35">
        <f t="shared" si="22"/>
        <v>0</v>
      </c>
      <c r="V446" s="4">
        <f>SUMIFS(Dump!P:P,Dump!B:B,C446,Dump!A:A,Y446)</f>
        <v>0</v>
      </c>
      <c r="W446" s="37">
        <f t="shared" si="23"/>
        <v>0</v>
      </c>
      <c r="X446" s="39"/>
      <c r="Y446" s="54"/>
    </row>
    <row r="447">
      <c r="C447" s="53"/>
      <c r="G447" s="2" t="str">
        <f t="shared" si="27"/>
        <v/>
      </c>
      <c r="I447" s="4">
        <f>SUMIFS(Dump!D:D,Dump!B:B,C447)</f>
        <v>0</v>
      </c>
      <c r="J447" s="5">
        <f>SUMIFS(Dump!AE:AE,Dump!B:B,C447)</f>
        <v>0</v>
      </c>
      <c r="K447" s="4">
        <f>SUMPRODUCT(
  (TEXT(Dump!$A$2:$A994,"mmm-yy")=TEXT($Y447,"mmm-yy"))*
  (Dump!$B$2:$B994=$C447)*
  Dump!$D$2:$D994)</f>
        <v>0</v>
      </c>
      <c r="L447" s="4">
        <f>SUMPRODUCT(
  (TEXT(Dump!$A$2:$A994,"mmm-yy")=TEXT($Y447,"mmm-yy"))*
  (Dump!$B$2:$B994=$C447)*
  Dump!$E$2:$E994
)</f>
        <v>0</v>
      </c>
      <c r="M447" s="4">
        <f>SUMPRODUCT(
  (TEXT(Dump!$A$2:$A994,"mmm-yy")=TEXT($Y447,"mmm-yy"))*
  (Dump!$B$2:$B994=$C447)*
  Dump!$P$2:$P994
)</f>
        <v>0</v>
      </c>
      <c r="N447" s="32"/>
      <c r="O447" s="33">
        <f>SUMIFS(Dump!$D:$D,Dump!$B:$B,$C447,Dump!$A:$A,$Y447)</f>
        <v>0</v>
      </c>
      <c r="P447" s="33">
        <f>SUMIFS(Dump!R:R,Dump!B:B,C447,Dump!A:A,Y447)</f>
        <v>0</v>
      </c>
      <c r="Q447" s="34">
        <f t="shared" si="21"/>
        <v>0</v>
      </c>
      <c r="S447" s="4">
        <f>SUMIFS(Dump!E:E,Dump!B:B,C447,Dump!A:A,Y447)</f>
        <v>0</v>
      </c>
      <c r="T447" s="35">
        <f t="shared" si="22"/>
        <v>0</v>
      </c>
      <c r="V447" s="4">
        <f>SUMIFS(Dump!P:P,Dump!B:B,C447,Dump!A:A,Y447)</f>
        <v>0</v>
      </c>
      <c r="W447" s="37">
        <f t="shared" si="23"/>
        <v>0</v>
      </c>
      <c r="X447" s="39"/>
      <c r="Y447" s="54"/>
    </row>
    <row r="448">
      <c r="C448" s="53"/>
      <c r="G448" s="2" t="str">
        <f t="shared" si="27"/>
        <v/>
      </c>
      <c r="I448" s="4">
        <f>SUMIFS(Dump!D:D,Dump!B:B,C448)</f>
        <v>0</v>
      </c>
      <c r="J448" s="5">
        <f>SUMIFS(Dump!AE:AE,Dump!B:B,C448)</f>
        <v>0</v>
      </c>
      <c r="K448" s="4">
        <f>SUMPRODUCT(
  (TEXT(Dump!$A$2:$A994,"mmm-yy")=TEXT($Y448,"mmm-yy"))*
  (Dump!$B$2:$B994=$C448)*
  Dump!$D$2:$D994)</f>
        <v>0</v>
      </c>
      <c r="L448" s="4">
        <f>SUMPRODUCT(
  (TEXT(Dump!$A$2:$A994,"mmm-yy")=TEXT($Y448,"mmm-yy"))*
  (Dump!$B$2:$B994=$C448)*
  Dump!$E$2:$E994
)</f>
        <v>0</v>
      </c>
      <c r="M448" s="4">
        <f>SUMPRODUCT(
  (TEXT(Dump!$A$2:$A994,"mmm-yy")=TEXT($Y448,"mmm-yy"))*
  (Dump!$B$2:$B994=$C448)*
  Dump!$P$2:$P994
)</f>
        <v>0</v>
      </c>
      <c r="N448" s="32"/>
      <c r="O448" s="33">
        <f>SUMIFS(Dump!$D:$D,Dump!$B:$B,$C448,Dump!$A:$A,$Y448)</f>
        <v>0</v>
      </c>
      <c r="P448" s="33">
        <f>SUMIFS(Dump!R:R,Dump!B:B,C448,Dump!A:A,Y448)</f>
        <v>0</v>
      </c>
      <c r="Q448" s="34">
        <f t="shared" si="21"/>
        <v>0</v>
      </c>
      <c r="S448" s="4">
        <f>SUMIFS(Dump!E:E,Dump!B:B,C448,Dump!A:A,Y448)</f>
        <v>0</v>
      </c>
      <c r="T448" s="35">
        <f t="shared" si="22"/>
        <v>0</v>
      </c>
      <c r="V448" s="4">
        <f>SUMIFS(Dump!P:P,Dump!B:B,C448,Dump!A:A,Y448)</f>
        <v>0</v>
      </c>
      <c r="W448" s="37">
        <f t="shared" si="23"/>
        <v>0</v>
      </c>
      <c r="X448" s="39"/>
      <c r="Y448" s="54"/>
    </row>
    <row r="449">
      <c r="C449" s="53"/>
      <c r="G449" s="2" t="str">
        <f t="shared" si="27"/>
        <v/>
      </c>
      <c r="I449" s="4">
        <f>SUMIFS(Dump!D:D,Dump!B:B,C449)</f>
        <v>0</v>
      </c>
      <c r="J449" s="5">
        <f>SUMIFS(Dump!AE:AE,Dump!B:B,C449)</f>
        <v>0</v>
      </c>
      <c r="K449" s="4">
        <f>SUMPRODUCT(
  (TEXT(Dump!$A$2:$A994,"mmm-yy")=TEXT($Y449,"mmm-yy"))*
  (Dump!$B$2:$B994=$C449)*
  Dump!$D$2:$D994)</f>
        <v>0</v>
      </c>
      <c r="L449" s="4">
        <f>SUMPRODUCT(
  (TEXT(Dump!$A$2:$A994,"mmm-yy")=TEXT($Y449,"mmm-yy"))*
  (Dump!$B$2:$B994=$C449)*
  Dump!$E$2:$E994
)</f>
        <v>0</v>
      </c>
      <c r="M449" s="4">
        <f>SUMPRODUCT(
  (TEXT(Dump!$A$2:$A994,"mmm-yy")=TEXT($Y449,"mmm-yy"))*
  (Dump!$B$2:$B994=$C449)*
  Dump!$P$2:$P994
)</f>
        <v>0</v>
      </c>
      <c r="N449" s="32"/>
      <c r="O449" s="33">
        <f>SUMIFS(Dump!$D:$D,Dump!$B:$B,$C449,Dump!$A:$A,$Y449)</f>
        <v>0</v>
      </c>
      <c r="P449" s="33">
        <f>SUMIFS(Dump!R:R,Dump!B:B,C449,Dump!A:A,Y449)</f>
        <v>0</v>
      </c>
      <c r="Q449" s="34">
        <f t="shared" si="21"/>
        <v>0</v>
      </c>
      <c r="S449" s="4">
        <f>SUMIFS(Dump!E:E,Dump!B:B,C449,Dump!A:A,Y449)</f>
        <v>0</v>
      </c>
      <c r="T449" s="35">
        <f t="shared" si="22"/>
        <v>0</v>
      </c>
      <c r="V449" s="4">
        <f>SUMIFS(Dump!P:P,Dump!B:B,C449,Dump!A:A,Y449)</f>
        <v>0</v>
      </c>
      <c r="W449" s="37">
        <f t="shared" si="23"/>
        <v>0</v>
      </c>
      <c r="X449" s="39"/>
      <c r="Y449" s="54"/>
    </row>
    <row r="450">
      <c r="C450" s="53"/>
      <c r="G450" s="2" t="str">
        <f t="shared" si="27"/>
        <v/>
      </c>
      <c r="I450" s="4">
        <f>SUMIFS(Dump!D:D,Dump!B:B,C450)</f>
        <v>0</v>
      </c>
      <c r="J450" s="5">
        <f>SUMIFS(Dump!AE:AE,Dump!B:B,C450)</f>
        <v>0</v>
      </c>
      <c r="K450" s="4">
        <f>SUMPRODUCT(
  (TEXT(Dump!$A$2:$A994,"mmm-yy")=TEXT($Y450,"mmm-yy"))*
  (Dump!$B$2:$B994=$C450)*
  Dump!$D$2:$D994)</f>
        <v>0</v>
      </c>
      <c r="L450" s="4">
        <f>SUMPRODUCT(
  (TEXT(Dump!$A$2:$A994,"mmm-yy")=TEXT($Y450,"mmm-yy"))*
  (Dump!$B$2:$B994=$C450)*
  Dump!$E$2:$E994
)</f>
        <v>0</v>
      </c>
      <c r="M450" s="4">
        <f>SUMPRODUCT(
  (TEXT(Dump!$A$2:$A994,"mmm-yy")=TEXT($Y450,"mmm-yy"))*
  (Dump!$B$2:$B994=$C450)*
  Dump!$P$2:$P994
)</f>
        <v>0</v>
      </c>
      <c r="N450" s="32"/>
      <c r="O450" s="33">
        <f>SUMIFS(Dump!$D:$D,Dump!$B:$B,$C450,Dump!$A:$A,$Y450)</f>
        <v>0</v>
      </c>
      <c r="P450" s="33">
        <f>SUMIFS(Dump!R:R,Dump!B:B,C450,Dump!A:A,Y450)</f>
        <v>0</v>
      </c>
      <c r="Q450" s="34">
        <f t="shared" si="21"/>
        <v>0</v>
      </c>
      <c r="S450" s="4">
        <f>SUMIFS(Dump!E:E,Dump!B:B,C450,Dump!A:A,Y450)</f>
        <v>0</v>
      </c>
      <c r="T450" s="35">
        <f t="shared" si="22"/>
        <v>0</v>
      </c>
      <c r="V450" s="4">
        <f>SUMIFS(Dump!P:P,Dump!B:B,C450,Dump!A:A,Y450)</f>
        <v>0</v>
      </c>
      <c r="W450" s="37">
        <f t="shared" si="23"/>
        <v>0</v>
      </c>
      <c r="X450" s="39"/>
      <c r="Y450" s="54"/>
    </row>
    <row r="451">
      <c r="C451" s="53"/>
      <c r="G451" s="2" t="str">
        <f t="shared" si="27"/>
        <v/>
      </c>
      <c r="I451" s="4">
        <f>SUMIFS(Dump!D:D,Dump!B:B,C451)</f>
        <v>0</v>
      </c>
      <c r="J451" s="5">
        <f>SUMIFS(Dump!AE:AE,Dump!B:B,C451)</f>
        <v>0</v>
      </c>
      <c r="K451" s="4">
        <f>SUMPRODUCT(
  (TEXT(Dump!$A$2:$A994,"mmm-yy")=TEXT($Y451,"mmm-yy"))*
  (Dump!$B$2:$B994=$C451)*
  Dump!$D$2:$D994)</f>
        <v>0</v>
      </c>
      <c r="L451" s="4">
        <f>SUMPRODUCT(
  (TEXT(Dump!$A$2:$A994,"mmm-yy")=TEXT($Y451,"mmm-yy"))*
  (Dump!$B$2:$B994=$C451)*
  Dump!$E$2:$E994
)</f>
        <v>0</v>
      </c>
      <c r="M451" s="4">
        <f>SUMPRODUCT(
  (TEXT(Dump!$A$2:$A994,"mmm-yy")=TEXT($Y451,"mmm-yy"))*
  (Dump!$B$2:$B994=$C451)*
  Dump!$P$2:$P994
)</f>
        <v>0</v>
      </c>
      <c r="N451" s="32"/>
      <c r="O451" s="33">
        <f>SUMIFS(Dump!$D:$D,Dump!$B:$B,$C451,Dump!$A:$A,$Y451)</f>
        <v>0</v>
      </c>
      <c r="P451" s="33">
        <f>SUMIFS(Dump!R:R,Dump!B:B,C451,Dump!A:A,Y451)</f>
        <v>0</v>
      </c>
      <c r="Q451" s="34">
        <f t="shared" si="21"/>
        <v>0</v>
      </c>
      <c r="S451" s="4">
        <f>SUMIFS(Dump!E:E,Dump!B:B,C451,Dump!A:A,Y451)</f>
        <v>0</v>
      </c>
      <c r="T451" s="35">
        <f t="shared" si="22"/>
        <v>0</v>
      </c>
      <c r="V451" s="4">
        <f>SUMIFS(Dump!P:P,Dump!B:B,C451,Dump!A:A,Y451)</f>
        <v>0</v>
      </c>
      <c r="W451" s="37">
        <f t="shared" si="23"/>
        <v>0</v>
      </c>
      <c r="X451" s="39"/>
      <c r="Y451" s="54"/>
    </row>
    <row r="452">
      <c r="C452" s="53"/>
      <c r="G452" s="2" t="str">
        <f t="shared" si="27"/>
        <v/>
      </c>
      <c r="I452" s="4">
        <f>SUMIFS(Dump!D:D,Dump!B:B,C452)</f>
        <v>0</v>
      </c>
      <c r="J452" s="5">
        <f>SUMIFS(Dump!AE:AE,Dump!B:B,C452)</f>
        <v>0</v>
      </c>
      <c r="K452" s="4">
        <f>SUMPRODUCT(
  (TEXT(Dump!$A$2:$A994,"mmm-yy")=TEXT($Y452,"mmm-yy"))*
  (Dump!$B$2:$B994=$C452)*
  Dump!$D$2:$D994)</f>
        <v>0</v>
      </c>
      <c r="L452" s="4">
        <f>SUMPRODUCT(
  (TEXT(Dump!$A$2:$A994,"mmm-yy")=TEXT($Y452,"mmm-yy"))*
  (Dump!$B$2:$B994=$C452)*
  Dump!$E$2:$E994
)</f>
        <v>0</v>
      </c>
      <c r="M452" s="4">
        <f>SUMPRODUCT(
  (TEXT(Dump!$A$2:$A994,"mmm-yy")=TEXT($Y452,"mmm-yy"))*
  (Dump!$B$2:$B994=$C452)*
  Dump!$P$2:$P994
)</f>
        <v>0</v>
      </c>
      <c r="N452" s="32"/>
      <c r="O452" s="33">
        <f>SUMIFS(Dump!$D:$D,Dump!$B:$B,$C452,Dump!$A:$A,$Y452)</f>
        <v>0</v>
      </c>
      <c r="P452" s="33">
        <f>SUMIFS(Dump!R:R,Dump!B:B,C452,Dump!A:A,Y452)</f>
        <v>0</v>
      </c>
      <c r="Q452" s="34">
        <f t="shared" si="21"/>
        <v>0</v>
      </c>
      <c r="S452" s="4">
        <f>SUMIFS(Dump!E:E,Dump!B:B,C452,Dump!A:A,Y452)</f>
        <v>0</v>
      </c>
      <c r="T452" s="35">
        <f t="shared" si="22"/>
        <v>0</v>
      </c>
      <c r="V452" s="4">
        <f>SUMIFS(Dump!P:P,Dump!B:B,C452,Dump!A:A,Y452)</f>
        <v>0</v>
      </c>
      <c r="W452" s="37">
        <f t="shared" si="23"/>
        <v>0</v>
      </c>
      <c r="X452" s="39"/>
      <c r="Y452" s="54"/>
    </row>
    <row r="453">
      <c r="C453" s="53"/>
      <c r="G453" s="2" t="str">
        <f t="shared" si="27"/>
        <v/>
      </c>
      <c r="I453" s="4">
        <f>SUMIFS(Dump!D:D,Dump!B:B,C453)</f>
        <v>0</v>
      </c>
      <c r="J453" s="5">
        <f>SUMIFS(Dump!AE:AE,Dump!B:B,C453)</f>
        <v>0</v>
      </c>
      <c r="K453" s="4">
        <f>SUMPRODUCT(
  (TEXT(Dump!$A$2:$A994,"mmm-yy")=TEXT($Y453,"mmm-yy"))*
  (Dump!$B$2:$B994=$C453)*
  Dump!$D$2:$D994)</f>
        <v>0</v>
      </c>
      <c r="L453" s="4">
        <f>SUMPRODUCT(
  (TEXT(Dump!$A$2:$A994,"mmm-yy")=TEXT($Y453,"mmm-yy"))*
  (Dump!$B$2:$B994=$C453)*
  Dump!$E$2:$E994
)</f>
        <v>0</v>
      </c>
      <c r="M453" s="4">
        <f>SUMPRODUCT(
  (TEXT(Dump!$A$2:$A994,"mmm-yy")=TEXT($Y453,"mmm-yy"))*
  (Dump!$B$2:$B994=$C453)*
  Dump!$P$2:$P994
)</f>
        <v>0</v>
      </c>
      <c r="N453" s="32"/>
      <c r="O453" s="33">
        <f>SUMIFS(Dump!$D:$D,Dump!$B:$B,$C453,Dump!$A:$A,$Y453)</f>
        <v>0</v>
      </c>
      <c r="P453" s="33">
        <f>SUMIFS(Dump!R:R,Dump!B:B,C453,Dump!A:A,Y453)</f>
        <v>0</v>
      </c>
      <c r="Q453" s="34">
        <f t="shared" si="21"/>
        <v>0</v>
      </c>
      <c r="S453" s="4">
        <f>SUMIFS(Dump!E:E,Dump!B:B,C453,Dump!A:A,Y453)</f>
        <v>0</v>
      </c>
      <c r="T453" s="35">
        <f t="shared" si="22"/>
        <v>0</v>
      </c>
      <c r="V453" s="4">
        <f>SUMIFS(Dump!P:P,Dump!B:B,C453,Dump!A:A,Y453)</f>
        <v>0</v>
      </c>
      <c r="W453" s="37">
        <f t="shared" si="23"/>
        <v>0</v>
      </c>
      <c r="X453" s="39"/>
      <c r="Y453" s="54"/>
    </row>
    <row r="454">
      <c r="C454" s="53"/>
      <c r="G454" s="2" t="str">
        <f t="shared" si="27"/>
        <v/>
      </c>
      <c r="I454" s="4">
        <f>SUMIFS(Dump!D:D,Dump!B:B,C454)</f>
        <v>0</v>
      </c>
      <c r="J454" s="5">
        <f>SUMIFS(Dump!AE:AE,Dump!B:B,C454)</f>
        <v>0</v>
      </c>
      <c r="K454" s="4">
        <f>SUMPRODUCT(
  (TEXT(Dump!$A$2:$A994,"mmm-yy")=TEXT($Y454,"mmm-yy"))*
  (Dump!$B$2:$B994=$C454)*
  Dump!$D$2:$D994)</f>
        <v>0</v>
      </c>
      <c r="L454" s="4">
        <f>SUMPRODUCT(
  (TEXT(Dump!$A$2:$A994,"mmm-yy")=TEXT($Y454,"mmm-yy"))*
  (Dump!$B$2:$B994=$C454)*
  Dump!$E$2:$E994
)</f>
        <v>0</v>
      </c>
      <c r="M454" s="4">
        <f>SUMPRODUCT(
  (TEXT(Dump!$A$2:$A994,"mmm-yy")=TEXT($Y454,"mmm-yy"))*
  (Dump!$B$2:$B994=$C454)*
  Dump!$P$2:$P994
)</f>
        <v>0</v>
      </c>
      <c r="N454" s="32"/>
      <c r="O454" s="33">
        <f>SUMIFS(Dump!$D:$D,Dump!$B:$B,$C454,Dump!$A:$A,$Y454)</f>
        <v>0</v>
      </c>
      <c r="P454" s="33">
        <f>SUMIFS(Dump!R:R,Dump!B:B,C454,Dump!A:A,Y454)</f>
        <v>0</v>
      </c>
      <c r="Q454" s="34">
        <f t="shared" si="21"/>
        <v>0</v>
      </c>
      <c r="S454" s="4">
        <f>SUMIFS(Dump!E:E,Dump!B:B,C454,Dump!A:A,Y454)</f>
        <v>0</v>
      </c>
      <c r="T454" s="35">
        <f t="shared" si="22"/>
        <v>0</v>
      </c>
      <c r="V454" s="4">
        <f>SUMIFS(Dump!P:P,Dump!B:B,C454,Dump!A:A,Y454)</f>
        <v>0</v>
      </c>
      <c r="W454" s="37">
        <f t="shared" si="23"/>
        <v>0</v>
      </c>
      <c r="X454" s="39"/>
      <c r="Y454" s="54"/>
    </row>
    <row r="455">
      <c r="C455" s="53"/>
      <c r="G455" s="2" t="str">
        <f t="shared" si="27"/>
        <v/>
      </c>
      <c r="I455" s="4">
        <f>SUMIFS(Dump!D:D,Dump!B:B,C455)</f>
        <v>0</v>
      </c>
      <c r="J455" s="5">
        <f>SUMIFS(Dump!AE:AE,Dump!B:B,C455)</f>
        <v>0</v>
      </c>
      <c r="K455" s="4">
        <f>SUMPRODUCT(
  (TEXT(Dump!$A$2:$A994,"mmm-yy")=TEXT($Y455,"mmm-yy"))*
  (Dump!$B$2:$B994=$C455)*
  Dump!$D$2:$D994)</f>
        <v>0</v>
      </c>
      <c r="L455" s="4">
        <f>SUMPRODUCT(
  (TEXT(Dump!$A$2:$A994,"mmm-yy")=TEXT($Y455,"mmm-yy"))*
  (Dump!$B$2:$B994=$C455)*
  Dump!$E$2:$E994
)</f>
        <v>0</v>
      </c>
      <c r="M455" s="4">
        <f>SUMPRODUCT(
  (TEXT(Dump!$A$2:$A994,"mmm-yy")=TEXT($Y455,"mmm-yy"))*
  (Dump!$B$2:$B994=$C455)*
  Dump!$P$2:$P994
)</f>
        <v>0</v>
      </c>
      <c r="N455" s="32"/>
      <c r="O455" s="33">
        <f>SUMIFS(Dump!$D:$D,Dump!$B:$B,$C455,Dump!$A:$A,$Y455)</f>
        <v>0</v>
      </c>
      <c r="P455" s="33">
        <f>SUMIFS(Dump!R:R,Dump!B:B,C455,Dump!A:A,Y455)</f>
        <v>0</v>
      </c>
      <c r="Q455" s="34">
        <f t="shared" si="21"/>
        <v>0</v>
      </c>
      <c r="S455" s="4">
        <f>SUMIFS(Dump!E:E,Dump!B:B,C455,Dump!A:A,Y455)</f>
        <v>0</v>
      </c>
      <c r="T455" s="35">
        <f t="shared" si="22"/>
        <v>0</v>
      </c>
      <c r="V455" s="4">
        <f>SUMIFS(Dump!P:P,Dump!B:B,C455,Dump!A:A,Y455)</f>
        <v>0</v>
      </c>
      <c r="W455" s="37">
        <f t="shared" si="23"/>
        <v>0</v>
      </c>
      <c r="X455" s="39"/>
      <c r="Y455" s="54"/>
    </row>
    <row r="456">
      <c r="C456" s="53"/>
      <c r="G456" s="2" t="str">
        <f t="shared" si="27"/>
        <v/>
      </c>
      <c r="I456" s="4">
        <f>SUMIFS(Dump!D:D,Dump!B:B,C456)</f>
        <v>0</v>
      </c>
      <c r="J456" s="5">
        <f>SUMIFS(Dump!AE:AE,Dump!B:B,C456)</f>
        <v>0</v>
      </c>
      <c r="K456" s="4">
        <f>SUMPRODUCT(
  (TEXT(Dump!$A$2:$A994,"mmm-yy")=TEXT($Y456,"mmm-yy"))*
  (Dump!$B$2:$B994=$C456)*
  Dump!$D$2:$D994)</f>
        <v>0</v>
      </c>
      <c r="L456" s="4">
        <f>SUMPRODUCT(
  (TEXT(Dump!$A$2:$A994,"mmm-yy")=TEXT($Y456,"mmm-yy"))*
  (Dump!$B$2:$B994=$C456)*
  Dump!$E$2:$E994
)</f>
        <v>0</v>
      </c>
      <c r="M456" s="4">
        <f>SUMPRODUCT(
  (TEXT(Dump!$A$2:$A994,"mmm-yy")=TEXT($Y456,"mmm-yy"))*
  (Dump!$B$2:$B994=$C456)*
  Dump!$P$2:$P994
)</f>
        <v>0</v>
      </c>
      <c r="N456" s="32"/>
      <c r="O456" s="33">
        <f>SUMIFS(Dump!$D:$D,Dump!$B:$B,$C456,Dump!$A:$A,$Y456)</f>
        <v>0</v>
      </c>
      <c r="P456" s="33">
        <f>SUMIFS(Dump!R:R,Dump!B:B,C456,Dump!A:A,Y456)</f>
        <v>0</v>
      </c>
      <c r="Q456" s="34">
        <f t="shared" si="21"/>
        <v>0</v>
      </c>
      <c r="S456" s="4">
        <f>SUMIFS(Dump!E:E,Dump!B:B,C456,Dump!A:A,Y456)</f>
        <v>0</v>
      </c>
      <c r="T456" s="35">
        <f t="shared" si="22"/>
        <v>0</v>
      </c>
      <c r="V456" s="4">
        <f>SUMIFS(Dump!P:P,Dump!B:B,C456,Dump!A:A,Y456)</f>
        <v>0</v>
      </c>
      <c r="W456" s="37">
        <f t="shared" si="23"/>
        <v>0</v>
      </c>
      <c r="X456" s="39"/>
      <c r="Y456" s="54"/>
    </row>
    <row r="457">
      <c r="C457" s="53"/>
      <c r="G457" s="2" t="str">
        <f t="shared" si="27"/>
        <v/>
      </c>
      <c r="I457" s="4">
        <f>SUMIFS(Dump!D:D,Dump!B:B,C457)</f>
        <v>0</v>
      </c>
      <c r="J457" s="5">
        <f>SUMIFS(Dump!AE:AE,Dump!B:B,C457)</f>
        <v>0</v>
      </c>
      <c r="K457" s="4">
        <f>SUMPRODUCT(
  (TEXT(Dump!$A$2:$A994,"mmm-yy")=TEXT($Y457,"mmm-yy"))*
  (Dump!$B$2:$B994=$C457)*
  Dump!$D$2:$D994)</f>
        <v>0</v>
      </c>
      <c r="L457" s="4">
        <f>SUMPRODUCT(
  (TEXT(Dump!$A$2:$A994,"mmm-yy")=TEXT($Y457,"mmm-yy"))*
  (Dump!$B$2:$B994=$C457)*
  Dump!$E$2:$E994
)</f>
        <v>0</v>
      </c>
      <c r="M457" s="4">
        <f>SUMPRODUCT(
  (TEXT(Dump!$A$2:$A994,"mmm-yy")=TEXT($Y457,"mmm-yy"))*
  (Dump!$B$2:$B994=$C457)*
  Dump!$P$2:$P994
)</f>
        <v>0</v>
      </c>
      <c r="N457" s="32"/>
      <c r="O457" s="33">
        <f>SUMIFS(Dump!$D:$D,Dump!$B:$B,$C457,Dump!$A:$A,$Y457)</f>
        <v>0</v>
      </c>
      <c r="P457" s="33">
        <f>SUMIFS(Dump!R:R,Dump!B:B,C457,Dump!A:A,Y457)</f>
        <v>0</v>
      </c>
      <c r="Q457" s="34">
        <f t="shared" si="21"/>
        <v>0</v>
      </c>
      <c r="S457" s="4">
        <f>SUMIFS(Dump!E:E,Dump!B:B,C457,Dump!A:A,Y457)</f>
        <v>0</v>
      </c>
      <c r="T457" s="35">
        <f t="shared" si="22"/>
        <v>0</v>
      </c>
      <c r="V457" s="4">
        <f>SUMIFS(Dump!P:P,Dump!B:B,C457,Dump!A:A,Y457)</f>
        <v>0</v>
      </c>
      <c r="W457" s="37">
        <f t="shared" si="23"/>
        <v>0</v>
      </c>
      <c r="X457" s="39"/>
      <c r="Y457" s="54"/>
    </row>
    <row r="458">
      <c r="C458" s="53"/>
      <c r="G458" s="2" t="str">
        <f t="shared" si="27"/>
        <v/>
      </c>
      <c r="I458" s="4">
        <f>SUMIFS(Dump!D:D,Dump!B:B,C458)</f>
        <v>0</v>
      </c>
      <c r="J458" s="5">
        <f>SUMIFS(Dump!AE:AE,Dump!B:B,C458)</f>
        <v>0</v>
      </c>
      <c r="K458" s="4">
        <f>SUMPRODUCT(
  (TEXT(Dump!$A$2:$A994,"mmm-yy")=TEXT($Y458,"mmm-yy"))*
  (Dump!$B$2:$B994=$C458)*
  Dump!$D$2:$D994)</f>
        <v>0</v>
      </c>
      <c r="L458" s="4">
        <f>SUMPRODUCT(
  (TEXT(Dump!$A$2:$A994,"mmm-yy")=TEXT($Y458,"mmm-yy"))*
  (Dump!$B$2:$B994=$C458)*
  Dump!$E$2:$E994
)</f>
        <v>0</v>
      </c>
      <c r="M458" s="4">
        <f>SUMPRODUCT(
  (TEXT(Dump!$A$2:$A994,"mmm-yy")=TEXT($Y458,"mmm-yy"))*
  (Dump!$B$2:$B994=$C458)*
  Dump!$P$2:$P994
)</f>
        <v>0</v>
      </c>
      <c r="N458" s="32"/>
      <c r="O458" s="33">
        <f>SUMIFS(Dump!$D:$D,Dump!$B:$B,$C458,Dump!$A:$A,$Y458)</f>
        <v>0</v>
      </c>
      <c r="P458" s="33">
        <f>SUMIFS(Dump!R:R,Dump!B:B,C458,Dump!A:A,Y458)</f>
        <v>0</v>
      </c>
      <c r="Q458" s="34">
        <f t="shared" si="21"/>
        <v>0</v>
      </c>
      <c r="S458" s="4">
        <f>SUMIFS(Dump!E:E,Dump!B:B,C458,Dump!A:A,Y458)</f>
        <v>0</v>
      </c>
      <c r="T458" s="35">
        <f t="shared" si="22"/>
        <v>0</v>
      </c>
      <c r="V458" s="4">
        <f>SUMIFS(Dump!P:P,Dump!B:B,C458,Dump!A:A,Y458)</f>
        <v>0</v>
      </c>
      <c r="W458" s="37">
        <f t="shared" si="23"/>
        <v>0</v>
      </c>
      <c r="X458" s="39"/>
      <c r="Y458" s="54"/>
    </row>
    <row r="459">
      <c r="C459" s="53"/>
      <c r="G459" s="2" t="str">
        <f t="shared" si="27"/>
        <v/>
      </c>
      <c r="I459" s="4">
        <f>SUMIFS(Dump!D:D,Dump!B:B,C459)</f>
        <v>0</v>
      </c>
      <c r="J459" s="5">
        <f>SUMIFS(Dump!AE:AE,Dump!B:B,C459)</f>
        <v>0</v>
      </c>
      <c r="K459" s="4">
        <f>SUMPRODUCT(
  (TEXT(Dump!$A$2:$A994,"mmm-yy")=TEXT($Y459,"mmm-yy"))*
  (Dump!$B$2:$B994=$C459)*
  Dump!$D$2:$D994)</f>
        <v>0</v>
      </c>
      <c r="L459" s="4">
        <f>SUMPRODUCT(
  (TEXT(Dump!$A$2:$A994,"mmm-yy")=TEXT($Y459,"mmm-yy"))*
  (Dump!$B$2:$B994=$C459)*
  Dump!$E$2:$E994
)</f>
        <v>0</v>
      </c>
      <c r="M459" s="4">
        <f>SUMPRODUCT(
  (TEXT(Dump!$A$2:$A994,"mmm-yy")=TEXT($Y459,"mmm-yy"))*
  (Dump!$B$2:$B994=$C459)*
  Dump!$P$2:$P994
)</f>
        <v>0</v>
      </c>
      <c r="N459" s="32"/>
      <c r="O459" s="33">
        <f>SUMIFS(Dump!$D:$D,Dump!$B:$B,$C459,Dump!$A:$A,$Y459)</f>
        <v>0</v>
      </c>
      <c r="P459" s="33">
        <f>SUMIFS(Dump!R:R,Dump!B:B,C459,Dump!A:A,Y459)</f>
        <v>0</v>
      </c>
      <c r="Q459" s="34">
        <f t="shared" si="21"/>
        <v>0</v>
      </c>
      <c r="S459" s="4">
        <f>SUMIFS(Dump!E:E,Dump!B:B,C459,Dump!A:A,Y459)</f>
        <v>0</v>
      </c>
      <c r="T459" s="35">
        <f t="shared" si="22"/>
        <v>0</v>
      </c>
      <c r="V459" s="4">
        <f>SUMIFS(Dump!P:P,Dump!B:B,C459,Dump!A:A,Y459)</f>
        <v>0</v>
      </c>
      <c r="W459" s="37">
        <f t="shared" si="23"/>
        <v>0</v>
      </c>
      <c r="X459" s="39"/>
      <c r="Y459" s="54"/>
    </row>
    <row r="460">
      <c r="C460" s="53"/>
      <c r="G460" s="2" t="str">
        <f t="shared" si="27"/>
        <v/>
      </c>
      <c r="I460" s="4">
        <f>SUMIFS(Dump!D:D,Dump!B:B,C460)</f>
        <v>0</v>
      </c>
      <c r="J460" s="5">
        <f>SUMIFS(Dump!AE:AE,Dump!B:B,C460)</f>
        <v>0</v>
      </c>
      <c r="K460" s="4">
        <f>SUMPRODUCT(
  (TEXT(Dump!$A$2:$A994,"mmm-yy")=TEXT($Y460,"mmm-yy"))*
  (Dump!$B$2:$B994=$C460)*
  Dump!$D$2:$D994)</f>
        <v>0</v>
      </c>
      <c r="L460" s="4">
        <f>SUMPRODUCT(
  (TEXT(Dump!$A$2:$A994,"mmm-yy")=TEXT($Y460,"mmm-yy"))*
  (Dump!$B$2:$B994=$C460)*
  Dump!$E$2:$E994
)</f>
        <v>0</v>
      </c>
      <c r="M460" s="4">
        <f>SUMPRODUCT(
  (TEXT(Dump!$A$2:$A994,"mmm-yy")=TEXT($Y460,"mmm-yy"))*
  (Dump!$B$2:$B994=$C460)*
  Dump!$P$2:$P994
)</f>
        <v>0</v>
      </c>
      <c r="N460" s="32"/>
      <c r="O460" s="33">
        <f>SUMIFS(Dump!$D:$D,Dump!$B:$B,$C460,Dump!$A:$A,$Y460)</f>
        <v>0</v>
      </c>
      <c r="P460" s="33">
        <f>SUMIFS(Dump!R:R,Dump!B:B,C460,Dump!A:A,Y460)</f>
        <v>0</v>
      </c>
      <c r="Q460" s="34">
        <f t="shared" si="21"/>
        <v>0</v>
      </c>
      <c r="S460" s="4">
        <f>SUMIFS(Dump!E:E,Dump!B:B,C460,Dump!A:A,Y460)</f>
        <v>0</v>
      </c>
      <c r="T460" s="35">
        <f t="shared" si="22"/>
        <v>0</v>
      </c>
      <c r="V460" s="4">
        <f>SUMIFS(Dump!P:P,Dump!B:B,C460,Dump!A:A,Y460)</f>
        <v>0</v>
      </c>
      <c r="W460" s="37">
        <f t="shared" si="23"/>
        <v>0</v>
      </c>
      <c r="X460" s="39"/>
      <c r="Y460" s="54"/>
    </row>
    <row r="461">
      <c r="C461" s="53"/>
      <c r="G461" s="2" t="str">
        <f t="shared" si="27"/>
        <v/>
      </c>
      <c r="I461" s="4">
        <f>SUMIFS(Dump!D:D,Dump!B:B,C461)</f>
        <v>0</v>
      </c>
      <c r="J461" s="5">
        <f>SUMIFS(Dump!AE:AE,Dump!B:B,C461)</f>
        <v>0</v>
      </c>
      <c r="K461" s="4">
        <f>SUMPRODUCT(
  (TEXT(Dump!$A$2:$A994,"mmm-yy")=TEXT($Y461,"mmm-yy"))*
  (Dump!$B$2:$B994=$C461)*
  Dump!$D$2:$D994)</f>
        <v>0</v>
      </c>
      <c r="L461" s="4">
        <f>SUMPRODUCT(
  (TEXT(Dump!$A$2:$A994,"mmm-yy")=TEXT($Y461,"mmm-yy"))*
  (Dump!$B$2:$B994=$C461)*
  Dump!$E$2:$E994
)</f>
        <v>0</v>
      </c>
      <c r="M461" s="4">
        <f>SUMPRODUCT(
  (TEXT(Dump!$A$2:$A994,"mmm-yy")=TEXT($Y461,"mmm-yy"))*
  (Dump!$B$2:$B994=$C461)*
  Dump!$P$2:$P994
)</f>
        <v>0</v>
      </c>
      <c r="N461" s="32"/>
      <c r="O461" s="33">
        <f>SUMIFS(Dump!$D:$D,Dump!$B:$B,$C461,Dump!$A:$A,$Y461)</f>
        <v>0</v>
      </c>
      <c r="P461" s="33">
        <f>SUMIFS(Dump!R:R,Dump!B:B,C461,Dump!A:A,Y461)</f>
        <v>0</v>
      </c>
      <c r="Q461" s="34">
        <f t="shared" si="21"/>
        <v>0</v>
      </c>
      <c r="S461" s="4">
        <f>SUMIFS(Dump!E:E,Dump!B:B,C461,Dump!A:A,Y461)</f>
        <v>0</v>
      </c>
      <c r="T461" s="35">
        <f t="shared" si="22"/>
        <v>0</v>
      </c>
      <c r="V461" s="4">
        <f>SUMIFS(Dump!P:P,Dump!B:B,C461,Dump!A:A,Y461)</f>
        <v>0</v>
      </c>
      <c r="W461" s="37">
        <f t="shared" si="23"/>
        <v>0</v>
      </c>
      <c r="X461" s="39"/>
      <c r="Y461" s="54"/>
    </row>
    <row r="462">
      <c r="C462" s="53"/>
      <c r="G462" s="2" t="str">
        <f t="shared" si="27"/>
        <v/>
      </c>
      <c r="I462" s="4">
        <f>SUMIFS(Dump!D:D,Dump!B:B,C462)</f>
        <v>0</v>
      </c>
      <c r="J462" s="5">
        <f>SUMIFS(Dump!AE:AE,Dump!B:B,C462)</f>
        <v>0</v>
      </c>
      <c r="K462" s="4">
        <f>SUMPRODUCT(
  (TEXT(Dump!$A$2:$A994,"mmm-yy")=TEXT($Y462,"mmm-yy"))*
  (Dump!$B$2:$B994=$C462)*
  Dump!$D$2:$D994)</f>
        <v>0</v>
      </c>
      <c r="L462" s="4">
        <f>SUMPRODUCT(
  (TEXT(Dump!$A$2:$A994,"mmm-yy")=TEXT($Y462,"mmm-yy"))*
  (Dump!$B$2:$B994=$C462)*
  Dump!$E$2:$E994
)</f>
        <v>0</v>
      </c>
      <c r="M462" s="4">
        <f>SUMPRODUCT(
  (TEXT(Dump!$A$2:$A994,"mmm-yy")=TEXT($Y462,"mmm-yy"))*
  (Dump!$B$2:$B994=$C462)*
  Dump!$P$2:$P994
)</f>
        <v>0</v>
      </c>
      <c r="N462" s="32"/>
      <c r="O462" s="33">
        <f>SUMIFS(Dump!$D:$D,Dump!$B:$B,$C462,Dump!$A:$A,$Y462)</f>
        <v>0</v>
      </c>
      <c r="P462" s="33">
        <f>SUMIFS(Dump!R:R,Dump!B:B,C462,Dump!A:A,Y462)</f>
        <v>0</v>
      </c>
      <c r="Q462" s="34">
        <f t="shared" si="21"/>
        <v>0</v>
      </c>
      <c r="S462" s="4">
        <f>SUMIFS(Dump!E:E,Dump!B:B,C462,Dump!A:A,Y462)</f>
        <v>0</v>
      </c>
      <c r="T462" s="35">
        <f t="shared" si="22"/>
        <v>0</v>
      </c>
      <c r="V462" s="4">
        <f>SUMIFS(Dump!P:P,Dump!B:B,C462,Dump!A:A,Y462)</f>
        <v>0</v>
      </c>
      <c r="W462" s="37">
        <f t="shared" si="23"/>
        <v>0</v>
      </c>
      <c r="X462" s="39"/>
      <c r="Y462" s="54"/>
    </row>
    <row r="463">
      <c r="C463" s="53"/>
      <c r="G463" s="2" t="str">
        <f t="shared" si="27"/>
        <v/>
      </c>
      <c r="I463" s="4">
        <f>SUMIFS(Dump!D:D,Dump!B:B,C463)</f>
        <v>0</v>
      </c>
      <c r="J463" s="5">
        <f>SUMIFS(Dump!AE:AE,Dump!B:B,C463)</f>
        <v>0</v>
      </c>
      <c r="K463" s="4">
        <f>SUMPRODUCT(
  (TEXT(Dump!$A$2:$A994,"mmm-yy")=TEXT($Y463,"mmm-yy"))*
  (Dump!$B$2:$B994=$C463)*
  Dump!$D$2:$D994)</f>
        <v>0</v>
      </c>
      <c r="L463" s="4">
        <f>SUMPRODUCT(
  (TEXT(Dump!$A$2:$A994,"mmm-yy")=TEXT($Y463,"mmm-yy"))*
  (Dump!$B$2:$B994=$C463)*
  Dump!$E$2:$E994
)</f>
        <v>0</v>
      </c>
      <c r="M463" s="4">
        <f>SUMPRODUCT(
  (TEXT(Dump!$A$2:$A994,"mmm-yy")=TEXT($Y463,"mmm-yy"))*
  (Dump!$B$2:$B994=$C463)*
  Dump!$P$2:$P994
)</f>
        <v>0</v>
      </c>
      <c r="N463" s="32"/>
      <c r="O463" s="33">
        <f>SUMIFS(Dump!$D:$D,Dump!$B:$B,$C463,Dump!$A:$A,$Y463)</f>
        <v>0</v>
      </c>
      <c r="P463" s="33">
        <f>SUMIFS(Dump!R:R,Dump!B:B,C463,Dump!A:A,Y463)</f>
        <v>0</v>
      </c>
      <c r="Q463" s="34">
        <f t="shared" si="21"/>
        <v>0</v>
      </c>
      <c r="S463" s="4">
        <f>SUMIFS(Dump!E:E,Dump!B:B,C463,Dump!A:A,Y463)</f>
        <v>0</v>
      </c>
      <c r="T463" s="35">
        <f t="shared" si="22"/>
        <v>0</v>
      </c>
      <c r="V463" s="4">
        <f>SUMIFS(Dump!P:P,Dump!B:B,C463,Dump!A:A,Y463)</f>
        <v>0</v>
      </c>
      <c r="W463" s="37">
        <f t="shared" si="23"/>
        <v>0</v>
      </c>
      <c r="X463" s="39"/>
      <c r="Y463" s="54"/>
    </row>
    <row r="464">
      <c r="C464" s="53"/>
      <c r="G464" s="2" t="str">
        <f t="shared" si="27"/>
        <v/>
      </c>
      <c r="I464" s="4">
        <f>SUMIFS(Dump!D:D,Dump!B:B,C464)</f>
        <v>0</v>
      </c>
      <c r="J464" s="5">
        <f>SUMIFS(Dump!AE:AE,Dump!B:B,C464)</f>
        <v>0</v>
      </c>
      <c r="K464" s="4">
        <f>SUMPRODUCT(
  (TEXT(Dump!$A$2:$A994,"mmm-yy")=TEXT($Y464,"mmm-yy"))*
  (Dump!$B$2:$B994=$C464)*
  Dump!$D$2:$D994)</f>
        <v>0</v>
      </c>
      <c r="L464" s="4">
        <f>SUMPRODUCT(
  (TEXT(Dump!$A$2:$A994,"mmm-yy")=TEXT($Y464,"mmm-yy"))*
  (Dump!$B$2:$B994=$C464)*
  Dump!$E$2:$E994
)</f>
        <v>0</v>
      </c>
      <c r="M464" s="4">
        <f>SUMPRODUCT(
  (TEXT(Dump!$A$2:$A994,"mmm-yy")=TEXT($Y464,"mmm-yy"))*
  (Dump!$B$2:$B994=$C464)*
  Dump!$P$2:$P994
)</f>
        <v>0</v>
      </c>
      <c r="N464" s="32"/>
      <c r="O464" s="33">
        <f>SUMIFS(Dump!$D:$D,Dump!$B:$B,$C464,Dump!$A:$A,$Y464)</f>
        <v>0</v>
      </c>
      <c r="P464" s="33">
        <f>SUMIFS(Dump!R:R,Dump!B:B,C464,Dump!A:A,Y464)</f>
        <v>0</v>
      </c>
      <c r="Q464" s="34">
        <f t="shared" si="21"/>
        <v>0</v>
      </c>
      <c r="S464" s="4">
        <f>SUMIFS(Dump!E:E,Dump!B:B,C464,Dump!A:A,Y464)</f>
        <v>0</v>
      </c>
      <c r="T464" s="35">
        <f t="shared" si="22"/>
        <v>0</v>
      </c>
      <c r="V464" s="4">
        <f>SUMIFS(Dump!P:P,Dump!B:B,C464,Dump!A:A,Y464)</f>
        <v>0</v>
      </c>
      <c r="W464" s="37">
        <f t="shared" si="23"/>
        <v>0</v>
      </c>
      <c r="X464" s="39"/>
      <c r="Y464" s="54"/>
    </row>
    <row r="465">
      <c r="C465" s="53"/>
      <c r="G465" s="2" t="str">
        <f t="shared" si="27"/>
        <v/>
      </c>
      <c r="I465" s="4">
        <f>SUMIFS(Dump!D:D,Dump!B:B,C465)</f>
        <v>0</v>
      </c>
      <c r="J465" s="5">
        <f>SUMIFS(Dump!AE:AE,Dump!B:B,C465)</f>
        <v>0</v>
      </c>
      <c r="K465" s="4">
        <f>SUMPRODUCT(
  (TEXT(Dump!$A$2:$A994,"mmm-yy")=TEXT($Y465,"mmm-yy"))*
  (Dump!$B$2:$B994=$C465)*
  Dump!$D$2:$D994)</f>
        <v>0</v>
      </c>
      <c r="L465" s="4">
        <f>SUMPRODUCT(
  (TEXT(Dump!$A$2:$A994,"mmm-yy")=TEXT($Y465,"mmm-yy"))*
  (Dump!$B$2:$B994=$C465)*
  Dump!$E$2:$E994
)</f>
        <v>0</v>
      </c>
      <c r="M465" s="4">
        <f>SUMPRODUCT(
  (TEXT(Dump!$A$2:$A994,"mmm-yy")=TEXT($Y465,"mmm-yy"))*
  (Dump!$B$2:$B994=$C465)*
  Dump!$P$2:$P994
)</f>
        <v>0</v>
      </c>
      <c r="N465" s="32"/>
      <c r="O465" s="33">
        <f>SUMIFS(Dump!$D:$D,Dump!$B:$B,$C465,Dump!$A:$A,$Y465)</f>
        <v>0</v>
      </c>
      <c r="P465" s="33">
        <f>SUMIFS(Dump!R:R,Dump!B:B,C465,Dump!A:A,Y465)</f>
        <v>0</v>
      </c>
      <c r="Q465" s="34">
        <f t="shared" si="21"/>
        <v>0</v>
      </c>
      <c r="S465" s="4">
        <f>SUMIFS(Dump!E:E,Dump!B:B,C465,Dump!A:A,Y465)</f>
        <v>0</v>
      </c>
      <c r="T465" s="35">
        <f t="shared" si="22"/>
        <v>0</v>
      </c>
      <c r="V465" s="4">
        <f>SUMIFS(Dump!P:P,Dump!B:B,C465,Dump!A:A,Y465)</f>
        <v>0</v>
      </c>
      <c r="W465" s="37">
        <f t="shared" si="23"/>
        <v>0</v>
      </c>
      <c r="X465" s="39"/>
      <c r="Y465" s="54"/>
    </row>
    <row r="466">
      <c r="C466" s="53"/>
      <c r="G466" s="2" t="str">
        <f t="shared" si="27"/>
        <v/>
      </c>
      <c r="I466" s="4">
        <f>SUMIFS(Dump!D:D,Dump!B:B,C466)</f>
        <v>0</v>
      </c>
      <c r="J466" s="5">
        <f>SUMIFS(Dump!AE:AE,Dump!B:B,C466)</f>
        <v>0</v>
      </c>
      <c r="K466" s="4">
        <f>SUMPRODUCT(
  (TEXT(Dump!$A$2:$A994,"mmm-yy")=TEXT($Y466,"mmm-yy"))*
  (Dump!$B$2:$B994=$C466)*
  Dump!$D$2:$D994)</f>
        <v>0</v>
      </c>
      <c r="L466" s="4">
        <f>SUMPRODUCT(
  (TEXT(Dump!$A$2:$A994,"mmm-yy")=TEXT($Y466,"mmm-yy"))*
  (Dump!$B$2:$B994=$C466)*
  Dump!$E$2:$E994
)</f>
        <v>0</v>
      </c>
      <c r="M466" s="4">
        <f>SUMPRODUCT(
  (TEXT(Dump!$A$2:$A994,"mmm-yy")=TEXT($Y466,"mmm-yy"))*
  (Dump!$B$2:$B994=$C466)*
  Dump!$P$2:$P994
)</f>
        <v>0</v>
      </c>
      <c r="N466" s="32"/>
      <c r="O466" s="33">
        <f>SUMIFS(Dump!$D:$D,Dump!$B:$B,$C466,Dump!$A:$A,$Y466)</f>
        <v>0</v>
      </c>
      <c r="P466" s="33">
        <f>SUMIFS(Dump!R:R,Dump!B:B,C466,Dump!A:A,Y466)</f>
        <v>0</v>
      </c>
      <c r="Q466" s="34">
        <f t="shared" si="21"/>
        <v>0</v>
      </c>
      <c r="S466" s="4">
        <f>SUMIFS(Dump!E:E,Dump!B:B,C466,Dump!A:A,Y466)</f>
        <v>0</v>
      </c>
      <c r="T466" s="35">
        <f t="shared" si="22"/>
        <v>0</v>
      </c>
      <c r="V466" s="4">
        <f>SUMIFS(Dump!P:P,Dump!B:B,C466,Dump!A:A,Y466)</f>
        <v>0</v>
      </c>
      <c r="W466" s="37">
        <f t="shared" si="23"/>
        <v>0</v>
      </c>
      <c r="X466" s="39"/>
      <c r="Y466" s="54"/>
    </row>
    <row r="467">
      <c r="C467" s="53"/>
      <c r="G467" s="2" t="str">
        <f t="shared" si="27"/>
        <v/>
      </c>
      <c r="I467" s="4">
        <f>SUMIFS(Dump!D:D,Dump!B:B,C467)</f>
        <v>0</v>
      </c>
      <c r="J467" s="5">
        <f>SUMIFS(Dump!AE:AE,Dump!B:B,C467)</f>
        <v>0</v>
      </c>
      <c r="K467" s="4">
        <f>SUMPRODUCT(
  (TEXT(Dump!$A$2:$A994,"mmm-yy")=TEXT($Y467,"mmm-yy"))*
  (Dump!$B$2:$B994=$C467)*
  Dump!$D$2:$D994)</f>
        <v>0</v>
      </c>
      <c r="L467" s="4">
        <f>SUMPRODUCT(
  (TEXT(Dump!$A$2:$A994,"mmm-yy")=TEXT($Y467,"mmm-yy"))*
  (Dump!$B$2:$B994=$C467)*
  Dump!$E$2:$E994
)</f>
        <v>0</v>
      </c>
      <c r="M467" s="4">
        <f>SUMPRODUCT(
  (TEXT(Dump!$A$2:$A994,"mmm-yy")=TEXT($Y467,"mmm-yy"))*
  (Dump!$B$2:$B994=$C467)*
  Dump!$P$2:$P994
)</f>
        <v>0</v>
      </c>
      <c r="N467" s="32"/>
      <c r="O467" s="33">
        <f>SUMIFS(Dump!$D:$D,Dump!$B:$B,$C467,Dump!$A:$A,$Y467)</f>
        <v>0</v>
      </c>
      <c r="P467" s="33">
        <f>SUMIFS(Dump!R:R,Dump!B:B,C467,Dump!A:A,Y467)</f>
        <v>0</v>
      </c>
      <c r="Q467" s="34">
        <f t="shared" si="21"/>
        <v>0</v>
      </c>
      <c r="S467" s="4">
        <f>SUMIFS(Dump!E:E,Dump!B:B,C467,Dump!A:A,Y467)</f>
        <v>0</v>
      </c>
      <c r="T467" s="35">
        <f t="shared" si="22"/>
        <v>0</v>
      </c>
      <c r="V467" s="4">
        <f>SUMIFS(Dump!P:P,Dump!B:B,C467,Dump!A:A,Y467)</f>
        <v>0</v>
      </c>
      <c r="W467" s="37">
        <f t="shared" si="23"/>
        <v>0</v>
      </c>
      <c r="X467" s="39"/>
      <c r="Y467" s="54"/>
    </row>
    <row r="468">
      <c r="C468" s="53"/>
      <c r="G468" s="2" t="str">
        <f t="shared" si="27"/>
        <v/>
      </c>
      <c r="I468" s="4">
        <f>SUMIFS(Dump!D:D,Dump!B:B,C468)</f>
        <v>0</v>
      </c>
      <c r="J468" s="5">
        <f>SUMIFS(Dump!AE:AE,Dump!B:B,C468)</f>
        <v>0</v>
      </c>
      <c r="K468" s="4">
        <f>SUMPRODUCT(
  (TEXT(Dump!$A$2:$A994,"mmm-yy")=TEXT($Y468,"mmm-yy"))*
  (Dump!$B$2:$B994=$C468)*
  Dump!$D$2:$D994)</f>
        <v>0</v>
      </c>
      <c r="L468" s="4">
        <f>SUMPRODUCT(
  (TEXT(Dump!$A$2:$A994,"mmm-yy")=TEXT($Y468,"mmm-yy"))*
  (Dump!$B$2:$B994=$C468)*
  Dump!$E$2:$E994
)</f>
        <v>0</v>
      </c>
      <c r="M468" s="4">
        <f>SUMPRODUCT(
  (TEXT(Dump!$A$2:$A994,"mmm-yy")=TEXT($Y468,"mmm-yy"))*
  (Dump!$B$2:$B994=$C468)*
  Dump!$P$2:$P994
)</f>
        <v>0</v>
      </c>
      <c r="N468" s="32"/>
      <c r="O468" s="33">
        <f>SUMIFS(Dump!$D:$D,Dump!$B:$B,$C468,Dump!$A:$A,$Y468)</f>
        <v>0</v>
      </c>
      <c r="P468" s="33">
        <f>SUMIFS(Dump!R:R,Dump!B:B,C468,Dump!A:A,Y468)</f>
        <v>0</v>
      </c>
      <c r="Q468" s="34">
        <f t="shared" si="21"/>
        <v>0</v>
      </c>
      <c r="S468" s="4">
        <f>SUMIFS(Dump!E:E,Dump!B:B,C468,Dump!A:A,Y468)</f>
        <v>0</v>
      </c>
      <c r="T468" s="35">
        <f t="shared" si="22"/>
        <v>0</v>
      </c>
      <c r="V468" s="4">
        <f>SUMIFS(Dump!P:P,Dump!B:B,C468,Dump!A:A,Y468)</f>
        <v>0</v>
      </c>
      <c r="W468" s="37">
        <f t="shared" si="23"/>
        <v>0</v>
      </c>
      <c r="X468" s="39"/>
      <c r="Y468" s="54"/>
    </row>
    <row r="469">
      <c r="C469" s="53"/>
      <c r="G469" s="2" t="str">
        <f t="shared" si="27"/>
        <v/>
      </c>
      <c r="I469" s="4">
        <f>SUMIFS(Dump!D:D,Dump!B:B,C469)</f>
        <v>0</v>
      </c>
      <c r="J469" s="5">
        <f>SUMIFS(Dump!AE:AE,Dump!B:B,C469)</f>
        <v>0</v>
      </c>
      <c r="K469" s="4">
        <f>SUMPRODUCT(
  (TEXT(Dump!$A$2:$A994,"mmm-yy")=TEXT($Y469,"mmm-yy"))*
  (Dump!$B$2:$B994=$C469)*
  Dump!$D$2:$D994)</f>
        <v>0</v>
      </c>
      <c r="L469" s="4">
        <f>SUMPRODUCT(
  (TEXT(Dump!$A$2:$A994,"mmm-yy")=TEXT($Y469,"mmm-yy"))*
  (Dump!$B$2:$B994=$C469)*
  Dump!$E$2:$E994
)</f>
        <v>0</v>
      </c>
      <c r="M469" s="4">
        <f>SUMPRODUCT(
  (TEXT(Dump!$A$2:$A994,"mmm-yy")=TEXT($Y469,"mmm-yy"))*
  (Dump!$B$2:$B994=$C469)*
  Dump!$P$2:$P994
)</f>
        <v>0</v>
      </c>
      <c r="N469" s="32"/>
      <c r="O469" s="33">
        <f>SUMIFS(Dump!$D:$D,Dump!$B:$B,$C469,Dump!$A:$A,$Y469)</f>
        <v>0</v>
      </c>
      <c r="P469" s="33">
        <f>SUMIFS(Dump!R:R,Dump!B:B,C469,Dump!A:A,Y469)</f>
        <v>0</v>
      </c>
      <c r="Q469" s="34">
        <f t="shared" si="21"/>
        <v>0</v>
      </c>
      <c r="S469" s="4">
        <f>SUMIFS(Dump!E:E,Dump!B:B,C469,Dump!A:A,Y469)</f>
        <v>0</v>
      </c>
      <c r="T469" s="35">
        <f t="shared" si="22"/>
        <v>0</v>
      </c>
      <c r="V469" s="4">
        <f>SUMIFS(Dump!P:P,Dump!B:B,C469,Dump!A:A,Y469)</f>
        <v>0</v>
      </c>
      <c r="W469" s="37">
        <f t="shared" si="23"/>
        <v>0</v>
      </c>
      <c r="X469" s="39"/>
      <c r="Y469" s="54"/>
    </row>
    <row r="470">
      <c r="C470" s="53"/>
      <c r="G470" s="2" t="str">
        <f t="shared" si="27"/>
        <v/>
      </c>
      <c r="I470" s="4">
        <f>SUMIFS(Dump!D:D,Dump!B:B,C470)</f>
        <v>0</v>
      </c>
      <c r="J470" s="5">
        <f>SUMIFS(Dump!AE:AE,Dump!B:B,C470)</f>
        <v>0</v>
      </c>
      <c r="K470" s="4">
        <f>SUMPRODUCT(
  (TEXT(Dump!$A$2:$A994,"mmm-yy")=TEXT($Y470,"mmm-yy"))*
  (Dump!$B$2:$B994=$C470)*
  Dump!$D$2:$D994)</f>
        <v>0</v>
      </c>
      <c r="L470" s="4">
        <f>SUMPRODUCT(
  (TEXT(Dump!$A$2:$A994,"mmm-yy")=TEXT($Y470,"mmm-yy"))*
  (Dump!$B$2:$B994=$C470)*
  Dump!$E$2:$E994
)</f>
        <v>0</v>
      </c>
      <c r="M470" s="4">
        <f>SUMPRODUCT(
  (TEXT(Dump!$A$2:$A994,"mmm-yy")=TEXT($Y470,"mmm-yy"))*
  (Dump!$B$2:$B994=$C470)*
  Dump!$P$2:$P994
)</f>
        <v>0</v>
      </c>
      <c r="N470" s="32"/>
      <c r="O470" s="33">
        <f>SUMIFS(Dump!$D:$D,Dump!$B:$B,$C470,Dump!$A:$A,$Y470)</f>
        <v>0</v>
      </c>
      <c r="P470" s="33">
        <f>SUMIFS(Dump!R:R,Dump!B:B,C470,Dump!A:A,Y470)</f>
        <v>0</v>
      </c>
      <c r="Q470" s="34">
        <f t="shared" si="21"/>
        <v>0</v>
      </c>
      <c r="S470" s="4">
        <f>SUMIFS(Dump!E:E,Dump!B:B,C470,Dump!A:A,Y470)</f>
        <v>0</v>
      </c>
      <c r="T470" s="35">
        <f t="shared" si="22"/>
        <v>0</v>
      </c>
      <c r="V470" s="4">
        <f>SUMIFS(Dump!P:P,Dump!B:B,C470,Dump!A:A,Y470)</f>
        <v>0</v>
      </c>
      <c r="W470" s="37">
        <f t="shared" si="23"/>
        <v>0</v>
      </c>
      <c r="X470" s="39"/>
      <c r="Y470" s="54"/>
    </row>
    <row r="471">
      <c r="C471" s="53"/>
      <c r="G471" s="2" t="str">
        <f t="shared" si="27"/>
        <v/>
      </c>
      <c r="I471" s="4">
        <f>SUMIFS(Dump!D:D,Dump!B:B,C471)</f>
        <v>0</v>
      </c>
      <c r="J471" s="5">
        <f>SUMIFS(Dump!AE:AE,Dump!B:B,C471)</f>
        <v>0</v>
      </c>
      <c r="K471" s="4">
        <f>SUMPRODUCT(
  (TEXT(Dump!$A$2:$A994,"mmm-yy")=TEXT($Y471,"mmm-yy"))*
  (Dump!$B$2:$B994=$C471)*
  Dump!$D$2:$D994)</f>
        <v>0</v>
      </c>
      <c r="L471" s="4">
        <f>SUMPRODUCT(
  (TEXT(Dump!$A$2:$A994,"mmm-yy")=TEXT($Y471,"mmm-yy"))*
  (Dump!$B$2:$B994=$C471)*
  Dump!$E$2:$E994
)</f>
        <v>0</v>
      </c>
      <c r="M471" s="4">
        <f>SUMPRODUCT(
  (TEXT(Dump!$A$2:$A994,"mmm-yy")=TEXT($Y471,"mmm-yy"))*
  (Dump!$B$2:$B994=$C471)*
  Dump!$P$2:$P994
)</f>
        <v>0</v>
      </c>
      <c r="N471" s="32"/>
      <c r="O471" s="33">
        <f>SUMIFS(Dump!$D:$D,Dump!$B:$B,$C471,Dump!$A:$A,$Y471)</f>
        <v>0</v>
      </c>
      <c r="P471" s="33">
        <f>SUMIFS(Dump!R:R,Dump!B:B,C471,Dump!A:A,Y471)</f>
        <v>0</v>
      </c>
      <c r="Q471" s="34">
        <f t="shared" si="21"/>
        <v>0</v>
      </c>
      <c r="S471" s="4">
        <f>SUMIFS(Dump!E:E,Dump!B:B,C471,Dump!A:A,Y471)</f>
        <v>0</v>
      </c>
      <c r="T471" s="35">
        <f t="shared" si="22"/>
        <v>0</v>
      </c>
      <c r="V471" s="4">
        <f>SUMIFS(Dump!P:P,Dump!B:B,C471,Dump!A:A,Y471)</f>
        <v>0</v>
      </c>
      <c r="W471" s="37">
        <f t="shared" si="23"/>
        <v>0</v>
      </c>
      <c r="X471" s="39"/>
      <c r="Y471" s="54"/>
    </row>
    <row r="472">
      <c r="C472" s="53"/>
      <c r="G472" s="2" t="str">
        <f t="shared" si="27"/>
        <v/>
      </c>
      <c r="I472" s="4">
        <f>SUMIFS(Dump!D:D,Dump!B:B,C472)</f>
        <v>0</v>
      </c>
      <c r="J472" s="5">
        <f>SUMIFS(Dump!AE:AE,Dump!B:B,C472)</f>
        <v>0</v>
      </c>
      <c r="K472" s="4">
        <f>SUMPRODUCT(
  (TEXT(Dump!$A$2:$A994,"mmm-yy")=TEXT($Y472,"mmm-yy"))*
  (Dump!$B$2:$B994=$C472)*
  Dump!$D$2:$D994)</f>
        <v>0</v>
      </c>
      <c r="L472" s="4">
        <f>SUMPRODUCT(
  (TEXT(Dump!$A$2:$A994,"mmm-yy")=TEXT($Y472,"mmm-yy"))*
  (Dump!$B$2:$B994=$C472)*
  Dump!$E$2:$E994
)</f>
        <v>0</v>
      </c>
      <c r="M472" s="4">
        <f>SUMPRODUCT(
  (TEXT(Dump!$A$2:$A994,"mmm-yy")=TEXT($Y472,"mmm-yy"))*
  (Dump!$B$2:$B994=$C472)*
  Dump!$P$2:$P994
)</f>
        <v>0</v>
      </c>
      <c r="N472" s="32"/>
      <c r="O472" s="33">
        <f>SUMIFS(Dump!$D:$D,Dump!$B:$B,$C472,Dump!$A:$A,$Y472)</f>
        <v>0</v>
      </c>
      <c r="P472" s="33">
        <f>SUMIFS(Dump!R:R,Dump!B:B,C472,Dump!A:A,Y472)</f>
        <v>0</v>
      </c>
      <c r="Q472" s="34">
        <f t="shared" si="21"/>
        <v>0</v>
      </c>
      <c r="S472" s="4">
        <f>SUMIFS(Dump!E:E,Dump!B:B,C472,Dump!A:A,Y472)</f>
        <v>0</v>
      </c>
      <c r="T472" s="35">
        <f t="shared" si="22"/>
        <v>0</v>
      </c>
      <c r="V472" s="4">
        <f>SUMIFS(Dump!P:P,Dump!B:B,C472,Dump!A:A,Y472)</f>
        <v>0</v>
      </c>
      <c r="W472" s="37">
        <f t="shared" si="23"/>
        <v>0</v>
      </c>
      <c r="X472" s="39"/>
      <c r="Y472" s="54"/>
    </row>
    <row r="473">
      <c r="C473" s="53"/>
      <c r="G473" s="2" t="str">
        <f t="shared" si="27"/>
        <v/>
      </c>
      <c r="I473" s="4">
        <f>SUMIFS(Dump!D:D,Dump!B:B,C473)</f>
        <v>0</v>
      </c>
      <c r="J473" s="5">
        <f>SUMIFS(Dump!AE:AE,Dump!B:B,C473)</f>
        <v>0</v>
      </c>
      <c r="K473" s="4">
        <f>SUMPRODUCT(
  (TEXT(Dump!$A$2:$A994,"mmm-yy")=TEXT($Y473,"mmm-yy"))*
  (Dump!$B$2:$B994=$C473)*
  Dump!$D$2:$D994)</f>
        <v>0</v>
      </c>
      <c r="L473" s="4">
        <f>SUMPRODUCT(
  (TEXT(Dump!$A$2:$A994,"mmm-yy")=TEXT($Y473,"mmm-yy"))*
  (Dump!$B$2:$B994=$C473)*
  Dump!$E$2:$E994
)</f>
        <v>0</v>
      </c>
      <c r="M473" s="4">
        <f>SUMPRODUCT(
  (TEXT(Dump!$A$2:$A994,"mmm-yy")=TEXT($Y473,"mmm-yy"))*
  (Dump!$B$2:$B994=$C473)*
  Dump!$P$2:$P994
)</f>
        <v>0</v>
      </c>
      <c r="N473" s="32"/>
      <c r="O473" s="33">
        <f>SUMIFS(Dump!$D:$D,Dump!$B:$B,$C473,Dump!$A:$A,$Y473)</f>
        <v>0</v>
      </c>
      <c r="P473" s="33">
        <f>SUMIFS(Dump!R:R,Dump!B:B,C473,Dump!A:A,Y473)</f>
        <v>0</v>
      </c>
      <c r="Q473" s="34">
        <f t="shared" si="21"/>
        <v>0</v>
      </c>
      <c r="S473" s="4">
        <f>SUMIFS(Dump!E:E,Dump!B:B,C473,Dump!A:A,Y473)</f>
        <v>0</v>
      </c>
      <c r="T473" s="35">
        <f t="shared" si="22"/>
        <v>0</v>
      </c>
      <c r="V473" s="4">
        <f>SUMIFS(Dump!P:P,Dump!B:B,C473,Dump!A:A,Y473)</f>
        <v>0</v>
      </c>
      <c r="W473" s="37">
        <f t="shared" si="23"/>
        <v>0</v>
      </c>
      <c r="X473" s="39"/>
      <c r="Y473" s="54"/>
    </row>
    <row r="474">
      <c r="C474" s="53"/>
      <c r="G474" s="2" t="str">
        <f t="shared" si="27"/>
        <v/>
      </c>
      <c r="I474" s="4">
        <f>SUMIFS(Dump!D:D,Dump!B:B,C474)</f>
        <v>0</v>
      </c>
      <c r="J474" s="5">
        <f>SUMIFS(Dump!AE:AE,Dump!B:B,C474)</f>
        <v>0</v>
      </c>
      <c r="K474" s="4">
        <f>SUMPRODUCT(
  (TEXT(Dump!$A$2:$A994,"mmm-yy")=TEXT($Y474,"mmm-yy"))*
  (Dump!$B$2:$B994=$C474)*
  Dump!$D$2:$D994)</f>
        <v>0</v>
      </c>
      <c r="L474" s="4">
        <f>SUMPRODUCT(
  (TEXT(Dump!$A$2:$A994,"mmm-yy")=TEXT($Y474,"mmm-yy"))*
  (Dump!$B$2:$B994=$C474)*
  Dump!$E$2:$E994
)</f>
        <v>0</v>
      </c>
      <c r="M474" s="4">
        <f>SUMPRODUCT(
  (TEXT(Dump!$A$2:$A994,"mmm-yy")=TEXT($Y474,"mmm-yy"))*
  (Dump!$B$2:$B994=$C474)*
  Dump!$P$2:$P994
)</f>
        <v>0</v>
      </c>
      <c r="N474" s="32"/>
      <c r="O474" s="33">
        <f>SUMIFS(Dump!$D:$D,Dump!$B:$B,$C474,Dump!$A:$A,$Y474)</f>
        <v>0</v>
      </c>
      <c r="P474" s="33">
        <f>SUMIFS(Dump!R:R,Dump!B:B,C474,Dump!A:A,Y474)</f>
        <v>0</v>
      </c>
      <c r="Q474" s="34">
        <f t="shared" si="21"/>
        <v>0</v>
      </c>
      <c r="S474" s="4">
        <f>SUMIFS(Dump!E:E,Dump!B:B,C474,Dump!A:A,Y474)</f>
        <v>0</v>
      </c>
      <c r="T474" s="35">
        <f t="shared" si="22"/>
        <v>0</v>
      </c>
      <c r="V474" s="4">
        <f>SUMIFS(Dump!P:P,Dump!B:B,C474,Dump!A:A,Y474)</f>
        <v>0</v>
      </c>
      <c r="W474" s="37">
        <f t="shared" si="23"/>
        <v>0</v>
      </c>
      <c r="X474" s="39"/>
      <c r="Y474" s="54"/>
    </row>
    <row r="475">
      <c r="C475" s="53"/>
      <c r="G475" s="2" t="str">
        <f t="shared" si="27"/>
        <v/>
      </c>
      <c r="I475" s="4">
        <f>SUMIFS(Dump!D:D,Dump!B:B,C475)</f>
        <v>0</v>
      </c>
      <c r="J475" s="5">
        <f>SUMIFS(Dump!AE:AE,Dump!B:B,C475)</f>
        <v>0</v>
      </c>
      <c r="K475" s="4">
        <f>SUMPRODUCT(
  (TEXT(Dump!$A$2:$A994,"mmm-yy")=TEXT($Y475,"mmm-yy"))*
  (Dump!$B$2:$B994=$C475)*
  Dump!$D$2:$D994)</f>
        <v>0</v>
      </c>
      <c r="L475" s="4">
        <f>SUMPRODUCT(
  (TEXT(Dump!$A$2:$A994,"mmm-yy")=TEXT($Y475,"mmm-yy"))*
  (Dump!$B$2:$B994=$C475)*
  Dump!$E$2:$E994
)</f>
        <v>0</v>
      </c>
      <c r="M475" s="4">
        <f>SUMPRODUCT(
  (TEXT(Dump!$A$2:$A994,"mmm-yy")=TEXT($Y475,"mmm-yy"))*
  (Dump!$B$2:$B994=$C475)*
  Dump!$P$2:$P994
)</f>
        <v>0</v>
      </c>
      <c r="N475" s="32"/>
      <c r="O475" s="33">
        <f>SUMIFS(Dump!$D:$D,Dump!$B:$B,$C475,Dump!$A:$A,$Y475)</f>
        <v>0</v>
      </c>
      <c r="P475" s="33">
        <f>SUMIFS(Dump!R:R,Dump!B:B,C475,Dump!A:A,Y475)</f>
        <v>0</v>
      </c>
      <c r="Q475" s="34">
        <f t="shared" si="21"/>
        <v>0</v>
      </c>
      <c r="S475" s="4">
        <f>SUMIFS(Dump!E:E,Dump!B:B,C475,Dump!A:A,Y475)</f>
        <v>0</v>
      </c>
      <c r="T475" s="35">
        <f t="shared" si="22"/>
        <v>0</v>
      </c>
      <c r="V475" s="4">
        <f>SUMIFS(Dump!P:P,Dump!B:B,C475,Dump!A:A,Y475)</f>
        <v>0</v>
      </c>
      <c r="W475" s="37">
        <f t="shared" si="23"/>
        <v>0</v>
      </c>
      <c r="X475" s="39"/>
      <c r="Y475" s="54"/>
    </row>
    <row r="476">
      <c r="C476" s="53"/>
      <c r="G476" s="2" t="str">
        <f t="shared" si="27"/>
        <v/>
      </c>
      <c r="I476" s="4">
        <f>SUMIFS(Dump!D:D,Dump!B:B,C476)</f>
        <v>0</v>
      </c>
      <c r="J476" s="5">
        <f>SUMIFS(Dump!AE:AE,Dump!B:B,C476)</f>
        <v>0</v>
      </c>
      <c r="K476" s="4">
        <f>SUMPRODUCT(
  (TEXT(Dump!$A$2:$A994,"mmm-yy")=TEXT($Y476,"mmm-yy"))*
  (Dump!$B$2:$B994=$C476)*
  Dump!$D$2:$D994)</f>
        <v>0</v>
      </c>
      <c r="L476" s="4">
        <f>SUMPRODUCT(
  (TEXT(Dump!$A$2:$A994,"mmm-yy")=TEXT($Y476,"mmm-yy"))*
  (Dump!$B$2:$B994=$C476)*
  Dump!$E$2:$E994
)</f>
        <v>0</v>
      </c>
      <c r="M476" s="4">
        <f>SUMPRODUCT(
  (TEXT(Dump!$A$2:$A994,"mmm-yy")=TEXT($Y476,"mmm-yy"))*
  (Dump!$B$2:$B994=$C476)*
  Dump!$P$2:$P994
)</f>
        <v>0</v>
      </c>
      <c r="N476" s="32"/>
      <c r="O476" s="33">
        <f>SUMIFS(Dump!$D:$D,Dump!$B:$B,$C476,Dump!$A:$A,$Y476)</f>
        <v>0</v>
      </c>
      <c r="P476" s="33">
        <f>SUMIFS(Dump!R:R,Dump!B:B,C476,Dump!A:A,Y476)</f>
        <v>0</v>
      </c>
      <c r="Q476" s="34">
        <f t="shared" si="21"/>
        <v>0</v>
      </c>
      <c r="S476" s="4">
        <f>SUMIFS(Dump!E:E,Dump!B:B,C476,Dump!A:A,Y476)</f>
        <v>0</v>
      </c>
      <c r="T476" s="35">
        <f t="shared" si="22"/>
        <v>0</v>
      </c>
      <c r="V476" s="4">
        <f>SUMIFS(Dump!P:P,Dump!B:B,C476,Dump!A:A,Y476)</f>
        <v>0</v>
      </c>
      <c r="W476" s="37">
        <f t="shared" si="23"/>
        <v>0</v>
      </c>
      <c r="X476" s="39"/>
      <c r="Y476" s="54"/>
    </row>
    <row r="477">
      <c r="C477" s="53"/>
      <c r="G477" s="2" t="str">
        <f t="shared" si="27"/>
        <v/>
      </c>
      <c r="I477" s="4">
        <f>SUMIFS(Dump!D:D,Dump!B:B,C477)</f>
        <v>0</v>
      </c>
      <c r="J477" s="5">
        <f>SUMIFS(Dump!AE:AE,Dump!B:B,C477)</f>
        <v>0</v>
      </c>
      <c r="K477" s="4">
        <f>SUMPRODUCT(
  (TEXT(Dump!$A$2:$A994,"mmm-yy")=TEXT($Y477,"mmm-yy"))*
  (Dump!$B$2:$B994=$C477)*
  Dump!$D$2:$D994)</f>
        <v>0</v>
      </c>
      <c r="L477" s="4">
        <f>SUMPRODUCT(
  (TEXT(Dump!$A$2:$A994,"mmm-yy")=TEXT($Y477,"mmm-yy"))*
  (Dump!$B$2:$B994=$C477)*
  Dump!$E$2:$E994
)</f>
        <v>0</v>
      </c>
      <c r="M477" s="4">
        <f>SUMPRODUCT(
  (TEXT(Dump!$A$2:$A994,"mmm-yy")=TEXT($Y477,"mmm-yy"))*
  (Dump!$B$2:$B994=$C477)*
  Dump!$P$2:$P994
)</f>
        <v>0</v>
      </c>
      <c r="N477" s="32"/>
      <c r="O477" s="33">
        <f>SUMIFS(Dump!$D:$D,Dump!$B:$B,$C477,Dump!$A:$A,$Y477)</f>
        <v>0</v>
      </c>
      <c r="P477" s="33">
        <f>SUMIFS(Dump!R:R,Dump!B:B,C477,Dump!A:A,Y477)</f>
        <v>0</v>
      </c>
      <c r="Q477" s="34">
        <f t="shared" si="21"/>
        <v>0</v>
      </c>
      <c r="S477" s="4">
        <f>SUMIFS(Dump!E:E,Dump!B:B,C477,Dump!A:A,Y477)</f>
        <v>0</v>
      </c>
      <c r="T477" s="35">
        <f t="shared" si="22"/>
        <v>0</v>
      </c>
      <c r="V477" s="4">
        <f>SUMIFS(Dump!P:P,Dump!B:B,C477,Dump!A:A,Y477)</f>
        <v>0</v>
      </c>
      <c r="W477" s="37">
        <f t="shared" si="23"/>
        <v>0</v>
      </c>
      <c r="X477" s="39"/>
      <c r="Y477" s="54"/>
    </row>
    <row r="478">
      <c r="C478" s="53"/>
      <c r="G478" s="2" t="str">
        <f t="shared" si="27"/>
        <v/>
      </c>
      <c r="I478" s="4">
        <f>SUMIFS(Dump!D:D,Dump!B:B,C478)</f>
        <v>0</v>
      </c>
      <c r="J478" s="5">
        <f>SUMIFS(Dump!AE:AE,Dump!B:B,C478)</f>
        <v>0</v>
      </c>
      <c r="K478" s="4">
        <f>SUMPRODUCT(
  (TEXT(Dump!$A$2:$A994,"mmm-yy")=TEXT($Y478,"mmm-yy"))*
  (Dump!$B$2:$B994=$C478)*
  Dump!$D$2:$D994)</f>
        <v>0</v>
      </c>
      <c r="L478" s="4">
        <f>SUMPRODUCT(
  (TEXT(Dump!$A$2:$A994,"mmm-yy")=TEXT($Y478,"mmm-yy"))*
  (Dump!$B$2:$B994=$C478)*
  Dump!$E$2:$E994
)</f>
        <v>0</v>
      </c>
      <c r="M478" s="4">
        <f>SUMPRODUCT(
  (TEXT(Dump!$A$2:$A994,"mmm-yy")=TEXT($Y478,"mmm-yy"))*
  (Dump!$B$2:$B994=$C478)*
  Dump!$P$2:$P994
)</f>
        <v>0</v>
      </c>
      <c r="N478" s="32"/>
      <c r="O478" s="33">
        <f>SUMIFS(Dump!$D:$D,Dump!$B:$B,$C478,Dump!$A:$A,$Y478)</f>
        <v>0</v>
      </c>
      <c r="P478" s="33">
        <f>SUMIFS(Dump!R:R,Dump!B:B,C478,Dump!A:A,Y478)</f>
        <v>0</v>
      </c>
      <c r="Q478" s="34">
        <f t="shared" si="21"/>
        <v>0</v>
      </c>
      <c r="S478" s="4">
        <f>SUMIFS(Dump!E:E,Dump!B:B,C478,Dump!A:A,Y478)</f>
        <v>0</v>
      </c>
      <c r="T478" s="35">
        <f t="shared" si="22"/>
        <v>0</v>
      </c>
      <c r="V478" s="4">
        <f>SUMIFS(Dump!P:P,Dump!B:B,C478,Dump!A:A,Y478)</f>
        <v>0</v>
      </c>
      <c r="W478" s="37">
        <f t="shared" si="23"/>
        <v>0</v>
      </c>
      <c r="X478" s="39"/>
      <c r="Y478" s="54"/>
    </row>
    <row r="479">
      <c r="C479" s="53"/>
      <c r="G479" s="2" t="str">
        <f t="shared" si="27"/>
        <v/>
      </c>
      <c r="I479" s="4">
        <f>SUMIFS(Dump!D:D,Dump!B:B,C479)</f>
        <v>0</v>
      </c>
      <c r="J479" s="5">
        <f>SUMIFS(Dump!AE:AE,Dump!B:B,C479)</f>
        <v>0</v>
      </c>
      <c r="K479" s="4">
        <f>SUMPRODUCT(
  (TEXT(Dump!$A$2:$A994,"mmm-yy")=TEXT($Y479,"mmm-yy"))*
  (Dump!$B$2:$B994=$C479)*
  Dump!$D$2:$D994)</f>
        <v>0</v>
      </c>
      <c r="L479" s="4">
        <f>SUMPRODUCT(
  (TEXT(Dump!$A$2:$A994,"mmm-yy")=TEXT($Y479,"mmm-yy"))*
  (Dump!$B$2:$B994=$C479)*
  Dump!$E$2:$E994
)</f>
        <v>0</v>
      </c>
      <c r="M479" s="4">
        <f>SUMPRODUCT(
  (TEXT(Dump!$A$2:$A994,"mmm-yy")=TEXT($Y479,"mmm-yy"))*
  (Dump!$B$2:$B994=$C479)*
  Dump!$P$2:$P994
)</f>
        <v>0</v>
      </c>
      <c r="N479" s="32"/>
      <c r="O479" s="33">
        <f>SUMIFS(Dump!$D:$D,Dump!$B:$B,$C479,Dump!$A:$A,$Y479)</f>
        <v>0</v>
      </c>
      <c r="P479" s="33">
        <f>SUMIFS(Dump!R:R,Dump!B:B,C479,Dump!A:A,Y479)</f>
        <v>0</v>
      </c>
      <c r="Q479" s="34">
        <f t="shared" si="21"/>
        <v>0</v>
      </c>
      <c r="S479" s="4">
        <f>SUMIFS(Dump!E:E,Dump!B:B,C479,Dump!A:A,Y479)</f>
        <v>0</v>
      </c>
      <c r="T479" s="35">
        <f t="shared" si="22"/>
        <v>0</v>
      </c>
      <c r="V479" s="4">
        <f>SUMIFS(Dump!P:P,Dump!B:B,C479,Dump!A:A,Y479)</f>
        <v>0</v>
      </c>
      <c r="W479" s="37">
        <f t="shared" si="23"/>
        <v>0</v>
      </c>
      <c r="X479" s="39"/>
      <c r="Y479" s="54"/>
    </row>
    <row r="480">
      <c r="C480" s="53"/>
      <c r="G480" s="2" t="str">
        <f t="shared" si="27"/>
        <v/>
      </c>
      <c r="I480" s="4">
        <f>SUMIFS(Dump!D:D,Dump!B:B,C480)</f>
        <v>0</v>
      </c>
      <c r="J480" s="5">
        <f>SUMIFS(Dump!AE:AE,Dump!B:B,C480)</f>
        <v>0</v>
      </c>
      <c r="K480" s="4">
        <f>SUMPRODUCT(
  (TEXT(Dump!$A$2:$A994,"mmm-yy")=TEXT($Y480,"mmm-yy"))*
  (Dump!$B$2:$B994=$C480)*
  Dump!$D$2:$D994)</f>
        <v>0</v>
      </c>
      <c r="L480" s="4">
        <f>SUMPRODUCT(
  (TEXT(Dump!$A$2:$A994,"mmm-yy")=TEXT($Y480,"mmm-yy"))*
  (Dump!$B$2:$B994=$C480)*
  Dump!$E$2:$E994
)</f>
        <v>0</v>
      </c>
      <c r="M480" s="4">
        <f>SUMPRODUCT(
  (TEXT(Dump!$A$2:$A994,"mmm-yy")=TEXT($Y480,"mmm-yy"))*
  (Dump!$B$2:$B994=$C480)*
  Dump!$P$2:$P994
)</f>
        <v>0</v>
      </c>
      <c r="N480" s="32"/>
      <c r="O480" s="33">
        <f>SUMIFS(Dump!$D:$D,Dump!$B:$B,$C480,Dump!$A:$A,$Y480)</f>
        <v>0</v>
      </c>
      <c r="P480" s="33">
        <f>SUMIFS(Dump!R:R,Dump!B:B,C480,Dump!A:A,Y480)</f>
        <v>0</v>
      </c>
      <c r="Q480" s="34">
        <f t="shared" si="21"/>
        <v>0</v>
      </c>
      <c r="S480" s="4">
        <f>SUMIFS(Dump!E:E,Dump!B:B,C480,Dump!A:A,Y480)</f>
        <v>0</v>
      </c>
      <c r="T480" s="35">
        <f t="shared" si="22"/>
        <v>0</v>
      </c>
      <c r="V480" s="4">
        <f>SUMIFS(Dump!P:P,Dump!B:B,C480,Dump!A:A,Y480)</f>
        <v>0</v>
      </c>
      <c r="W480" s="37">
        <f t="shared" si="23"/>
        <v>0</v>
      </c>
      <c r="X480" s="39"/>
      <c r="Y480" s="54"/>
    </row>
    <row r="481">
      <c r="C481" s="53"/>
      <c r="G481" s="2" t="str">
        <f t="shared" si="27"/>
        <v/>
      </c>
      <c r="I481" s="4">
        <f>SUMIFS(Dump!D:D,Dump!B:B,C481)</f>
        <v>0</v>
      </c>
      <c r="J481" s="5">
        <f>SUMIFS(Dump!AE:AE,Dump!B:B,C481)</f>
        <v>0</v>
      </c>
      <c r="K481" s="4">
        <f>SUMPRODUCT(
  (TEXT(Dump!$A$2:$A994,"mmm-yy")=TEXT($Y481,"mmm-yy"))*
  (Dump!$B$2:$B994=$C481)*
  Dump!$D$2:$D994)</f>
        <v>0</v>
      </c>
      <c r="L481" s="4">
        <f>SUMPRODUCT(
  (TEXT(Dump!$A$2:$A994,"mmm-yy")=TEXT($Y481,"mmm-yy"))*
  (Dump!$B$2:$B994=$C481)*
  Dump!$E$2:$E994
)</f>
        <v>0</v>
      </c>
      <c r="M481" s="4">
        <f>SUMPRODUCT(
  (TEXT(Dump!$A$2:$A994,"mmm-yy")=TEXT($Y481,"mmm-yy"))*
  (Dump!$B$2:$B994=$C481)*
  Dump!$P$2:$P994
)</f>
        <v>0</v>
      </c>
      <c r="N481" s="32"/>
      <c r="O481" s="33">
        <f>SUMIFS(Dump!$D:$D,Dump!$B:$B,$C481,Dump!$A:$A,$Y481)</f>
        <v>0</v>
      </c>
      <c r="P481" s="33">
        <f>SUMIFS(Dump!R:R,Dump!B:B,C481,Dump!A:A,Y481)</f>
        <v>0</v>
      </c>
      <c r="Q481" s="34">
        <f t="shared" si="21"/>
        <v>0</v>
      </c>
      <c r="S481" s="4">
        <f>SUMIFS(Dump!E:E,Dump!B:B,C481,Dump!A:A,Y481)</f>
        <v>0</v>
      </c>
      <c r="T481" s="35">
        <f t="shared" si="22"/>
        <v>0</v>
      </c>
      <c r="V481" s="4">
        <f>SUMIFS(Dump!P:P,Dump!B:B,C481,Dump!A:A,Y481)</f>
        <v>0</v>
      </c>
      <c r="W481" s="37">
        <f t="shared" si="23"/>
        <v>0</v>
      </c>
      <c r="X481" s="39"/>
      <c r="Y481" s="54"/>
    </row>
    <row r="482">
      <c r="C482" s="53"/>
      <c r="G482" s="2" t="str">
        <f t="shared" si="27"/>
        <v/>
      </c>
      <c r="I482" s="4">
        <f>SUMIFS(Dump!D:D,Dump!B:B,C482)</f>
        <v>0</v>
      </c>
      <c r="J482" s="5">
        <f>SUMIFS(Dump!AE:AE,Dump!B:B,C482)</f>
        <v>0</v>
      </c>
      <c r="K482" s="4">
        <f>SUMPRODUCT(
  (TEXT(Dump!$A$2:$A994,"mmm-yy")=TEXT($Y482,"mmm-yy"))*
  (Dump!$B$2:$B994=$C482)*
  Dump!$D$2:$D994)</f>
        <v>0</v>
      </c>
      <c r="L482" s="4">
        <f>SUMPRODUCT(
  (TEXT(Dump!$A$2:$A994,"mmm-yy")=TEXT($Y482,"mmm-yy"))*
  (Dump!$B$2:$B994=$C482)*
  Dump!$E$2:$E994
)</f>
        <v>0</v>
      </c>
      <c r="M482" s="4">
        <f>SUMPRODUCT(
  (TEXT(Dump!$A$2:$A994,"mmm-yy")=TEXT($Y482,"mmm-yy"))*
  (Dump!$B$2:$B994=$C482)*
  Dump!$P$2:$P994
)</f>
        <v>0</v>
      </c>
      <c r="N482" s="32"/>
      <c r="O482" s="33">
        <f>SUMIFS(Dump!$D:$D,Dump!$B:$B,$C482,Dump!$A:$A,$Y482)</f>
        <v>0</v>
      </c>
      <c r="P482" s="33">
        <f>SUMIFS(Dump!R:R,Dump!B:B,C482,Dump!A:A,Y482)</f>
        <v>0</v>
      </c>
      <c r="Q482" s="34">
        <f t="shared" si="21"/>
        <v>0</v>
      </c>
      <c r="S482" s="4">
        <f>SUMIFS(Dump!E:E,Dump!B:B,C482,Dump!A:A,Y482)</f>
        <v>0</v>
      </c>
      <c r="T482" s="35">
        <f t="shared" si="22"/>
        <v>0</v>
      </c>
      <c r="V482" s="4">
        <f>SUMIFS(Dump!P:P,Dump!B:B,C482,Dump!A:A,Y482)</f>
        <v>0</v>
      </c>
      <c r="W482" s="37">
        <f t="shared" si="23"/>
        <v>0</v>
      </c>
      <c r="X482" s="39"/>
      <c r="Y482" s="54"/>
    </row>
    <row r="483">
      <c r="C483" s="53"/>
      <c r="G483" s="2" t="str">
        <f t="shared" si="27"/>
        <v/>
      </c>
      <c r="I483" s="4">
        <f>SUMIFS(Dump!D:D,Dump!B:B,C483)</f>
        <v>0</v>
      </c>
      <c r="J483" s="5">
        <f>SUMIFS(Dump!AE:AE,Dump!B:B,C483)</f>
        <v>0</v>
      </c>
      <c r="K483" s="4">
        <f>SUMPRODUCT(
  (TEXT(Dump!$A$2:$A994,"mmm-yy")=TEXT($Y483,"mmm-yy"))*
  (Dump!$B$2:$B994=$C483)*
  Dump!$D$2:$D994)</f>
        <v>0</v>
      </c>
      <c r="L483" s="4">
        <f>SUMPRODUCT(
  (TEXT(Dump!$A$2:$A994,"mmm-yy")=TEXT($Y483,"mmm-yy"))*
  (Dump!$B$2:$B994=$C483)*
  Dump!$E$2:$E994
)</f>
        <v>0</v>
      </c>
      <c r="M483" s="4">
        <f>SUMPRODUCT(
  (TEXT(Dump!$A$2:$A994,"mmm-yy")=TEXT($Y483,"mmm-yy"))*
  (Dump!$B$2:$B994=$C483)*
  Dump!$P$2:$P994
)</f>
        <v>0</v>
      </c>
      <c r="N483" s="32"/>
      <c r="O483" s="33">
        <f>SUMIFS(Dump!$D:$D,Dump!$B:$B,$C483,Dump!$A:$A,$Y483)</f>
        <v>0</v>
      </c>
      <c r="P483" s="33">
        <f>SUMIFS(Dump!R:R,Dump!B:B,C483,Dump!A:A,Y483)</f>
        <v>0</v>
      </c>
      <c r="Q483" s="34">
        <f t="shared" si="21"/>
        <v>0</v>
      </c>
      <c r="S483" s="4">
        <f>SUMIFS(Dump!E:E,Dump!B:B,C483,Dump!A:A,Y483)</f>
        <v>0</v>
      </c>
      <c r="T483" s="35">
        <f t="shared" si="22"/>
        <v>0</v>
      </c>
      <c r="V483" s="4">
        <f>SUMIFS(Dump!P:P,Dump!B:B,C483,Dump!A:A,Y483)</f>
        <v>0</v>
      </c>
      <c r="W483" s="37">
        <f t="shared" si="23"/>
        <v>0</v>
      </c>
      <c r="X483" s="39"/>
      <c r="Y483" s="54"/>
    </row>
    <row r="484">
      <c r="C484" s="53"/>
      <c r="G484" s="2" t="str">
        <f t="shared" si="27"/>
        <v/>
      </c>
      <c r="I484" s="4">
        <f>SUMIFS(Dump!D:D,Dump!B:B,C484)</f>
        <v>0</v>
      </c>
      <c r="J484" s="5">
        <f>SUMIFS(Dump!AE:AE,Dump!B:B,C484)</f>
        <v>0</v>
      </c>
      <c r="K484" s="4">
        <f>SUMPRODUCT(
  (TEXT(Dump!$A$2:$A994,"mmm-yy")=TEXT($Y484,"mmm-yy"))*
  (Dump!$B$2:$B994=$C484)*
  Dump!$D$2:$D994)</f>
        <v>0</v>
      </c>
      <c r="L484" s="4">
        <f>SUMPRODUCT(
  (TEXT(Dump!$A$2:$A994,"mmm-yy")=TEXT($Y484,"mmm-yy"))*
  (Dump!$B$2:$B994=$C484)*
  Dump!$E$2:$E994
)</f>
        <v>0</v>
      </c>
      <c r="M484" s="4">
        <f>SUMPRODUCT(
  (TEXT(Dump!$A$2:$A994,"mmm-yy")=TEXT($Y484,"mmm-yy"))*
  (Dump!$B$2:$B994=$C484)*
  Dump!$P$2:$P994
)</f>
        <v>0</v>
      </c>
      <c r="N484" s="32"/>
      <c r="O484" s="33">
        <f>SUMIFS(Dump!$D:$D,Dump!$B:$B,$C484,Dump!$A:$A,$Y484)</f>
        <v>0</v>
      </c>
      <c r="P484" s="33">
        <f>SUMIFS(Dump!R:R,Dump!B:B,C484,Dump!A:A,Y484)</f>
        <v>0</v>
      </c>
      <c r="Q484" s="34">
        <f t="shared" si="21"/>
        <v>0</v>
      </c>
      <c r="S484" s="4">
        <f>SUMIFS(Dump!E:E,Dump!B:B,C484,Dump!A:A,Y484)</f>
        <v>0</v>
      </c>
      <c r="T484" s="35">
        <f t="shared" si="22"/>
        <v>0</v>
      </c>
      <c r="V484" s="4">
        <f>SUMIFS(Dump!P:P,Dump!B:B,C484,Dump!A:A,Y484)</f>
        <v>0</v>
      </c>
      <c r="W484" s="37">
        <f t="shared" si="23"/>
        <v>0</v>
      </c>
      <c r="X484" s="39"/>
      <c r="Y484" s="54"/>
    </row>
    <row r="485">
      <c r="C485" s="53"/>
      <c r="G485" s="2" t="str">
        <f t="shared" si="27"/>
        <v/>
      </c>
      <c r="I485" s="4">
        <f>SUMIFS(Dump!D:D,Dump!B:B,C485)</f>
        <v>0</v>
      </c>
      <c r="J485" s="5">
        <f>SUMIFS(Dump!AE:AE,Dump!B:B,C485)</f>
        <v>0</v>
      </c>
      <c r="K485" s="4">
        <f>SUMPRODUCT(
  (TEXT(Dump!$A$2:$A994,"mmm-yy")=TEXT($Y485,"mmm-yy"))*
  (Dump!$B$2:$B994=$C485)*
  Dump!$D$2:$D994)</f>
        <v>0</v>
      </c>
      <c r="L485" s="4">
        <f>SUMPRODUCT(
  (TEXT(Dump!$A$2:$A994,"mmm-yy")=TEXT($Y485,"mmm-yy"))*
  (Dump!$B$2:$B994=$C485)*
  Dump!$E$2:$E994
)</f>
        <v>0</v>
      </c>
      <c r="M485" s="4">
        <f>SUMPRODUCT(
  (TEXT(Dump!$A$2:$A994,"mmm-yy")=TEXT($Y485,"mmm-yy"))*
  (Dump!$B$2:$B994=$C485)*
  Dump!$P$2:$P994
)</f>
        <v>0</v>
      </c>
      <c r="N485" s="32"/>
      <c r="O485" s="33">
        <f>SUMIFS(Dump!$D:$D,Dump!$B:$B,$C485,Dump!$A:$A,$Y485)</f>
        <v>0</v>
      </c>
      <c r="P485" s="33">
        <f>SUMIFS(Dump!R:R,Dump!B:B,C485,Dump!A:A,Y485)</f>
        <v>0</v>
      </c>
      <c r="Q485" s="34">
        <f t="shared" si="21"/>
        <v>0</v>
      </c>
      <c r="S485" s="4">
        <f>SUMIFS(Dump!E:E,Dump!B:B,C485,Dump!A:A,Y485)</f>
        <v>0</v>
      </c>
      <c r="T485" s="35">
        <f t="shared" si="22"/>
        <v>0</v>
      </c>
      <c r="V485" s="4">
        <f>SUMIFS(Dump!P:P,Dump!B:B,C485,Dump!A:A,Y485)</f>
        <v>0</v>
      </c>
      <c r="W485" s="37">
        <f t="shared" si="23"/>
        <v>0</v>
      </c>
      <c r="X485" s="39"/>
      <c r="Y485" s="54"/>
    </row>
    <row r="486">
      <c r="C486" s="53"/>
      <c r="G486" s="2" t="str">
        <f t="shared" si="27"/>
        <v/>
      </c>
      <c r="I486" s="4">
        <f>SUMIFS(Dump!D:D,Dump!B:B,C486)</f>
        <v>0</v>
      </c>
      <c r="J486" s="5">
        <f>SUMIFS(Dump!AE:AE,Dump!B:B,C486)</f>
        <v>0</v>
      </c>
      <c r="K486" s="4">
        <f>SUMPRODUCT(
  (TEXT(Dump!$A$2:$A994,"mmm-yy")=TEXT($Y486,"mmm-yy"))*
  (Dump!$B$2:$B994=$C486)*
  Dump!$D$2:$D994)</f>
        <v>0</v>
      </c>
      <c r="L486" s="4">
        <f>SUMPRODUCT(
  (TEXT(Dump!$A$2:$A994,"mmm-yy")=TEXT($Y486,"mmm-yy"))*
  (Dump!$B$2:$B994=$C486)*
  Dump!$E$2:$E994
)</f>
        <v>0</v>
      </c>
      <c r="M486" s="4">
        <f>SUMPRODUCT(
  (TEXT(Dump!$A$2:$A994,"mmm-yy")=TEXT($Y486,"mmm-yy"))*
  (Dump!$B$2:$B994=$C486)*
  Dump!$P$2:$P994
)</f>
        <v>0</v>
      </c>
      <c r="N486" s="32"/>
      <c r="O486" s="33">
        <f>SUMIFS(Dump!$D:$D,Dump!$B:$B,$C486,Dump!$A:$A,$Y486)</f>
        <v>0</v>
      </c>
      <c r="P486" s="33">
        <f>SUMIFS(Dump!R:R,Dump!B:B,C486,Dump!A:A,Y486)</f>
        <v>0</v>
      </c>
      <c r="Q486" s="34">
        <f t="shared" si="21"/>
        <v>0</v>
      </c>
      <c r="S486" s="4">
        <f>SUMIFS(Dump!E:E,Dump!B:B,C486,Dump!A:A,Y486)</f>
        <v>0</v>
      </c>
      <c r="T486" s="35">
        <f t="shared" si="22"/>
        <v>0</v>
      </c>
      <c r="V486" s="4">
        <f>SUMIFS(Dump!P:P,Dump!B:B,C486,Dump!A:A,Y486)</f>
        <v>0</v>
      </c>
      <c r="W486" s="37">
        <f t="shared" si="23"/>
        <v>0</v>
      </c>
      <c r="X486" s="39"/>
      <c r="Y486" s="54"/>
    </row>
    <row r="487">
      <c r="C487" s="53"/>
      <c r="G487" s="2" t="str">
        <f t="shared" si="27"/>
        <v/>
      </c>
      <c r="I487" s="4">
        <f>SUMIFS(Dump!D:D,Dump!B:B,C487)</f>
        <v>0</v>
      </c>
      <c r="J487" s="5">
        <f>SUMIFS(Dump!AE:AE,Dump!B:B,C487)</f>
        <v>0</v>
      </c>
      <c r="K487" s="4">
        <f>SUMPRODUCT(
  (TEXT(Dump!$A$2:$A994,"mmm-yy")=TEXT($Y487,"mmm-yy"))*
  (Dump!$B$2:$B994=$C487)*
  Dump!$D$2:$D994)</f>
        <v>0</v>
      </c>
      <c r="L487" s="4">
        <f>SUMPRODUCT(
  (TEXT(Dump!$A$2:$A994,"mmm-yy")=TEXT($Y487,"mmm-yy"))*
  (Dump!$B$2:$B994=$C487)*
  Dump!$E$2:$E994
)</f>
        <v>0</v>
      </c>
      <c r="M487" s="4">
        <f>SUMPRODUCT(
  (TEXT(Dump!$A$2:$A994,"mmm-yy")=TEXT($Y487,"mmm-yy"))*
  (Dump!$B$2:$B994=$C487)*
  Dump!$P$2:$P994
)</f>
        <v>0</v>
      </c>
      <c r="N487" s="32"/>
      <c r="O487" s="33">
        <f>SUMIFS(Dump!$D:$D,Dump!$B:$B,$C487,Dump!$A:$A,$Y487)</f>
        <v>0</v>
      </c>
      <c r="P487" s="33">
        <f>SUMIFS(Dump!R:R,Dump!B:B,C487,Dump!A:A,Y487)</f>
        <v>0</v>
      </c>
      <c r="Q487" s="34">
        <f t="shared" si="21"/>
        <v>0</v>
      </c>
      <c r="S487" s="4">
        <f>SUMIFS(Dump!E:E,Dump!B:B,C487,Dump!A:A,Y487)</f>
        <v>0</v>
      </c>
      <c r="T487" s="35">
        <f t="shared" si="22"/>
        <v>0</v>
      </c>
      <c r="V487" s="4">
        <f>SUMIFS(Dump!P:P,Dump!B:B,C487,Dump!A:A,Y487)</f>
        <v>0</v>
      </c>
      <c r="W487" s="37">
        <f t="shared" si="23"/>
        <v>0</v>
      </c>
      <c r="X487" s="39"/>
      <c r="Y487" s="54"/>
    </row>
    <row r="488">
      <c r="C488" s="53"/>
      <c r="G488" s="2" t="str">
        <f t="shared" si="27"/>
        <v/>
      </c>
      <c r="I488" s="4">
        <f>SUMIFS(Dump!D:D,Dump!B:B,C488)</f>
        <v>0</v>
      </c>
      <c r="J488" s="5">
        <f>SUMIFS(Dump!AE:AE,Dump!B:B,C488)</f>
        <v>0</v>
      </c>
      <c r="K488" s="4">
        <f>SUMPRODUCT(
  (TEXT(Dump!$A$2:$A994,"mmm-yy")=TEXT($Y488,"mmm-yy"))*
  (Dump!$B$2:$B994=$C488)*
  Dump!$D$2:$D994)</f>
        <v>0</v>
      </c>
      <c r="L488" s="4">
        <f>SUMPRODUCT(
  (TEXT(Dump!$A$2:$A994,"mmm-yy")=TEXT($Y488,"mmm-yy"))*
  (Dump!$B$2:$B994=$C488)*
  Dump!$E$2:$E994
)</f>
        <v>0</v>
      </c>
      <c r="M488" s="4">
        <f>SUMPRODUCT(
  (TEXT(Dump!$A$2:$A994,"mmm-yy")=TEXT($Y488,"mmm-yy"))*
  (Dump!$B$2:$B994=$C488)*
  Dump!$P$2:$P994
)</f>
        <v>0</v>
      </c>
      <c r="N488" s="32"/>
      <c r="O488" s="33">
        <f>SUMIFS(Dump!$D:$D,Dump!$B:$B,$C488,Dump!$A:$A,$Y488)</f>
        <v>0</v>
      </c>
      <c r="P488" s="33">
        <f>SUMIFS(Dump!R:R,Dump!B:B,C488,Dump!A:A,Y488)</f>
        <v>0</v>
      </c>
      <c r="Q488" s="34">
        <f t="shared" si="21"/>
        <v>0</v>
      </c>
      <c r="S488" s="4">
        <f>SUMIFS(Dump!E:E,Dump!B:B,C488,Dump!A:A,Y488)</f>
        <v>0</v>
      </c>
      <c r="T488" s="35">
        <f t="shared" si="22"/>
        <v>0</v>
      </c>
      <c r="V488" s="4">
        <f>SUMIFS(Dump!P:P,Dump!B:B,C488,Dump!A:A,Y488)</f>
        <v>0</v>
      </c>
      <c r="W488" s="37">
        <f t="shared" si="23"/>
        <v>0</v>
      </c>
      <c r="X488" s="39"/>
      <c r="Y488" s="54"/>
    </row>
    <row r="489">
      <c r="C489" s="53"/>
      <c r="G489" s="2" t="str">
        <f t="shared" si="27"/>
        <v/>
      </c>
      <c r="I489" s="4">
        <f>SUMIFS(Dump!D:D,Dump!B:B,C489)</f>
        <v>0</v>
      </c>
      <c r="J489" s="5">
        <f>SUMIFS(Dump!AE:AE,Dump!B:B,C489)</f>
        <v>0</v>
      </c>
      <c r="K489" s="4">
        <f>SUMPRODUCT(
  (TEXT(Dump!$A$2:$A994,"mmm-yy")=TEXT($Y489,"mmm-yy"))*
  (Dump!$B$2:$B994=$C489)*
  Dump!$D$2:$D994)</f>
        <v>0</v>
      </c>
      <c r="L489" s="4">
        <f>SUMPRODUCT(
  (TEXT(Dump!$A$2:$A994,"mmm-yy")=TEXT($Y489,"mmm-yy"))*
  (Dump!$B$2:$B994=$C489)*
  Dump!$E$2:$E994
)</f>
        <v>0</v>
      </c>
      <c r="M489" s="4">
        <f>SUMPRODUCT(
  (TEXT(Dump!$A$2:$A994,"mmm-yy")=TEXT($Y489,"mmm-yy"))*
  (Dump!$B$2:$B994=$C489)*
  Dump!$P$2:$P994
)</f>
        <v>0</v>
      </c>
      <c r="N489" s="32"/>
      <c r="O489" s="33">
        <f>SUMIFS(Dump!$D:$D,Dump!$B:$B,$C489,Dump!$A:$A,$Y489)</f>
        <v>0</v>
      </c>
      <c r="P489" s="33">
        <f>SUMIFS(Dump!R:R,Dump!B:B,C489,Dump!A:A,Y489)</f>
        <v>0</v>
      </c>
      <c r="Q489" s="34">
        <f t="shared" si="21"/>
        <v>0</v>
      </c>
      <c r="S489" s="4">
        <f>SUMIFS(Dump!E:E,Dump!B:B,C489,Dump!A:A,Y489)</f>
        <v>0</v>
      </c>
      <c r="T489" s="35">
        <f t="shared" si="22"/>
        <v>0</v>
      </c>
      <c r="V489" s="4">
        <f>SUMIFS(Dump!P:P,Dump!B:B,C489,Dump!A:A,Y489)</f>
        <v>0</v>
      </c>
      <c r="W489" s="37">
        <f t="shared" si="23"/>
        <v>0</v>
      </c>
      <c r="X489" s="39"/>
      <c r="Y489" s="54"/>
    </row>
    <row r="490">
      <c r="C490" s="53"/>
      <c r="G490" s="2" t="str">
        <f t="shared" si="27"/>
        <v/>
      </c>
      <c r="I490" s="4">
        <f>SUMIFS(Dump!D:D,Dump!B:B,C490)</f>
        <v>0</v>
      </c>
      <c r="J490" s="5">
        <f>SUMIFS(Dump!AE:AE,Dump!B:B,C490)</f>
        <v>0</v>
      </c>
      <c r="K490" s="4">
        <f>SUMPRODUCT(
  (TEXT(Dump!$A$2:$A994,"mmm-yy")=TEXT($Y490,"mmm-yy"))*
  (Dump!$B$2:$B994=$C490)*
  Dump!$D$2:$D994)</f>
        <v>0</v>
      </c>
      <c r="L490" s="4">
        <f>SUMPRODUCT(
  (TEXT(Dump!$A$2:$A994,"mmm-yy")=TEXT($Y490,"mmm-yy"))*
  (Dump!$B$2:$B994=$C490)*
  Dump!$E$2:$E994
)</f>
        <v>0</v>
      </c>
      <c r="M490" s="4">
        <f>SUMPRODUCT(
  (TEXT(Dump!$A$2:$A994,"mmm-yy")=TEXT($Y490,"mmm-yy"))*
  (Dump!$B$2:$B994=$C490)*
  Dump!$P$2:$P994
)</f>
        <v>0</v>
      </c>
      <c r="N490" s="32"/>
      <c r="O490" s="33">
        <f>SUMIFS(Dump!$D:$D,Dump!$B:$B,$C490,Dump!$A:$A,$Y490)</f>
        <v>0</v>
      </c>
      <c r="P490" s="33">
        <f>SUMIFS(Dump!R:R,Dump!B:B,C490,Dump!A:A,Y490)</f>
        <v>0</v>
      </c>
      <c r="Q490" s="34">
        <f t="shared" si="21"/>
        <v>0</v>
      </c>
      <c r="S490" s="4">
        <f>SUMIFS(Dump!E:E,Dump!B:B,C490,Dump!A:A,Y490)</f>
        <v>0</v>
      </c>
      <c r="T490" s="35">
        <f t="shared" si="22"/>
        <v>0</v>
      </c>
      <c r="V490" s="4">
        <f>SUMIFS(Dump!P:P,Dump!B:B,C490,Dump!A:A,Y490)</f>
        <v>0</v>
      </c>
      <c r="W490" s="37">
        <f t="shared" si="23"/>
        <v>0</v>
      </c>
      <c r="X490" s="39"/>
      <c r="Y490" s="54"/>
    </row>
    <row r="491">
      <c r="C491" s="53"/>
      <c r="G491" s="2" t="str">
        <f t="shared" si="27"/>
        <v/>
      </c>
      <c r="I491" s="4">
        <f>SUMIFS(Dump!D:D,Dump!B:B,C491)</f>
        <v>0</v>
      </c>
      <c r="J491" s="5">
        <f>SUMIFS(Dump!AE:AE,Dump!B:B,C491)</f>
        <v>0</v>
      </c>
      <c r="K491" s="4">
        <f>SUMPRODUCT(
  (TEXT(Dump!$A$2:$A994,"mmm-yy")=TEXT($Y491,"mmm-yy"))*
  (Dump!$B$2:$B994=$C491)*
  Dump!$D$2:$D994)</f>
        <v>0</v>
      </c>
      <c r="L491" s="4">
        <f>SUMPRODUCT(
  (TEXT(Dump!$A$2:$A994,"mmm-yy")=TEXT($Y491,"mmm-yy"))*
  (Dump!$B$2:$B994=$C491)*
  Dump!$E$2:$E994
)</f>
        <v>0</v>
      </c>
      <c r="M491" s="4">
        <f>SUMPRODUCT(
  (TEXT(Dump!$A$2:$A994,"mmm-yy")=TEXT($Y491,"mmm-yy"))*
  (Dump!$B$2:$B994=$C491)*
  Dump!$P$2:$P994
)</f>
        <v>0</v>
      </c>
      <c r="N491" s="32"/>
      <c r="O491" s="33">
        <f>SUMIFS(Dump!$D:$D,Dump!$B:$B,$C491,Dump!$A:$A,$Y491)</f>
        <v>0</v>
      </c>
      <c r="P491" s="33">
        <f>SUMIFS(Dump!R:R,Dump!B:B,C491,Dump!A:A,Y491)</f>
        <v>0</v>
      </c>
      <c r="Q491" s="34">
        <f t="shared" si="21"/>
        <v>0</v>
      </c>
      <c r="S491" s="4">
        <f>SUMIFS(Dump!E:E,Dump!B:B,C491,Dump!A:A,Y491)</f>
        <v>0</v>
      </c>
      <c r="T491" s="35">
        <f t="shared" si="22"/>
        <v>0</v>
      </c>
      <c r="V491" s="4">
        <f>SUMIFS(Dump!P:P,Dump!B:B,C491,Dump!A:A,Y491)</f>
        <v>0</v>
      </c>
      <c r="W491" s="37">
        <f t="shared" si="23"/>
        <v>0</v>
      </c>
      <c r="X491" s="39"/>
      <c r="Y491" s="54"/>
    </row>
    <row r="492">
      <c r="C492" s="53"/>
      <c r="G492" s="2" t="str">
        <f t="shared" si="27"/>
        <v/>
      </c>
      <c r="I492" s="4">
        <f>SUMIFS(Dump!D:D,Dump!B:B,C492)</f>
        <v>0</v>
      </c>
      <c r="J492" s="5">
        <f>SUMIFS(Dump!AE:AE,Dump!B:B,C492)</f>
        <v>0</v>
      </c>
      <c r="K492" s="4">
        <f>SUMPRODUCT(
  (TEXT(Dump!$A$2:$A994,"mmm-yy")=TEXT($Y492,"mmm-yy"))*
  (Dump!$B$2:$B994=$C492)*
  Dump!$D$2:$D994)</f>
        <v>0</v>
      </c>
      <c r="L492" s="4">
        <f>SUMPRODUCT(
  (TEXT(Dump!$A$2:$A994,"mmm-yy")=TEXT($Y492,"mmm-yy"))*
  (Dump!$B$2:$B994=$C492)*
  Dump!$E$2:$E994
)</f>
        <v>0</v>
      </c>
      <c r="M492" s="4">
        <f>SUMPRODUCT(
  (TEXT(Dump!$A$2:$A994,"mmm-yy")=TEXT($Y492,"mmm-yy"))*
  (Dump!$B$2:$B994=$C492)*
  Dump!$P$2:$P994
)</f>
        <v>0</v>
      </c>
      <c r="N492" s="32"/>
      <c r="O492" s="33">
        <f>SUMIFS(Dump!$D:$D,Dump!$B:$B,$C492,Dump!$A:$A,$Y492)</f>
        <v>0</v>
      </c>
      <c r="P492" s="33">
        <f>SUMIFS(Dump!R:R,Dump!B:B,C492,Dump!A:A,Y492)</f>
        <v>0</v>
      </c>
      <c r="Q492" s="34">
        <f t="shared" si="21"/>
        <v>0</v>
      </c>
      <c r="S492" s="4">
        <f>SUMIFS(Dump!E:E,Dump!B:B,C492,Dump!A:A,Y492)</f>
        <v>0</v>
      </c>
      <c r="T492" s="35">
        <f t="shared" si="22"/>
        <v>0</v>
      </c>
      <c r="V492" s="4">
        <f>SUMIFS(Dump!P:P,Dump!B:B,C492,Dump!A:A,Y492)</f>
        <v>0</v>
      </c>
      <c r="W492" s="37">
        <f t="shared" si="23"/>
        <v>0</v>
      </c>
      <c r="X492" s="39"/>
      <c r="Y492" s="54"/>
    </row>
    <row r="493">
      <c r="C493" s="53"/>
      <c r="G493" s="2" t="str">
        <f t="shared" si="27"/>
        <v/>
      </c>
      <c r="I493" s="4">
        <f>SUMIFS(Dump!D:D,Dump!B:B,C493)</f>
        <v>0</v>
      </c>
      <c r="J493" s="5">
        <f>SUMIFS(Dump!AE:AE,Dump!B:B,C493)</f>
        <v>0</v>
      </c>
      <c r="K493" s="4">
        <f>SUMPRODUCT(
  (TEXT(Dump!$A$2:$A994,"mmm-yy")=TEXT($Y493,"mmm-yy"))*
  (Dump!$B$2:$B994=$C493)*
  Dump!$D$2:$D994)</f>
        <v>0</v>
      </c>
      <c r="L493" s="4">
        <f>SUMPRODUCT(
  (TEXT(Dump!$A$2:$A994,"mmm-yy")=TEXT($Y493,"mmm-yy"))*
  (Dump!$B$2:$B994=$C493)*
  Dump!$E$2:$E994
)</f>
        <v>0</v>
      </c>
      <c r="M493" s="4">
        <f>SUMPRODUCT(
  (TEXT(Dump!$A$2:$A994,"mmm-yy")=TEXT($Y493,"mmm-yy"))*
  (Dump!$B$2:$B994=$C493)*
  Dump!$P$2:$P994
)</f>
        <v>0</v>
      </c>
      <c r="N493" s="32"/>
      <c r="O493" s="33">
        <f>SUMIFS(Dump!$D:$D,Dump!$B:$B,$C493,Dump!$A:$A,$Y493)</f>
        <v>0</v>
      </c>
      <c r="P493" s="33">
        <f>SUMIFS(Dump!R:R,Dump!B:B,C493,Dump!A:A,Y493)</f>
        <v>0</v>
      </c>
      <c r="Q493" s="34">
        <f t="shared" si="21"/>
        <v>0</v>
      </c>
      <c r="S493" s="4">
        <f>SUMIFS(Dump!E:E,Dump!B:B,C493,Dump!A:A,Y493)</f>
        <v>0</v>
      </c>
      <c r="T493" s="35">
        <f t="shared" si="22"/>
        <v>0</v>
      </c>
      <c r="V493" s="4">
        <f>SUMIFS(Dump!P:P,Dump!B:B,C493,Dump!A:A,Y493)</f>
        <v>0</v>
      </c>
      <c r="W493" s="37">
        <f t="shared" si="23"/>
        <v>0</v>
      </c>
      <c r="X493" s="39"/>
      <c r="Y493" s="54"/>
    </row>
    <row r="494">
      <c r="C494" s="53"/>
      <c r="G494" s="2" t="str">
        <f t="shared" si="27"/>
        <v/>
      </c>
      <c r="I494" s="4">
        <f>SUMIFS(Dump!D:D,Dump!B:B,C494)</f>
        <v>0</v>
      </c>
      <c r="J494" s="5">
        <f>SUMIFS(Dump!AE:AE,Dump!B:B,C494)</f>
        <v>0</v>
      </c>
      <c r="K494" s="4">
        <f>SUMPRODUCT(
  (TEXT(Dump!$A$2:$A994,"mmm-yy")=TEXT($Y494,"mmm-yy"))*
  (Dump!$B$2:$B994=$C494)*
  Dump!$D$2:$D994)</f>
        <v>0</v>
      </c>
      <c r="L494" s="4">
        <f>SUMPRODUCT(
  (TEXT(Dump!$A$2:$A994,"mmm-yy")=TEXT($Y494,"mmm-yy"))*
  (Dump!$B$2:$B994=$C494)*
  Dump!$E$2:$E994
)</f>
        <v>0</v>
      </c>
      <c r="M494" s="4">
        <f>SUMPRODUCT(
  (TEXT(Dump!$A$2:$A994,"mmm-yy")=TEXT($Y494,"mmm-yy"))*
  (Dump!$B$2:$B994=$C494)*
  Dump!$P$2:$P994
)</f>
        <v>0</v>
      </c>
      <c r="N494" s="32"/>
      <c r="O494" s="33">
        <f>SUMIFS(Dump!$D:$D,Dump!$B:$B,$C494,Dump!$A:$A,$Y494)</f>
        <v>0</v>
      </c>
      <c r="P494" s="33">
        <f>SUMIFS(Dump!R:R,Dump!B:B,C494,Dump!A:A,Y494)</f>
        <v>0</v>
      </c>
      <c r="Q494" s="34">
        <f t="shared" si="21"/>
        <v>0</v>
      </c>
      <c r="S494" s="4">
        <f>SUMIFS(Dump!E:E,Dump!B:B,C494,Dump!A:A,Y494)</f>
        <v>0</v>
      </c>
      <c r="T494" s="35">
        <f t="shared" si="22"/>
        <v>0</v>
      </c>
      <c r="V494" s="4">
        <f>SUMIFS(Dump!P:P,Dump!B:B,C494,Dump!A:A,Y494)</f>
        <v>0</v>
      </c>
      <c r="W494" s="37">
        <f t="shared" si="23"/>
        <v>0</v>
      </c>
      <c r="X494" s="39"/>
      <c r="Y494" s="54"/>
    </row>
    <row r="495">
      <c r="C495" s="53"/>
      <c r="G495" s="2" t="str">
        <f t="shared" si="27"/>
        <v/>
      </c>
      <c r="I495" s="4">
        <f>SUMIFS(Dump!D:D,Dump!B:B,C495)</f>
        <v>0</v>
      </c>
      <c r="J495" s="5">
        <f>SUMIFS(Dump!AE:AE,Dump!B:B,C495)</f>
        <v>0</v>
      </c>
      <c r="K495" s="4">
        <f>SUMPRODUCT(
  (TEXT(Dump!$A$2:$A994,"mmm-yy")=TEXT($Y495,"mmm-yy"))*
  (Dump!$B$2:$B994=$C495)*
  Dump!$D$2:$D994)</f>
        <v>0</v>
      </c>
      <c r="L495" s="4">
        <f>SUMPRODUCT(
  (TEXT(Dump!$A$2:$A994,"mmm-yy")=TEXT($Y495,"mmm-yy"))*
  (Dump!$B$2:$B994=$C495)*
  Dump!$E$2:$E994
)</f>
        <v>0</v>
      </c>
      <c r="M495" s="4">
        <f>SUMPRODUCT(
  (TEXT(Dump!$A$2:$A994,"mmm-yy")=TEXT($Y495,"mmm-yy"))*
  (Dump!$B$2:$B994=$C495)*
  Dump!$P$2:$P994
)</f>
        <v>0</v>
      </c>
      <c r="N495" s="32"/>
      <c r="O495" s="33">
        <f>SUMIFS(Dump!$D:$D,Dump!$B:$B,$C495,Dump!$A:$A,$Y495)</f>
        <v>0</v>
      </c>
      <c r="P495" s="33">
        <f>SUMIFS(Dump!R:R,Dump!B:B,C495,Dump!A:A,Y495)</f>
        <v>0</v>
      </c>
      <c r="Q495" s="34">
        <f t="shared" si="21"/>
        <v>0</v>
      </c>
      <c r="S495" s="4">
        <f>SUMIFS(Dump!E:E,Dump!B:B,C495,Dump!A:A,Y495)</f>
        <v>0</v>
      </c>
      <c r="T495" s="35">
        <f t="shared" si="22"/>
        <v>0</v>
      </c>
      <c r="V495" s="4">
        <f>SUMIFS(Dump!P:P,Dump!B:B,C495,Dump!A:A,Y495)</f>
        <v>0</v>
      </c>
      <c r="W495" s="37">
        <f t="shared" si="23"/>
        <v>0</v>
      </c>
      <c r="X495" s="39"/>
      <c r="Y495" s="54"/>
    </row>
    <row r="496">
      <c r="C496" s="53"/>
      <c r="G496" s="2" t="str">
        <f t="shared" si="27"/>
        <v/>
      </c>
      <c r="I496" s="4">
        <f>SUMIFS(Dump!D:D,Dump!B:B,C496)</f>
        <v>0</v>
      </c>
      <c r="J496" s="5">
        <f>SUMIFS(Dump!AE:AE,Dump!B:B,C496)</f>
        <v>0</v>
      </c>
      <c r="K496" s="4">
        <f>SUMPRODUCT(
  (TEXT(Dump!$A$2:$A994,"mmm-yy")=TEXT($Y496,"mmm-yy"))*
  (Dump!$B$2:$B994=$C496)*
  Dump!$D$2:$D994)</f>
        <v>0</v>
      </c>
      <c r="L496" s="4">
        <f>SUMPRODUCT(
  (TEXT(Dump!$A$2:$A994,"mmm-yy")=TEXT($Y496,"mmm-yy"))*
  (Dump!$B$2:$B994=$C496)*
  Dump!$E$2:$E994
)</f>
        <v>0</v>
      </c>
      <c r="M496" s="4">
        <f>SUMPRODUCT(
  (TEXT(Dump!$A$2:$A994,"mmm-yy")=TEXT($Y496,"mmm-yy"))*
  (Dump!$B$2:$B994=$C496)*
  Dump!$P$2:$P994
)</f>
        <v>0</v>
      </c>
      <c r="N496" s="32"/>
      <c r="O496" s="33">
        <f>SUMIFS(Dump!$D:$D,Dump!$B:$B,$C496,Dump!$A:$A,$Y496)</f>
        <v>0</v>
      </c>
      <c r="P496" s="33">
        <f>SUMIFS(Dump!R:R,Dump!B:B,C496,Dump!A:A,Y496)</f>
        <v>0</v>
      </c>
      <c r="Q496" s="34">
        <f t="shared" si="21"/>
        <v>0</v>
      </c>
      <c r="S496" s="4">
        <f>SUMIFS(Dump!E:E,Dump!B:B,C496,Dump!A:A,Y496)</f>
        <v>0</v>
      </c>
      <c r="T496" s="35">
        <f t="shared" si="22"/>
        <v>0</v>
      </c>
      <c r="V496" s="4">
        <f>SUMIFS(Dump!P:P,Dump!B:B,C496,Dump!A:A,Y496)</f>
        <v>0</v>
      </c>
      <c r="W496" s="37">
        <f t="shared" si="23"/>
        <v>0</v>
      </c>
      <c r="X496" s="39"/>
      <c r="Y496" s="54"/>
    </row>
    <row r="497">
      <c r="C497" s="53"/>
      <c r="G497" s="2" t="str">
        <f t="shared" si="27"/>
        <v/>
      </c>
      <c r="I497" s="4">
        <f>SUMIFS(Dump!D:D,Dump!B:B,C497)</f>
        <v>0</v>
      </c>
      <c r="J497" s="5">
        <f>SUMIFS(Dump!AE:AE,Dump!B:B,C497)</f>
        <v>0</v>
      </c>
      <c r="K497" s="4">
        <f>SUMPRODUCT(
  (TEXT(Dump!$A$2:$A994,"mmm-yy")=TEXT($Y497,"mmm-yy"))*
  (Dump!$B$2:$B994=$C497)*
  Dump!$D$2:$D994)</f>
        <v>0</v>
      </c>
      <c r="L497" s="4">
        <f>SUMPRODUCT(
  (TEXT(Dump!$A$2:$A994,"mmm-yy")=TEXT($Y497,"mmm-yy"))*
  (Dump!$B$2:$B994=$C497)*
  Dump!$E$2:$E994
)</f>
        <v>0</v>
      </c>
      <c r="M497" s="4">
        <f>SUMPRODUCT(
  (TEXT(Dump!$A$2:$A994,"mmm-yy")=TEXT($Y497,"mmm-yy"))*
  (Dump!$B$2:$B994=$C497)*
  Dump!$P$2:$P994
)</f>
        <v>0</v>
      </c>
      <c r="N497" s="32"/>
      <c r="O497" s="33">
        <f>SUMIFS(Dump!$D:$D,Dump!$B:$B,$C497,Dump!$A:$A,$Y497)</f>
        <v>0</v>
      </c>
      <c r="P497" s="33">
        <f>SUMIFS(Dump!R:R,Dump!B:B,C497,Dump!A:A,Y497)</f>
        <v>0</v>
      </c>
      <c r="Q497" s="34">
        <f t="shared" si="21"/>
        <v>0</v>
      </c>
      <c r="S497" s="4">
        <f>SUMIFS(Dump!E:E,Dump!B:B,C497,Dump!A:A,Y497)</f>
        <v>0</v>
      </c>
      <c r="T497" s="35">
        <f t="shared" si="22"/>
        <v>0</v>
      </c>
      <c r="V497" s="4">
        <f>SUMIFS(Dump!P:P,Dump!B:B,C497,Dump!A:A,Y497)</f>
        <v>0</v>
      </c>
      <c r="W497" s="37">
        <f t="shared" si="23"/>
        <v>0</v>
      </c>
      <c r="X497" s="39"/>
      <c r="Y497" s="54"/>
    </row>
    <row r="498">
      <c r="C498" s="53"/>
      <c r="G498" s="2" t="str">
        <f t="shared" si="27"/>
        <v/>
      </c>
      <c r="I498" s="4">
        <f>SUMIFS(Dump!D:D,Dump!B:B,C498)</f>
        <v>0</v>
      </c>
      <c r="J498" s="5">
        <f>SUMIFS(Dump!AE:AE,Dump!B:B,C498)</f>
        <v>0</v>
      </c>
      <c r="K498" s="4">
        <f>SUMPRODUCT(
  (TEXT(Dump!$A$2:$A994,"mmm-yy")=TEXT($Y498,"mmm-yy"))*
  (Dump!$B$2:$B994=$C498)*
  Dump!$D$2:$D994)</f>
        <v>0</v>
      </c>
      <c r="L498" s="4">
        <f>SUMPRODUCT(
  (TEXT(Dump!$A$2:$A994,"mmm-yy")=TEXT($Y498,"mmm-yy"))*
  (Dump!$B$2:$B994=$C498)*
  Dump!$E$2:$E994
)</f>
        <v>0</v>
      </c>
      <c r="M498" s="4">
        <f>SUMPRODUCT(
  (TEXT(Dump!$A$2:$A994,"mmm-yy")=TEXT($Y498,"mmm-yy"))*
  (Dump!$B$2:$B994=$C498)*
  Dump!$P$2:$P994
)</f>
        <v>0</v>
      </c>
      <c r="N498" s="32"/>
      <c r="O498" s="33">
        <f>SUMIFS(Dump!$D:$D,Dump!$B:$B,$C498,Dump!$A:$A,$Y498)</f>
        <v>0</v>
      </c>
      <c r="P498" s="33">
        <f>SUMIFS(Dump!R:R,Dump!B:B,C498,Dump!A:A,Y498)</f>
        <v>0</v>
      </c>
      <c r="Q498" s="34">
        <f t="shared" si="21"/>
        <v>0</v>
      </c>
      <c r="S498" s="4">
        <f>SUMIFS(Dump!E:E,Dump!B:B,C498,Dump!A:A,Y498)</f>
        <v>0</v>
      </c>
      <c r="T498" s="35">
        <f t="shared" si="22"/>
        <v>0</v>
      </c>
      <c r="V498" s="4">
        <f>SUMIFS(Dump!P:P,Dump!B:B,C498,Dump!A:A,Y498)</f>
        <v>0</v>
      </c>
      <c r="W498" s="37">
        <f t="shared" si="23"/>
        <v>0</v>
      </c>
      <c r="X498" s="39"/>
      <c r="Y498" s="54"/>
    </row>
    <row r="499">
      <c r="C499" s="53"/>
      <c r="G499" s="2" t="str">
        <f t="shared" si="27"/>
        <v/>
      </c>
      <c r="I499" s="4">
        <f>SUMIFS(Dump!D:D,Dump!B:B,C499)</f>
        <v>0</v>
      </c>
      <c r="J499" s="5">
        <f>SUMIFS(Dump!AE:AE,Dump!B:B,C499)</f>
        <v>0</v>
      </c>
      <c r="K499" s="4">
        <f>SUMPRODUCT(
  (TEXT(Dump!$A$2:$A994,"mmm-yy")=TEXT($Y499,"mmm-yy"))*
  (Dump!$B$2:$B994=$C499)*
  Dump!$D$2:$D994)</f>
        <v>0</v>
      </c>
      <c r="L499" s="4">
        <f>SUMPRODUCT(
  (TEXT(Dump!$A$2:$A994,"mmm-yy")=TEXT($Y499,"mmm-yy"))*
  (Dump!$B$2:$B994=$C499)*
  Dump!$E$2:$E994
)</f>
        <v>0</v>
      </c>
      <c r="M499" s="4">
        <f>SUMPRODUCT(
  (TEXT(Dump!$A$2:$A994,"mmm-yy")=TEXT($Y499,"mmm-yy"))*
  (Dump!$B$2:$B994=$C499)*
  Dump!$P$2:$P994
)</f>
        <v>0</v>
      </c>
      <c r="N499" s="32"/>
      <c r="O499" s="33">
        <f>SUMIFS(Dump!$D:$D,Dump!$B:$B,$C499,Dump!$A:$A,$Y499)</f>
        <v>0</v>
      </c>
      <c r="P499" s="33">
        <f>SUMIFS(Dump!R:R,Dump!B:B,C499,Dump!A:A,Y499)</f>
        <v>0</v>
      </c>
      <c r="Q499" s="34">
        <f t="shared" si="21"/>
        <v>0</v>
      </c>
      <c r="S499" s="4">
        <f>SUMIFS(Dump!E:E,Dump!B:B,C499,Dump!A:A,Y499)</f>
        <v>0</v>
      </c>
      <c r="T499" s="35">
        <f t="shared" si="22"/>
        <v>0</v>
      </c>
      <c r="V499" s="4">
        <f>SUMIFS(Dump!P:P,Dump!B:B,C499,Dump!A:A,Y499)</f>
        <v>0</v>
      </c>
      <c r="W499" s="37">
        <f t="shared" si="23"/>
        <v>0</v>
      </c>
      <c r="X499" s="39"/>
      <c r="Y499" s="54"/>
    </row>
    <row r="500">
      <c r="C500" s="53"/>
      <c r="G500" s="2" t="str">
        <f t="shared" si="27"/>
        <v/>
      </c>
      <c r="I500" s="4">
        <f>SUMIFS(Dump!D:D,Dump!B:B,C500)</f>
        <v>0</v>
      </c>
      <c r="J500" s="5">
        <f>SUMIFS(Dump!AE:AE,Dump!B:B,C500)</f>
        <v>0</v>
      </c>
      <c r="K500" s="4">
        <f>SUMPRODUCT(
  (TEXT(Dump!$A$2:$A994,"mmm-yy")=TEXT($Y500,"mmm-yy"))*
  (Dump!$B$2:$B994=$C500)*
  Dump!$D$2:$D994)</f>
        <v>0</v>
      </c>
      <c r="L500" s="4">
        <f>SUMPRODUCT(
  (TEXT(Dump!$A$2:$A994,"mmm-yy")=TEXT($Y500,"mmm-yy"))*
  (Dump!$B$2:$B994=$C500)*
  Dump!$E$2:$E994
)</f>
        <v>0</v>
      </c>
      <c r="M500" s="4">
        <f>SUMPRODUCT(
  (TEXT(Dump!$A$2:$A994,"mmm-yy")=TEXT($Y500,"mmm-yy"))*
  (Dump!$B$2:$B994=$C500)*
  Dump!$P$2:$P994
)</f>
        <v>0</v>
      </c>
      <c r="N500" s="32"/>
      <c r="O500" s="33">
        <f>SUMIFS(Dump!$D:$D,Dump!$B:$B,$C500,Dump!$A:$A,$Y500)</f>
        <v>0</v>
      </c>
      <c r="P500" s="33">
        <f>SUMIFS(Dump!R:R,Dump!B:B,C500,Dump!A:A,Y500)</f>
        <v>0</v>
      </c>
      <c r="Q500" s="34">
        <f t="shared" si="21"/>
        <v>0</v>
      </c>
      <c r="S500" s="4">
        <f>SUMIFS(Dump!E:E,Dump!B:B,C500,Dump!A:A,Y500)</f>
        <v>0</v>
      </c>
      <c r="T500" s="35">
        <f t="shared" si="22"/>
        <v>0</v>
      </c>
      <c r="V500" s="4">
        <f>SUMIFS(Dump!P:P,Dump!B:B,C500,Dump!A:A,Y500)</f>
        <v>0</v>
      </c>
      <c r="W500" s="37">
        <f t="shared" si="23"/>
        <v>0</v>
      </c>
      <c r="X500" s="39"/>
      <c r="Y500" s="54"/>
    </row>
    <row r="501">
      <c r="C501" s="53"/>
      <c r="G501" s="2" t="str">
        <f t="shared" si="27"/>
        <v/>
      </c>
      <c r="I501" s="4">
        <f>SUMIFS(Dump!D:D,Dump!B:B,C501)</f>
        <v>0</v>
      </c>
      <c r="J501" s="5">
        <f>SUMIFS(Dump!AE:AE,Dump!B:B,C501)</f>
        <v>0</v>
      </c>
      <c r="K501" s="4">
        <f>SUMPRODUCT(
  (TEXT(Dump!$A$2:$A994,"mmm-yy")=TEXT($Y501,"mmm-yy"))*
  (Dump!$B$2:$B994=$C501)*
  Dump!$D$2:$D994)</f>
        <v>0</v>
      </c>
      <c r="L501" s="4">
        <f>SUMPRODUCT(
  (TEXT(Dump!$A$2:$A994,"mmm-yy")=TEXT($Y501,"mmm-yy"))*
  (Dump!$B$2:$B994=$C501)*
  Dump!$E$2:$E994
)</f>
        <v>0</v>
      </c>
      <c r="M501" s="4">
        <f>SUMPRODUCT(
  (TEXT(Dump!$A$2:$A994,"mmm-yy")=TEXT($Y501,"mmm-yy"))*
  (Dump!$B$2:$B994=$C501)*
  Dump!$P$2:$P994
)</f>
        <v>0</v>
      </c>
      <c r="N501" s="32"/>
      <c r="O501" s="33">
        <f>SUMIFS(Dump!$D:$D,Dump!$B:$B,$C501,Dump!$A:$A,$Y501)</f>
        <v>0</v>
      </c>
      <c r="P501" s="33">
        <f>SUMIFS(Dump!R:R,Dump!B:B,C501,Dump!A:A,Y501)</f>
        <v>0</v>
      </c>
      <c r="Q501" s="34">
        <f t="shared" si="21"/>
        <v>0</v>
      </c>
      <c r="S501" s="4">
        <f>SUMIFS(Dump!E:E,Dump!B:B,C501,Dump!A:A,Y501)</f>
        <v>0</v>
      </c>
      <c r="T501" s="35">
        <f t="shared" si="22"/>
        <v>0</v>
      </c>
      <c r="V501" s="4">
        <f>SUMIFS(Dump!P:P,Dump!B:B,C501,Dump!A:A,Y501)</f>
        <v>0</v>
      </c>
      <c r="W501" s="37">
        <f t="shared" si="23"/>
        <v>0</v>
      </c>
      <c r="X501" s="39"/>
      <c r="Y501" s="54"/>
    </row>
    <row r="502">
      <c r="C502" s="53"/>
      <c r="G502" s="2" t="str">
        <f t="shared" si="27"/>
        <v/>
      </c>
      <c r="I502" s="4">
        <f>SUMIFS(Dump!D:D,Dump!B:B,C502)</f>
        <v>0</v>
      </c>
      <c r="J502" s="5">
        <f>SUMIFS(Dump!AE:AE,Dump!B:B,C502)</f>
        <v>0</v>
      </c>
      <c r="K502" s="4">
        <f>SUMPRODUCT(
  (TEXT(Dump!$A$2:$A994,"mmm-yy")=TEXT($Y502,"mmm-yy"))*
  (Dump!$B$2:$B994=$C502)*
  Dump!$D$2:$D994)</f>
        <v>0</v>
      </c>
      <c r="L502" s="4">
        <f>SUMPRODUCT(
  (TEXT(Dump!$A$2:$A994,"mmm-yy")=TEXT($Y502,"mmm-yy"))*
  (Dump!$B$2:$B994=$C502)*
  Dump!$E$2:$E994
)</f>
        <v>0</v>
      </c>
      <c r="M502" s="4">
        <f>SUMPRODUCT(
  (TEXT(Dump!$A$2:$A994,"mmm-yy")=TEXT($Y502,"mmm-yy"))*
  (Dump!$B$2:$B994=$C502)*
  Dump!$P$2:$P994
)</f>
        <v>0</v>
      </c>
      <c r="N502" s="32"/>
      <c r="O502" s="33">
        <f>SUMIFS(Dump!$D:$D,Dump!$B:$B,$C502,Dump!$A:$A,$Y502)</f>
        <v>0</v>
      </c>
      <c r="P502" s="33">
        <f>SUMIFS(Dump!R:R,Dump!B:B,C502,Dump!A:A,Y502)</f>
        <v>0</v>
      </c>
      <c r="Q502" s="34">
        <f t="shared" si="21"/>
        <v>0</v>
      </c>
      <c r="S502" s="4">
        <f>SUMIFS(Dump!E:E,Dump!B:B,C502,Dump!A:A,Y502)</f>
        <v>0</v>
      </c>
      <c r="T502" s="35">
        <f t="shared" si="22"/>
        <v>0</v>
      </c>
      <c r="V502" s="4">
        <f>SUMIFS(Dump!P:P,Dump!B:B,C502,Dump!A:A,Y502)</f>
        <v>0</v>
      </c>
      <c r="W502" s="37">
        <f t="shared" si="23"/>
        <v>0</v>
      </c>
      <c r="X502" s="39"/>
      <c r="Y502" s="54"/>
    </row>
    <row r="503">
      <c r="C503" s="53"/>
      <c r="G503" s="2" t="str">
        <f t="shared" si="27"/>
        <v/>
      </c>
      <c r="I503" s="4">
        <f>SUMIFS(Dump!D:D,Dump!B:B,C503)</f>
        <v>0</v>
      </c>
      <c r="J503" s="5">
        <f>SUMIFS(Dump!AE:AE,Dump!B:B,C503)</f>
        <v>0</v>
      </c>
      <c r="K503" s="4">
        <f>SUMPRODUCT(
  (TEXT(Dump!$A$2:$A994,"mmm-yy")=TEXT($Y503,"mmm-yy"))*
  (Dump!$B$2:$B994=$C503)*
  Dump!$D$2:$D994)</f>
        <v>0</v>
      </c>
      <c r="L503" s="4">
        <f>SUMPRODUCT(
  (TEXT(Dump!$A$2:$A994,"mmm-yy")=TEXT($Y503,"mmm-yy"))*
  (Dump!$B$2:$B994=$C503)*
  Dump!$E$2:$E994
)</f>
        <v>0</v>
      </c>
      <c r="M503" s="4">
        <f>SUMPRODUCT(
  (TEXT(Dump!$A$2:$A994,"mmm-yy")=TEXT($Y503,"mmm-yy"))*
  (Dump!$B$2:$B994=$C503)*
  Dump!$P$2:$P994
)</f>
        <v>0</v>
      </c>
      <c r="N503" s="32"/>
      <c r="O503" s="33">
        <f>SUMIFS(Dump!$D:$D,Dump!$B:$B,$C503,Dump!$A:$A,$Y503)</f>
        <v>0</v>
      </c>
      <c r="P503" s="33">
        <f>SUMIFS(Dump!R:R,Dump!B:B,C503,Dump!A:A,Y503)</f>
        <v>0</v>
      </c>
      <c r="Q503" s="34">
        <f t="shared" si="21"/>
        <v>0</v>
      </c>
      <c r="S503" s="4">
        <f>SUMIFS(Dump!E:E,Dump!B:B,C503,Dump!A:A,Y503)</f>
        <v>0</v>
      </c>
      <c r="T503" s="35">
        <f t="shared" si="22"/>
        <v>0</v>
      </c>
      <c r="V503" s="4">
        <f>SUMIFS(Dump!P:P,Dump!B:B,C503,Dump!A:A,Y503)</f>
        <v>0</v>
      </c>
      <c r="W503" s="37">
        <f t="shared" si="23"/>
        <v>0</v>
      </c>
      <c r="X503" s="39"/>
      <c r="Y503" s="54"/>
    </row>
    <row r="504">
      <c r="C504" s="53"/>
      <c r="G504" s="2" t="str">
        <f t="shared" si="27"/>
        <v/>
      </c>
      <c r="I504" s="4">
        <f>SUMIFS(Dump!D:D,Dump!B:B,C504)</f>
        <v>0</v>
      </c>
      <c r="J504" s="5">
        <f>SUMIFS(Dump!AE:AE,Dump!B:B,C504)</f>
        <v>0</v>
      </c>
      <c r="K504" s="4">
        <f>SUMPRODUCT(
  (TEXT(Dump!$A$2:$A994,"mmm-yy")=TEXT($Y504,"mmm-yy"))*
  (Dump!$B$2:$B994=$C504)*
  Dump!$D$2:$D994)</f>
        <v>0</v>
      </c>
      <c r="L504" s="4">
        <f>SUMPRODUCT(
  (TEXT(Dump!$A$2:$A994,"mmm-yy")=TEXT($Y504,"mmm-yy"))*
  (Dump!$B$2:$B994=$C504)*
  Dump!$E$2:$E994
)</f>
        <v>0</v>
      </c>
      <c r="M504" s="4">
        <f>SUMPRODUCT(
  (TEXT(Dump!$A$2:$A994,"mmm-yy")=TEXT($Y504,"mmm-yy"))*
  (Dump!$B$2:$B994=$C504)*
  Dump!$P$2:$P994
)</f>
        <v>0</v>
      </c>
      <c r="N504" s="32"/>
      <c r="O504" s="33">
        <f>SUMIFS(Dump!$D:$D,Dump!$B:$B,$C504,Dump!$A:$A,$Y504)</f>
        <v>0</v>
      </c>
      <c r="P504" s="33">
        <f>SUMIFS(Dump!R:R,Dump!B:B,C504,Dump!A:A,Y504)</f>
        <v>0</v>
      </c>
      <c r="Q504" s="34">
        <f t="shared" si="21"/>
        <v>0</v>
      </c>
      <c r="S504" s="4">
        <f>SUMIFS(Dump!E:E,Dump!B:B,C504,Dump!A:A,Y504)</f>
        <v>0</v>
      </c>
      <c r="T504" s="35">
        <f t="shared" si="22"/>
        <v>0</v>
      </c>
      <c r="V504" s="4">
        <f>SUMIFS(Dump!P:P,Dump!B:B,C504,Dump!A:A,Y504)</f>
        <v>0</v>
      </c>
      <c r="W504" s="37">
        <f t="shared" si="23"/>
        <v>0</v>
      </c>
      <c r="X504" s="39"/>
      <c r="Y504" s="54"/>
    </row>
    <row r="505">
      <c r="C505" s="53"/>
      <c r="G505" s="2" t="str">
        <f t="shared" si="27"/>
        <v/>
      </c>
      <c r="I505" s="4">
        <f>SUMIFS(Dump!D:D,Dump!B:B,C505)</f>
        <v>0</v>
      </c>
      <c r="J505" s="5">
        <f>SUMIFS(Dump!AE:AE,Dump!B:B,C505)</f>
        <v>0</v>
      </c>
      <c r="K505" s="4">
        <f>SUMPRODUCT(
  (TEXT(Dump!$A$2:$A994,"mmm-yy")=TEXT($Y505,"mmm-yy"))*
  (Dump!$B$2:$B994=$C505)*
  Dump!$D$2:$D994)</f>
        <v>0</v>
      </c>
      <c r="L505" s="4">
        <f>SUMPRODUCT(
  (TEXT(Dump!$A$2:$A994,"mmm-yy")=TEXT($Y505,"mmm-yy"))*
  (Dump!$B$2:$B994=$C505)*
  Dump!$E$2:$E994
)</f>
        <v>0</v>
      </c>
      <c r="M505" s="4">
        <f>SUMPRODUCT(
  (TEXT(Dump!$A$2:$A994,"mmm-yy")=TEXT($Y505,"mmm-yy"))*
  (Dump!$B$2:$B994=$C505)*
  Dump!$P$2:$P994
)</f>
        <v>0</v>
      </c>
      <c r="N505" s="32"/>
      <c r="O505" s="33">
        <f>SUMIFS(Dump!$D:$D,Dump!$B:$B,$C505,Dump!$A:$A,$Y505)</f>
        <v>0</v>
      </c>
      <c r="P505" s="33">
        <f>SUMIFS(Dump!R:R,Dump!B:B,C505,Dump!A:A,Y505)</f>
        <v>0</v>
      </c>
      <c r="Q505" s="34">
        <f t="shared" si="21"/>
        <v>0</v>
      </c>
      <c r="S505" s="4">
        <f>SUMIFS(Dump!E:E,Dump!B:B,C505,Dump!A:A,Y505)</f>
        <v>0</v>
      </c>
      <c r="T505" s="35">
        <f t="shared" si="22"/>
        <v>0</v>
      </c>
      <c r="V505" s="4">
        <f>SUMIFS(Dump!P:P,Dump!B:B,C505,Dump!A:A,Y505)</f>
        <v>0</v>
      </c>
      <c r="W505" s="37">
        <f t="shared" si="23"/>
        <v>0</v>
      </c>
      <c r="X505" s="39"/>
      <c r="Y505" s="54"/>
    </row>
    <row r="506">
      <c r="C506" s="53"/>
      <c r="G506" s="2" t="str">
        <f t="shared" si="27"/>
        <v/>
      </c>
      <c r="I506" s="4">
        <f>SUMIFS(Dump!D:D,Dump!B:B,C506)</f>
        <v>0</v>
      </c>
      <c r="J506" s="5">
        <f>SUMIFS(Dump!AE:AE,Dump!B:B,C506)</f>
        <v>0</v>
      </c>
      <c r="K506" s="4">
        <f>SUMPRODUCT(
  (TEXT(Dump!$A$2:$A994,"mmm-yy")=TEXT($Y506,"mmm-yy"))*
  (Dump!$B$2:$B994=$C506)*
  Dump!$D$2:$D994)</f>
        <v>0</v>
      </c>
      <c r="L506" s="4">
        <f>SUMPRODUCT(
  (TEXT(Dump!$A$2:$A994,"mmm-yy")=TEXT($Y506,"mmm-yy"))*
  (Dump!$B$2:$B994=$C506)*
  Dump!$E$2:$E994
)</f>
        <v>0</v>
      </c>
      <c r="M506" s="4">
        <f>SUMPRODUCT(
  (TEXT(Dump!$A$2:$A994,"mmm-yy")=TEXT($Y506,"mmm-yy"))*
  (Dump!$B$2:$B994=$C506)*
  Dump!$P$2:$P994
)</f>
        <v>0</v>
      </c>
      <c r="N506" s="32"/>
      <c r="O506" s="33">
        <f>SUMIFS(Dump!$D:$D,Dump!$B:$B,$C506,Dump!$A:$A,$Y506)</f>
        <v>0</v>
      </c>
      <c r="P506" s="33">
        <f>SUMIFS(Dump!R:R,Dump!B:B,C506,Dump!A:A,Y506)</f>
        <v>0</v>
      </c>
      <c r="Q506" s="34">
        <f t="shared" si="21"/>
        <v>0</v>
      </c>
      <c r="S506" s="4">
        <f>SUMIFS(Dump!E:E,Dump!B:B,C506,Dump!A:A,Y506)</f>
        <v>0</v>
      </c>
      <c r="T506" s="35">
        <f t="shared" si="22"/>
        <v>0</v>
      </c>
      <c r="V506" s="4">
        <f>SUMIFS(Dump!P:P,Dump!B:B,C506,Dump!A:A,Y506)</f>
        <v>0</v>
      </c>
      <c r="W506" s="37">
        <f t="shared" si="23"/>
        <v>0</v>
      </c>
      <c r="X506" s="39"/>
      <c r="Y506" s="54"/>
    </row>
    <row r="507">
      <c r="C507" s="53"/>
      <c r="G507" s="2" t="str">
        <f t="shared" si="27"/>
        <v/>
      </c>
      <c r="I507" s="4">
        <f>SUMIFS(Dump!D:D,Dump!B:B,C507)</f>
        <v>0</v>
      </c>
      <c r="J507" s="5">
        <f>SUMIFS(Dump!AE:AE,Dump!B:B,C507)</f>
        <v>0</v>
      </c>
      <c r="K507" s="4">
        <f>SUMPRODUCT(
  (TEXT(Dump!$A$2:$A994,"mmm-yy")=TEXT($Y507,"mmm-yy"))*
  (Dump!$B$2:$B994=$C507)*
  Dump!$D$2:$D994)</f>
        <v>0</v>
      </c>
      <c r="L507" s="4">
        <f>SUMPRODUCT(
  (TEXT(Dump!$A$2:$A994,"mmm-yy")=TEXT($Y507,"mmm-yy"))*
  (Dump!$B$2:$B994=$C507)*
  Dump!$E$2:$E994
)</f>
        <v>0</v>
      </c>
      <c r="M507" s="4">
        <f>SUMPRODUCT(
  (TEXT(Dump!$A$2:$A994,"mmm-yy")=TEXT($Y507,"mmm-yy"))*
  (Dump!$B$2:$B994=$C507)*
  Dump!$P$2:$P994
)</f>
        <v>0</v>
      </c>
      <c r="N507" s="32"/>
      <c r="O507" s="33">
        <f>SUMIFS(Dump!$D:$D,Dump!$B:$B,$C507,Dump!$A:$A,$Y507)</f>
        <v>0</v>
      </c>
      <c r="P507" s="33">
        <f>SUMIFS(Dump!R:R,Dump!B:B,C507,Dump!A:A,Y507)</f>
        <v>0</v>
      </c>
      <c r="Q507" s="34">
        <f t="shared" si="21"/>
        <v>0</v>
      </c>
      <c r="S507" s="4">
        <f>SUMIFS(Dump!E:E,Dump!B:B,C507,Dump!A:A,Y507)</f>
        <v>0</v>
      </c>
      <c r="T507" s="35">
        <f t="shared" si="22"/>
        <v>0</v>
      </c>
      <c r="V507" s="4">
        <f>SUMIFS(Dump!P:P,Dump!B:B,C507,Dump!A:A,Y507)</f>
        <v>0</v>
      </c>
      <c r="W507" s="37">
        <f t="shared" si="23"/>
        <v>0</v>
      </c>
      <c r="X507" s="39"/>
      <c r="Y507" s="54"/>
    </row>
    <row r="508">
      <c r="C508" s="53"/>
      <c r="G508" s="2" t="str">
        <f t="shared" si="27"/>
        <v/>
      </c>
      <c r="I508" s="4">
        <f>SUMIFS(Dump!D:D,Dump!B:B,C508)</f>
        <v>0</v>
      </c>
      <c r="J508" s="5">
        <f>SUMIFS(Dump!AE:AE,Dump!B:B,C508)</f>
        <v>0</v>
      </c>
      <c r="K508" s="4">
        <f>SUMPRODUCT(
  (TEXT(Dump!$A$2:$A994,"mmm-yy")=TEXT($Y508,"mmm-yy"))*
  (Dump!$B$2:$B994=$C508)*
  Dump!$D$2:$D994)</f>
        <v>0</v>
      </c>
      <c r="L508" s="4">
        <f>SUMPRODUCT(
  (TEXT(Dump!$A$2:$A994,"mmm-yy")=TEXT($Y508,"mmm-yy"))*
  (Dump!$B$2:$B994=$C508)*
  Dump!$E$2:$E994
)</f>
        <v>0</v>
      </c>
      <c r="M508" s="4">
        <f>SUMPRODUCT(
  (TEXT(Dump!$A$2:$A994,"mmm-yy")=TEXT($Y508,"mmm-yy"))*
  (Dump!$B$2:$B994=$C508)*
  Dump!$P$2:$P994
)</f>
        <v>0</v>
      </c>
      <c r="N508" s="32"/>
      <c r="O508" s="33">
        <f>SUMIFS(Dump!$D:$D,Dump!$B:$B,$C508,Dump!$A:$A,$Y508)</f>
        <v>0</v>
      </c>
      <c r="P508" s="33">
        <f>SUMIFS(Dump!R:R,Dump!B:B,C508,Dump!A:A,Y508)</f>
        <v>0</v>
      </c>
      <c r="Q508" s="34">
        <f t="shared" si="21"/>
        <v>0</v>
      </c>
      <c r="S508" s="4">
        <f>SUMIFS(Dump!E:E,Dump!B:B,C508,Dump!A:A,Y508)</f>
        <v>0</v>
      </c>
      <c r="T508" s="35">
        <f t="shared" si="22"/>
        <v>0</v>
      </c>
      <c r="V508" s="4">
        <f>SUMIFS(Dump!P:P,Dump!B:B,C508,Dump!A:A,Y508)</f>
        <v>0</v>
      </c>
      <c r="W508" s="37">
        <f t="shared" si="23"/>
        <v>0</v>
      </c>
      <c r="X508" s="39"/>
      <c r="Y508" s="54"/>
    </row>
    <row r="509">
      <c r="C509" s="53"/>
      <c r="G509" s="2" t="str">
        <f t="shared" si="27"/>
        <v/>
      </c>
      <c r="I509" s="4">
        <f>SUMIFS(Dump!D:D,Dump!B:B,C509)</f>
        <v>0</v>
      </c>
      <c r="J509" s="5">
        <f>SUMIFS(Dump!AE:AE,Dump!B:B,C509)</f>
        <v>0</v>
      </c>
      <c r="K509" s="4">
        <f>SUMPRODUCT(
  (TEXT(Dump!$A$2:$A994,"mmm-yy")=TEXT($Y509,"mmm-yy"))*
  (Dump!$B$2:$B994=$C509)*
  Dump!$D$2:$D994)</f>
        <v>0</v>
      </c>
      <c r="L509" s="4">
        <f>SUMPRODUCT(
  (TEXT(Dump!$A$2:$A994,"mmm-yy")=TEXT($Y509,"mmm-yy"))*
  (Dump!$B$2:$B994=$C509)*
  Dump!$E$2:$E994
)</f>
        <v>0</v>
      </c>
      <c r="M509" s="4">
        <f>SUMPRODUCT(
  (TEXT(Dump!$A$2:$A994,"mmm-yy")=TEXT($Y509,"mmm-yy"))*
  (Dump!$B$2:$B994=$C509)*
  Dump!$P$2:$P994
)</f>
        <v>0</v>
      </c>
      <c r="N509" s="32"/>
      <c r="O509" s="33">
        <f>SUMIFS(Dump!$D:$D,Dump!$B:$B,$C509,Dump!$A:$A,$Y509)</f>
        <v>0</v>
      </c>
      <c r="P509" s="33">
        <f>SUMIFS(Dump!R:R,Dump!B:B,C509,Dump!A:A,Y509)</f>
        <v>0</v>
      </c>
      <c r="Q509" s="34">
        <f t="shared" si="21"/>
        <v>0</v>
      </c>
      <c r="S509" s="4">
        <f>SUMIFS(Dump!E:E,Dump!B:B,C509,Dump!A:A,Y509)</f>
        <v>0</v>
      </c>
      <c r="T509" s="35">
        <f t="shared" si="22"/>
        <v>0</v>
      </c>
      <c r="V509" s="4">
        <f>SUMIFS(Dump!P:P,Dump!B:B,C509,Dump!A:A,Y509)</f>
        <v>0</v>
      </c>
      <c r="W509" s="37">
        <f t="shared" si="23"/>
        <v>0</v>
      </c>
      <c r="X509" s="39"/>
      <c r="Y509" s="54"/>
    </row>
    <row r="510">
      <c r="C510" s="53"/>
      <c r="G510" s="2" t="str">
        <f t="shared" si="27"/>
        <v/>
      </c>
      <c r="I510" s="4">
        <f>SUMIFS(Dump!D:D,Dump!B:B,C510)</f>
        <v>0</v>
      </c>
      <c r="J510" s="5">
        <f>SUMIFS(Dump!AE:AE,Dump!B:B,C510)</f>
        <v>0</v>
      </c>
      <c r="K510" s="4">
        <f>SUMPRODUCT(
  (TEXT(Dump!$A$2:$A994,"mmm-yy")=TEXT($Y510,"mmm-yy"))*
  (Dump!$B$2:$B994=$C510)*
  Dump!$D$2:$D994)</f>
        <v>0</v>
      </c>
      <c r="L510" s="4">
        <f>SUMPRODUCT(
  (TEXT(Dump!$A$2:$A994,"mmm-yy")=TEXT($Y510,"mmm-yy"))*
  (Dump!$B$2:$B994=$C510)*
  Dump!$E$2:$E994
)</f>
        <v>0</v>
      </c>
      <c r="M510" s="4">
        <f>SUMPRODUCT(
  (TEXT(Dump!$A$2:$A994,"mmm-yy")=TEXT($Y510,"mmm-yy"))*
  (Dump!$B$2:$B994=$C510)*
  Dump!$P$2:$P994
)</f>
        <v>0</v>
      </c>
      <c r="N510" s="32"/>
      <c r="O510" s="33">
        <f>SUMIFS(Dump!$D:$D,Dump!$B:$B,$C510,Dump!$A:$A,$Y510)</f>
        <v>0</v>
      </c>
      <c r="P510" s="33">
        <f>SUMIFS(Dump!R:R,Dump!B:B,C510,Dump!A:A,Y510)</f>
        <v>0</v>
      </c>
      <c r="Q510" s="34">
        <f t="shared" si="21"/>
        <v>0</v>
      </c>
      <c r="S510" s="4">
        <f>SUMIFS(Dump!E:E,Dump!B:B,C510,Dump!A:A,Y510)</f>
        <v>0</v>
      </c>
      <c r="T510" s="35">
        <f t="shared" si="22"/>
        <v>0</v>
      </c>
      <c r="V510" s="4">
        <f>SUMIFS(Dump!P:P,Dump!B:B,C510,Dump!A:A,Y510)</f>
        <v>0</v>
      </c>
      <c r="W510" s="37">
        <f t="shared" si="23"/>
        <v>0</v>
      </c>
      <c r="X510" s="39"/>
      <c r="Y510" s="54"/>
    </row>
    <row r="511">
      <c r="C511" s="53"/>
      <c r="G511" s="2" t="str">
        <f t="shared" si="27"/>
        <v/>
      </c>
      <c r="I511" s="4">
        <f>SUMIFS(Dump!D:D,Dump!B:B,C511)</f>
        <v>0</v>
      </c>
      <c r="J511" s="5">
        <f>SUMIFS(Dump!AE:AE,Dump!B:B,C511)</f>
        <v>0</v>
      </c>
      <c r="K511" s="4">
        <f>SUMPRODUCT(
  (TEXT(Dump!$A$2:$A994,"mmm-yy")=TEXT($Y511,"mmm-yy"))*
  (Dump!$B$2:$B994=$C511)*
  Dump!$D$2:$D994)</f>
        <v>0</v>
      </c>
      <c r="L511" s="4">
        <f>SUMPRODUCT(
  (TEXT(Dump!$A$2:$A994,"mmm-yy")=TEXT($Y511,"mmm-yy"))*
  (Dump!$B$2:$B994=$C511)*
  Dump!$E$2:$E994
)</f>
        <v>0</v>
      </c>
      <c r="M511" s="4">
        <f>SUMPRODUCT(
  (TEXT(Dump!$A$2:$A994,"mmm-yy")=TEXT($Y511,"mmm-yy"))*
  (Dump!$B$2:$B994=$C511)*
  Dump!$P$2:$P994
)</f>
        <v>0</v>
      </c>
      <c r="N511" s="32"/>
      <c r="O511" s="33">
        <f>SUMIFS(Dump!$D:$D,Dump!$B:$B,$C511,Dump!$A:$A,$Y511)</f>
        <v>0</v>
      </c>
      <c r="P511" s="33">
        <f>SUMIFS(Dump!R:R,Dump!B:B,C511,Dump!A:A,Y511)</f>
        <v>0</v>
      </c>
      <c r="Q511" s="34">
        <f t="shared" si="21"/>
        <v>0</v>
      </c>
      <c r="S511" s="4">
        <f>SUMIFS(Dump!E:E,Dump!B:B,C511,Dump!A:A,Y511)</f>
        <v>0</v>
      </c>
      <c r="T511" s="35">
        <f t="shared" si="22"/>
        <v>0</v>
      </c>
      <c r="V511" s="4">
        <f>SUMIFS(Dump!P:P,Dump!B:B,C511,Dump!A:A,Y511)</f>
        <v>0</v>
      </c>
      <c r="W511" s="37">
        <f t="shared" si="23"/>
        <v>0</v>
      </c>
      <c r="X511" s="39"/>
      <c r="Y511" s="54"/>
    </row>
    <row r="512">
      <c r="C512" s="53"/>
      <c r="G512" s="2" t="str">
        <f t="shared" si="27"/>
        <v/>
      </c>
      <c r="I512" s="4">
        <f>SUMIFS(Dump!D:D,Dump!B:B,C512)</f>
        <v>0</v>
      </c>
      <c r="J512" s="5">
        <f>SUMIFS(Dump!AE:AE,Dump!B:B,C512)</f>
        <v>0</v>
      </c>
      <c r="K512" s="4">
        <f>SUMPRODUCT(
  (TEXT(Dump!$A$2:$A994,"mmm-yy")=TEXT($Y512,"mmm-yy"))*
  (Dump!$B$2:$B994=$C512)*
  Dump!$D$2:$D994)</f>
        <v>0</v>
      </c>
      <c r="L512" s="4">
        <f>SUMPRODUCT(
  (TEXT(Dump!$A$2:$A994,"mmm-yy")=TEXT($Y512,"mmm-yy"))*
  (Dump!$B$2:$B994=$C512)*
  Dump!$E$2:$E994
)</f>
        <v>0</v>
      </c>
      <c r="M512" s="4">
        <f>SUMPRODUCT(
  (TEXT(Dump!$A$2:$A994,"mmm-yy")=TEXT($Y512,"mmm-yy"))*
  (Dump!$B$2:$B994=$C512)*
  Dump!$P$2:$P994
)</f>
        <v>0</v>
      </c>
      <c r="N512" s="32"/>
      <c r="O512" s="33">
        <f>SUMIFS(Dump!$D:$D,Dump!$B:$B,$C512,Dump!$A:$A,$Y512)</f>
        <v>0</v>
      </c>
      <c r="P512" s="33">
        <f>SUMIFS(Dump!R:R,Dump!B:B,C512,Dump!A:A,Y512)</f>
        <v>0</v>
      </c>
      <c r="Q512" s="34">
        <f t="shared" si="21"/>
        <v>0</v>
      </c>
      <c r="S512" s="4">
        <f>SUMIFS(Dump!E:E,Dump!B:B,C512,Dump!A:A,Y512)</f>
        <v>0</v>
      </c>
      <c r="T512" s="35">
        <f t="shared" si="22"/>
        <v>0</v>
      </c>
      <c r="V512" s="4">
        <f>SUMIFS(Dump!P:P,Dump!B:B,C512,Dump!A:A,Y512)</f>
        <v>0</v>
      </c>
      <c r="W512" s="37">
        <f t="shared" si="23"/>
        <v>0</v>
      </c>
      <c r="X512" s="39"/>
      <c r="Y512" s="54"/>
    </row>
    <row r="513">
      <c r="C513" s="53"/>
      <c r="G513" s="2" t="str">
        <f t="shared" si="27"/>
        <v/>
      </c>
      <c r="I513" s="4">
        <f>SUMIFS(Dump!D:D,Dump!B:B,C513)</f>
        <v>0</v>
      </c>
      <c r="J513" s="5">
        <f>SUMIFS(Dump!AE:AE,Dump!B:B,C513)</f>
        <v>0</v>
      </c>
      <c r="K513" s="4">
        <f>SUMPRODUCT(
  (TEXT(Dump!$A$2:$A994,"mmm-yy")=TEXT($Y513,"mmm-yy"))*
  (Dump!$B$2:$B994=$C513)*
  Dump!$D$2:$D994)</f>
        <v>0</v>
      </c>
      <c r="L513" s="4">
        <f>SUMPRODUCT(
  (TEXT(Dump!$A$2:$A994,"mmm-yy")=TEXT($Y513,"mmm-yy"))*
  (Dump!$B$2:$B994=$C513)*
  Dump!$E$2:$E994
)</f>
        <v>0</v>
      </c>
      <c r="M513" s="4">
        <f>SUMPRODUCT(
  (TEXT(Dump!$A$2:$A994,"mmm-yy")=TEXT($Y513,"mmm-yy"))*
  (Dump!$B$2:$B994=$C513)*
  Dump!$P$2:$P994
)</f>
        <v>0</v>
      </c>
      <c r="N513" s="32"/>
      <c r="O513" s="33">
        <f>SUMIFS(Dump!$D:$D,Dump!$B:$B,$C513,Dump!$A:$A,$Y513)</f>
        <v>0</v>
      </c>
      <c r="P513" s="33">
        <f>SUMIFS(Dump!R:R,Dump!B:B,C513,Dump!A:A,Y513)</f>
        <v>0</v>
      </c>
      <c r="Q513" s="34">
        <f t="shared" si="21"/>
        <v>0</v>
      </c>
      <c r="S513" s="4">
        <f>SUMIFS(Dump!E:E,Dump!B:B,C513,Dump!A:A,Y513)</f>
        <v>0</v>
      </c>
      <c r="T513" s="35">
        <f t="shared" si="22"/>
        <v>0</v>
      </c>
      <c r="V513" s="4">
        <f>SUMIFS(Dump!P:P,Dump!B:B,C513,Dump!A:A,Y513)</f>
        <v>0</v>
      </c>
      <c r="W513" s="37">
        <f t="shared" si="23"/>
        <v>0</v>
      </c>
      <c r="X513" s="39"/>
      <c r="Y513" s="54"/>
    </row>
    <row r="514">
      <c r="C514" s="53"/>
      <c r="G514" s="2" t="str">
        <f t="shared" si="27"/>
        <v/>
      </c>
      <c r="I514" s="4">
        <f>SUMIFS(Dump!D:D,Dump!B:B,C514)</f>
        <v>0</v>
      </c>
      <c r="J514" s="5">
        <f>SUMIFS(Dump!AE:AE,Dump!B:B,C514)</f>
        <v>0</v>
      </c>
      <c r="K514" s="4">
        <f>SUMPRODUCT(
  (TEXT(Dump!$A$2:$A994,"mmm-yy")=TEXT($Y514,"mmm-yy"))*
  (Dump!$B$2:$B994=$C514)*
  Dump!$D$2:$D994)</f>
        <v>0</v>
      </c>
      <c r="L514" s="4">
        <f>SUMPRODUCT(
  (TEXT(Dump!$A$2:$A994,"mmm-yy")=TEXT($Y514,"mmm-yy"))*
  (Dump!$B$2:$B994=$C514)*
  Dump!$E$2:$E994
)</f>
        <v>0</v>
      </c>
      <c r="M514" s="4">
        <f>SUMPRODUCT(
  (TEXT(Dump!$A$2:$A994,"mmm-yy")=TEXT($Y514,"mmm-yy"))*
  (Dump!$B$2:$B994=$C514)*
  Dump!$P$2:$P994
)</f>
        <v>0</v>
      </c>
      <c r="N514" s="32"/>
      <c r="O514" s="33">
        <f>SUMIFS(Dump!$D:$D,Dump!$B:$B,$C514,Dump!$A:$A,$Y514)</f>
        <v>0</v>
      </c>
      <c r="P514" s="33">
        <f>SUMIFS(Dump!R:R,Dump!B:B,C514,Dump!A:A,Y514)</f>
        <v>0</v>
      </c>
      <c r="Q514" s="34">
        <f t="shared" si="21"/>
        <v>0</v>
      </c>
      <c r="S514" s="4">
        <f>SUMIFS(Dump!E:E,Dump!B:B,C514,Dump!A:A,Y514)</f>
        <v>0</v>
      </c>
      <c r="T514" s="35">
        <f t="shared" si="22"/>
        <v>0</v>
      </c>
      <c r="V514" s="4">
        <f>SUMIFS(Dump!P:P,Dump!B:B,C514,Dump!A:A,Y514)</f>
        <v>0</v>
      </c>
      <c r="W514" s="37">
        <f t="shared" si="23"/>
        <v>0</v>
      </c>
      <c r="X514" s="39"/>
      <c r="Y514" s="54"/>
    </row>
    <row r="515">
      <c r="C515" s="53"/>
      <c r="G515" s="2" t="str">
        <f t="shared" si="27"/>
        <v/>
      </c>
      <c r="I515" s="4">
        <f>SUMIFS(Dump!D:D,Dump!B:B,C515)</f>
        <v>0</v>
      </c>
      <c r="J515" s="5">
        <f>SUMIFS(Dump!AE:AE,Dump!B:B,C515)</f>
        <v>0</v>
      </c>
      <c r="K515" s="4">
        <f>SUMPRODUCT(
  (TEXT(Dump!$A$2:$A994,"mmm-yy")=TEXT($Y515,"mmm-yy"))*
  (Dump!$B$2:$B994=$C515)*
  Dump!$D$2:$D994)</f>
        <v>0</v>
      </c>
      <c r="L515" s="4">
        <f>SUMPRODUCT(
  (TEXT(Dump!$A$2:$A994,"mmm-yy")=TEXT($Y515,"mmm-yy"))*
  (Dump!$B$2:$B994=$C515)*
  Dump!$E$2:$E994
)</f>
        <v>0</v>
      </c>
      <c r="M515" s="4">
        <f>SUMPRODUCT(
  (TEXT(Dump!$A$2:$A994,"mmm-yy")=TEXT($Y515,"mmm-yy"))*
  (Dump!$B$2:$B994=$C515)*
  Dump!$P$2:$P994
)</f>
        <v>0</v>
      </c>
      <c r="N515" s="32"/>
      <c r="O515" s="33">
        <f>SUMIFS(Dump!$D:$D,Dump!$B:$B,$C515,Dump!$A:$A,$Y515)</f>
        <v>0</v>
      </c>
      <c r="P515" s="33">
        <f>SUMIFS(Dump!R:R,Dump!B:B,C515,Dump!A:A,Y515)</f>
        <v>0</v>
      </c>
      <c r="Q515" s="34">
        <f t="shared" si="21"/>
        <v>0</v>
      </c>
      <c r="S515" s="4">
        <f>SUMIFS(Dump!E:E,Dump!B:B,C515,Dump!A:A,Y515)</f>
        <v>0</v>
      </c>
      <c r="T515" s="35">
        <f t="shared" si="22"/>
        <v>0</v>
      </c>
      <c r="V515" s="4">
        <f>SUMIFS(Dump!P:P,Dump!B:B,C515,Dump!A:A,Y515)</f>
        <v>0</v>
      </c>
      <c r="W515" s="37">
        <f t="shared" si="23"/>
        <v>0</v>
      </c>
      <c r="X515" s="39"/>
      <c r="Y515" s="54"/>
    </row>
    <row r="516">
      <c r="C516" s="53"/>
      <c r="G516" s="2" t="str">
        <f t="shared" si="27"/>
        <v/>
      </c>
      <c r="I516" s="4">
        <f>SUMIFS(Dump!D:D,Dump!B:B,C516)</f>
        <v>0</v>
      </c>
      <c r="J516" s="5">
        <f>SUMIFS(Dump!AE:AE,Dump!B:B,C516)</f>
        <v>0</v>
      </c>
      <c r="K516" s="4">
        <f>SUMPRODUCT(
  (TEXT(Dump!$A$2:$A994,"mmm-yy")=TEXT($Y516,"mmm-yy"))*
  (Dump!$B$2:$B994=$C516)*
  Dump!$D$2:$D994)</f>
        <v>0</v>
      </c>
      <c r="L516" s="4">
        <f>SUMPRODUCT(
  (TEXT(Dump!$A$2:$A994,"mmm-yy")=TEXT($Y516,"mmm-yy"))*
  (Dump!$B$2:$B994=$C516)*
  Dump!$E$2:$E994
)</f>
        <v>0</v>
      </c>
      <c r="M516" s="4">
        <f>SUMPRODUCT(
  (TEXT(Dump!$A$2:$A994,"mmm-yy")=TEXT($Y516,"mmm-yy"))*
  (Dump!$B$2:$B994=$C516)*
  Dump!$P$2:$P994
)</f>
        <v>0</v>
      </c>
      <c r="N516" s="32"/>
      <c r="O516" s="33">
        <f>SUMIFS(Dump!$D:$D,Dump!$B:$B,$C516,Dump!$A:$A,$Y516)</f>
        <v>0</v>
      </c>
      <c r="P516" s="33">
        <f>SUMIFS(Dump!R:R,Dump!B:B,C516,Dump!A:A,Y516)</f>
        <v>0</v>
      </c>
      <c r="Q516" s="34">
        <f t="shared" si="21"/>
        <v>0</v>
      </c>
      <c r="S516" s="4">
        <f>SUMIFS(Dump!E:E,Dump!B:B,C516,Dump!A:A,Y516)</f>
        <v>0</v>
      </c>
      <c r="T516" s="35">
        <f t="shared" si="22"/>
        <v>0</v>
      </c>
      <c r="V516" s="4">
        <f>SUMIFS(Dump!P:P,Dump!B:B,C516,Dump!A:A,Y516)</f>
        <v>0</v>
      </c>
      <c r="W516" s="37">
        <f t="shared" si="23"/>
        <v>0</v>
      </c>
      <c r="X516" s="39"/>
      <c r="Y516" s="54"/>
    </row>
    <row r="517">
      <c r="C517" s="53"/>
      <c r="G517" s="2" t="str">
        <f t="shared" si="27"/>
        <v/>
      </c>
      <c r="I517" s="4">
        <f>SUMIFS(Dump!D:D,Dump!B:B,C517)</f>
        <v>0</v>
      </c>
      <c r="J517" s="5">
        <f>SUMIFS(Dump!AE:AE,Dump!B:B,C517)</f>
        <v>0</v>
      </c>
      <c r="K517" s="4">
        <f>SUMPRODUCT(
  (TEXT(Dump!$A$2:$A994,"mmm-yy")=TEXT($Y517,"mmm-yy"))*
  (Dump!$B$2:$B994=$C517)*
  Dump!$D$2:$D994)</f>
        <v>0</v>
      </c>
      <c r="L517" s="4">
        <f>SUMPRODUCT(
  (TEXT(Dump!$A$2:$A994,"mmm-yy")=TEXT($Y517,"mmm-yy"))*
  (Dump!$B$2:$B994=$C517)*
  Dump!$E$2:$E994
)</f>
        <v>0</v>
      </c>
      <c r="M517" s="4">
        <f>SUMPRODUCT(
  (TEXT(Dump!$A$2:$A994,"mmm-yy")=TEXT($Y517,"mmm-yy"))*
  (Dump!$B$2:$B994=$C517)*
  Dump!$P$2:$P994
)</f>
        <v>0</v>
      </c>
      <c r="N517" s="32"/>
      <c r="O517" s="33">
        <f>SUMIFS(Dump!$D:$D,Dump!$B:$B,$C517,Dump!$A:$A,$Y517)</f>
        <v>0</v>
      </c>
      <c r="P517" s="33">
        <f>SUMIFS(Dump!R:R,Dump!B:B,C517,Dump!A:A,Y517)</f>
        <v>0</v>
      </c>
      <c r="Q517" s="34">
        <f t="shared" si="21"/>
        <v>0</v>
      </c>
      <c r="S517" s="4">
        <f>SUMIFS(Dump!E:E,Dump!B:B,C517,Dump!A:A,Y517)</f>
        <v>0</v>
      </c>
      <c r="T517" s="35">
        <f t="shared" si="22"/>
        <v>0</v>
      </c>
      <c r="V517" s="4">
        <f>SUMIFS(Dump!P:P,Dump!B:B,C517,Dump!A:A,Y517)</f>
        <v>0</v>
      </c>
      <c r="W517" s="37">
        <f t="shared" si="23"/>
        <v>0</v>
      </c>
      <c r="X517" s="39"/>
      <c r="Y517" s="54"/>
    </row>
    <row r="518">
      <c r="C518" s="53"/>
      <c r="G518" s="2" t="str">
        <f t="shared" si="27"/>
        <v/>
      </c>
      <c r="I518" s="4">
        <f>SUMIFS(Dump!D:D,Dump!B:B,C518)</f>
        <v>0</v>
      </c>
      <c r="J518" s="5">
        <f>SUMIFS(Dump!AE:AE,Dump!B:B,C518)</f>
        <v>0</v>
      </c>
      <c r="K518" s="4">
        <f>SUMPRODUCT(
  (TEXT(Dump!$A$2:$A994,"mmm-yy")=TEXT($Y518,"mmm-yy"))*
  (Dump!$B$2:$B994=$C518)*
  Dump!$D$2:$D994)</f>
        <v>0</v>
      </c>
      <c r="L518" s="4">
        <f>SUMPRODUCT(
  (TEXT(Dump!$A$2:$A994,"mmm-yy")=TEXT($Y518,"mmm-yy"))*
  (Dump!$B$2:$B994=$C518)*
  Dump!$E$2:$E994
)</f>
        <v>0</v>
      </c>
      <c r="M518" s="4">
        <f>SUMPRODUCT(
  (TEXT(Dump!$A$2:$A994,"mmm-yy")=TEXT($Y518,"mmm-yy"))*
  (Dump!$B$2:$B994=$C518)*
  Dump!$P$2:$P994
)</f>
        <v>0</v>
      </c>
      <c r="N518" s="32"/>
      <c r="O518" s="33">
        <f>SUMIFS(Dump!$D:$D,Dump!$B:$B,$C518,Dump!$A:$A,$Y518)</f>
        <v>0</v>
      </c>
      <c r="P518" s="33">
        <f>SUMIFS(Dump!R:R,Dump!B:B,C518,Dump!A:A,Y518)</f>
        <v>0</v>
      </c>
      <c r="Q518" s="34">
        <f t="shared" si="21"/>
        <v>0</v>
      </c>
      <c r="S518" s="4">
        <f>SUMIFS(Dump!E:E,Dump!B:B,C518,Dump!A:A,Y518)</f>
        <v>0</v>
      </c>
      <c r="T518" s="35">
        <f t="shared" si="22"/>
        <v>0</v>
      </c>
      <c r="V518" s="4">
        <f>SUMIFS(Dump!P:P,Dump!B:B,C518,Dump!A:A,Y518)</f>
        <v>0</v>
      </c>
      <c r="W518" s="37">
        <f t="shared" si="23"/>
        <v>0</v>
      </c>
      <c r="X518" s="39"/>
      <c r="Y518" s="54"/>
    </row>
    <row r="519">
      <c r="C519" s="53"/>
      <c r="G519" s="2" t="str">
        <f t="shared" si="27"/>
        <v/>
      </c>
      <c r="I519" s="4">
        <f>SUMIFS(Dump!D:D,Dump!B:B,C519)</f>
        <v>0</v>
      </c>
      <c r="J519" s="5">
        <f>SUMIFS(Dump!AE:AE,Dump!B:B,C519)</f>
        <v>0</v>
      </c>
      <c r="K519" s="4">
        <f>SUMPRODUCT(
  (TEXT(Dump!$A$2:$A994,"mmm-yy")=TEXT($Y519,"mmm-yy"))*
  (Dump!$B$2:$B994=$C519)*
  Dump!$D$2:$D994)</f>
        <v>0</v>
      </c>
      <c r="L519" s="4">
        <f>SUMPRODUCT(
  (TEXT(Dump!$A$2:$A994,"mmm-yy")=TEXT($Y519,"mmm-yy"))*
  (Dump!$B$2:$B994=$C519)*
  Dump!$E$2:$E994
)</f>
        <v>0</v>
      </c>
      <c r="M519" s="4">
        <f>SUMPRODUCT(
  (TEXT(Dump!$A$2:$A994,"mmm-yy")=TEXT($Y519,"mmm-yy"))*
  (Dump!$B$2:$B994=$C519)*
  Dump!$P$2:$P994
)</f>
        <v>0</v>
      </c>
      <c r="N519" s="32"/>
      <c r="O519" s="33">
        <f>SUMIFS(Dump!$D:$D,Dump!$B:$B,$C519,Dump!$A:$A,$Y519)</f>
        <v>0</v>
      </c>
      <c r="P519" s="33">
        <f>SUMIFS(Dump!R:R,Dump!B:B,C519,Dump!A:A,Y519)</f>
        <v>0</v>
      </c>
      <c r="Q519" s="34">
        <f t="shared" si="21"/>
        <v>0</v>
      </c>
      <c r="S519" s="4">
        <f>SUMIFS(Dump!E:E,Dump!B:B,C519,Dump!A:A,Y519)</f>
        <v>0</v>
      </c>
      <c r="T519" s="35">
        <f t="shared" si="22"/>
        <v>0</v>
      </c>
      <c r="V519" s="4">
        <f>SUMIFS(Dump!P:P,Dump!B:B,C519,Dump!A:A,Y519)</f>
        <v>0</v>
      </c>
      <c r="W519" s="37">
        <f t="shared" si="23"/>
        <v>0</v>
      </c>
      <c r="X519" s="39"/>
      <c r="Y519" s="54"/>
    </row>
    <row r="520">
      <c r="C520" s="53"/>
      <c r="G520" s="2" t="str">
        <f t="shared" si="27"/>
        <v/>
      </c>
      <c r="I520" s="4">
        <f>SUMIFS(Dump!D:D,Dump!B:B,C520)</f>
        <v>0</v>
      </c>
      <c r="J520" s="5">
        <f>SUMIFS(Dump!AE:AE,Dump!B:B,C520)</f>
        <v>0</v>
      </c>
      <c r="K520" s="4">
        <f>SUMPRODUCT(
  (TEXT(Dump!$A$2:$A994,"mmm-yy")=TEXT($Y520,"mmm-yy"))*
  (Dump!$B$2:$B994=$C520)*
  Dump!$D$2:$D994)</f>
        <v>0</v>
      </c>
      <c r="L520" s="4">
        <f>SUMPRODUCT(
  (TEXT(Dump!$A$2:$A994,"mmm-yy")=TEXT($Y520,"mmm-yy"))*
  (Dump!$B$2:$B994=$C520)*
  Dump!$E$2:$E994
)</f>
        <v>0</v>
      </c>
      <c r="M520" s="4">
        <f>SUMPRODUCT(
  (TEXT(Dump!$A$2:$A994,"mmm-yy")=TEXT($Y520,"mmm-yy"))*
  (Dump!$B$2:$B994=$C520)*
  Dump!$P$2:$P994
)</f>
        <v>0</v>
      </c>
      <c r="N520" s="32"/>
      <c r="O520" s="33">
        <f>SUMIFS(Dump!$D:$D,Dump!$B:$B,$C520,Dump!$A:$A,$Y520)</f>
        <v>0</v>
      </c>
      <c r="P520" s="33">
        <f>SUMIFS(Dump!R:R,Dump!B:B,C520,Dump!A:A,Y520)</f>
        <v>0</v>
      </c>
      <c r="Q520" s="34">
        <f t="shared" si="21"/>
        <v>0</v>
      </c>
      <c r="S520" s="4">
        <f>SUMIFS(Dump!E:E,Dump!B:B,C520,Dump!A:A,Y520)</f>
        <v>0</v>
      </c>
      <c r="T520" s="35">
        <f t="shared" si="22"/>
        <v>0</v>
      </c>
      <c r="V520" s="4">
        <f>SUMIFS(Dump!P:P,Dump!B:B,C520,Dump!A:A,Y520)</f>
        <v>0</v>
      </c>
      <c r="W520" s="37">
        <f t="shared" si="23"/>
        <v>0</v>
      </c>
      <c r="X520" s="39"/>
      <c r="Y520" s="54"/>
    </row>
    <row r="521">
      <c r="C521" s="53"/>
      <c r="G521" s="2" t="str">
        <f t="shared" si="27"/>
        <v/>
      </c>
      <c r="I521" s="4">
        <f>SUMIFS(Dump!D:D,Dump!B:B,C521)</f>
        <v>0</v>
      </c>
      <c r="J521" s="5">
        <f>SUMIFS(Dump!AE:AE,Dump!B:B,C521)</f>
        <v>0</v>
      </c>
      <c r="K521" s="4">
        <f>SUMPRODUCT(
  (TEXT(Dump!$A$2:$A994,"mmm-yy")=TEXT($Y521,"mmm-yy"))*
  (Dump!$B$2:$B994=$C521)*
  Dump!$D$2:$D994)</f>
        <v>0</v>
      </c>
      <c r="L521" s="4">
        <f>SUMPRODUCT(
  (TEXT(Dump!$A$2:$A994,"mmm-yy")=TEXT($Y521,"mmm-yy"))*
  (Dump!$B$2:$B994=$C521)*
  Dump!$E$2:$E994
)</f>
        <v>0</v>
      </c>
      <c r="M521" s="4">
        <f>SUMPRODUCT(
  (TEXT(Dump!$A$2:$A994,"mmm-yy")=TEXT($Y521,"mmm-yy"))*
  (Dump!$B$2:$B994=$C521)*
  Dump!$P$2:$P994
)</f>
        <v>0</v>
      </c>
      <c r="N521" s="32"/>
      <c r="O521" s="33">
        <f>SUMIFS(Dump!$D:$D,Dump!$B:$B,$C521,Dump!$A:$A,$Y521)</f>
        <v>0</v>
      </c>
      <c r="P521" s="33">
        <f>SUMIFS(Dump!R:R,Dump!B:B,C521,Dump!A:A,Y521)</f>
        <v>0</v>
      </c>
      <c r="Q521" s="34">
        <f t="shared" si="21"/>
        <v>0</v>
      </c>
      <c r="S521" s="4">
        <f>SUMIFS(Dump!E:E,Dump!B:B,C521,Dump!A:A,Y521)</f>
        <v>0</v>
      </c>
      <c r="T521" s="35">
        <f t="shared" si="22"/>
        <v>0</v>
      </c>
      <c r="V521" s="4">
        <f>SUMIFS(Dump!P:P,Dump!B:B,C521,Dump!A:A,Y521)</f>
        <v>0</v>
      </c>
      <c r="W521" s="37">
        <f t="shared" si="23"/>
        <v>0</v>
      </c>
      <c r="X521" s="39"/>
      <c r="Y521" s="54"/>
    </row>
    <row r="522">
      <c r="C522" s="53"/>
      <c r="G522" s="2" t="str">
        <f t="shared" si="27"/>
        <v/>
      </c>
      <c r="I522" s="4">
        <f>SUMIFS(Dump!D:D,Dump!B:B,C522)</f>
        <v>0</v>
      </c>
      <c r="J522" s="5">
        <f>SUMIFS(Dump!AE:AE,Dump!B:B,C522)</f>
        <v>0</v>
      </c>
      <c r="K522" s="4">
        <f>SUMPRODUCT(
  (TEXT(Dump!$A$2:$A994,"mmm-yy")=TEXT($Y522,"mmm-yy"))*
  (Dump!$B$2:$B994=$C522)*
  Dump!$D$2:$D994)</f>
        <v>0</v>
      </c>
      <c r="L522" s="4">
        <f>SUMPRODUCT(
  (TEXT(Dump!$A$2:$A994,"mmm-yy")=TEXT($Y522,"mmm-yy"))*
  (Dump!$B$2:$B994=$C522)*
  Dump!$E$2:$E994
)</f>
        <v>0</v>
      </c>
      <c r="M522" s="4">
        <f>SUMPRODUCT(
  (TEXT(Dump!$A$2:$A994,"mmm-yy")=TEXT($Y522,"mmm-yy"))*
  (Dump!$B$2:$B994=$C522)*
  Dump!$P$2:$P994
)</f>
        <v>0</v>
      </c>
      <c r="N522" s="32"/>
      <c r="O522" s="33">
        <f>SUMIFS(Dump!$D:$D,Dump!$B:$B,$C522,Dump!$A:$A,$Y522)</f>
        <v>0</v>
      </c>
      <c r="P522" s="33">
        <f>SUMIFS(Dump!R:R,Dump!B:B,C522,Dump!A:A,Y522)</f>
        <v>0</v>
      </c>
      <c r="Q522" s="34">
        <f t="shared" si="21"/>
        <v>0</v>
      </c>
      <c r="S522" s="4">
        <f>SUMIFS(Dump!E:E,Dump!B:B,C522,Dump!A:A,Y522)</f>
        <v>0</v>
      </c>
      <c r="T522" s="35">
        <f t="shared" si="22"/>
        <v>0</v>
      </c>
      <c r="V522" s="4">
        <f>SUMIFS(Dump!P:P,Dump!B:B,C522,Dump!A:A,Y522)</f>
        <v>0</v>
      </c>
      <c r="W522" s="37">
        <f t="shared" si="23"/>
        <v>0</v>
      </c>
      <c r="X522" s="39"/>
      <c r="Y522" s="54"/>
    </row>
    <row r="523">
      <c r="C523" s="53"/>
      <c r="G523" s="2" t="str">
        <f t="shared" si="27"/>
        <v/>
      </c>
      <c r="I523" s="4">
        <f>SUMIFS(Dump!D:D,Dump!B:B,C523)</f>
        <v>0</v>
      </c>
      <c r="J523" s="5">
        <f>SUMIFS(Dump!AE:AE,Dump!B:B,C523)</f>
        <v>0</v>
      </c>
      <c r="K523" s="4">
        <f>SUMPRODUCT(
  (TEXT(Dump!$A$2:$A994,"mmm-yy")=TEXT($Y523,"mmm-yy"))*
  (Dump!$B$2:$B994=$C523)*
  Dump!$D$2:$D994)</f>
        <v>0</v>
      </c>
      <c r="L523" s="4">
        <f>SUMPRODUCT(
  (TEXT(Dump!$A$2:$A994,"mmm-yy")=TEXT($Y523,"mmm-yy"))*
  (Dump!$B$2:$B994=$C523)*
  Dump!$E$2:$E994
)</f>
        <v>0</v>
      </c>
      <c r="M523" s="4">
        <f>SUMPRODUCT(
  (TEXT(Dump!$A$2:$A994,"mmm-yy")=TEXT($Y523,"mmm-yy"))*
  (Dump!$B$2:$B994=$C523)*
  Dump!$P$2:$P994
)</f>
        <v>0</v>
      </c>
      <c r="N523" s="32"/>
      <c r="O523" s="33">
        <f>SUMIFS(Dump!$D:$D,Dump!$B:$B,$C523,Dump!$A:$A,$Y523)</f>
        <v>0</v>
      </c>
      <c r="P523" s="33">
        <f>SUMIFS(Dump!R:R,Dump!B:B,C523,Dump!A:A,Y523)</f>
        <v>0</v>
      </c>
      <c r="Q523" s="34">
        <f t="shared" si="21"/>
        <v>0</v>
      </c>
      <c r="S523" s="4">
        <f>SUMIFS(Dump!E:E,Dump!B:B,C523,Dump!A:A,Y523)</f>
        <v>0</v>
      </c>
      <c r="T523" s="35">
        <f t="shared" si="22"/>
        <v>0</v>
      </c>
      <c r="V523" s="4">
        <f>SUMIFS(Dump!P:P,Dump!B:B,C523,Dump!A:A,Y523)</f>
        <v>0</v>
      </c>
      <c r="W523" s="37">
        <f t="shared" si="23"/>
        <v>0</v>
      </c>
      <c r="X523" s="39"/>
      <c r="Y523" s="54"/>
    </row>
    <row r="524">
      <c r="C524" s="53"/>
      <c r="G524" s="2" t="str">
        <f t="shared" si="27"/>
        <v/>
      </c>
      <c r="I524" s="4">
        <f>SUMIFS(Dump!D:D,Dump!B:B,C524)</f>
        <v>0</v>
      </c>
      <c r="J524" s="5">
        <f>SUMIFS(Dump!AE:AE,Dump!B:B,C524)</f>
        <v>0</v>
      </c>
      <c r="K524" s="4">
        <f>SUMPRODUCT(
  (TEXT(Dump!$A$2:$A994,"mmm-yy")=TEXT($Y524,"mmm-yy"))*
  (Dump!$B$2:$B994=$C524)*
  Dump!$D$2:$D994)</f>
        <v>0</v>
      </c>
      <c r="L524" s="4">
        <f>SUMPRODUCT(
  (TEXT(Dump!$A$2:$A994,"mmm-yy")=TEXT($Y524,"mmm-yy"))*
  (Dump!$B$2:$B994=$C524)*
  Dump!$E$2:$E994
)</f>
        <v>0</v>
      </c>
      <c r="M524" s="4">
        <f>SUMPRODUCT(
  (TEXT(Dump!$A$2:$A994,"mmm-yy")=TEXT($Y524,"mmm-yy"))*
  (Dump!$B$2:$B994=$C524)*
  Dump!$P$2:$P994
)</f>
        <v>0</v>
      </c>
      <c r="N524" s="32"/>
      <c r="O524" s="33">
        <f>SUMIFS(Dump!$D:$D,Dump!$B:$B,$C524,Dump!$A:$A,$Y524)</f>
        <v>0</v>
      </c>
      <c r="P524" s="33">
        <f>SUMIFS(Dump!R:R,Dump!B:B,C524,Dump!A:A,Y524)</f>
        <v>0</v>
      </c>
      <c r="Q524" s="34">
        <f t="shared" si="21"/>
        <v>0</v>
      </c>
      <c r="S524" s="4">
        <f>SUMIFS(Dump!E:E,Dump!B:B,C524,Dump!A:A,Y524)</f>
        <v>0</v>
      </c>
      <c r="T524" s="35">
        <f t="shared" si="22"/>
        <v>0</v>
      </c>
      <c r="V524" s="4">
        <f>SUMIFS(Dump!P:P,Dump!B:B,C524,Dump!A:A,Y524)</f>
        <v>0</v>
      </c>
      <c r="W524" s="37">
        <f t="shared" si="23"/>
        <v>0</v>
      </c>
      <c r="X524" s="39"/>
      <c r="Y524" s="54"/>
    </row>
    <row r="525">
      <c r="C525" s="53"/>
      <c r="G525" s="2" t="str">
        <f t="shared" si="27"/>
        <v/>
      </c>
      <c r="I525" s="4">
        <f>SUMIFS(Dump!D:D,Dump!B:B,C525)</f>
        <v>0</v>
      </c>
      <c r="J525" s="5">
        <f>SUMIFS(Dump!AE:AE,Dump!B:B,C525)</f>
        <v>0</v>
      </c>
      <c r="K525" s="4">
        <f>SUMPRODUCT(
  (TEXT(Dump!$A$2:$A994,"mmm-yy")=TEXT($Y525,"mmm-yy"))*
  (Dump!$B$2:$B994=$C525)*
  Dump!$D$2:$D994)</f>
        <v>0</v>
      </c>
      <c r="L525" s="4">
        <f>SUMPRODUCT(
  (TEXT(Dump!$A$2:$A994,"mmm-yy")=TEXT($Y525,"mmm-yy"))*
  (Dump!$B$2:$B994=$C525)*
  Dump!$E$2:$E994
)</f>
        <v>0</v>
      </c>
      <c r="M525" s="4">
        <f>SUMPRODUCT(
  (TEXT(Dump!$A$2:$A994,"mmm-yy")=TEXT($Y525,"mmm-yy"))*
  (Dump!$B$2:$B994=$C525)*
  Dump!$P$2:$P994
)</f>
        <v>0</v>
      </c>
      <c r="N525" s="32"/>
      <c r="O525" s="33">
        <f>SUMIFS(Dump!$D:$D,Dump!$B:$B,$C525,Dump!$A:$A,$Y525)</f>
        <v>0</v>
      </c>
      <c r="P525" s="33">
        <f>SUMIFS(Dump!R:R,Dump!B:B,C525,Dump!A:A,Y525)</f>
        <v>0</v>
      </c>
      <c r="Q525" s="34">
        <f t="shared" si="21"/>
        <v>0</v>
      </c>
      <c r="S525" s="4">
        <f>SUMIFS(Dump!E:E,Dump!B:B,C525,Dump!A:A,Y525)</f>
        <v>0</v>
      </c>
      <c r="T525" s="35">
        <f t="shared" si="22"/>
        <v>0</v>
      </c>
      <c r="V525" s="4">
        <f>SUMIFS(Dump!P:P,Dump!B:B,C525,Dump!A:A,Y525)</f>
        <v>0</v>
      </c>
      <c r="W525" s="37">
        <f t="shared" si="23"/>
        <v>0</v>
      </c>
      <c r="X525" s="39"/>
      <c r="Y525" s="54"/>
    </row>
    <row r="526">
      <c r="C526" s="53"/>
      <c r="G526" s="2" t="str">
        <f t="shared" si="27"/>
        <v/>
      </c>
      <c r="I526" s="4">
        <f>SUMIFS(Dump!D:D,Dump!B:B,C526)</f>
        <v>0</v>
      </c>
      <c r="J526" s="5">
        <f>SUMIFS(Dump!AE:AE,Dump!B:B,C526)</f>
        <v>0</v>
      </c>
      <c r="K526" s="4">
        <f>SUMPRODUCT(
  (TEXT(Dump!$A$2:$A994,"mmm-yy")=TEXT($Y526,"mmm-yy"))*
  (Dump!$B$2:$B994=$C526)*
  Dump!$D$2:$D994)</f>
        <v>0</v>
      </c>
      <c r="L526" s="4">
        <f>SUMPRODUCT(
  (TEXT(Dump!$A$2:$A994,"mmm-yy")=TEXT($Y526,"mmm-yy"))*
  (Dump!$B$2:$B994=$C526)*
  Dump!$E$2:$E994
)</f>
        <v>0</v>
      </c>
      <c r="M526" s="4">
        <f>SUMPRODUCT(
  (TEXT(Dump!$A$2:$A994,"mmm-yy")=TEXT($Y526,"mmm-yy"))*
  (Dump!$B$2:$B994=$C526)*
  Dump!$P$2:$P994
)</f>
        <v>0</v>
      </c>
      <c r="N526" s="32"/>
      <c r="O526" s="33">
        <f>SUMIFS(Dump!$D:$D,Dump!$B:$B,$C526,Dump!$A:$A,$Y526)</f>
        <v>0</v>
      </c>
      <c r="P526" s="33">
        <f>SUMIFS(Dump!R:R,Dump!B:B,C526,Dump!A:A,Y526)</f>
        <v>0</v>
      </c>
      <c r="Q526" s="34">
        <f t="shared" si="21"/>
        <v>0</v>
      </c>
      <c r="S526" s="4">
        <f>SUMIFS(Dump!E:E,Dump!B:B,C526,Dump!A:A,Y526)</f>
        <v>0</v>
      </c>
      <c r="T526" s="35">
        <f t="shared" si="22"/>
        <v>0</v>
      </c>
      <c r="V526" s="4">
        <f>SUMIFS(Dump!P:P,Dump!B:B,C526,Dump!A:A,Y526)</f>
        <v>0</v>
      </c>
      <c r="W526" s="37">
        <f t="shared" si="23"/>
        <v>0</v>
      </c>
      <c r="X526" s="39"/>
      <c r="Y526" s="54"/>
    </row>
    <row r="527">
      <c r="C527" s="53"/>
      <c r="G527" s="2" t="str">
        <f t="shared" si="27"/>
        <v/>
      </c>
      <c r="I527" s="4">
        <f>SUMIFS(Dump!D:D,Dump!B:B,C527)</f>
        <v>0</v>
      </c>
      <c r="J527" s="5">
        <f>SUMIFS(Dump!AE:AE,Dump!B:B,C527)</f>
        <v>0</v>
      </c>
      <c r="K527" s="4">
        <f>SUMPRODUCT(
  (TEXT(Dump!$A$2:$A994,"mmm-yy")=TEXT($Y527,"mmm-yy"))*
  (Dump!$B$2:$B994=$C527)*
  Dump!$D$2:$D994)</f>
        <v>0</v>
      </c>
      <c r="L527" s="4">
        <f>SUMPRODUCT(
  (TEXT(Dump!$A$2:$A994,"mmm-yy")=TEXT($Y527,"mmm-yy"))*
  (Dump!$B$2:$B994=$C527)*
  Dump!$E$2:$E994
)</f>
        <v>0</v>
      </c>
      <c r="M527" s="4">
        <f>SUMPRODUCT(
  (TEXT(Dump!$A$2:$A994,"mmm-yy")=TEXT($Y527,"mmm-yy"))*
  (Dump!$B$2:$B994=$C527)*
  Dump!$P$2:$P994
)</f>
        <v>0</v>
      </c>
      <c r="N527" s="32"/>
      <c r="O527" s="33">
        <f>SUMIFS(Dump!$D:$D,Dump!$B:$B,$C527,Dump!$A:$A,$Y527)</f>
        <v>0</v>
      </c>
      <c r="P527" s="33">
        <f>SUMIFS(Dump!R:R,Dump!B:B,C527,Dump!A:A,Y527)</f>
        <v>0</v>
      </c>
      <c r="Q527" s="34">
        <f t="shared" si="21"/>
        <v>0</v>
      </c>
      <c r="S527" s="4">
        <f>SUMIFS(Dump!E:E,Dump!B:B,C527,Dump!A:A,Y527)</f>
        <v>0</v>
      </c>
      <c r="T527" s="35">
        <f t="shared" si="22"/>
        <v>0</v>
      </c>
      <c r="V527" s="4">
        <f>SUMIFS(Dump!P:P,Dump!B:B,C527,Dump!A:A,Y527)</f>
        <v>0</v>
      </c>
      <c r="W527" s="37">
        <f t="shared" si="23"/>
        <v>0</v>
      </c>
      <c r="X527" s="39"/>
      <c r="Y527" s="54"/>
    </row>
    <row r="528">
      <c r="C528" s="53"/>
      <c r="G528" s="2" t="str">
        <f t="shared" si="27"/>
        <v/>
      </c>
      <c r="I528" s="4">
        <f>SUMIFS(Dump!D:D,Dump!B:B,C528)</f>
        <v>0</v>
      </c>
      <c r="J528" s="5">
        <f>SUMIFS(Dump!AE:AE,Dump!B:B,C528)</f>
        <v>0</v>
      </c>
      <c r="K528" s="4">
        <f>SUMPRODUCT(
  (TEXT(Dump!$A$2:$A994,"mmm-yy")=TEXT($Y528,"mmm-yy"))*
  (Dump!$B$2:$B994=$C528)*
  Dump!$D$2:$D994)</f>
        <v>0</v>
      </c>
      <c r="L528" s="4">
        <f>SUMPRODUCT(
  (TEXT(Dump!$A$2:$A994,"mmm-yy")=TEXT($Y528,"mmm-yy"))*
  (Dump!$B$2:$B994=$C528)*
  Dump!$E$2:$E994
)</f>
        <v>0</v>
      </c>
      <c r="M528" s="4">
        <f>SUMPRODUCT(
  (TEXT(Dump!$A$2:$A994,"mmm-yy")=TEXT($Y528,"mmm-yy"))*
  (Dump!$B$2:$B994=$C528)*
  Dump!$P$2:$P994
)</f>
        <v>0</v>
      </c>
      <c r="N528" s="32"/>
      <c r="O528" s="33">
        <f>SUMIFS(Dump!$D:$D,Dump!$B:$B,$C528,Dump!$A:$A,$Y528)</f>
        <v>0</v>
      </c>
      <c r="P528" s="33">
        <f>SUMIFS(Dump!R:R,Dump!B:B,C528,Dump!A:A,Y528)</f>
        <v>0</v>
      </c>
      <c r="Q528" s="34">
        <f t="shared" si="21"/>
        <v>0</v>
      </c>
      <c r="S528" s="4">
        <f>SUMIFS(Dump!E:E,Dump!B:B,C528,Dump!A:A,Y528)</f>
        <v>0</v>
      </c>
      <c r="T528" s="35">
        <f t="shared" si="22"/>
        <v>0</v>
      </c>
      <c r="V528" s="4">
        <f>SUMIFS(Dump!P:P,Dump!B:B,C528,Dump!A:A,Y528)</f>
        <v>0</v>
      </c>
      <c r="W528" s="37">
        <f t="shared" si="23"/>
        <v>0</v>
      </c>
      <c r="X528" s="39"/>
      <c r="Y528" s="54"/>
    </row>
    <row r="529">
      <c r="C529" s="53"/>
      <c r="G529" s="2" t="str">
        <f t="shared" si="27"/>
        <v/>
      </c>
      <c r="I529" s="4">
        <f>SUMIFS(Dump!D:D,Dump!B:B,C529)</f>
        <v>0</v>
      </c>
      <c r="J529" s="5">
        <f>SUMIFS(Dump!AE:AE,Dump!B:B,C529)</f>
        <v>0</v>
      </c>
      <c r="K529" s="4">
        <f>SUMPRODUCT(
  (TEXT(Dump!$A$2:$A994,"mmm-yy")=TEXT($Y529,"mmm-yy"))*
  (Dump!$B$2:$B994=$C529)*
  Dump!$D$2:$D994)</f>
        <v>0</v>
      </c>
      <c r="L529" s="4">
        <f>SUMPRODUCT(
  (TEXT(Dump!$A$2:$A994,"mmm-yy")=TEXT($Y529,"mmm-yy"))*
  (Dump!$B$2:$B994=$C529)*
  Dump!$E$2:$E994
)</f>
        <v>0</v>
      </c>
      <c r="M529" s="4">
        <f>SUMPRODUCT(
  (TEXT(Dump!$A$2:$A994,"mmm-yy")=TEXT($Y529,"mmm-yy"))*
  (Dump!$B$2:$B994=$C529)*
  Dump!$P$2:$P994
)</f>
        <v>0</v>
      </c>
      <c r="N529" s="32"/>
      <c r="O529" s="33">
        <f>SUMIFS(Dump!$D:$D,Dump!$B:$B,$C529,Dump!$A:$A,$Y529)</f>
        <v>0</v>
      </c>
      <c r="P529" s="33">
        <f>SUMIFS(Dump!R:R,Dump!B:B,C529,Dump!A:A,Y529)</f>
        <v>0</v>
      </c>
      <c r="Q529" s="34">
        <f t="shared" si="21"/>
        <v>0</v>
      </c>
      <c r="S529" s="4">
        <f>SUMIFS(Dump!E:E,Dump!B:B,C529,Dump!A:A,Y529)</f>
        <v>0</v>
      </c>
      <c r="T529" s="35">
        <f t="shared" si="22"/>
        <v>0</v>
      </c>
      <c r="V529" s="4">
        <f>SUMIFS(Dump!P:P,Dump!B:B,C529,Dump!A:A,Y529)</f>
        <v>0</v>
      </c>
      <c r="W529" s="37">
        <f t="shared" si="23"/>
        <v>0</v>
      </c>
      <c r="X529" s="39"/>
      <c r="Y529" s="54"/>
    </row>
    <row r="530">
      <c r="C530" s="53"/>
      <c r="G530" s="2" t="str">
        <f t="shared" si="27"/>
        <v/>
      </c>
      <c r="I530" s="4">
        <f>SUMIFS(Dump!D:D,Dump!B:B,C530)</f>
        <v>0</v>
      </c>
      <c r="J530" s="5">
        <f>SUMIFS(Dump!AE:AE,Dump!B:B,C530)</f>
        <v>0</v>
      </c>
      <c r="K530" s="4">
        <f>SUMPRODUCT(
  (TEXT(Dump!$A$2:$A994,"mmm-yy")=TEXT($Y530,"mmm-yy"))*
  (Dump!$B$2:$B994=$C530)*
  Dump!$D$2:$D994)</f>
        <v>0</v>
      </c>
      <c r="L530" s="4">
        <f>SUMPRODUCT(
  (TEXT(Dump!$A$2:$A994,"mmm-yy")=TEXT($Y530,"mmm-yy"))*
  (Dump!$B$2:$B994=$C530)*
  Dump!$E$2:$E994
)</f>
        <v>0</v>
      </c>
      <c r="M530" s="4">
        <f>SUMPRODUCT(
  (TEXT(Dump!$A$2:$A994,"mmm-yy")=TEXT($Y530,"mmm-yy"))*
  (Dump!$B$2:$B994=$C530)*
  Dump!$P$2:$P994
)</f>
        <v>0</v>
      </c>
      <c r="N530" s="32"/>
      <c r="O530" s="33">
        <f>SUMIFS(Dump!$D:$D,Dump!$B:$B,$C530,Dump!$A:$A,$Y530)</f>
        <v>0</v>
      </c>
      <c r="P530" s="33">
        <f>SUMIFS(Dump!R:R,Dump!B:B,C530,Dump!A:A,Y530)</f>
        <v>0</v>
      </c>
      <c r="Q530" s="34">
        <f t="shared" si="21"/>
        <v>0</v>
      </c>
      <c r="S530" s="4">
        <f>SUMIFS(Dump!E:E,Dump!B:B,C530,Dump!A:A,Y530)</f>
        <v>0</v>
      </c>
      <c r="T530" s="35">
        <f t="shared" si="22"/>
        <v>0</v>
      </c>
      <c r="V530" s="4">
        <f>SUMIFS(Dump!P:P,Dump!B:B,C530,Dump!A:A,Y530)</f>
        <v>0</v>
      </c>
      <c r="W530" s="37">
        <f t="shared" si="23"/>
        <v>0</v>
      </c>
      <c r="X530" s="39"/>
      <c r="Y530" s="54"/>
    </row>
    <row r="531">
      <c r="C531" s="53"/>
      <c r="G531" s="2" t="str">
        <f t="shared" si="27"/>
        <v/>
      </c>
      <c r="I531" s="4">
        <f>SUMIFS(Dump!D:D,Dump!B:B,C531)</f>
        <v>0</v>
      </c>
      <c r="J531" s="5">
        <f>SUMIFS(Dump!AE:AE,Dump!B:B,C531)</f>
        <v>0</v>
      </c>
      <c r="K531" s="4">
        <f>SUMPRODUCT(
  (TEXT(Dump!$A$2:$A994,"mmm-yy")=TEXT($Y531,"mmm-yy"))*
  (Dump!$B$2:$B994=$C531)*
  Dump!$D$2:$D994)</f>
        <v>0</v>
      </c>
      <c r="L531" s="4">
        <f>SUMPRODUCT(
  (TEXT(Dump!$A$2:$A994,"mmm-yy")=TEXT($Y531,"mmm-yy"))*
  (Dump!$B$2:$B994=$C531)*
  Dump!$E$2:$E994
)</f>
        <v>0</v>
      </c>
      <c r="M531" s="4">
        <f>SUMPRODUCT(
  (TEXT(Dump!$A$2:$A994,"mmm-yy")=TEXT($Y531,"mmm-yy"))*
  (Dump!$B$2:$B994=$C531)*
  Dump!$P$2:$P994
)</f>
        <v>0</v>
      </c>
      <c r="N531" s="32"/>
      <c r="O531" s="33">
        <f>SUMIFS(Dump!$D:$D,Dump!$B:$B,$C531,Dump!$A:$A,$Y531)</f>
        <v>0</v>
      </c>
      <c r="P531" s="33">
        <f>SUMIFS(Dump!R:R,Dump!B:B,C531,Dump!A:A,Y531)</f>
        <v>0</v>
      </c>
      <c r="Q531" s="34">
        <f t="shared" si="21"/>
        <v>0</v>
      </c>
      <c r="S531" s="4">
        <f>SUMIFS(Dump!E:E,Dump!B:B,C531,Dump!A:A,Y531)</f>
        <v>0</v>
      </c>
      <c r="T531" s="35">
        <f t="shared" si="22"/>
        <v>0</v>
      </c>
      <c r="V531" s="4">
        <f>SUMIFS(Dump!P:P,Dump!B:B,C531,Dump!A:A,Y531)</f>
        <v>0</v>
      </c>
      <c r="W531" s="37">
        <f t="shared" si="23"/>
        <v>0</v>
      </c>
      <c r="X531" s="39"/>
      <c r="Y531" s="54"/>
    </row>
    <row r="532">
      <c r="C532" s="53"/>
      <c r="G532" s="2" t="str">
        <f t="shared" si="27"/>
        <v/>
      </c>
      <c r="I532" s="4">
        <f>SUMIFS(Dump!D:D,Dump!B:B,C532)</f>
        <v>0</v>
      </c>
      <c r="J532" s="5">
        <f>SUMIFS(Dump!AE:AE,Dump!B:B,C532)</f>
        <v>0</v>
      </c>
      <c r="K532" s="4">
        <f>SUMPRODUCT(
  (TEXT(Dump!$A$2:$A994,"mmm-yy")=TEXT($Y532,"mmm-yy"))*
  (Dump!$B$2:$B994=$C532)*
  Dump!$D$2:$D994)</f>
        <v>0</v>
      </c>
      <c r="L532" s="4">
        <f>SUMPRODUCT(
  (TEXT(Dump!$A$2:$A994,"mmm-yy")=TEXT($Y532,"mmm-yy"))*
  (Dump!$B$2:$B994=$C532)*
  Dump!$E$2:$E994
)</f>
        <v>0</v>
      </c>
      <c r="M532" s="4">
        <f>SUMPRODUCT(
  (TEXT(Dump!$A$2:$A994,"mmm-yy")=TEXT($Y532,"mmm-yy"))*
  (Dump!$B$2:$B994=$C532)*
  Dump!$P$2:$P994
)</f>
        <v>0</v>
      </c>
      <c r="N532" s="32"/>
      <c r="O532" s="33">
        <f>SUMIFS(Dump!$D:$D,Dump!$B:$B,$C532,Dump!$A:$A,$Y532)</f>
        <v>0</v>
      </c>
      <c r="P532" s="33">
        <f>SUMIFS(Dump!R:R,Dump!B:B,C532,Dump!A:A,Y532)</f>
        <v>0</v>
      </c>
      <c r="Q532" s="34">
        <f t="shared" si="21"/>
        <v>0</v>
      </c>
      <c r="S532" s="4">
        <f>SUMIFS(Dump!E:E,Dump!B:B,C532,Dump!A:A,Y532)</f>
        <v>0</v>
      </c>
      <c r="T532" s="35">
        <f t="shared" si="22"/>
        <v>0</v>
      </c>
      <c r="V532" s="4">
        <f>SUMIFS(Dump!P:P,Dump!B:B,C532,Dump!A:A,Y532)</f>
        <v>0</v>
      </c>
      <c r="W532" s="37">
        <f t="shared" si="23"/>
        <v>0</v>
      </c>
      <c r="X532" s="39"/>
      <c r="Y532" s="54"/>
    </row>
    <row r="533">
      <c r="C533" s="53"/>
      <c r="G533" s="2" t="str">
        <f t="shared" si="27"/>
        <v/>
      </c>
      <c r="I533" s="4">
        <f>SUMIFS(Dump!D:D,Dump!B:B,C533)</f>
        <v>0</v>
      </c>
      <c r="J533" s="5">
        <f>SUMIFS(Dump!AE:AE,Dump!B:B,C533)</f>
        <v>0</v>
      </c>
      <c r="K533" s="4">
        <f>SUMPRODUCT(
  (TEXT(Dump!$A$2:$A994,"mmm-yy")=TEXT($Y533,"mmm-yy"))*
  (Dump!$B$2:$B994=$C533)*
  Dump!$D$2:$D994)</f>
        <v>0</v>
      </c>
      <c r="L533" s="4">
        <f>SUMPRODUCT(
  (TEXT(Dump!$A$2:$A994,"mmm-yy")=TEXT($Y533,"mmm-yy"))*
  (Dump!$B$2:$B994=$C533)*
  Dump!$E$2:$E994
)</f>
        <v>0</v>
      </c>
      <c r="M533" s="4">
        <f>SUMPRODUCT(
  (TEXT(Dump!$A$2:$A994,"mmm-yy")=TEXT($Y533,"mmm-yy"))*
  (Dump!$B$2:$B994=$C533)*
  Dump!$P$2:$P994
)</f>
        <v>0</v>
      </c>
      <c r="N533" s="32"/>
      <c r="O533" s="33">
        <f>SUMIFS(Dump!$D:$D,Dump!$B:$B,$C533,Dump!$A:$A,$Y533)</f>
        <v>0</v>
      </c>
      <c r="P533" s="33">
        <f>SUMIFS(Dump!R:R,Dump!B:B,C533,Dump!A:A,Y533)</f>
        <v>0</v>
      </c>
      <c r="Q533" s="34">
        <f t="shared" si="21"/>
        <v>0</v>
      </c>
      <c r="S533" s="4">
        <f>SUMIFS(Dump!E:E,Dump!B:B,C533,Dump!A:A,Y533)</f>
        <v>0</v>
      </c>
      <c r="T533" s="35">
        <f t="shared" si="22"/>
        <v>0</v>
      </c>
      <c r="V533" s="4">
        <f>SUMIFS(Dump!P:P,Dump!B:B,C533,Dump!A:A,Y533)</f>
        <v>0</v>
      </c>
      <c r="W533" s="37">
        <f t="shared" si="23"/>
        <v>0</v>
      </c>
      <c r="X533" s="39"/>
      <c r="Y533" s="54"/>
    </row>
    <row r="534">
      <c r="C534" s="53"/>
      <c r="G534" s="2" t="str">
        <f t="shared" si="27"/>
        <v/>
      </c>
      <c r="I534" s="4">
        <f>SUMIFS(Dump!D:D,Dump!B:B,C534)</f>
        <v>0</v>
      </c>
      <c r="J534" s="5">
        <f>SUMIFS(Dump!AE:AE,Dump!B:B,C534)</f>
        <v>0</v>
      </c>
      <c r="K534" s="4">
        <f>SUMPRODUCT(
  (TEXT(Dump!$A$2:$A994,"mmm-yy")=TEXT($Y534,"mmm-yy"))*
  (Dump!$B$2:$B994=$C534)*
  Dump!$D$2:$D994)</f>
        <v>0</v>
      </c>
      <c r="L534" s="4">
        <f>SUMPRODUCT(
  (TEXT(Dump!$A$2:$A994,"mmm-yy")=TEXT($Y534,"mmm-yy"))*
  (Dump!$B$2:$B994=$C534)*
  Dump!$E$2:$E994
)</f>
        <v>0</v>
      </c>
      <c r="M534" s="4">
        <f>SUMPRODUCT(
  (TEXT(Dump!$A$2:$A994,"mmm-yy")=TEXT($Y534,"mmm-yy"))*
  (Dump!$B$2:$B994=$C534)*
  Dump!$P$2:$P994
)</f>
        <v>0</v>
      </c>
      <c r="N534" s="32"/>
      <c r="O534" s="33">
        <f>SUMIFS(Dump!$D:$D,Dump!$B:$B,$C534,Dump!$A:$A,$Y534)</f>
        <v>0</v>
      </c>
      <c r="P534" s="33">
        <f>SUMIFS(Dump!R:R,Dump!B:B,C534,Dump!A:A,Y534)</f>
        <v>0</v>
      </c>
      <c r="Q534" s="34">
        <f t="shared" si="21"/>
        <v>0</v>
      </c>
      <c r="S534" s="4">
        <f>SUMIFS(Dump!E:E,Dump!B:B,C534,Dump!A:A,Y534)</f>
        <v>0</v>
      </c>
      <c r="T534" s="35">
        <f t="shared" si="22"/>
        <v>0</v>
      </c>
      <c r="V534" s="4">
        <f>SUMIFS(Dump!P:P,Dump!B:B,C534,Dump!A:A,Y534)</f>
        <v>0</v>
      </c>
      <c r="W534" s="37">
        <f t="shared" si="23"/>
        <v>0</v>
      </c>
      <c r="X534" s="39"/>
      <c r="Y534" s="54"/>
    </row>
    <row r="535">
      <c r="C535" s="53"/>
      <c r="G535" s="2" t="str">
        <f t="shared" si="27"/>
        <v/>
      </c>
      <c r="I535" s="4">
        <f>SUMIFS(Dump!D:D,Dump!B:B,C535)</f>
        <v>0</v>
      </c>
      <c r="J535" s="5">
        <f>SUMIFS(Dump!AE:AE,Dump!B:B,C535)</f>
        <v>0</v>
      </c>
      <c r="K535" s="4">
        <f>SUMPRODUCT(
  (TEXT(Dump!$A$2:$A994,"mmm-yy")=TEXT($Y535,"mmm-yy"))*
  (Dump!$B$2:$B994=$C535)*
  Dump!$D$2:$D994)</f>
        <v>0</v>
      </c>
      <c r="L535" s="4">
        <f>SUMPRODUCT(
  (TEXT(Dump!$A$2:$A994,"mmm-yy")=TEXT($Y535,"mmm-yy"))*
  (Dump!$B$2:$B994=$C535)*
  Dump!$E$2:$E994
)</f>
        <v>0</v>
      </c>
      <c r="M535" s="4">
        <f>SUMPRODUCT(
  (TEXT(Dump!$A$2:$A994,"mmm-yy")=TEXT($Y535,"mmm-yy"))*
  (Dump!$B$2:$B994=$C535)*
  Dump!$P$2:$P994
)</f>
        <v>0</v>
      </c>
      <c r="N535" s="32"/>
      <c r="O535" s="33">
        <f>SUMIFS(Dump!$D:$D,Dump!$B:$B,$C535,Dump!$A:$A,$Y535)</f>
        <v>0</v>
      </c>
      <c r="P535" s="33">
        <f>SUMIFS(Dump!R:R,Dump!B:B,C535,Dump!A:A,Y535)</f>
        <v>0</v>
      </c>
      <c r="Q535" s="34">
        <f t="shared" si="21"/>
        <v>0</v>
      </c>
      <c r="S535" s="4">
        <f>SUMIFS(Dump!E:E,Dump!B:B,C535,Dump!A:A,Y535)</f>
        <v>0</v>
      </c>
      <c r="T535" s="35">
        <f t="shared" si="22"/>
        <v>0</v>
      </c>
      <c r="V535" s="4">
        <f>SUMIFS(Dump!P:P,Dump!B:B,C535,Dump!A:A,Y535)</f>
        <v>0</v>
      </c>
      <c r="W535" s="37">
        <f t="shared" si="23"/>
        <v>0</v>
      </c>
      <c r="X535" s="39"/>
      <c r="Y535" s="54"/>
    </row>
    <row r="536">
      <c r="C536" s="53"/>
      <c r="G536" s="2" t="str">
        <f t="shared" si="27"/>
        <v/>
      </c>
      <c r="I536" s="4">
        <f>SUMIFS(Dump!D:D,Dump!B:B,C536)</f>
        <v>0</v>
      </c>
      <c r="J536" s="5">
        <f>SUMIFS(Dump!AE:AE,Dump!B:B,C536)</f>
        <v>0</v>
      </c>
      <c r="K536" s="4">
        <f>SUMPRODUCT(
  (TEXT(Dump!$A$2:$A994,"mmm-yy")=TEXT($Y536,"mmm-yy"))*
  (Dump!$B$2:$B994=$C536)*
  Dump!$D$2:$D994)</f>
        <v>0</v>
      </c>
      <c r="L536" s="4">
        <f>SUMPRODUCT(
  (TEXT(Dump!$A$2:$A994,"mmm-yy")=TEXT($Y536,"mmm-yy"))*
  (Dump!$B$2:$B994=$C536)*
  Dump!$E$2:$E994
)</f>
        <v>0</v>
      </c>
      <c r="M536" s="4">
        <f>SUMPRODUCT(
  (TEXT(Dump!$A$2:$A994,"mmm-yy")=TEXT($Y536,"mmm-yy"))*
  (Dump!$B$2:$B994=$C536)*
  Dump!$P$2:$P994
)</f>
        <v>0</v>
      </c>
      <c r="N536" s="32"/>
      <c r="O536" s="33">
        <f>SUMIFS(Dump!$D:$D,Dump!$B:$B,$C536,Dump!$A:$A,$Y536)</f>
        <v>0</v>
      </c>
      <c r="P536" s="33">
        <f>SUMIFS(Dump!R:R,Dump!B:B,C536,Dump!A:A,Y536)</f>
        <v>0</v>
      </c>
      <c r="Q536" s="34">
        <f t="shared" si="21"/>
        <v>0</v>
      </c>
      <c r="S536" s="4">
        <f>SUMIFS(Dump!E:E,Dump!B:B,C536,Dump!A:A,Y536)</f>
        <v>0</v>
      </c>
      <c r="T536" s="35">
        <f t="shared" si="22"/>
        <v>0</v>
      </c>
      <c r="V536" s="4">
        <f>SUMIFS(Dump!P:P,Dump!B:B,C536,Dump!A:A,Y536)</f>
        <v>0</v>
      </c>
      <c r="W536" s="37">
        <f t="shared" si="23"/>
        <v>0</v>
      </c>
      <c r="X536" s="39"/>
      <c r="Y536" s="54"/>
    </row>
    <row r="537">
      <c r="C537" s="53"/>
      <c r="G537" s="2" t="str">
        <f t="shared" si="27"/>
        <v/>
      </c>
      <c r="I537" s="4">
        <f>SUMIFS(Dump!D:D,Dump!B:B,C537)</f>
        <v>0</v>
      </c>
      <c r="J537" s="5">
        <f>SUMIFS(Dump!AE:AE,Dump!B:B,C537)</f>
        <v>0</v>
      </c>
      <c r="K537" s="4">
        <f>SUMPRODUCT(
  (TEXT(Dump!$A$2:$A994,"mmm-yy")=TEXT($Y537,"mmm-yy"))*
  (Dump!$B$2:$B994=$C537)*
  Dump!$D$2:$D994)</f>
        <v>0</v>
      </c>
      <c r="L537" s="4">
        <f>SUMPRODUCT(
  (TEXT(Dump!$A$2:$A994,"mmm-yy")=TEXT($Y537,"mmm-yy"))*
  (Dump!$B$2:$B994=$C537)*
  Dump!$E$2:$E994
)</f>
        <v>0</v>
      </c>
      <c r="M537" s="4">
        <f>SUMPRODUCT(
  (TEXT(Dump!$A$2:$A994,"mmm-yy")=TEXT($Y537,"mmm-yy"))*
  (Dump!$B$2:$B994=$C537)*
  Dump!$P$2:$P994
)</f>
        <v>0</v>
      </c>
      <c r="N537" s="32"/>
      <c r="O537" s="33">
        <f>SUMIFS(Dump!$D:$D,Dump!$B:$B,$C537,Dump!$A:$A,$Y537)</f>
        <v>0</v>
      </c>
      <c r="P537" s="33">
        <f>SUMIFS(Dump!R:R,Dump!B:B,C537,Dump!A:A,Y537)</f>
        <v>0</v>
      </c>
      <c r="Q537" s="34">
        <f t="shared" si="21"/>
        <v>0</v>
      </c>
      <c r="S537" s="4">
        <f>SUMIFS(Dump!E:E,Dump!B:B,C537,Dump!A:A,Y537)</f>
        <v>0</v>
      </c>
      <c r="T537" s="35">
        <f t="shared" si="22"/>
        <v>0</v>
      </c>
      <c r="V537" s="4">
        <f>SUMIFS(Dump!P:P,Dump!B:B,C537,Dump!A:A,Y537)</f>
        <v>0</v>
      </c>
      <c r="W537" s="37">
        <f t="shared" si="23"/>
        <v>0</v>
      </c>
      <c r="X537" s="39"/>
      <c r="Y537" s="54"/>
    </row>
    <row r="538">
      <c r="C538" s="53"/>
      <c r="G538" s="2" t="str">
        <f t="shared" si="27"/>
        <v/>
      </c>
      <c r="I538" s="4">
        <f>SUMIFS(Dump!D:D,Dump!B:B,C538)</f>
        <v>0</v>
      </c>
      <c r="J538" s="5">
        <f>SUMIFS(Dump!AE:AE,Dump!B:B,C538)</f>
        <v>0</v>
      </c>
      <c r="K538" s="4">
        <f>SUMPRODUCT(
  (TEXT(Dump!$A$2:$A994,"mmm-yy")=TEXT($Y538,"mmm-yy"))*
  (Dump!$B$2:$B994=$C538)*
  Dump!$D$2:$D994)</f>
        <v>0</v>
      </c>
      <c r="L538" s="4">
        <f>SUMPRODUCT(
  (TEXT(Dump!$A$2:$A994,"mmm-yy")=TEXT($Y538,"mmm-yy"))*
  (Dump!$B$2:$B994=$C538)*
  Dump!$E$2:$E994
)</f>
        <v>0</v>
      </c>
      <c r="M538" s="4">
        <f>SUMPRODUCT(
  (TEXT(Dump!$A$2:$A994,"mmm-yy")=TEXT($Y538,"mmm-yy"))*
  (Dump!$B$2:$B994=$C538)*
  Dump!$P$2:$P994
)</f>
        <v>0</v>
      </c>
      <c r="N538" s="32"/>
      <c r="O538" s="33">
        <f>SUMIFS(Dump!$D:$D,Dump!$B:$B,$C538,Dump!$A:$A,$Y538)</f>
        <v>0</v>
      </c>
      <c r="P538" s="33">
        <f>SUMIFS(Dump!R:R,Dump!B:B,C538,Dump!A:A,Y538)</f>
        <v>0</v>
      </c>
      <c r="Q538" s="34">
        <f t="shared" si="21"/>
        <v>0</v>
      </c>
      <c r="S538" s="4">
        <f>SUMIFS(Dump!E:E,Dump!B:B,C538,Dump!A:A,Y538)</f>
        <v>0</v>
      </c>
      <c r="T538" s="35">
        <f t="shared" si="22"/>
        <v>0</v>
      </c>
      <c r="V538" s="4">
        <f>SUMIFS(Dump!P:P,Dump!B:B,C538,Dump!A:A,Y538)</f>
        <v>0</v>
      </c>
      <c r="W538" s="37">
        <f t="shared" si="23"/>
        <v>0</v>
      </c>
      <c r="X538" s="39"/>
      <c r="Y538" s="54"/>
    </row>
    <row r="539">
      <c r="C539" s="53"/>
      <c r="G539" s="2" t="str">
        <f t="shared" si="27"/>
        <v/>
      </c>
      <c r="I539" s="4">
        <f>SUMIFS(Dump!D:D,Dump!B:B,C539)</f>
        <v>0</v>
      </c>
      <c r="J539" s="5">
        <f>SUMIFS(Dump!AE:AE,Dump!B:B,C539)</f>
        <v>0</v>
      </c>
      <c r="K539" s="4">
        <f>SUMPRODUCT(
  (TEXT(Dump!$A$2:$A994,"mmm-yy")=TEXT($Y539,"mmm-yy"))*
  (Dump!$B$2:$B994=$C539)*
  Dump!$D$2:$D994)</f>
        <v>0</v>
      </c>
      <c r="L539" s="4">
        <f>SUMPRODUCT(
  (TEXT(Dump!$A$2:$A994,"mmm-yy")=TEXT($Y539,"mmm-yy"))*
  (Dump!$B$2:$B994=$C539)*
  Dump!$E$2:$E994
)</f>
        <v>0</v>
      </c>
      <c r="M539" s="4">
        <f>SUMPRODUCT(
  (TEXT(Dump!$A$2:$A994,"mmm-yy")=TEXT($Y539,"mmm-yy"))*
  (Dump!$B$2:$B994=$C539)*
  Dump!$P$2:$P994
)</f>
        <v>0</v>
      </c>
      <c r="N539" s="32"/>
      <c r="O539" s="33">
        <f>SUMIFS(Dump!$D:$D,Dump!$B:$B,$C539,Dump!$A:$A,$Y539)</f>
        <v>0</v>
      </c>
      <c r="P539" s="33">
        <f>SUMIFS(Dump!R:R,Dump!B:B,C539,Dump!A:A,Y539)</f>
        <v>0</v>
      </c>
      <c r="Q539" s="34">
        <f t="shared" si="21"/>
        <v>0</v>
      </c>
      <c r="S539" s="4">
        <f>SUMIFS(Dump!E:E,Dump!B:B,C539,Dump!A:A,Y539)</f>
        <v>0</v>
      </c>
      <c r="T539" s="35">
        <f t="shared" si="22"/>
        <v>0</v>
      </c>
      <c r="V539" s="4">
        <f>SUMIFS(Dump!P:P,Dump!B:B,C539,Dump!A:A,Y539)</f>
        <v>0</v>
      </c>
      <c r="W539" s="37">
        <f t="shared" si="23"/>
        <v>0</v>
      </c>
      <c r="X539" s="39"/>
      <c r="Y539" s="54"/>
    </row>
    <row r="540">
      <c r="C540" s="53"/>
      <c r="G540" s="2" t="str">
        <f t="shared" si="27"/>
        <v/>
      </c>
      <c r="I540" s="4">
        <f>SUMIFS(Dump!D:D,Dump!B:B,C540)</f>
        <v>0</v>
      </c>
      <c r="J540" s="5">
        <f>SUMIFS(Dump!AE:AE,Dump!B:B,C540)</f>
        <v>0</v>
      </c>
      <c r="K540" s="4">
        <f>SUMPRODUCT(
  (TEXT(Dump!$A$2:$A994,"mmm-yy")=TEXT($Y540,"mmm-yy"))*
  (Dump!$B$2:$B994=$C540)*
  Dump!$D$2:$D994)</f>
        <v>0</v>
      </c>
      <c r="L540" s="4">
        <f>SUMPRODUCT(
  (TEXT(Dump!$A$2:$A994,"mmm-yy")=TEXT($Y540,"mmm-yy"))*
  (Dump!$B$2:$B994=$C540)*
  Dump!$E$2:$E994
)</f>
        <v>0</v>
      </c>
      <c r="M540" s="4">
        <f>SUMPRODUCT(
  (TEXT(Dump!$A$2:$A994,"mmm-yy")=TEXT($Y540,"mmm-yy"))*
  (Dump!$B$2:$B994=$C540)*
  Dump!$P$2:$P994
)</f>
        <v>0</v>
      </c>
      <c r="N540" s="32"/>
      <c r="O540" s="33">
        <f>SUMIFS(Dump!$D:$D,Dump!$B:$B,$C540,Dump!$A:$A,$Y540)</f>
        <v>0</v>
      </c>
      <c r="P540" s="33">
        <f>SUMIFS(Dump!R:R,Dump!B:B,C540,Dump!A:A,Y540)</f>
        <v>0</v>
      </c>
      <c r="Q540" s="34">
        <f t="shared" si="21"/>
        <v>0</v>
      </c>
      <c r="S540" s="4">
        <f>SUMIFS(Dump!E:E,Dump!B:B,C540,Dump!A:A,Y540)</f>
        <v>0</v>
      </c>
      <c r="T540" s="35">
        <f t="shared" si="22"/>
        <v>0</v>
      </c>
      <c r="V540" s="4">
        <f>SUMIFS(Dump!P:P,Dump!B:B,C540,Dump!A:A,Y540)</f>
        <v>0</v>
      </c>
      <c r="W540" s="37">
        <f t="shared" si="23"/>
        <v>0</v>
      </c>
      <c r="X540" s="39"/>
      <c r="Y540" s="54"/>
    </row>
    <row r="541">
      <c r="C541" s="53"/>
      <c r="G541" s="2" t="str">
        <f t="shared" si="27"/>
        <v/>
      </c>
      <c r="I541" s="4">
        <f>SUMIFS(Dump!D:D,Dump!B:B,C541)</f>
        <v>0</v>
      </c>
      <c r="J541" s="5">
        <f>SUMIFS(Dump!AE:AE,Dump!B:B,C541)</f>
        <v>0</v>
      </c>
      <c r="K541" s="4">
        <f>SUMPRODUCT(
  (TEXT(Dump!$A$2:$A994,"mmm-yy")=TEXT($Y541,"mmm-yy"))*
  (Dump!$B$2:$B994=$C541)*
  Dump!$D$2:$D994)</f>
        <v>0</v>
      </c>
      <c r="L541" s="4">
        <f>SUMPRODUCT(
  (TEXT(Dump!$A$2:$A994,"mmm-yy")=TEXT($Y541,"mmm-yy"))*
  (Dump!$B$2:$B994=$C541)*
  Dump!$E$2:$E994
)</f>
        <v>0</v>
      </c>
      <c r="M541" s="4">
        <f>SUMPRODUCT(
  (TEXT(Dump!$A$2:$A994,"mmm-yy")=TEXT($Y541,"mmm-yy"))*
  (Dump!$B$2:$B994=$C541)*
  Dump!$P$2:$P994
)</f>
        <v>0</v>
      </c>
      <c r="N541" s="32"/>
      <c r="O541" s="33">
        <f>SUMIFS(Dump!$D:$D,Dump!$B:$B,$C541,Dump!$A:$A,$Y541)</f>
        <v>0</v>
      </c>
      <c r="P541" s="33">
        <f>SUMIFS(Dump!R:R,Dump!B:B,C541,Dump!A:A,Y541)</f>
        <v>0</v>
      </c>
      <c r="Q541" s="34">
        <f t="shared" si="21"/>
        <v>0</v>
      </c>
      <c r="S541" s="4">
        <f>SUMIFS(Dump!E:E,Dump!B:B,C541,Dump!A:A,Y541)</f>
        <v>0</v>
      </c>
      <c r="T541" s="35">
        <f t="shared" si="22"/>
        <v>0</v>
      </c>
      <c r="V541" s="4">
        <f>SUMIFS(Dump!P:P,Dump!B:B,C541,Dump!A:A,Y541)</f>
        <v>0</v>
      </c>
      <c r="W541" s="37">
        <f t="shared" si="23"/>
        <v>0</v>
      </c>
      <c r="X541" s="39"/>
      <c r="Y541" s="54"/>
    </row>
    <row r="542">
      <c r="C542" s="53"/>
      <c r="G542" s="2" t="str">
        <f t="shared" si="27"/>
        <v/>
      </c>
      <c r="I542" s="4">
        <f>SUMIFS(Dump!D:D,Dump!B:B,C542)</f>
        <v>0</v>
      </c>
      <c r="J542" s="5">
        <f>SUMIFS(Dump!AE:AE,Dump!B:B,C542)</f>
        <v>0</v>
      </c>
      <c r="K542" s="4">
        <f>SUMPRODUCT(
  (TEXT(Dump!$A$2:$A994,"mmm-yy")=TEXT($Y542,"mmm-yy"))*
  (Dump!$B$2:$B994=$C542)*
  Dump!$D$2:$D994)</f>
        <v>0</v>
      </c>
      <c r="L542" s="4">
        <f>SUMPRODUCT(
  (TEXT(Dump!$A$2:$A994,"mmm-yy")=TEXT($Y542,"mmm-yy"))*
  (Dump!$B$2:$B994=$C542)*
  Dump!$E$2:$E994
)</f>
        <v>0</v>
      </c>
      <c r="M542" s="4">
        <f>SUMPRODUCT(
  (TEXT(Dump!$A$2:$A994,"mmm-yy")=TEXT($Y542,"mmm-yy"))*
  (Dump!$B$2:$B994=$C542)*
  Dump!$P$2:$P994
)</f>
        <v>0</v>
      </c>
      <c r="N542" s="32"/>
      <c r="O542" s="33">
        <f>SUMIFS(Dump!$D:$D,Dump!$B:$B,$C542,Dump!$A:$A,$Y542)</f>
        <v>0</v>
      </c>
      <c r="P542" s="33">
        <f>SUMIFS(Dump!R:R,Dump!B:B,C542,Dump!A:A,Y542)</f>
        <v>0</v>
      </c>
      <c r="Q542" s="34">
        <f t="shared" si="21"/>
        <v>0</v>
      </c>
      <c r="S542" s="4">
        <f>SUMIFS(Dump!E:E,Dump!B:B,C542,Dump!A:A,Y542)</f>
        <v>0</v>
      </c>
      <c r="T542" s="35">
        <f t="shared" si="22"/>
        <v>0</v>
      </c>
      <c r="V542" s="4">
        <f>SUMIFS(Dump!P:P,Dump!B:B,C542,Dump!A:A,Y542)</f>
        <v>0</v>
      </c>
      <c r="W542" s="37">
        <f t="shared" si="23"/>
        <v>0</v>
      </c>
      <c r="X542" s="39"/>
      <c r="Y542" s="54"/>
    </row>
    <row r="543">
      <c r="C543" s="53"/>
      <c r="G543" s="2" t="str">
        <f t="shared" si="27"/>
        <v/>
      </c>
      <c r="I543" s="4">
        <f>SUMIFS(Dump!D:D,Dump!B:B,C543)</f>
        <v>0</v>
      </c>
      <c r="J543" s="5">
        <f>SUMIFS(Dump!AE:AE,Dump!B:B,C543)</f>
        <v>0</v>
      </c>
      <c r="K543" s="4">
        <f>SUMPRODUCT(
  (TEXT(Dump!$A$2:$A994,"mmm-yy")=TEXT($Y543,"mmm-yy"))*
  (Dump!$B$2:$B994=$C543)*
  Dump!$D$2:$D994)</f>
        <v>0</v>
      </c>
      <c r="L543" s="4">
        <f>SUMPRODUCT(
  (TEXT(Dump!$A$2:$A994,"mmm-yy")=TEXT($Y543,"mmm-yy"))*
  (Dump!$B$2:$B994=$C543)*
  Dump!$E$2:$E994
)</f>
        <v>0</v>
      </c>
      <c r="M543" s="4">
        <f>SUMPRODUCT(
  (TEXT(Dump!$A$2:$A994,"mmm-yy")=TEXT($Y543,"mmm-yy"))*
  (Dump!$B$2:$B994=$C543)*
  Dump!$P$2:$P994
)</f>
        <v>0</v>
      </c>
      <c r="N543" s="32"/>
      <c r="O543" s="33">
        <f>SUMIFS(Dump!$D:$D,Dump!$B:$B,$C543,Dump!$A:$A,$Y543)</f>
        <v>0</v>
      </c>
      <c r="P543" s="33">
        <f>SUMIFS(Dump!R:R,Dump!B:B,C543,Dump!A:A,Y543)</f>
        <v>0</v>
      </c>
      <c r="Q543" s="34">
        <f t="shared" si="21"/>
        <v>0</v>
      </c>
      <c r="S543" s="4">
        <f>SUMIFS(Dump!E:E,Dump!B:B,C543,Dump!A:A,Y543)</f>
        <v>0</v>
      </c>
      <c r="T543" s="35">
        <f t="shared" si="22"/>
        <v>0</v>
      </c>
      <c r="V543" s="4">
        <f>SUMIFS(Dump!P:P,Dump!B:B,C543,Dump!A:A,Y543)</f>
        <v>0</v>
      </c>
      <c r="W543" s="37">
        <f t="shared" si="23"/>
        <v>0</v>
      </c>
      <c r="X543" s="39"/>
      <c r="Y543" s="54"/>
    </row>
    <row r="544">
      <c r="C544" s="53"/>
      <c r="G544" s="2" t="str">
        <f t="shared" si="27"/>
        <v/>
      </c>
      <c r="I544" s="4">
        <f>SUMIFS(Dump!D:D,Dump!B:B,C544)</f>
        <v>0</v>
      </c>
      <c r="J544" s="5">
        <f>SUMIFS(Dump!AE:AE,Dump!B:B,C544)</f>
        <v>0</v>
      </c>
      <c r="K544" s="4">
        <f>SUMPRODUCT(
  (TEXT(Dump!$A$2:$A994,"mmm-yy")=TEXT($Y544,"mmm-yy"))*
  (Dump!$B$2:$B994=$C544)*
  Dump!$D$2:$D994)</f>
        <v>0</v>
      </c>
      <c r="L544" s="4">
        <f>SUMPRODUCT(
  (TEXT(Dump!$A$2:$A994,"mmm-yy")=TEXT($Y544,"mmm-yy"))*
  (Dump!$B$2:$B994=$C544)*
  Dump!$E$2:$E994
)</f>
        <v>0</v>
      </c>
      <c r="M544" s="4">
        <f>SUMPRODUCT(
  (TEXT(Dump!$A$2:$A994,"mmm-yy")=TEXT($Y544,"mmm-yy"))*
  (Dump!$B$2:$B994=$C544)*
  Dump!$P$2:$P994
)</f>
        <v>0</v>
      </c>
      <c r="N544" s="32"/>
      <c r="O544" s="33">
        <f>SUMIFS(Dump!$D:$D,Dump!$B:$B,$C544,Dump!$A:$A,$Y544)</f>
        <v>0</v>
      </c>
      <c r="P544" s="33">
        <f>SUMIFS(Dump!R:R,Dump!B:B,C544,Dump!A:A,Y544)</f>
        <v>0</v>
      </c>
      <c r="Q544" s="34">
        <f t="shared" si="21"/>
        <v>0</v>
      </c>
      <c r="S544" s="4">
        <f>SUMIFS(Dump!E:E,Dump!B:B,C544,Dump!A:A,Y544)</f>
        <v>0</v>
      </c>
      <c r="T544" s="35">
        <f t="shared" si="22"/>
        <v>0</v>
      </c>
      <c r="V544" s="4">
        <f>SUMIFS(Dump!P:P,Dump!B:B,C544,Dump!A:A,Y544)</f>
        <v>0</v>
      </c>
      <c r="W544" s="37">
        <f t="shared" si="23"/>
        <v>0</v>
      </c>
      <c r="X544" s="39"/>
      <c r="Y544" s="54"/>
    </row>
    <row r="545">
      <c r="C545" s="53"/>
      <c r="G545" s="2" t="str">
        <f t="shared" si="27"/>
        <v/>
      </c>
      <c r="I545" s="4">
        <f>SUMIFS(Dump!D:D,Dump!B:B,C545)</f>
        <v>0</v>
      </c>
      <c r="J545" s="5">
        <f>SUMIFS(Dump!AE:AE,Dump!B:B,C545)</f>
        <v>0</v>
      </c>
      <c r="K545" s="4">
        <f>SUMPRODUCT(
  (TEXT(Dump!$A$2:$A994,"mmm-yy")=TEXT($Y545,"mmm-yy"))*
  (Dump!$B$2:$B994=$C545)*
  Dump!$D$2:$D994)</f>
        <v>0</v>
      </c>
      <c r="L545" s="4">
        <f>SUMPRODUCT(
  (TEXT(Dump!$A$2:$A994,"mmm-yy")=TEXT($Y545,"mmm-yy"))*
  (Dump!$B$2:$B994=$C545)*
  Dump!$E$2:$E994
)</f>
        <v>0</v>
      </c>
      <c r="M545" s="4">
        <f>SUMPRODUCT(
  (TEXT(Dump!$A$2:$A994,"mmm-yy")=TEXT($Y545,"mmm-yy"))*
  (Dump!$B$2:$B994=$C545)*
  Dump!$P$2:$P994
)</f>
        <v>0</v>
      </c>
      <c r="N545" s="32"/>
      <c r="O545" s="33">
        <f>SUMIFS(Dump!$D:$D,Dump!$B:$B,$C545,Dump!$A:$A,$Y545)</f>
        <v>0</v>
      </c>
      <c r="P545" s="33">
        <f>SUMIFS(Dump!R:R,Dump!B:B,C545,Dump!A:A,Y545)</f>
        <v>0</v>
      </c>
      <c r="Q545" s="34">
        <f t="shared" si="21"/>
        <v>0</v>
      </c>
      <c r="S545" s="4">
        <f>SUMIFS(Dump!E:E,Dump!B:B,C545,Dump!A:A,Y545)</f>
        <v>0</v>
      </c>
      <c r="T545" s="35">
        <f t="shared" si="22"/>
        <v>0</v>
      </c>
      <c r="V545" s="4">
        <f>SUMIFS(Dump!P:P,Dump!B:B,C545,Dump!A:A,Y545)</f>
        <v>0</v>
      </c>
      <c r="W545" s="37">
        <f t="shared" si="23"/>
        <v>0</v>
      </c>
      <c r="X545" s="39"/>
      <c r="Y545" s="54"/>
    </row>
    <row r="546">
      <c r="C546" s="53"/>
      <c r="G546" s="2" t="str">
        <f t="shared" si="27"/>
        <v/>
      </c>
      <c r="I546" s="4">
        <f>SUMIFS(Dump!D:D,Dump!B:B,C546)</f>
        <v>0</v>
      </c>
      <c r="J546" s="5">
        <f>SUMIFS(Dump!AE:AE,Dump!B:B,C546)</f>
        <v>0</v>
      </c>
      <c r="K546" s="4">
        <f>SUMPRODUCT(
  (TEXT(Dump!$A$2:$A994,"mmm-yy")=TEXT($Y546,"mmm-yy"))*
  (Dump!$B$2:$B994=$C546)*
  Dump!$D$2:$D994)</f>
        <v>0</v>
      </c>
      <c r="L546" s="4">
        <f>SUMPRODUCT(
  (TEXT(Dump!$A$2:$A994,"mmm-yy")=TEXT($Y546,"mmm-yy"))*
  (Dump!$B$2:$B994=$C546)*
  Dump!$E$2:$E994
)</f>
        <v>0</v>
      </c>
      <c r="M546" s="4">
        <f>SUMPRODUCT(
  (TEXT(Dump!$A$2:$A994,"mmm-yy")=TEXT($Y546,"mmm-yy"))*
  (Dump!$B$2:$B994=$C546)*
  Dump!$P$2:$P994
)</f>
        <v>0</v>
      </c>
      <c r="N546" s="32"/>
      <c r="O546" s="33">
        <f>SUMIFS(Dump!$D:$D,Dump!$B:$B,$C546,Dump!$A:$A,$Y546)</f>
        <v>0</v>
      </c>
      <c r="P546" s="33">
        <f>SUMIFS(Dump!R:R,Dump!B:B,C546,Dump!A:A,Y546)</f>
        <v>0</v>
      </c>
      <c r="Q546" s="34">
        <f t="shared" si="21"/>
        <v>0</v>
      </c>
      <c r="S546" s="4">
        <f>SUMIFS(Dump!E:E,Dump!B:B,C546,Dump!A:A,Y546)</f>
        <v>0</v>
      </c>
      <c r="T546" s="35">
        <f t="shared" si="22"/>
        <v>0</v>
      </c>
      <c r="V546" s="4">
        <f>SUMIFS(Dump!P:P,Dump!B:B,C546,Dump!A:A,Y546)</f>
        <v>0</v>
      </c>
      <c r="W546" s="37">
        <f t="shared" si="23"/>
        <v>0</v>
      </c>
      <c r="X546" s="39"/>
      <c r="Y546" s="54"/>
    </row>
    <row r="547">
      <c r="C547" s="53"/>
      <c r="G547" s="2" t="str">
        <f t="shared" si="27"/>
        <v/>
      </c>
      <c r="I547" s="4">
        <f>SUMIFS(Dump!D:D,Dump!B:B,C547)</f>
        <v>0</v>
      </c>
      <c r="J547" s="5">
        <f>SUMIFS(Dump!AE:AE,Dump!B:B,C547)</f>
        <v>0</v>
      </c>
      <c r="K547" s="4">
        <f>SUMPRODUCT(
  (TEXT(Dump!$A$2:$A994,"mmm-yy")=TEXT($Y547,"mmm-yy"))*
  (Dump!$B$2:$B994=$C547)*
  Dump!$D$2:$D994)</f>
        <v>0</v>
      </c>
      <c r="L547" s="4">
        <f>SUMPRODUCT(
  (TEXT(Dump!$A$2:$A994,"mmm-yy")=TEXT($Y547,"mmm-yy"))*
  (Dump!$B$2:$B994=$C547)*
  Dump!$E$2:$E994
)</f>
        <v>0</v>
      </c>
      <c r="M547" s="4">
        <f>SUMPRODUCT(
  (TEXT(Dump!$A$2:$A994,"mmm-yy")=TEXT($Y547,"mmm-yy"))*
  (Dump!$B$2:$B994=$C547)*
  Dump!$P$2:$P994
)</f>
        <v>0</v>
      </c>
      <c r="N547" s="32"/>
      <c r="O547" s="33">
        <f>SUMIFS(Dump!$D:$D,Dump!$B:$B,$C547,Dump!$A:$A,$Y547)</f>
        <v>0</v>
      </c>
      <c r="P547" s="33">
        <f>SUMIFS(Dump!R:R,Dump!B:B,C547,Dump!A:A,Y547)</f>
        <v>0</v>
      </c>
      <c r="Q547" s="34">
        <f t="shared" si="21"/>
        <v>0</v>
      </c>
      <c r="S547" s="4">
        <f>SUMIFS(Dump!E:E,Dump!B:B,C547,Dump!A:A,Y547)</f>
        <v>0</v>
      </c>
      <c r="T547" s="35">
        <f t="shared" si="22"/>
        <v>0</v>
      </c>
      <c r="V547" s="4">
        <f>SUMIFS(Dump!P:P,Dump!B:B,C547,Dump!A:A,Y547)</f>
        <v>0</v>
      </c>
      <c r="W547" s="37">
        <f t="shared" si="23"/>
        <v>0</v>
      </c>
      <c r="X547" s="39"/>
      <c r="Y547" s="54"/>
    </row>
    <row r="548">
      <c r="C548" s="53"/>
      <c r="G548" s="2" t="str">
        <f t="shared" si="27"/>
        <v/>
      </c>
      <c r="I548" s="4">
        <f>SUMIFS(Dump!D:D,Dump!B:B,C548)</f>
        <v>0</v>
      </c>
      <c r="J548" s="5">
        <f>SUMIFS(Dump!AE:AE,Dump!B:B,C548)</f>
        <v>0</v>
      </c>
      <c r="K548" s="4">
        <f>SUMPRODUCT(
  (TEXT(Dump!$A$2:$A994,"mmm-yy")=TEXT($Y548,"mmm-yy"))*
  (Dump!$B$2:$B994=$C548)*
  Dump!$D$2:$D994)</f>
        <v>0</v>
      </c>
      <c r="L548" s="4">
        <f>SUMPRODUCT(
  (TEXT(Dump!$A$2:$A994,"mmm-yy")=TEXT($Y548,"mmm-yy"))*
  (Dump!$B$2:$B994=$C548)*
  Dump!$E$2:$E994
)</f>
        <v>0</v>
      </c>
      <c r="M548" s="4">
        <f>SUMPRODUCT(
  (TEXT(Dump!$A$2:$A994,"mmm-yy")=TEXT($Y548,"mmm-yy"))*
  (Dump!$B$2:$B994=$C548)*
  Dump!$P$2:$P994
)</f>
        <v>0</v>
      </c>
      <c r="N548" s="32"/>
      <c r="O548" s="33">
        <f>SUMIFS(Dump!$D:$D,Dump!$B:$B,$C548,Dump!$A:$A,$Y548)</f>
        <v>0</v>
      </c>
      <c r="P548" s="33">
        <f>SUMIFS(Dump!R:R,Dump!B:B,C548,Dump!A:A,Y548)</f>
        <v>0</v>
      </c>
      <c r="Q548" s="34">
        <f t="shared" si="21"/>
        <v>0</v>
      </c>
      <c r="S548" s="4">
        <f>SUMIFS(Dump!E:E,Dump!B:B,C548,Dump!A:A,Y548)</f>
        <v>0</v>
      </c>
      <c r="T548" s="35">
        <f t="shared" si="22"/>
        <v>0</v>
      </c>
      <c r="V548" s="4">
        <f>SUMIFS(Dump!P:P,Dump!B:B,C548,Dump!A:A,Y548)</f>
        <v>0</v>
      </c>
      <c r="W548" s="37">
        <f t="shared" si="23"/>
        <v>0</v>
      </c>
      <c r="X548" s="39"/>
      <c r="Y548" s="54"/>
    </row>
    <row r="549">
      <c r="C549" s="53"/>
      <c r="G549" s="2" t="str">
        <f t="shared" si="27"/>
        <v/>
      </c>
      <c r="I549" s="4">
        <f>SUMIFS(Dump!D:D,Dump!B:B,C549)</f>
        <v>0</v>
      </c>
      <c r="J549" s="5">
        <f>SUMIFS(Dump!AE:AE,Dump!B:B,C549)</f>
        <v>0</v>
      </c>
      <c r="K549" s="4">
        <f>SUMPRODUCT(
  (TEXT(Dump!$A$2:$A994,"mmm-yy")=TEXT($Y549,"mmm-yy"))*
  (Dump!$B$2:$B994=$C549)*
  Dump!$D$2:$D994)</f>
        <v>0</v>
      </c>
      <c r="L549" s="4">
        <f>SUMPRODUCT(
  (TEXT(Dump!$A$2:$A994,"mmm-yy")=TEXT($Y549,"mmm-yy"))*
  (Dump!$B$2:$B994=$C549)*
  Dump!$E$2:$E994
)</f>
        <v>0</v>
      </c>
      <c r="M549" s="4">
        <f>SUMPRODUCT(
  (TEXT(Dump!$A$2:$A994,"mmm-yy")=TEXT($Y549,"mmm-yy"))*
  (Dump!$B$2:$B994=$C549)*
  Dump!$P$2:$P994
)</f>
        <v>0</v>
      </c>
      <c r="N549" s="32"/>
      <c r="O549" s="33">
        <f>SUMIFS(Dump!$D:$D,Dump!$B:$B,$C549,Dump!$A:$A,$Y549)</f>
        <v>0</v>
      </c>
      <c r="P549" s="33">
        <f>SUMIFS(Dump!R:R,Dump!B:B,C549,Dump!A:A,Y549)</f>
        <v>0</v>
      </c>
      <c r="Q549" s="34">
        <f t="shared" si="21"/>
        <v>0</v>
      </c>
      <c r="S549" s="4">
        <f>SUMIFS(Dump!E:E,Dump!B:B,C549,Dump!A:A,Y549)</f>
        <v>0</v>
      </c>
      <c r="T549" s="35">
        <f t="shared" si="22"/>
        <v>0</v>
      </c>
      <c r="V549" s="4">
        <f>SUMIFS(Dump!P:P,Dump!B:B,C549,Dump!A:A,Y549)</f>
        <v>0</v>
      </c>
      <c r="W549" s="37">
        <f t="shared" si="23"/>
        <v>0</v>
      </c>
      <c r="X549" s="39"/>
      <c r="Y549" s="54"/>
    </row>
    <row r="550">
      <c r="C550" s="53"/>
      <c r="G550" s="2" t="str">
        <f t="shared" si="27"/>
        <v/>
      </c>
      <c r="I550" s="4">
        <f>SUMIFS(Dump!D:D,Dump!B:B,C550)</f>
        <v>0</v>
      </c>
      <c r="J550" s="5">
        <f>SUMIFS(Dump!AE:AE,Dump!B:B,C550)</f>
        <v>0</v>
      </c>
      <c r="K550" s="4">
        <f>SUMPRODUCT(
  (TEXT(Dump!$A$2:$A994,"mmm-yy")=TEXT($Y550,"mmm-yy"))*
  (Dump!$B$2:$B994=$C550)*
  Dump!$D$2:$D994)</f>
        <v>0</v>
      </c>
      <c r="L550" s="4">
        <f>SUMPRODUCT(
  (TEXT(Dump!$A$2:$A994,"mmm-yy")=TEXT($Y550,"mmm-yy"))*
  (Dump!$B$2:$B994=$C550)*
  Dump!$E$2:$E994
)</f>
        <v>0</v>
      </c>
      <c r="M550" s="4">
        <f>SUMPRODUCT(
  (TEXT(Dump!$A$2:$A994,"mmm-yy")=TEXT($Y550,"mmm-yy"))*
  (Dump!$B$2:$B994=$C550)*
  Dump!$P$2:$P994
)</f>
        <v>0</v>
      </c>
      <c r="N550" s="32"/>
      <c r="O550" s="33">
        <f>SUMIFS(Dump!$D:$D,Dump!$B:$B,$C550,Dump!$A:$A,$Y550)</f>
        <v>0</v>
      </c>
      <c r="P550" s="33">
        <f>SUMIFS(Dump!R:R,Dump!B:B,C550,Dump!A:A,Y550)</f>
        <v>0</v>
      </c>
      <c r="Q550" s="34">
        <f t="shared" si="21"/>
        <v>0</v>
      </c>
      <c r="S550" s="4">
        <f>SUMIFS(Dump!E:E,Dump!B:B,C550,Dump!A:A,Y550)</f>
        <v>0</v>
      </c>
      <c r="T550" s="35">
        <f t="shared" si="22"/>
        <v>0</v>
      </c>
      <c r="V550" s="4">
        <f>SUMIFS(Dump!P:P,Dump!B:B,C550,Dump!A:A,Y550)</f>
        <v>0</v>
      </c>
      <c r="W550" s="37">
        <f t="shared" si="23"/>
        <v>0</v>
      </c>
      <c r="X550" s="39"/>
      <c r="Y550" s="54"/>
    </row>
    <row r="551">
      <c r="C551" s="53"/>
      <c r="G551" s="2" t="str">
        <f t="shared" si="27"/>
        <v/>
      </c>
      <c r="I551" s="4">
        <f>SUMIFS(Dump!D:D,Dump!B:B,C551)</f>
        <v>0</v>
      </c>
      <c r="J551" s="5">
        <f>SUMIFS(Dump!AE:AE,Dump!B:B,C551)</f>
        <v>0</v>
      </c>
      <c r="K551" s="4">
        <f>SUMPRODUCT(
  (TEXT(Dump!$A$2:$A994,"mmm-yy")=TEXT($Y551,"mmm-yy"))*
  (Dump!$B$2:$B994=$C551)*
  Dump!$D$2:$D994)</f>
        <v>0</v>
      </c>
      <c r="L551" s="4">
        <f>SUMPRODUCT(
  (TEXT(Dump!$A$2:$A994,"mmm-yy")=TEXT($Y551,"mmm-yy"))*
  (Dump!$B$2:$B994=$C551)*
  Dump!$E$2:$E994
)</f>
        <v>0</v>
      </c>
      <c r="M551" s="4">
        <f>SUMPRODUCT(
  (TEXT(Dump!$A$2:$A994,"mmm-yy")=TEXT($Y551,"mmm-yy"))*
  (Dump!$B$2:$B994=$C551)*
  Dump!$P$2:$P994
)</f>
        <v>0</v>
      </c>
      <c r="N551" s="32"/>
      <c r="O551" s="33">
        <f>SUMIFS(Dump!$D:$D,Dump!$B:$B,$C551,Dump!$A:$A,$Y551)</f>
        <v>0</v>
      </c>
      <c r="P551" s="33">
        <f>SUMIFS(Dump!R:R,Dump!B:B,C551,Dump!A:A,Y551)</f>
        <v>0</v>
      </c>
      <c r="Q551" s="34">
        <f t="shared" si="21"/>
        <v>0</v>
      </c>
      <c r="S551" s="4">
        <f>SUMIFS(Dump!E:E,Dump!B:B,C551,Dump!A:A,Y551)</f>
        <v>0</v>
      </c>
      <c r="T551" s="35">
        <f t="shared" si="22"/>
        <v>0</v>
      </c>
      <c r="V551" s="4">
        <f>SUMIFS(Dump!P:P,Dump!B:B,C551,Dump!A:A,Y551)</f>
        <v>0</v>
      </c>
      <c r="W551" s="37">
        <f t="shared" si="23"/>
        <v>0</v>
      </c>
      <c r="X551" s="39"/>
      <c r="Y551" s="54"/>
    </row>
    <row r="552">
      <c r="C552" s="53"/>
      <c r="G552" s="2" t="str">
        <f t="shared" si="27"/>
        <v/>
      </c>
      <c r="I552" s="4">
        <f>SUMIFS(Dump!D:D,Dump!B:B,C552)</f>
        <v>0</v>
      </c>
      <c r="J552" s="5">
        <f>SUMIFS(Dump!AE:AE,Dump!B:B,C552)</f>
        <v>0</v>
      </c>
      <c r="K552" s="4">
        <f>SUMPRODUCT(
  (TEXT(Dump!$A$2:$A994,"mmm-yy")=TEXT($Y552,"mmm-yy"))*
  (Dump!$B$2:$B994=$C552)*
  Dump!$D$2:$D994)</f>
        <v>0</v>
      </c>
      <c r="L552" s="4">
        <f>SUMPRODUCT(
  (TEXT(Dump!$A$2:$A994,"mmm-yy")=TEXT($Y552,"mmm-yy"))*
  (Dump!$B$2:$B994=$C552)*
  Dump!$E$2:$E994
)</f>
        <v>0</v>
      </c>
      <c r="M552" s="4">
        <f>SUMPRODUCT(
  (TEXT(Dump!$A$2:$A994,"mmm-yy")=TEXT($Y552,"mmm-yy"))*
  (Dump!$B$2:$B994=$C552)*
  Dump!$P$2:$P994
)</f>
        <v>0</v>
      </c>
      <c r="N552" s="32"/>
      <c r="O552" s="33">
        <f>SUMIFS(Dump!$D:$D,Dump!$B:$B,$C552,Dump!$A:$A,$Y552)</f>
        <v>0</v>
      </c>
      <c r="P552" s="33">
        <f>SUMIFS(Dump!R:R,Dump!B:B,C552,Dump!A:A,Y552)</f>
        <v>0</v>
      </c>
      <c r="Q552" s="34">
        <f t="shared" si="21"/>
        <v>0</v>
      </c>
      <c r="S552" s="4">
        <f>SUMIFS(Dump!E:E,Dump!B:B,C552,Dump!A:A,Y552)</f>
        <v>0</v>
      </c>
      <c r="T552" s="35">
        <f t="shared" si="22"/>
        <v>0</v>
      </c>
      <c r="V552" s="4">
        <f>SUMIFS(Dump!P:P,Dump!B:B,C552,Dump!A:A,Y552)</f>
        <v>0</v>
      </c>
      <c r="W552" s="37">
        <f t="shared" si="23"/>
        <v>0</v>
      </c>
      <c r="X552" s="39"/>
      <c r="Y552" s="54"/>
    </row>
    <row r="553">
      <c r="C553" s="53"/>
      <c r="G553" s="2" t="str">
        <f t="shared" si="27"/>
        <v/>
      </c>
      <c r="I553" s="4">
        <f>SUMIFS(Dump!D:D,Dump!B:B,C553)</f>
        <v>0</v>
      </c>
      <c r="J553" s="5">
        <f>SUMIFS(Dump!AE:AE,Dump!B:B,C553)</f>
        <v>0</v>
      </c>
      <c r="K553" s="4">
        <f>SUMPRODUCT(
  (TEXT(Dump!$A$2:$A994,"mmm-yy")=TEXT($Y553,"mmm-yy"))*
  (Dump!$B$2:$B994=$C553)*
  Dump!$D$2:$D994)</f>
        <v>0</v>
      </c>
      <c r="L553" s="4">
        <f>SUMPRODUCT(
  (TEXT(Dump!$A$2:$A994,"mmm-yy")=TEXT($Y553,"mmm-yy"))*
  (Dump!$B$2:$B994=$C553)*
  Dump!$E$2:$E994
)</f>
        <v>0</v>
      </c>
      <c r="M553" s="4">
        <f>SUMPRODUCT(
  (TEXT(Dump!$A$2:$A994,"mmm-yy")=TEXT($Y553,"mmm-yy"))*
  (Dump!$B$2:$B994=$C553)*
  Dump!$P$2:$P994
)</f>
        <v>0</v>
      </c>
      <c r="N553" s="32"/>
      <c r="O553" s="33">
        <f>SUMIFS(Dump!$D:$D,Dump!$B:$B,$C553,Dump!$A:$A,$Y553)</f>
        <v>0</v>
      </c>
      <c r="P553" s="33">
        <f>SUMIFS(Dump!R:R,Dump!B:B,C553,Dump!A:A,Y553)</f>
        <v>0</v>
      </c>
      <c r="Q553" s="34">
        <f t="shared" si="21"/>
        <v>0</v>
      </c>
      <c r="S553" s="4">
        <f>SUMIFS(Dump!E:E,Dump!B:B,C553,Dump!A:A,Y553)</f>
        <v>0</v>
      </c>
      <c r="T553" s="35">
        <f t="shared" si="22"/>
        <v>0</v>
      </c>
      <c r="V553" s="4">
        <f>SUMIFS(Dump!P:P,Dump!B:B,C553,Dump!A:A,Y553)</f>
        <v>0</v>
      </c>
      <c r="W553" s="37">
        <f t="shared" si="23"/>
        <v>0</v>
      </c>
      <c r="X553" s="39"/>
      <c r="Y553" s="54"/>
    </row>
    <row r="554">
      <c r="C554" s="53"/>
      <c r="G554" s="2" t="str">
        <f t="shared" si="27"/>
        <v/>
      </c>
      <c r="I554" s="4">
        <f>SUMIFS(Dump!D:D,Dump!B:B,C554)</f>
        <v>0</v>
      </c>
      <c r="J554" s="5">
        <f>SUMIFS(Dump!AE:AE,Dump!B:B,C554)</f>
        <v>0</v>
      </c>
      <c r="K554" s="4">
        <f>SUMPRODUCT(
  (TEXT(Dump!$A$2:$A994,"mmm-yy")=TEXT($Y554,"mmm-yy"))*
  (Dump!$B$2:$B994=$C554)*
  Dump!$D$2:$D994)</f>
        <v>0</v>
      </c>
      <c r="L554" s="4">
        <f>SUMPRODUCT(
  (TEXT(Dump!$A$2:$A994,"mmm-yy")=TEXT($Y554,"mmm-yy"))*
  (Dump!$B$2:$B994=$C554)*
  Dump!$E$2:$E994
)</f>
        <v>0</v>
      </c>
      <c r="M554" s="4">
        <f>SUMPRODUCT(
  (TEXT(Dump!$A$2:$A994,"mmm-yy")=TEXT($Y554,"mmm-yy"))*
  (Dump!$B$2:$B994=$C554)*
  Dump!$P$2:$P994
)</f>
        <v>0</v>
      </c>
      <c r="N554" s="32"/>
      <c r="O554" s="33">
        <f>SUMIFS(Dump!$D:$D,Dump!$B:$B,$C554,Dump!$A:$A,$Y554)</f>
        <v>0</v>
      </c>
      <c r="P554" s="33">
        <f>SUMIFS(Dump!R:R,Dump!B:B,C554,Dump!A:A,Y554)</f>
        <v>0</v>
      </c>
      <c r="Q554" s="34">
        <f t="shared" si="21"/>
        <v>0</v>
      </c>
      <c r="S554" s="4">
        <f>SUMIFS(Dump!E:E,Dump!B:B,C554,Dump!A:A,Y554)</f>
        <v>0</v>
      </c>
      <c r="T554" s="35">
        <f t="shared" si="22"/>
        <v>0</v>
      </c>
      <c r="V554" s="4">
        <f>SUMIFS(Dump!P:P,Dump!B:B,C554,Dump!A:A,Y554)</f>
        <v>0</v>
      </c>
      <c r="W554" s="37">
        <f t="shared" si="23"/>
        <v>0</v>
      </c>
      <c r="X554" s="39"/>
      <c r="Y554" s="54"/>
    </row>
    <row r="555">
      <c r="C555" s="53"/>
      <c r="G555" s="2" t="str">
        <f t="shared" si="27"/>
        <v/>
      </c>
      <c r="I555" s="4">
        <f>SUMIFS(Dump!D:D,Dump!B:B,C555)</f>
        <v>0</v>
      </c>
      <c r="J555" s="5">
        <f>SUMIFS(Dump!AE:AE,Dump!B:B,C555)</f>
        <v>0</v>
      </c>
      <c r="K555" s="4">
        <f>SUMPRODUCT(
  (TEXT(Dump!$A$2:$A994,"mmm-yy")=TEXT($Y555,"mmm-yy"))*
  (Dump!$B$2:$B994=$C555)*
  Dump!$D$2:$D994)</f>
        <v>0</v>
      </c>
      <c r="L555" s="4">
        <f>SUMPRODUCT(
  (TEXT(Dump!$A$2:$A994,"mmm-yy")=TEXT($Y555,"mmm-yy"))*
  (Dump!$B$2:$B994=$C555)*
  Dump!$E$2:$E994
)</f>
        <v>0</v>
      </c>
      <c r="M555" s="4">
        <f>SUMPRODUCT(
  (TEXT(Dump!$A$2:$A994,"mmm-yy")=TEXT($Y555,"mmm-yy"))*
  (Dump!$B$2:$B994=$C555)*
  Dump!$P$2:$P994
)</f>
        <v>0</v>
      </c>
      <c r="N555" s="32"/>
      <c r="O555" s="33">
        <f>SUMIFS(Dump!$D:$D,Dump!$B:$B,$C555,Dump!$A:$A,$Y555)</f>
        <v>0</v>
      </c>
      <c r="P555" s="33">
        <f>SUMIFS(Dump!R:R,Dump!B:B,C555,Dump!A:A,Y555)</f>
        <v>0</v>
      </c>
      <c r="Q555" s="34">
        <f t="shared" si="21"/>
        <v>0</v>
      </c>
      <c r="S555" s="4">
        <f>SUMIFS(Dump!E:E,Dump!B:B,C555,Dump!A:A,Y555)</f>
        <v>0</v>
      </c>
      <c r="T555" s="35">
        <f t="shared" si="22"/>
        <v>0</v>
      </c>
      <c r="V555" s="4">
        <f>SUMIFS(Dump!P:P,Dump!B:B,C555,Dump!A:A,Y555)</f>
        <v>0</v>
      </c>
      <c r="W555" s="37">
        <f t="shared" si="23"/>
        <v>0</v>
      </c>
      <c r="X555" s="39"/>
      <c r="Y555" s="54"/>
    </row>
    <row r="556">
      <c r="C556" s="53"/>
      <c r="G556" s="2" t="str">
        <f t="shared" si="27"/>
        <v/>
      </c>
      <c r="I556" s="4">
        <f>SUMIFS(Dump!D:D,Dump!B:B,C556)</f>
        <v>0</v>
      </c>
      <c r="J556" s="5">
        <f>SUMIFS(Dump!AE:AE,Dump!B:B,C556)</f>
        <v>0</v>
      </c>
      <c r="K556" s="4">
        <f>SUMPRODUCT(
  (TEXT(Dump!$A$2:$A994,"mmm-yy")=TEXT($Y556,"mmm-yy"))*
  (Dump!$B$2:$B994=$C556)*
  Dump!$D$2:$D994)</f>
        <v>0</v>
      </c>
      <c r="L556" s="4">
        <f>SUMPRODUCT(
  (TEXT(Dump!$A$2:$A994,"mmm-yy")=TEXT($Y556,"mmm-yy"))*
  (Dump!$B$2:$B994=$C556)*
  Dump!$E$2:$E994
)</f>
        <v>0</v>
      </c>
      <c r="M556" s="4">
        <f>SUMPRODUCT(
  (TEXT(Dump!$A$2:$A994,"mmm-yy")=TEXT($Y556,"mmm-yy"))*
  (Dump!$B$2:$B994=$C556)*
  Dump!$P$2:$P994
)</f>
        <v>0</v>
      </c>
      <c r="N556" s="32"/>
      <c r="O556" s="33">
        <f>SUMIFS(Dump!$D:$D,Dump!$B:$B,$C556,Dump!$A:$A,$Y556)</f>
        <v>0</v>
      </c>
      <c r="P556" s="33">
        <f>SUMIFS(Dump!R:R,Dump!B:B,C556,Dump!A:A,Y556)</f>
        <v>0</v>
      </c>
      <c r="Q556" s="34">
        <f t="shared" si="21"/>
        <v>0</v>
      </c>
      <c r="S556" s="4">
        <f>SUMIFS(Dump!E:E,Dump!B:B,C556,Dump!A:A,Y556)</f>
        <v>0</v>
      </c>
      <c r="T556" s="35">
        <f t="shared" si="22"/>
        <v>0</v>
      </c>
      <c r="V556" s="4">
        <f>SUMIFS(Dump!P:P,Dump!B:B,C556,Dump!A:A,Y556)</f>
        <v>0</v>
      </c>
      <c r="W556" s="37">
        <f t="shared" si="23"/>
        <v>0</v>
      </c>
      <c r="X556" s="39"/>
      <c r="Y556" s="54"/>
    </row>
    <row r="557">
      <c r="C557" s="53"/>
      <c r="G557" s="2" t="str">
        <f t="shared" si="27"/>
        <v/>
      </c>
      <c r="I557" s="4">
        <f>SUMIFS(Dump!D:D,Dump!B:B,C557)</f>
        <v>0</v>
      </c>
      <c r="J557" s="5">
        <f>SUMIFS(Dump!AE:AE,Dump!B:B,C557)</f>
        <v>0</v>
      </c>
      <c r="K557" s="4">
        <f>SUMPRODUCT(
  (TEXT(Dump!$A$2:$A994,"mmm-yy")=TEXT($Y557,"mmm-yy"))*
  (Dump!$B$2:$B994=$C557)*
  Dump!$D$2:$D994)</f>
        <v>0</v>
      </c>
      <c r="L557" s="4">
        <f>SUMPRODUCT(
  (TEXT(Dump!$A$2:$A994,"mmm-yy")=TEXT($Y557,"mmm-yy"))*
  (Dump!$B$2:$B994=$C557)*
  Dump!$E$2:$E994
)</f>
        <v>0</v>
      </c>
      <c r="M557" s="4">
        <f>SUMPRODUCT(
  (TEXT(Dump!$A$2:$A994,"mmm-yy")=TEXT($Y557,"mmm-yy"))*
  (Dump!$B$2:$B994=$C557)*
  Dump!$P$2:$P994
)</f>
        <v>0</v>
      </c>
      <c r="N557" s="32"/>
      <c r="O557" s="33">
        <f>SUMIFS(Dump!$D:$D,Dump!$B:$B,$C557,Dump!$A:$A,$Y557)</f>
        <v>0</v>
      </c>
      <c r="P557" s="33">
        <f>SUMIFS(Dump!R:R,Dump!B:B,C557,Dump!A:A,Y557)</f>
        <v>0</v>
      </c>
      <c r="Q557" s="34">
        <f t="shared" si="21"/>
        <v>0</v>
      </c>
      <c r="S557" s="4">
        <f>SUMIFS(Dump!E:E,Dump!B:B,C557,Dump!A:A,Y557)</f>
        <v>0</v>
      </c>
      <c r="T557" s="35">
        <f t="shared" si="22"/>
        <v>0</v>
      </c>
      <c r="V557" s="4">
        <f>SUMIFS(Dump!P:P,Dump!B:B,C557,Dump!A:A,Y557)</f>
        <v>0</v>
      </c>
      <c r="W557" s="37">
        <f t="shared" si="23"/>
        <v>0</v>
      </c>
      <c r="X557" s="39"/>
      <c r="Y557" s="54"/>
    </row>
    <row r="558">
      <c r="C558" s="53"/>
      <c r="G558" s="2" t="str">
        <f t="shared" si="27"/>
        <v/>
      </c>
      <c r="I558" s="4">
        <f>SUMIFS(Dump!D:D,Dump!B:B,C558)</f>
        <v>0</v>
      </c>
      <c r="J558" s="5">
        <f>SUMIFS(Dump!AE:AE,Dump!B:B,C558)</f>
        <v>0</v>
      </c>
      <c r="K558" s="4">
        <f>SUMPRODUCT(
  (TEXT(Dump!$A$2:$A994,"mmm-yy")=TEXT($Y558,"mmm-yy"))*
  (Dump!$B$2:$B994=$C558)*
  Dump!$D$2:$D994)</f>
        <v>0</v>
      </c>
      <c r="L558" s="4">
        <f>SUMPRODUCT(
  (TEXT(Dump!$A$2:$A994,"mmm-yy")=TEXT($Y558,"mmm-yy"))*
  (Dump!$B$2:$B994=$C558)*
  Dump!$E$2:$E994
)</f>
        <v>0</v>
      </c>
      <c r="M558" s="4">
        <f>SUMPRODUCT(
  (TEXT(Dump!$A$2:$A994,"mmm-yy")=TEXT($Y558,"mmm-yy"))*
  (Dump!$B$2:$B994=$C558)*
  Dump!$P$2:$P994
)</f>
        <v>0</v>
      </c>
      <c r="N558" s="32"/>
      <c r="O558" s="33">
        <f>SUMIFS(Dump!$D:$D,Dump!$B:$B,$C558,Dump!$A:$A,$Y558)</f>
        <v>0</v>
      </c>
      <c r="P558" s="33">
        <f>SUMIFS(Dump!R:R,Dump!B:B,C558,Dump!A:A,Y558)</f>
        <v>0</v>
      </c>
      <c r="Q558" s="34">
        <f t="shared" si="21"/>
        <v>0</v>
      </c>
      <c r="S558" s="4">
        <f>SUMIFS(Dump!E:E,Dump!B:B,C558,Dump!A:A,Y558)</f>
        <v>0</v>
      </c>
      <c r="T558" s="35">
        <f t="shared" si="22"/>
        <v>0</v>
      </c>
      <c r="V558" s="4">
        <f>SUMIFS(Dump!P:P,Dump!B:B,C558,Dump!A:A,Y558)</f>
        <v>0</v>
      </c>
      <c r="W558" s="37">
        <f t="shared" si="23"/>
        <v>0</v>
      </c>
      <c r="X558" s="39"/>
      <c r="Y558" s="54"/>
    </row>
    <row r="559">
      <c r="C559" s="53"/>
      <c r="G559" s="2" t="str">
        <f t="shared" si="27"/>
        <v/>
      </c>
      <c r="I559" s="4">
        <f>SUMIFS(Dump!D:D,Dump!B:B,C559)</f>
        <v>0</v>
      </c>
      <c r="J559" s="5">
        <f>SUMIFS(Dump!AE:AE,Dump!B:B,C559)</f>
        <v>0</v>
      </c>
      <c r="K559" s="4">
        <f>SUMPRODUCT(
  (TEXT(Dump!$A$2:$A994,"mmm-yy")=TEXT($Y559,"mmm-yy"))*
  (Dump!$B$2:$B994=$C559)*
  Dump!$D$2:$D994)</f>
        <v>0</v>
      </c>
      <c r="L559" s="4">
        <f>SUMPRODUCT(
  (TEXT(Dump!$A$2:$A994,"mmm-yy")=TEXT($Y559,"mmm-yy"))*
  (Dump!$B$2:$B994=$C559)*
  Dump!$E$2:$E994
)</f>
        <v>0</v>
      </c>
      <c r="M559" s="4">
        <f>SUMPRODUCT(
  (TEXT(Dump!$A$2:$A994,"mmm-yy")=TEXT($Y559,"mmm-yy"))*
  (Dump!$B$2:$B994=$C559)*
  Dump!$P$2:$P994
)</f>
        <v>0</v>
      </c>
      <c r="N559" s="32"/>
      <c r="O559" s="33">
        <f>SUMIFS(Dump!$D:$D,Dump!$B:$B,$C559,Dump!$A:$A,$Y559)</f>
        <v>0</v>
      </c>
      <c r="P559" s="33">
        <f>SUMIFS(Dump!R:R,Dump!B:B,C559,Dump!A:A,Y559)</f>
        <v>0</v>
      </c>
      <c r="Q559" s="34">
        <f t="shared" si="21"/>
        <v>0</v>
      </c>
      <c r="S559" s="4">
        <f>SUMIFS(Dump!E:E,Dump!B:B,C559,Dump!A:A,Y559)</f>
        <v>0</v>
      </c>
      <c r="T559" s="35">
        <f t="shared" si="22"/>
        <v>0</v>
      </c>
      <c r="V559" s="4">
        <f>SUMIFS(Dump!P:P,Dump!B:B,C559,Dump!A:A,Y559)</f>
        <v>0</v>
      </c>
      <c r="W559" s="37">
        <f t="shared" si="23"/>
        <v>0</v>
      </c>
      <c r="X559" s="39"/>
      <c r="Y559" s="54"/>
    </row>
    <row r="560">
      <c r="C560" s="53"/>
      <c r="G560" s="2" t="str">
        <f t="shared" si="27"/>
        <v/>
      </c>
      <c r="I560" s="4">
        <f>SUMIFS(Dump!D:D,Dump!B:B,C560)</f>
        <v>0</v>
      </c>
      <c r="J560" s="5">
        <f>SUMIFS(Dump!AE:AE,Dump!B:B,C560)</f>
        <v>0</v>
      </c>
      <c r="K560" s="4">
        <f>SUMPRODUCT(
  (TEXT(Dump!$A$2:$A994,"mmm-yy")=TEXT($Y560,"mmm-yy"))*
  (Dump!$B$2:$B994=$C560)*
  Dump!$D$2:$D994)</f>
        <v>0</v>
      </c>
      <c r="L560" s="4">
        <f>SUMPRODUCT(
  (TEXT(Dump!$A$2:$A994,"mmm-yy")=TEXT($Y560,"mmm-yy"))*
  (Dump!$B$2:$B994=$C560)*
  Dump!$E$2:$E994
)</f>
        <v>0</v>
      </c>
      <c r="M560" s="4">
        <f>SUMPRODUCT(
  (TEXT(Dump!$A$2:$A994,"mmm-yy")=TEXT($Y560,"mmm-yy"))*
  (Dump!$B$2:$B994=$C560)*
  Dump!$P$2:$P994
)</f>
        <v>0</v>
      </c>
      <c r="N560" s="32"/>
      <c r="O560" s="33">
        <f>SUMIFS(Dump!$D:$D,Dump!$B:$B,$C560,Dump!$A:$A,$Y560)</f>
        <v>0</v>
      </c>
      <c r="P560" s="33">
        <f>SUMIFS(Dump!R:R,Dump!B:B,C560,Dump!A:A,Y560)</f>
        <v>0</v>
      </c>
      <c r="Q560" s="34">
        <f t="shared" si="21"/>
        <v>0</v>
      </c>
      <c r="S560" s="4">
        <f>SUMIFS(Dump!E:E,Dump!B:B,C560,Dump!A:A,Y560)</f>
        <v>0</v>
      </c>
      <c r="T560" s="35">
        <f t="shared" si="22"/>
        <v>0</v>
      </c>
      <c r="V560" s="4">
        <f>SUMIFS(Dump!P:P,Dump!B:B,C560,Dump!A:A,Y560)</f>
        <v>0</v>
      </c>
      <c r="W560" s="37">
        <f t="shared" si="23"/>
        <v>0</v>
      </c>
      <c r="X560" s="39"/>
      <c r="Y560" s="54"/>
    </row>
    <row r="561">
      <c r="C561" s="53"/>
      <c r="G561" s="2" t="str">
        <f t="shared" si="27"/>
        <v/>
      </c>
      <c r="I561" s="4">
        <f>SUMIFS(Dump!D:D,Dump!B:B,C561)</f>
        <v>0</v>
      </c>
      <c r="J561" s="5">
        <f>SUMIFS(Dump!AE:AE,Dump!B:B,C561)</f>
        <v>0</v>
      </c>
      <c r="K561" s="4">
        <f>SUMPRODUCT(
  (TEXT(Dump!$A$2:$A994,"mmm-yy")=TEXT($Y561,"mmm-yy"))*
  (Dump!$B$2:$B994=$C561)*
  Dump!$D$2:$D994)</f>
        <v>0</v>
      </c>
      <c r="L561" s="4">
        <f>SUMPRODUCT(
  (TEXT(Dump!$A$2:$A994,"mmm-yy")=TEXT($Y561,"mmm-yy"))*
  (Dump!$B$2:$B994=$C561)*
  Dump!$E$2:$E994
)</f>
        <v>0</v>
      </c>
      <c r="M561" s="4">
        <f>SUMPRODUCT(
  (TEXT(Dump!$A$2:$A994,"mmm-yy")=TEXT($Y561,"mmm-yy"))*
  (Dump!$B$2:$B994=$C561)*
  Dump!$P$2:$P994
)</f>
        <v>0</v>
      </c>
      <c r="N561" s="32"/>
      <c r="O561" s="33">
        <f>SUMIFS(Dump!$D:$D,Dump!$B:$B,$C561,Dump!$A:$A,$Y561)</f>
        <v>0</v>
      </c>
      <c r="P561" s="33">
        <f>SUMIFS(Dump!R:R,Dump!B:B,C561,Dump!A:A,Y561)</f>
        <v>0</v>
      </c>
      <c r="Q561" s="34">
        <f t="shared" si="21"/>
        <v>0</v>
      </c>
      <c r="S561" s="4">
        <f>SUMIFS(Dump!E:E,Dump!B:B,C561,Dump!A:A,Y561)</f>
        <v>0</v>
      </c>
      <c r="T561" s="35">
        <f t="shared" si="22"/>
        <v>0</v>
      </c>
      <c r="V561" s="4">
        <f>SUMIFS(Dump!P:P,Dump!B:B,C561,Dump!A:A,Y561)</f>
        <v>0</v>
      </c>
      <c r="W561" s="37">
        <f t="shared" si="23"/>
        <v>0</v>
      </c>
      <c r="X561" s="39"/>
      <c r="Y561" s="54"/>
    </row>
    <row r="562">
      <c r="C562" s="53"/>
      <c r="G562" s="2" t="str">
        <f t="shared" si="27"/>
        <v/>
      </c>
      <c r="I562" s="4">
        <f>SUMIFS(Dump!D:D,Dump!B:B,C562)</f>
        <v>0</v>
      </c>
      <c r="J562" s="5">
        <f>SUMIFS(Dump!AE:AE,Dump!B:B,C562)</f>
        <v>0</v>
      </c>
      <c r="K562" s="4">
        <f>SUMPRODUCT(
  (TEXT(Dump!$A$2:$A994,"mmm-yy")=TEXT($Y562,"mmm-yy"))*
  (Dump!$B$2:$B994=$C562)*
  Dump!$D$2:$D994)</f>
        <v>0</v>
      </c>
      <c r="L562" s="4">
        <f>SUMPRODUCT(
  (TEXT(Dump!$A$2:$A994,"mmm-yy")=TEXT($Y562,"mmm-yy"))*
  (Dump!$B$2:$B994=$C562)*
  Dump!$E$2:$E994
)</f>
        <v>0</v>
      </c>
      <c r="M562" s="4">
        <f>SUMPRODUCT(
  (TEXT(Dump!$A$2:$A994,"mmm-yy")=TEXT($Y562,"mmm-yy"))*
  (Dump!$B$2:$B994=$C562)*
  Dump!$P$2:$P994
)</f>
        <v>0</v>
      </c>
      <c r="N562" s="32"/>
      <c r="O562" s="33">
        <f>SUMIFS(Dump!$D:$D,Dump!$B:$B,$C562,Dump!$A:$A,$Y562)</f>
        <v>0</v>
      </c>
      <c r="P562" s="33">
        <f>SUMIFS(Dump!R:R,Dump!B:B,C562,Dump!A:A,Y562)</f>
        <v>0</v>
      </c>
      <c r="Q562" s="34">
        <f t="shared" si="21"/>
        <v>0</v>
      </c>
      <c r="S562" s="4">
        <f>SUMIFS(Dump!E:E,Dump!B:B,C562,Dump!A:A,Y562)</f>
        <v>0</v>
      </c>
      <c r="T562" s="35">
        <f t="shared" si="22"/>
        <v>0</v>
      </c>
      <c r="V562" s="4">
        <f>SUMIFS(Dump!P:P,Dump!B:B,C562,Dump!A:A,Y562)</f>
        <v>0</v>
      </c>
      <c r="W562" s="37">
        <f t="shared" si="23"/>
        <v>0</v>
      </c>
      <c r="X562" s="39"/>
      <c r="Y562" s="54"/>
    </row>
    <row r="563">
      <c r="C563" s="53"/>
      <c r="G563" s="2" t="str">
        <f t="shared" si="27"/>
        <v/>
      </c>
      <c r="I563" s="4">
        <f>SUMIFS(Dump!D:D,Dump!B:B,C563)</f>
        <v>0</v>
      </c>
      <c r="J563" s="5">
        <f>SUMIFS(Dump!AE:AE,Dump!B:B,C563)</f>
        <v>0</v>
      </c>
      <c r="K563" s="4">
        <f>SUMPRODUCT(
  (TEXT(Dump!$A$2:$A994,"mmm-yy")=TEXT($Y563,"mmm-yy"))*
  (Dump!$B$2:$B994=$C563)*
  Dump!$D$2:$D994)</f>
        <v>0</v>
      </c>
      <c r="L563" s="4">
        <f>SUMPRODUCT(
  (TEXT(Dump!$A$2:$A994,"mmm-yy")=TEXT($Y563,"mmm-yy"))*
  (Dump!$B$2:$B994=$C563)*
  Dump!$E$2:$E994
)</f>
        <v>0</v>
      </c>
      <c r="M563" s="4">
        <f>SUMPRODUCT(
  (TEXT(Dump!$A$2:$A994,"mmm-yy")=TEXT($Y563,"mmm-yy"))*
  (Dump!$B$2:$B994=$C563)*
  Dump!$P$2:$P994
)</f>
        <v>0</v>
      </c>
      <c r="N563" s="32"/>
      <c r="O563" s="33">
        <f>SUMIFS(Dump!$D:$D,Dump!$B:$B,$C563,Dump!$A:$A,$Y563)</f>
        <v>0</v>
      </c>
      <c r="P563" s="33">
        <f>SUMIFS(Dump!R:R,Dump!B:B,C563,Dump!A:A,Y563)</f>
        <v>0</v>
      </c>
      <c r="Q563" s="34">
        <f t="shared" si="21"/>
        <v>0</v>
      </c>
      <c r="S563" s="4">
        <f>SUMIFS(Dump!E:E,Dump!B:B,C563,Dump!A:A,Y563)</f>
        <v>0</v>
      </c>
      <c r="T563" s="35">
        <f t="shared" si="22"/>
        <v>0</v>
      </c>
      <c r="V563" s="4">
        <f>SUMIFS(Dump!P:P,Dump!B:B,C563,Dump!A:A,Y563)</f>
        <v>0</v>
      </c>
      <c r="W563" s="37">
        <f t="shared" si="23"/>
        <v>0</v>
      </c>
      <c r="X563" s="39"/>
      <c r="Y563" s="54"/>
    </row>
    <row r="564">
      <c r="C564" s="53"/>
      <c r="G564" s="2" t="str">
        <f t="shared" si="27"/>
        <v/>
      </c>
      <c r="I564" s="4">
        <f>SUMIFS(Dump!D:D,Dump!B:B,C564)</f>
        <v>0</v>
      </c>
      <c r="J564" s="5">
        <f>SUMIFS(Dump!AE:AE,Dump!B:B,C564)</f>
        <v>0</v>
      </c>
      <c r="K564" s="4">
        <f>SUMPRODUCT(
  (TEXT(Dump!$A$2:$A994,"mmm-yy")=TEXT($Y564,"mmm-yy"))*
  (Dump!$B$2:$B994=$C564)*
  Dump!$D$2:$D994)</f>
        <v>0</v>
      </c>
      <c r="L564" s="4">
        <f>SUMPRODUCT(
  (TEXT(Dump!$A$2:$A994,"mmm-yy")=TEXT($Y564,"mmm-yy"))*
  (Dump!$B$2:$B994=$C564)*
  Dump!$E$2:$E994
)</f>
        <v>0</v>
      </c>
      <c r="M564" s="4">
        <f>SUMPRODUCT(
  (TEXT(Dump!$A$2:$A994,"mmm-yy")=TEXT($Y564,"mmm-yy"))*
  (Dump!$B$2:$B994=$C564)*
  Dump!$P$2:$P994
)</f>
        <v>0</v>
      </c>
      <c r="N564" s="32"/>
      <c r="O564" s="33">
        <f>SUMIFS(Dump!$D:$D,Dump!$B:$B,$C564,Dump!$A:$A,$Y564)</f>
        <v>0</v>
      </c>
      <c r="P564" s="33">
        <f>SUMIFS(Dump!R:R,Dump!B:B,C564,Dump!A:A,Y564)</f>
        <v>0</v>
      </c>
      <c r="Q564" s="34">
        <f t="shared" si="21"/>
        <v>0</v>
      </c>
      <c r="S564" s="4">
        <f>SUMIFS(Dump!E:E,Dump!B:B,C564,Dump!A:A,Y564)</f>
        <v>0</v>
      </c>
      <c r="T564" s="35">
        <f t="shared" si="22"/>
        <v>0</v>
      </c>
      <c r="V564" s="4">
        <f>SUMIFS(Dump!P:P,Dump!B:B,C564,Dump!A:A,Y564)</f>
        <v>0</v>
      </c>
      <c r="W564" s="37">
        <f t="shared" si="23"/>
        <v>0</v>
      </c>
      <c r="X564" s="39"/>
      <c r="Y564" s="54"/>
    </row>
    <row r="565">
      <c r="C565" s="53"/>
      <c r="G565" s="2" t="str">
        <f t="shared" si="27"/>
        <v/>
      </c>
      <c r="I565" s="4">
        <f>SUMIFS(Dump!D:D,Dump!B:B,C565)</f>
        <v>0</v>
      </c>
      <c r="J565" s="5">
        <f>SUMIFS(Dump!AE:AE,Dump!B:B,C565)</f>
        <v>0</v>
      </c>
      <c r="K565" s="4">
        <f>SUMPRODUCT(
  (TEXT(Dump!$A$2:$A994,"mmm-yy")=TEXT($Y565,"mmm-yy"))*
  (Dump!$B$2:$B994=$C565)*
  Dump!$D$2:$D994)</f>
        <v>0</v>
      </c>
      <c r="L565" s="4">
        <f>SUMPRODUCT(
  (TEXT(Dump!$A$2:$A994,"mmm-yy")=TEXT($Y565,"mmm-yy"))*
  (Dump!$B$2:$B994=$C565)*
  Dump!$E$2:$E994
)</f>
        <v>0</v>
      </c>
      <c r="M565" s="4">
        <f>SUMPRODUCT(
  (TEXT(Dump!$A$2:$A994,"mmm-yy")=TEXT($Y565,"mmm-yy"))*
  (Dump!$B$2:$B994=$C565)*
  Dump!$P$2:$P994
)</f>
        <v>0</v>
      </c>
      <c r="N565" s="32"/>
      <c r="O565" s="33">
        <f>SUMIFS(Dump!$D:$D,Dump!$B:$B,$C565,Dump!$A:$A,$Y565)</f>
        <v>0</v>
      </c>
      <c r="P565" s="33">
        <f>SUMIFS(Dump!R:R,Dump!B:B,C565,Dump!A:A,Y565)</f>
        <v>0</v>
      </c>
      <c r="Q565" s="34">
        <f t="shared" si="21"/>
        <v>0</v>
      </c>
      <c r="S565" s="4">
        <f>SUMIFS(Dump!E:E,Dump!B:B,C565,Dump!A:A,Y565)</f>
        <v>0</v>
      </c>
      <c r="T565" s="35">
        <f t="shared" si="22"/>
        <v>0</v>
      </c>
      <c r="V565" s="4">
        <f>SUMIFS(Dump!P:P,Dump!B:B,C565,Dump!A:A,Y565)</f>
        <v>0</v>
      </c>
      <c r="W565" s="37">
        <f t="shared" si="23"/>
        <v>0</v>
      </c>
      <c r="X565" s="39"/>
      <c r="Y565" s="54"/>
    </row>
    <row r="566">
      <c r="C566" s="53"/>
      <c r="G566" s="2" t="str">
        <f t="shared" si="27"/>
        <v/>
      </c>
      <c r="I566" s="4">
        <f>SUMIFS(Dump!D:D,Dump!B:B,C566)</f>
        <v>0</v>
      </c>
      <c r="J566" s="5">
        <f>SUMIFS(Dump!AE:AE,Dump!B:B,C566)</f>
        <v>0</v>
      </c>
      <c r="K566" s="4">
        <f>SUMPRODUCT(
  (TEXT(Dump!$A$2:$A994,"mmm-yy")=TEXT($Y566,"mmm-yy"))*
  (Dump!$B$2:$B994=$C566)*
  Dump!$D$2:$D994)</f>
        <v>0</v>
      </c>
      <c r="L566" s="4">
        <f>SUMPRODUCT(
  (TEXT(Dump!$A$2:$A994,"mmm-yy")=TEXT($Y566,"mmm-yy"))*
  (Dump!$B$2:$B994=$C566)*
  Dump!$E$2:$E994
)</f>
        <v>0</v>
      </c>
      <c r="M566" s="4">
        <f>SUMPRODUCT(
  (TEXT(Dump!$A$2:$A994,"mmm-yy")=TEXT($Y566,"mmm-yy"))*
  (Dump!$B$2:$B994=$C566)*
  Dump!$P$2:$P994
)</f>
        <v>0</v>
      </c>
      <c r="N566" s="32"/>
      <c r="O566" s="33">
        <f>SUMIFS(Dump!$D:$D,Dump!$B:$B,$C566,Dump!$A:$A,$Y566)</f>
        <v>0</v>
      </c>
      <c r="P566" s="33">
        <f>SUMIFS(Dump!R:R,Dump!B:B,C566,Dump!A:A,Y566)</f>
        <v>0</v>
      </c>
      <c r="Q566" s="34">
        <f t="shared" si="21"/>
        <v>0</v>
      </c>
      <c r="S566" s="4">
        <f>SUMIFS(Dump!E:E,Dump!B:B,C566,Dump!A:A,Y566)</f>
        <v>0</v>
      </c>
      <c r="T566" s="35">
        <f t="shared" si="22"/>
        <v>0</v>
      </c>
      <c r="V566" s="4">
        <f>SUMIFS(Dump!P:P,Dump!B:B,C566,Dump!A:A,Y566)</f>
        <v>0</v>
      </c>
      <c r="W566" s="37">
        <f t="shared" si="23"/>
        <v>0</v>
      </c>
      <c r="X566" s="39"/>
      <c r="Y566" s="54"/>
    </row>
    <row r="567">
      <c r="C567" s="53"/>
      <c r="G567" s="2" t="str">
        <f t="shared" si="27"/>
        <v/>
      </c>
      <c r="I567" s="4">
        <f>SUMIFS(Dump!D:D,Dump!B:B,C567)</f>
        <v>0</v>
      </c>
      <c r="J567" s="5">
        <f>SUMIFS(Dump!AE:AE,Dump!B:B,C567)</f>
        <v>0</v>
      </c>
      <c r="K567" s="4">
        <f>SUMPRODUCT(
  (TEXT(Dump!$A$2:$A994,"mmm-yy")=TEXT($Y567,"mmm-yy"))*
  (Dump!$B$2:$B994=$C567)*
  Dump!$D$2:$D994)</f>
        <v>0</v>
      </c>
      <c r="L567" s="4">
        <f>SUMPRODUCT(
  (TEXT(Dump!$A$2:$A994,"mmm-yy")=TEXT($Y567,"mmm-yy"))*
  (Dump!$B$2:$B994=$C567)*
  Dump!$E$2:$E994
)</f>
        <v>0</v>
      </c>
      <c r="M567" s="4">
        <f>SUMPRODUCT(
  (TEXT(Dump!$A$2:$A994,"mmm-yy")=TEXT($Y567,"mmm-yy"))*
  (Dump!$B$2:$B994=$C567)*
  Dump!$P$2:$P994
)</f>
        <v>0</v>
      </c>
      <c r="N567" s="32"/>
      <c r="O567" s="33">
        <f>SUMIFS(Dump!$D:$D,Dump!$B:$B,$C567,Dump!$A:$A,$Y567)</f>
        <v>0</v>
      </c>
      <c r="P567" s="33">
        <f>SUMIFS(Dump!R:R,Dump!B:B,C567,Dump!A:A,Y567)</f>
        <v>0</v>
      </c>
      <c r="Q567" s="34">
        <f t="shared" si="21"/>
        <v>0</v>
      </c>
      <c r="S567" s="4">
        <f>SUMIFS(Dump!E:E,Dump!B:B,C567,Dump!A:A,Y567)</f>
        <v>0</v>
      </c>
      <c r="T567" s="35">
        <f t="shared" si="22"/>
        <v>0</v>
      </c>
      <c r="V567" s="4">
        <f>SUMIFS(Dump!P:P,Dump!B:B,C567,Dump!A:A,Y567)</f>
        <v>0</v>
      </c>
      <c r="W567" s="37">
        <f t="shared" si="23"/>
        <v>0</v>
      </c>
      <c r="X567" s="39"/>
      <c r="Y567" s="54"/>
    </row>
    <row r="568">
      <c r="C568" s="53"/>
      <c r="G568" s="2" t="str">
        <f t="shared" si="27"/>
        <v/>
      </c>
      <c r="I568" s="4">
        <f>SUMIFS(Dump!D:D,Dump!B:B,C568)</f>
        <v>0</v>
      </c>
      <c r="J568" s="5">
        <f>SUMIFS(Dump!AE:AE,Dump!B:B,C568)</f>
        <v>0</v>
      </c>
      <c r="K568" s="4">
        <f>SUMPRODUCT(
  (TEXT(Dump!$A$2:$A994,"mmm-yy")=TEXT($Y568,"mmm-yy"))*
  (Dump!$B$2:$B994=$C568)*
  Dump!$D$2:$D994)</f>
        <v>0</v>
      </c>
      <c r="L568" s="4">
        <f>SUMPRODUCT(
  (TEXT(Dump!$A$2:$A994,"mmm-yy")=TEXT($Y568,"mmm-yy"))*
  (Dump!$B$2:$B994=$C568)*
  Dump!$E$2:$E994
)</f>
        <v>0</v>
      </c>
      <c r="M568" s="4">
        <f>SUMPRODUCT(
  (TEXT(Dump!$A$2:$A994,"mmm-yy")=TEXT($Y568,"mmm-yy"))*
  (Dump!$B$2:$B994=$C568)*
  Dump!$P$2:$P994
)</f>
        <v>0</v>
      </c>
      <c r="N568" s="32"/>
      <c r="O568" s="33">
        <f>SUMIFS(Dump!$D:$D,Dump!$B:$B,$C568,Dump!$A:$A,$Y568)</f>
        <v>0</v>
      </c>
      <c r="P568" s="33">
        <f>SUMIFS(Dump!R:R,Dump!B:B,C568,Dump!A:A,Y568)</f>
        <v>0</v>
      </c>
      <c r="Q568" s="34">
        <f t="shared" si="21"/>
        <v>0</v>
      </c>
      <c r="S568" s="4">
        <f>SUMIFS(Dump!E:E,Dump!B:B,C568,Dump!A:A,Y568)</f>
        <v>0</v>
      </c>
      <c r="T568" s="35">
        <f t="shared" si="22"/>
        <v>0</v>
      </c>
      <c r="V568" s="4">
        <f>SUMIFS(Dump!P:P,Dump!B:B,C568,Dump!A:A,Y568)</f>
        <v>0</v>
      </c>
      <c r="W568" s="37">
        <f t="shared" si="23"/>
        <v>0</v>
      </c>
      <c r="X568" s="39"/>
      <c r="Y568" s="54"/>
    </row>
    <row r="569">
      <c r="C569" s="53"/>
      <c r="G569" s="2" t="str">
        <f t="shared" si="27"/>
        <v/>
      </c>
      <c r="I569" s="4">
        <f>SUMIFS(Dump!D:D,Dump!B:B,C569)</f>
        <v>0</v>
      </c>
      <c r="J569" s="5">
        <f>SUMIFS(Dump!AE:AE,Dump!B:B,C569)</f>
        <v>0</v>
      </c>
      <c r="K569" s="4">
        <f>SUMPRODUCT(
  (TEXT(Dump!$A$2:$A994,"mmm-yy")=TEXT($Y569,"mmm-yy"))*
  (Dump!$B$2:$B994=$C569)*
  Dump!$D$2:$D994)</f>
        <v>0</v>
      </c>
      <c r="L569" s="4">
        <f>SUMPRODUCT(
  (TEXT(Dump!$A$2:$A994,"mmm-yy")=TEXT($Y569,"mmm-yy"))*
  (Dump!$B$2:$B994=$C569)*
  Dump!$E$2:$E994
)</f>
        <v>0</v>
      </c>
      <c r="M569" s="4">
        <f>SUMPRODUCT(
  (TEXT(Dump!$A$2:$A994,"mmm-yy")=TEXT($Y569,"mmm-yy"))*
  (Dump!$B$2:$B994=$C569)*
  Dump!$P$2:$P994
)</f>
        <v>0</v>
      </c>
      <c r="N569" s="32"/>
      <c r="O569" s="33">
        <f>SUMIFS(Dump!$D:$D,Dump!$B:$B,$C569,Dump!$A:$A,$Y569)</f>
        <v>0</v>
      </c>
      <c r="P569" s="33">
        <f>SUMIFS(Dump!R:R,Dump!B:B,C569,Dump!A:A,Y569)</f>
        <v>0</v>
      </c>
      <c r="Q569" s="34">
        <f t="shared" si="21"/>
        <v>0</v>
      </c>
      <c r="S569" s="4">
        <f>SUMIFS(Dump!E:E,Dump!B:B,C569,Dump!A:A,Y569)</f>
        <v>0</v>
      </c>
      <c r="T569" s="35">
        <f t="shared" si="22"/>
        <v>0</v>
      </c>
      <c r="V569" s="4">
        <f>SUMIFS(Dump!P:P,Dump!B:B,C569,Dump!A:A,Y569)</f>
        <v>0</v>
      </c>
      <c r="W569" s="37">
        <f t="shared" si="23"/>
        <v>0</v>
      </c>
      <c r="X569" s="39"/>
      <c r="Y569" s="54"/>
    </row>
    <row r="570">
      <c r="C570" s="53"/>
      <c r="G570" s="2" t="str">
        <f t="shared" si="27"/>
        <v/>
      </c>
      <c r="I570" s="4">
        <f>SUMIFS(Dump!D:D,Dump!B:B,C570)</f>
        <v>0</v>
      </c>
      <c r="J570" s="5">
        <f>SUMIFS(Dump!AE:AE,Dump!B:B,C570)</f>
        <v>0</v>
      </c>
      <c r="K570" s="4">
        <f>SUMPRODUCT(
  (TEXT(Dump!$A$2:$A994,"mmm-yy")=TEXT($Y570,"mmm-yy"))*
  (Dump!$B$2:$B994=$C570)*
  Dump!$D$2:$D994)</f>
        <v>0</v>
      </c>
      <c r="L570" s="4">
        <f>SUMPRODUCT(
  (TEXT(Dump!$A$2:$A994,"mmm-yy")=TEXT($Y570,"mmm-yy"))*
  (Dump!$B$2:$B994=$C570)*
  Dump!$E$2:$E994
)</f>
        <v>0</v>
      </c>
      <c r="M570" s="4">
        <f>SUMPRODUCT(
  (TEXT(Dump!$A$2:$A994,"mmm-yy")=TEXT($Y570,"mmm-yy"))*
  (Dump!$B$2:$B994=$C570)*
  Dump!$P$2:$P994
)</f>
        <v>0</v>
      </c>
      <c r="N570" s="32"/>
      <c r="O570" s="33">
        <f>SUMIFS(Dump!$D:$D,Dump!$B:$B,$C570,Dump!$A:$A,$Y570)</f>
        <v>0</v>
      </c>
      <c r="P570" s="33">
        <f>SUMIFS(Dump!R:R,Dump!B:B,C570,Dump!A:A,Y570)</f>
        <v>0</v>
      </c>
      <c r="Q570" s="34">
        <f t="shared" si="21"/>
        <v>0</v>
      </c>
      <c r="S570" s="4">
        <f>SUMIFS(Dump!E:E,Dump!B:B,C570,Dump!A:A,Y570)</f>
        <v>0</v>
      </c>
      <c r="T570" s="35">
        <f t="shared" si="22"/>
        <v>0</v>
      </c>
      <c r="V570" s="4">
        <f>SUMIFS(Dump!P:P,Dump!B:B,C570,Dump!A:A,Y570)</f>
        <v>0</v>
      </c>
      <c r="W570" s="37">
        <f t="shared" si="23"/>
        <v>0</v>
      </c>
      <c r="X570" s="39"/>
      <c r="Y570" s="54"/>
    </row>
    <row r="571">
      <c r="C571" s="53"/>
      <c r="G571" s="2" t="str">
        <f t="shared" si="27"/>
        <v/>
      </c>
      <c r="I571" s="4">
        <f>SUMIFS(Dump!D:D,Dump!B:B,C571)</f>
        <v>0</v>
      </c>
      <c r="J571" s="5">
        <f>SUMIFS(Dump!AE:AE,Dump!B:B,C571)</f>
        <v>0</v>
      </c>
      <c r="K571" s="4">
        <f>SUMPRODUCT(
  (TEXT(Dump!$A$2:$A994,"mmm-yy")=TEXT($Y571,"mmm-yy"))*
  (Dump!$B$2:$B994=$C571)*
  Dump!$D$2:$D994)</f>
        <v>0</v>
      </c>
      <c r="L571" s="4">
        <f>SUMPRODUCT(
  (TEXT(Dump!$A$2:$A994,"mmm-yy")=TEXT($Y571,"mmm-yy"))*
  (Dump!$B$2:$B994=$C571)*
  Dump!$E$2:$E994
)</f>
        <v>0</v>
      </c>
      <c r="M571" s="4">
        <f>SUMPRODUCT(
  (TEXT(Dump!$A$2:$A994,"mmm-yy")=TEXT($Y571,"mmm-yy"))*
  (Dump!$B$2:$B994=$C571)*
  Dump!$P$2:$P994
)</f>
        <v>0</v>
      </c>
      <c r="N571" s="32"/>
      <c r="O571" s="33">
        <f>SUMIFS(Dump!$D:$D,Dump!$B:$B,$C571,Dump!$A:$A,$Y571)</f>
        <v>0</v>
      </c>
      <c r="P571" s="33">
        <f>SUMIFS(Dump!R:R,Dump!B:B,C571,Dump!A:A,Y571)</f>
        <v>0</v>
      </c>
      <c r="Q571" s="34">
        <f t="shared" si="21"/>
        <v>0</v>
      </c>
      <c r="S571" s="4">
        <f>SUMIFS(Dump!E:E,Dump!B:B,C571,Dump!A:A,Y571)</f>
        <v>0</v>
      </c>
      <c r="T571" s="35">
        <f t="shared" si="22"/>
        <v>0</v>
      </c>
      <c r="V571" s="4">
        <f>SUMIFS(Dump!P:P,Dump!B:B,C571,Dump!A:A,Y571)</f>
        <v>0</v>
      </c>
      <c r="W571" s="37">
        <f t="shared" si="23"/>
        <v>0</v>
      </c>
      <c r="X571" s="39"/>
      <c r="Y571" s="54"/>
    </row>
    <row r="572">
      <c r="C572" s="53"/>
      <c r="G572" s="2" t="str">
        <f t="shared" si="27"/>
        <v/>
      </c>
      <c r="I572" s="4">
        <f>SUMIFS(Dump!D:D,Dump!B:B,C572)</f>
        <v>0</v>
      </c>
      <c r="J572" s="5">
        <f>SUMIFS(Dump!AE:AE,Dump!B:B,C572)</f>
        <v>0</v>
      </c>
      <c r="K572" s="4">
        <f>SUMPRODUCT(
  (TEXT(Dump!$A$2:$A994,"mmm-yy")=TEXT($Y572,"mmm-yy"))*
  (Dump!$B$2:$B994=$C572)*
  Dump!$D$2:$D994)</f>
        <v>0</v>
      </c>
      <c r="L572" s="4">
        <f>SUMPRODUCT(
  (TEXT(Dump!$A$2:$A994,"mmm-yy")=TEXT($Y572,"mmm-yy"))*
  (Dump!$B$2:$B994=$C572)*
  Dump!$E$2:$E994
)</f>
        <v>0</v>
      </c>
      <c r="M572" s="4">
        <f>SUMPRODUCT(
  (TEXT(Dump!$A$2:$A994,"mmm-yy")=TEXT($Y572,"mmm-yy"))*
  (Dump!$B$2:$B994=$C572)*
  Dump!$P$2:$P994
)</f>
        <v>0</v>
      </c>
      <c r="N572" s="32"/>
      <c r="O572" s="33">
        <f>SUMIFS(Dump!$D:$D,Dump!$B:$B,$C572,Dump!$A:$A,$Y572)</f>
        <v>0</v>
      </c>
      <c r="P572" s="33">
        <f>SUMIFS(Dump!R:R,Dump!B:B,C572,Dump!A:A,Y572)</f>
        <v>0</v>
      </c>
      <c r="Q572" s="34">
        <f t="shared" si="21"/>
        <v>0</v>
      </c>
      <c r="S572" s="4">
        <f>SUMIFS(Dump!E:E,Dump!B:B,C572,Dump!A:A,Y572)</f>
        <v>0</v>
      </c>
      <c r="T572" s="35">
        <f t="shared" si="22"/>
        <v>0</v>
      </c>
      <c r="V572" s="4">
        <f>SUMIFS(Dump!P:P,Dump!B:B,C572,Dump!A:A,Y572)</f>
        <v>0</v>
      </c>
      <c r="W572" s="37">
        <f t="shared" si="23"/>
        <v>0</v>
      </c>
      <c r="X572" s="39"/>
      <c r="Y572" s="54"/>
    </row>
    <row r="573">
      <c r="C573" s="53"/>
      <c r="G573" s="2" t="str">
        <f t="shared" si="27"/>
        <v/>
      </c>
      <c r="I573" s="4">
        <f>SUMIFS(Dump!D:D,Dump!B:B,C573)</f>
        <v>0</v>
      </c>
      <c r="J573" s="5">
        <f>SUMIFS(Dump!AE:AE,Dump!B:B,C573)</f>
        <v>0</v>
      </c>
      <c r="K573" s="4">
        <f>SUMPRODUCT(
  (TEXT(Dump!$A$2:$A994,"mmm-yy")=TEXT($Y573,"mmm-yy"))*
  (Dump!$B$2:$B994=$C573)*
  Dump!$D$2:$D994)</f>
        <v>0</v>
      </c>
      <c r="L573" s="4">
        <f>SUMPRODUCT(
  (TEXT(Dump!$A$2:$A994,"mmm-yy")=TEXT($Y573,"mmm-yy"))*
  (Dump!$B$2:$B994=$C573)*
  Dump!$E$2:$E994
)</f>
        <v>0</v>
      </c>
      <c r="M573" s="4">
        <f>SUMPRODUCT(
  (TEXT(Dump!$A$2:$A994,"mmm-yy")=TEXT($Y573,"mmm-yy"))*
  (Dump!$B$2:$B994=$C573)*
  Dump!$P$2:$P994
)</f>
        <v>0</v>
      </c>
      <c r="N573" s="32"/>
      <c r="O573" s="33">
        <f>SUMIFS(Dump!$D:$D,Dump!$B:$B,$C573,Dump!$A:$A,$Y573)</f>
        <v>0</v>
      </c>
      <c r="P573" s="33">
        <f>SUMIFS(Dump!R:R,Dump!B:B,C573,Dump!A:A,Y573)</f>
        <v>0</v>
      </c>
      <c r="Q573" s="34">
        <f t="shared" si="21"/>
        <v>0</v>
      </c>
      <c r="S573" s="4">
        <f>SUMIFS(Dump!E:E,Dump!B:B,C573,Dump!A:A,Y573)</f>
        <v>0</v>
      </c>
      <c r="T573" s="35">
        <f t="shared" si="22"/>
        <v>0</v>
      </c>
      <c r="V573" s="4">
        <f>SUMIFS(Dump!P:P,Dump!B:B,C573,Dump!A:A,Y573)</f>
        <v>0</v>
      </c>
      <c r="W573" s="37">
        <f t="shared" si="23"/>
        <v>0</v>
      </c>
      <c r="X573" s="39"/>
      <c r="Y573" s="54"/>
    </row>
    <row r="574">
      <c r="C574" s="53"/>
      <c r="G574" s="2" t="str">
        <f t="shared" si="27"/>
        <v/>
      </c>
      <c r="I574" s="4">
        <f>SUMIFS(Dump!D:D,Dump!B:B,C574)</f>
        <v>0</v>
      </c>
      <c r="J574" s="5">
        <f>SUMIFS(Dump!AE:AE,Dump!B:B,C574)</f>
        <v>0</v>
      </c>
      <c r="K574" s="4">
        <f>SUMPRODUCT(
  (TEXT(Dump!$A$2:$A994,"mmm-yy")=TEXT($Y574,"mmm-yy"))*
  (Dump!$B$2:$B994=$C574)*
  Dump!$D$2:$D994)</f>
        <v>0</v>
      </c>
      <c r="L574" s="4">
        <f>SUMPRODUCT(
  (TEXT(Dump!$A$2:$A994,"mmm-yy")=TEXT($Y574,"mmm-yy"))*
  (Dump!$B$2:$B994=$C574)*
  Dump!$E$2:$E994
)</f>
        <v>0</v>
      </c>
      <c r="M574" s="4">
        <f>SUMPRODUCT(
  (TEXT(Dump!$A$2:$A994,"mmm-yy")=TEXT($Y574,"mmm-yy"))*
  (Dump!$B$2:$B994=$C574)*
  Dump!$P$2:$P994
)</f>
        <v>0</v>
      </c>
      <c r="N574" s="32"/>
      <c r="O574" s="33">
        <f>SUMIFS(Dump!$D:$D,Dump!$B:$B,$C574,Dump!$A:$A,$Y574)</f>
        <v>0</v>
      </c>
      <c r="P574" s="33">
        <f>SUMIFS(Dump!R:R,Dump!B:B,C574,Dump!A:A,Y574)</f>
        <v>0</v>
      </c>
      <c r="Q574" s="34">
        <f t="shared" si="21"/>
        <v>0</v>
      </c>
      <c r="S574" s="4">
        <f>SUMIFS(Dump!E:E,Dump!B:B,C574,Dump!A:A,Y574)</f>
        <v>0</v>
      </c>
      <c r="T574" s="35">
        <f t="shared" si="22"/>
        <v>0</v>
      </c>
      <c r="V574" s="4">
        <f>SUMIFS(Dump!P:P,Dump!B:B,C574,Dump!A:A,Y574)</f>
        <v>0</v>
      </c>
      <c r="W574" s="37">
        <f t="shared" si="23"/>
        <v>0</v>
      </c>
      <c r="X574" s="39"/>
      <c r="Y574" s="54"/>
    </row>
    <row r="575">
      <c r="C575" s="53"/>
      <c r="G575" s="2" t="str">
        <f t="shared" si="27"/>
        <v/>
      </c>
      <c r="I575" s="4">
        <f>SUMIFS(Dump!D:D,Dump!B:B,C575)</f>
        <v>0</v>
      </c>
      <c r="J575" s="5">
        <f>SUMIFS(Dump!AE:AE,Dump!B:B,C575)</f>
        <v>0</v>
      </c>
      <c r="K575" s="4">
        <f>SUMPRODUCT(
  (TEXT(Dump!$A$2:$A994,"mmm-yy")=TEXT($Y575,"mmm-yy"))*
  (Dump!$B$2:$B994=$C575)*
  Dump!$D$2:$D994)</f>
        <v>0</v>
      </c>
      <c r="L575" s="4">
        <f>SUMPRODUCT(
  (TEXT(Dump!$A$2:$A994,"mmm-yy")=TEXT($Y575,"mmm-yy"))*
  (Dump!$B$2:$B994=$C575)*
  Dump!$E$2:$E994
)</f>
        <v>0</v>
      </c>
      <c r="M575" s="4">
        <f>SUMPRODUCT(
  (TEXT(Dump!$A$2:$A994,"mmm-yy")=TEXT($Y575,"mmm-yy"))*
  (Dump!$B$2:$B994=$C575)*
  Dump!$P$2:$P994
)</f>
        <v>0</v>
      </c>
      <c r="N575" s="32"/>
      <c r="O575" s="33">
        <f>SUMIFS(Dump!$D:$D,Dump!$B:$B,$C575,Dump!$A:$A,$Y575)</f>
        <v>0</v>
      </c>
      <c r="P575" s="33">
        <f>SUMIFS(Dump!R:R,Dump!B:B,C575,Dump!A:A,Y575)</f>
        <v>0</v>
      </c>
      <c r="Q575" s="34">
        <f t="shared" si="21"/>
        <v>0</v>
      </c>
      <c r="S575" s="4">
        <f>SUMIFS(Dump!E:E,Dump!B:B,C575,Dump!A:A,Y575)</f>
        <v>0</v>
      </c>
      <c r="T575" s="35">
        <f t="shared" si="22"/>
        <v>0</v>
      </c>
      <c r="V575" s="4">
        <f>SUMIFS(Dump!P:P,Dump!B:B,C575,Dump!A:A,Y575)</f>
        <v>0</v>
      </c>
      <c r="W575" s="37">
        <f t="shared" si="23"/>
        <v>0</v>
      </c>
      <c r="X575" s="39"/>
      <c r="Y575" s="54"/>
    </row>
    <row r="576">
      <c r="C576" s="53"/>
      <c r="G576" s="2" t="str">
        <f t="shared" si="27"/>
        <v/>
      </c>
      <c r="I576" s="4">
        <f>SUMIFS(Dump!D:D,Dump!B:B,C576)</f>
        <v>0</v>
      </c>
      <c r="J576" s="5">
        <f>SUMIFS(Dump!AE:AE,Dump!B:B,C576)</f>
        <v>0</v>
      </c>
      <c r="K576" s="4">
        <f>SUMPRODUCT(
  (TEXT(Dump!$A$2:$A994,"mmm-yy")=TEXT($Y576,"mmm-yy"))*
  (Dump!$B$2:$B994=$C576)*
  Dump!$D$2:$D994)</f>
        <v>0</v>
      </c>
      <c r="L576" s="4">
        <f>SUMPRODUCT(
  (TEXT(Dump!$A$2:$A994,"mmm-yy")=TEXT($Y576,"mmm-yy"))*
  (Dump!$B$2:$B994=$C576)*
  Dump!$E$2:$E994
)</f>
        <v>0</v>
      </c>
      <c r="M576" s="4">
        <f>SUMPRODUCT(
  (TEXT(Dump!$A$2:$A994,"mmm-yy")=TEXT($Y576,"mmm-yy"))*
  (Dump!$B$2:$B994=$C576)*
  Dump!$P$2:$P994
)</f>
        <v>0</v>
      </c>
      <c r="N576" s="32"/>
      <c r="O576" s="33">
        <f>SUMIFS(Dump!$D:$D,Dump!$B:$B,$C576,Dump!$A:$A,$Y576)</f>
        <v>0</v>
      </c>
      <c r="P576" s="33">
        <f>SUMIFS(Dump!R:R,Dump!B:B,C576,Dump!A:A,Y576)</f>
        <v>0</v>
      </c>
      <c r="Q576" s="34">
        <f t="shared" si="21"/>
        <v>0</v>
      </c>
      <c r="S576" s="4">
        <f>SUMIFS(Dump!E:E,Dump!B:B,C576,Dump!A:A,Y576)</f>
        <v>0</v>
      </c>
      <c r="T576" s="35">
        <f t="shared" si="22"/>
        <v>0</v>
      </c>
      <c r="V576" s="4">
        <f>SUMIFS(Dump!P:P,Dump!B:B,C576,Dump!A:A,Y576)</f>
        <v>0</v>
      </c>
      <c r="W576" s="37">
        <f t="shared" si="23"/>
        <v>0</v>
      </c>
      <c r="X576" s="39"/>
      <c r="Y576" s="54"/>
    </row>
    <row r="577">
      <c r="C577" s="53"/>
      <c r="G577" s="2" t="str">
        <f t="shared" si="27"/>
        <v/>
      </c>
      <c r="I577" s="4">
        <f>SUMIFS(Dump!D:D,Dump!B:B,C577)</f>
        <v>0</v>
      </c>
      <c r="J577" s="5">
        <f>SUMIFS(Dump!AE:AE,Dump!B:B,C577)</f>
        <v>0</v>
      </c>
      <c r="K577" s="4">
        <f>SUMPRODUCT(
  (TEXT(Dump!$A$2:$A994,"mmm-yy")=TEXT($Y577,"mmm-yy"))*
  (Dump!$B$2:$B994=$C577)*
  Dump!$D$2:$D994)</f>
        <v>0</v>
      </c>
      <c r="L577" s="4">
        <f>SUMPRODUCT(
  (TEXT(Dump!$A$2:$A994,"mmm-yy")=TEXT($Y577,"mmm-yy"))*
  (Dump!$B$2:$B994=$C577)*
  Dump!$E$2:$E994
)</f>
        <v>0</v>
      </c>
      <c r="M577" s="4">
        <f>SUMPRODUCT(
  (TEXT(Dump!$A$2:$A994,"mmm-yy")=TEXT($Y577,"mmm-yy"))*
  (Dump!$B$2:$B994=$C577)*
  Dump!$P$2:$P994
)</f>
        <v>0</v>
      </c>
      <c r="N577" s="32"/>
      <c r="O577" s="33">
        <f>SUMIFS(Dump!$D:$D,Dump!$B:$B,$C577,Dump!$A:$A,$Y577)</f>
        <v>0</v>
      </c>
      <c r="P577" s="33">
        <f>SUMIFS(Dump!R:R,Dump!B:B,C577,Dump!A:A,Y577)</f>
        <v>0</v>
      </c>
      <c r="Q577" s="34">
        <f t="shared" si="21"/>
        <v>0</v>
      </c>
      <c r="S577" s="4">
        <f>SUMIFS(Dump!E:E,Dump!B:B,C577,Dump!A:A,Y577)</f>
        <v>0</v>
      </c>
      <c r="T577" s="35">
        <f t="shared" si="22"/>
        <v>0</v>
      </c>
      <c r="V577" s="4">
        <f>SUMIFS(Dump!P:P,Dump!B:B,C577,Dump!A:A,Y577)</f>
        <v>0</v>
      </c>
      <c r="W577" s="37">
        <f t="shared" si="23"/>
        <v>0</v>
      </c>
      <c r="X577" s="39"/>
      <c r="Y577" s="54"/>
    </row>
    <row r="578">
      <c r="C578" s="53"/>
      <c r="G578" s="2" t="str">
        <f t="shared" si="27"/>
        <v/>
      </c>
      <c r="I578" s="4">
        <f>SUMIFS(Dump!D:D,Dump!B:B,C578)</f>
        <v>0</v>
      </c>
      <c r="J578" s="5">
        <f>SUMIFS(Dump!AE:AE,Dump!B:B,C578)</f>
        <v>0</v>
      </c>
      <c r="K578" s="4">
        <f>SUMPRODUCT(
  (TEXT(Dump!$A$2:$A994,"mmm-yy")=TEXT($Y578,"mmm-yy"))*
  (Dump!$B$2:$B994=$C578)*
  Dump!$D$2:$D994)</f>
        <v>0</v>
      </c>
      <c r="L578" s="4">
        <f>SUMPRODUCT(
  (TEXT(Dump!$A$2:$A994,"mmm-yy")=TEXT($Y578,"mmm-yy"))*
  (Dump!$B$2:$B994=$C578)*
  Dump!$E$2:$E994
)</f>
        <v>0</v>
      </c>
      <c r="M578" s="4">
        <f>SUMPRODUCT(
  (TEXT(Dump!$A$2:$A994,"mmm-yy")=TEXT($Y578,"mmm-yy"))*
  (Dump!$B$2:$B994=$C578)*
  Dump!$P$2:$P994
)</f>
        <v>0</v>
      </c>
      <c r="N578" s="32"/>
      <c r="O578" s="33">
        <f>SUMIFS(Dump!$D:$D,Dump!$B:$B,$C578,Dump!$A:$A,$Y578)</f>
        <v>0</v>
      </c>
      <c r="P578" s="33">
        <f>SUMIFS(Dump!R:R,Dump!B:B,C578,Dump!A:A,Y578)</f>
        <v>0</v>
      </c>
      <c r="Q578" s="34">
        <f t="shared" si="21"/>
        <v>0</v>
      </c>
      <c r="S578" s="4">
        <f>SUMIFS(Dump!E:E,Dump!B:B,C578,Dump!A:A,Y578)</f>
        <v>0</v>
      </c>
      <c r="T578" s="35">
        <f t="shared" si="22"/>
        <v>0</v>
      </c>
      <c r="V578" s="4">
        <f>SUMIFS(Dump!P:P,Dump!B:B,C578,Dump!A:A,Y578)</f>
        <v>0</v>
      </c>
      <c r="W578" s="37">
        <f t="shared" si="23"/>
        <v>0</v>
      </c>
      <c r="X578" s="39"/>
      <c r="Y578" s="54"/>
    </row>
    <row r="579">
      <c r="C579" s="53"/>
      <c r="G579" s="2" t="str">
        <f t="shared" si="27"/>
        <v/>
      </c>
      <c r="I579" s="4">
        <f>SUMIFS(Dump!D:D,Dump!B:B,C579)</f>
        <v>0</v>
      </c>
      <c r="J579" s="5">
        <f>SUMIFS(Dump!AE:AE,Dump!B:B,C579)</f>
        <v>0</v>
      </c>
      <c r="K579" s="4">
        <f>SUMPRODUCT(
  (TEXT(Dump!$A$2:$A994,"mmm-yy")=TEXT($Y579,"mmm-yy"))*
  (Dump!$B$2:$B994=$C579)*
  Dump!$D$2:$D994)</f>
        <v>0</v>
      </c>
      <c r="L579" s="4">
        <f>SUMPRODUCT(
  (TEXT(Dump!$A$2:$A994,"mmm-yy")=TEXT($Y579,"mmm-yy"))*
  (Dump!$B$2:$B994=$C579)*
  Dump!$E$2:$E994
)</f>
        <v>0</v>
      </c>
      <c r="M579" s="4">
        <f>SUMPRODUCT(
  (TEXT(Dump!$A$2:$A994,"mmm-yy")=TEXT($Y579,"mmm-yy"))*
  (Dump!$B$2:$B994=$C579)*
  Dump!$P$2:$P994
)</f>
        <v>0</v>
      </c>
      <c r="N579" s="32"/>
      <c r="O579" s="33">
        <f>SUMIFS(Dump!$D:$D,Dump!$B:$B,$C579,Dump!$A:$A,$Y579)</f>
        <v>0</v>
      </c>
      <c r="P579" s="33">
        <f>SUMIFS(Dump!R:R,Dump!B:B,C579,Dump!A:A,Y579)</f>
        <v>0</v>
      </c>
      <c r="Q579" s="34">
        <f t="shared" si="21"/>
        <v>0</v>
      </c>
      <c r="S579" s="4">
        <f>SUMIFS(Dump!E:E,Dump!B:B,C579,Dump!A:A,Y579)</f>
        <v>0</v>
      </c>
      <c r="T579" s="35">
        <f t="shared" si="22"/>
        <v>0</v>
      </c>
      <c r="V579" s="4">
        <f>SUMIFS(Dump!P:P,Dump!B:B,C579,Dump!A:A,Y579)</f>
        <v>0</v>
      </c>
      <c r="W579" s="37">
        <f t="shared" si="23"/>
        <v>0</v>
      </c>
      <c r="X579" s="39"/>
      <c r="Y579" s="54"/>
    </row>
    <row r="580">
      <c r="C580" s="53"/>
      <c r="G580" s="2" t="str">
        <f t="shared" si="27"/>
        <v/>
      </c>
      <c r="I580" s="4">
        <f>SUMIFS(Dump!D:D,Dump!B:B,C580)</f>
        <v>0</v>
      </c>
      <c r="J580" s="5">
        <f>SUMIFS(Dump!AE:AE,Dump!B:B,C580)</f>
        <v>0</v>
      </c>
      <c r="K580" s="4">
        <f>SUMPRODUCT(
  (TEXT(Dump!$A$2:$A994,"mmm-yy")=TEXT($Y580,"mmm-yy"))*
  (Dump!$B$2:$B994=$C580)*
  Dump!$D$2:$D994)</f>
        <v>0</v>
      </c>
      <c r="L580" s="4">
        <f>SUMPRODUCT(
  (TEXT(Dump!$A$2:$A994,"mmm-yy")=TEXT($Y580,"mmm-yy"))*
  (Dump!$B$2:$B994=$C580)*
  Dump!$E$2:$E994
)</f>
        <v>0</v>
      </c>
      <c r="M580" s="4">
        <f>SUMPRODUCT(
  (TEXT(Dump!$A$2:$A994,"mmm-yy")=TEXT($Y580,"mmm-yy"))*
  (Dump!$B$2:$B994=$C580)*
  Dump!$P$2:$P994
)</f>
        <v>0</v>
      </c>
      <c r="N580" s="32"/>
      <c r="O580" s="33">
        <f>SUMIFS(Dump!$D:$D,Dump!$B:$B,$C580,Dump!$A:$A,$Y580)</f>
        <v>0</v>
      </c>
      <c r="P580" s="33">
        <f>SUMIFS(Dump!R:R,Dump!B:B,C580,Dump!A:A,Y580)</f>
        <v>0</v>
      </c>
      <c r="Q580" s="34">
        <f t="shared" si="21"/>
        <v>0</v>
      </c>
      <c r="S580" s="4">
        <f>SUMIFS(Dump!E:E,Dump!B:B,C580,Dump!A:A,Y580)</f>
        <v>0</v>
      </c>
      <c r="T580" s="35">
        <f t="shared" si="22"/>
        <v>0</v>
      </c>
      <c r="V580" s="4">
        <f>SUMIFS(Dump!P:P,Dump!B:B,C580,Dump!A:A,Y580)</f>
        <v>0</v>
      </c>
      <c r="W580" s="37">
        <f t="shared" si="23"/>
        <v>0</v>
      </c>
      <c r="X580" s="39"/>
      <c r="Y580" s="54"/>
    </row>
    <row r="581">
      <c r="C581" s="53"/>
      <c r="G581" s="2" t="str">
        <f t="shared" si="27"/>
        <v/>
      </c>
      <c r="I581" s="4">
        <f>SUMIFS(Dump!D:D,Dump!B:B,C581)</f>
        <v>0</v>
      </c>
      <c r="J581" s="5">
        <f>SUMIFS(Dump!AE:AE,Dump!B:B,C581)</f>
        <v>0</v>
      </c>
      <c r="K581" s="4">
        <f>SUMPRODUCT(
  (TEXT(Dump!$A$2:$A994,"mmm-yy")=TEXT($Y581,"mmm-yy"))*
  (Dump!$B$2:$B994=$C581)*
  Dump!$D$2:$D994)</f>
        <v>0</v>
      </c>
      <c r="L581" s="4">
        <f>SUMPRODUCT(
  (TEXT(Dump!$A$2:$A994,"mmm-yy")=TEXT($Y581,"mmm-yy"))*
  (Dump!$B$2:$B994=$C581)*
  Dump!$E$2:$E994
)</f>
        <v>0</v>
      </c>
      <c r="M581" s="4">
        <f>SUMPRODUCT(
  (TEXT(Dump!$A$2:$A994,"mmm-yy")=TEXT($Y581,"mmm-yy"))*
  (Dump!$B$2:$B994=$C581)*
  Dump!$P$2:$P994
)</f>
        <v>0</v>
      </c>
      <c r="N581" s="32"/>
      <c r="O581" s="33">
        <f>SUMIFS(Dump!$D:$D,Dump!$B:$B,$C581,Dump!$A:$A,$Y581)</f>
        <v>0</v>
      </c>
      <c r="P581" s="33">
        <f>SUMIFS(Dump!R:R,Dump!B:B,C581,Dump!A:A,Y581)</f>
        <v>0</v>
      </c>
      <c r="Q581" s="34">
        <f t="shared" si="21"/>
        <v>0</v>
      </c>
      <c r="S581" s="4">
        <f>SUMIFS(Dump!E:E,Dump!B:B,C581,Dump!A:A,Y581)</f>
        <v>0</v>
      </c>
      <c r="T581" s="35">
        <f t="shared" si="22"/>
        <v>0</v>
      </c>
      <c r="V581" s="4">
        <f>SUMIFS(Dump!P:P,Dump!B:B,C581,Dump!A:A,Y581)</f>
        <v>0</v>
      </c>
      <c r="W581" s="37">
        <f t="shared" si="23"/>
        <v>0</v>
      </c>
      <c r="X581" s="39"/>
      <c r="Y581" s="54"/>
    </row>
    <row r="582">
      <c r="C582" s="53"/>
      <c r="G582" s="2" t="str">
        <f t="shared" si="27"/>
        <v/>
      </c>
      <c r="I582" s="4">
        <f>SUMIFS(Dump!D:D,Dump!B:B,C582)</f>
        <v>0</v>
      </c>
      <c r="J582" s="5">
        <f>SUMIFS(Dump!AE:AE,Dump!B:B,C582)</f>
        <v>0</v>
      </c>
      <c r="K582" s="4">
        <f>SUMPRODUCT(
  (TEXT(Dump!$A$2:$A994,"mmm-yy")=TEXT($Y582,"mmm-yy"))*
  (Dump!$B$2:$B994=$C582)*
  Dump!$D$2:$D994)</f>
        <v>0</v>
      </c>
      <c r="L582" s="4">
        <f>SUMPRODUCT(
  (TEXT(Dump!$A$2:$A994,"mmm-yy")=TEXT($Y582,"mmm-yy"))*
  (Dump!$B$2:$B994=$C582)*
  Dump!$E$2:$E994
)</f>
        <v>0</v>
      </c>
      <c r="M582" s="4">
        <f>SUMPRODUCT(
  (TEXT(Dump!$A$2:$A994,"mmm-yy")=TEXT($Y582,"mmm-yy"))*
  (Dump!$B$2:$B994=$C582)*
  Dump!$P$2:$P994
)</f>
        <v>0</v>
      </c>
      <c r="N582" s="32"/>
      <c r="O582" s="33">
        <f>SUMIFS(Dump!$D:$D,Dump!$B:$B,$C582,Dump!$A:$A,$Y582)</f>
        <v>0</v>
      </c>
      <c r="P582" s="33">
        <f>SUMIFS(Dump!R:R,Dump!B:B,C582,Dump!A:A,Y582)</f>
        <v>0</v>
      </c>
      <c r="Q582" s="34">
        <f t="shared" si="21"/>
        <v>0</v>
      </c>
      <c r="S582" s="4">
        <f>SUMIFS(Dump!E:E,Dump!B:B,C582,Dump!A:A,Y582)</f>
        <v>0</v>
      </c>
      <c r="T582" s="35">
        <f t="shared" si="22"/>
        <v>0</v>
      </c>
      <c r="V582" s="4">
        <f>SUMIFS(Dump!P:P,Dump!B:B,C582,Dump!A:A,Y582)</f>
        <v>0</v>
      </c>
      <c r="W582" s="37">
        <f t="shared" si="23"/>
        <v>0</v>
      </c>
      <c r="X582" s="39"/>
      <c r="Y582" s="54"/>
    </row>
    <row r="583">
      <c r="C583" s="53"/>
      <c r="G583" s="2" t="str">
        <f t="shared" si="27"/>
        <v/>
      </c>
      <c r="I583" s="4">
        <f>SUMIFS(Dump!D:D,Dump!B:B,C583)</f>
        <v>0</v>
      </c>
      <c r="J583" s="5">
        <f>SUMIFS(Dump!AE:AE,Dump!B:B,C583)</f>
        <v>0</v>
      </c>
      <c r="K583" s="4">
        <f>SUMPRODUCT(
  (TEXT(Dump!$A$2:$A994,"mmm-yy")=TEXT($Y583,"mmm-yy"))*
  (Dump!$B$2:$B994=$C583)*
  Dump!$D$2:$D994)</f>
        <v>0</v>
      </c>
      <c r="L583" s="4">
        <f>SUMPRODUCT(
  (TEXT(Dump!$A$2:$A994,"mmm-yy")=TEXT($Y583,"mmm-yy"))*
  (Dump!$B$2:$B994=$C583)*
  Dump!$E$2:$E994
)</f>
        <v>0</v>
      </c>
      <c r="M583" s="4">
        <f>SUMPRODUCT(
  (TEXT(Dump!$A$2:$A994,"mmm-yy")=TEXT($Y583,"mmm-yy"))*
  (Dump!$B$2:$B994=$C583)*
  Dump!$P$2:$P994
)</f>
        <v>0</v>
      </c>
      <c r="N583" s="32"/>
      <c r="O583" s="33">
        <f>SUMIFS(Dump!$D:$D,Dump!$B:$B,$C583,Dump!$A:$A,$Y583)</f>
        <v>0</v>
      </c>
      <c r="P583" s="33">
        <f>SUMIFS(Dump!R:R,Dump!B:B,C583,Dump!A:A,Y583)</f>
        <v>0</v>
      </c>
      <c r="Q583" s="34">
        <f t="shared" si="21"/>
        <v>0</v>
      </c>
      <c r="S583" s="4">
        <f>SUMIFS(Dump!E:E,Dump!B:B,C583,Dump!A:A,Y583)</f>
        <v>0</v>
      </c>
      <c r="T583" s="35">
        <f t="shared" si="22"/>
        <v>0</v>
      </c>
      <c r="V583" s="4">
        <f>SUMIFS(Dump!P:P,Dump!B:B,C583,Dump!A:A,Y583)</f>
        <v>0</v>
      </c>
      <c r="W583" s="37">
        <f t="shared" si="23"/>
        <v>0</v>
      </c>
      <c r="X583" s="39"/>
      <c r="Y583" s="54"/>
    </row>
    <row r="584">
      <c r="C584" s="53"/>
      <c r="G584" s="2" t="str">
        <f t="shared" si="27"/>
        <v/>
      </c>
      <c r="I584" s="4">
        <f>SUMIFS(Dump!D:D,Dump!B:B,C584)</f>
        <v>0</v>
      </c>
      <c r="J584" s="5">
        <f>SUMIFS(Dump!AE:AE,Dump!B:B,C584)</f>
        <v>0</v>
      </c>
      <c r="K584" s="4">
        <f>SUMPRODUCT(
  (TEXT(Dump!$A$2:$A994,"mmm-yy")=TEXT($Y584,"mmm-yy"))*
  (Dump!$B$2:$B994=$C584)*
  Dump!$D$2:$D994)</f>
        <v>0</v>
      </c>
      <c r="L584" s="4">
        <f>SUMPRODUCT(
  (TEXT(Dump!$A$2:$A994,"mmm-yy")=TEXT($Y584,"mmm-yy"))*
  (Dump!$B$2:$B994=$C584)*
  Dump!$E$2:$E994
)</f>
        <v>0</v>
      </c>
      <c r="M584" s="4">
        <f>SUMPRODUCT(
  (TEXT(Dump!$A$2:$A994,"mmm-yy")=TEXT($Y584,"mmm-yy"))*
  (Dump!$B$2:$B994=$C584)*
  Dump!$P$2:$P994
)</f>
        <v>0</v>
      </c>
      <c r="N584" s="32"/>
      <c r="O584" s="33">
        <f>SUMIFS(Dump!$D:$D,Dump!$B:$B,$C584,Dump!$A:$A,$Y584)</f>
        <v>0</v>
      </c>
      <c r="P584" s="33">
        <f>SUMIFS(Dump!R:R,Dump!B:B,C584,Dump!A:A,Y584)</f>
        <v>0</v>
      </c>
      <c r="Q584" s="34">
        <f t="shared" si="21"/>
        <v>0</v>
      </c>
      <c r="S584" s="4">
        <f>SUMIFS(Dump!E:E,Dump!B:B,C584,Dump!A:A,Y584)</f>
        <v>0</v>
      </c>
      <c r="T584" s="35">
        <f t="shared" si="22"/>
        <v>0</v>
      </c>
      <c r="V584" s="4">
        <f>SUMIFS(Dump!P:P,Dump!B:B,C584,Dump!A:A,Y584)</f>
        <v>0</v>
      </c>
      <c r="W584" s="37">
        <f t="shared" si="23"/>
        <v>0</v>
      </c>
      <c r="X584" s="39"/>
      <c r="Y584" s="54"/>
    </row>
    <row r="585">
      <c r="C585" s="53"/>
      <c r="G585" s="2" t="str">
        <f t="shared" si="27"/>
        <v/>
      </c>
      <c r="I585" s="4">
        <f>SUMIFS(Dump!D:D,Dump!B:B,C585)</f>
        <v>0</v>
      </c>
      <c r="J585" s="5">
        <f>SUMIFS(Dump!AE:AE,Dump!B:B,C585)</f>
        <v>0</v>
      </c>
      <c r="K585" s="4">
        <f>SUMPRODUCT(
  (TEXT(Dump!$A$2:$A994,"mmm-yy")=TEXT($Y585,"mmm-yy"))*
  (Dump!$B$2:$B994=$C585)*
  Dump!$D$2:$D994)</f>
        <v>0</v>
      </c>
      <c r="L585" s="4">
        <f>SUMPRODUCT(
  (TEXT(Dump!$A$2:$A994,"mmm-yy")=TEXT($Y585,"mmm-yy"))*
  (Dump!$B$2:$B994=$C585)*
  Dump!$E$2:$E994
)</f>
        <v>0</v>
      </c>
      <c r="M585" s="4">
        <f>SUMPRODUCT(
  (TEXT(Dump!$A$2:$A994,"mmm-yy")=TEXT($Y585,"mmm-yy"))*
  (Dump!$B$2:$B994=$C585)*
  Dump!$P$2:$P994
)</f>
        <v>0</v>
      </c>
      <c r="N585" s="32"/>
      <c r="O585" s="33">
        <f>SUMIFS(Dump!$D:$D,Dump!$B:$B,$C585,Dump!$A:$A,$Y585)</f>
        <v>0</v>
      </c>
      <c r="P585" s="33">
        <f>SUMIFS(Dump!R:R,Dump!B:B,C585,Dump!A:A,Y585)</f>
        <v>0</v>
      </c>
      <c r="Q585" s="34">
        <f t="shared" si="21"/>
        <v>0</v>
      </c>
      <c r="S585" s="4">
        <f>SUMIFS(Dump!E:E,Dump!B:B,C585,Dump!A:A,Y585)</f>
        <v>0</v>
      </c>
      <c r="T585" s="35">
        <f t="shared" si="22"/>
        <v>0</v>
      </c>
      <c r="V585" s="4">
        <f>SUMIFS(Dump!P:P,Dump!B:B,C585,Dump!A:A,Y585)</f>
        <v>0</v>
      </c>
      <c r="W585" s="37">
        <f t="shared" si="23"/>
        <v>0</v>
      </c>
      <c r="X585" s="39"/>
      <c r="Y585" s="54"/>
    </row>
    <row r="586">
      <c r="C586" s="53"/>
      <c r="G586" s="2" t="str">
        <f t="shared" si="27"/>
        <v/>
      </c>
      <c r="I586" s="4">
        <f>SUMIFS(Dump!D:D,Dump!B:B,C586)</f>
        <v>0</v>
      </c>
      <c r="J586" s="5">
        <f>SUMIFS(Dump!AE:AE,Dump!B:B,C586)</f>
        <v>0</v>
      </c>
      <c r="K586" s="4">
        <f>SUMPRODUCT(
  (TEXT(Dump!$A$2:$A994,"mmm-yy")=TEXT($Y586,"mmm-yy"))*
  (Dump!$B$2:$B994=$C586)*
  Dump!$D$2:$D994)</f>
        <v>0</v>
      </c>
      <c r="L586" s="4">
        <f>SUMPRODUCT(
  (TEXT(Dump!$A$2:$A994,"mmm-yy")=TEXT($Y586,"mmm-yy"))*
  (Dump!$B$2:$B994=$C586)*
  Dump!$E$2:$E994
)</f>
        <v>0</v>
      </c>
      <c r="M586" s="4">
        <f>SUMPRODUCT(
  (TEXT(Dump!$A$2:$A994,"mmm-yy")=TEXT($Y586,"mmm-yy"))*
  (Dump!$B$2:$B994=$C586)*
  Dump!$P$2:$P994
)</f>
        <v>0</v>
      </c>
      <c r="N586" s="32"/>
      <c r="O586" s="33">
        <f>SUMIFS(Dump!$D:$D,Dump!$B:$B,$C586,Dump!$A:$A,$Y586)</f>
        <v>0</v>
      </c>
      <c r="P586" s="33">
        <f>SUMIFS(Dump!R:R,Dump!B:B,C586,Dump!A:A,Y586)</f>
        <v>0</v>
      </c>
      <c r="Q586" s="34">
        <f t="shared" si="21"/>
        <v>0</v>
      </c>
      <c r="S586" s="4">
        <f>SUMIFS(Dump!E:E,Dump!B:B,C586,Dump!A:A,Y586)</f>
        <v>0</v>
      </c>
      <c r="T586" s="35">
        <f t="shared" si="22"/>
        <v>0</v>
      </c>
      <c r="V586" s="4">
        <f>SUMIFS(Dump!P:P,Dump!B:B,C586,Dump!A:A,Y586)</f>
        <v>0</v>
      </c>
      <c r="W586" s="37">
        <f t="shared" si="23"/>
        <v>0</v>
      </c>
      <c r="X586" s="39"/>
      <c r="Y586" s="54"/>
    </row>
    <row r="587">
      <c r="C587" s="53"/>
      <c r="G587" s="2" t="str">
        <f t="shared" si="27"/>
        <v/>
      </c>
      <c r="I587" s="4">
        <f>SUMIFS(Dump!D:D,Dump!B:B,C587)</f>
        <v>0</v>
      </c>
      <c r="J587" s="5">
        <f>SUMIFS(Dump!AE:AE,Dump!B:B,C587)</f>
        <v>0</v>
      </c>
      <c r="K587" s="4">
        <f>SUMPRODUCT(
  (TEXT(Dump!$A$2:$A994,"mmm-yy")=TEXT($Y587,"mmm-yy"))*
  (Dump!$B$2:$B994=$C587)*
  Dump!$D$2:$D994)</f>
        <v>0</v>
      </c>
      <c r="L587" s="4">
        <f>SUMPRODUCT(
  (TEXT(Dump!$A$2:$A994,"mmm-yy")=TEXT($Y587,"mmm-yy"))*
  (Dump!$B$2:$B994=$C587)*
  Dump!$E$2:$E994
)</f>
        <v>0</v>
      </c>
      <c r="M587" s="4">
        <f>SUMPRODUCT(
  (TEXT(Dump!$A$2:$A994,"mmm-yy")=TEXT($Y587,"mmm-yy"))*
  (Dump!$B$2:$B994=$C587)*
  Dump!$P$2:$P994
)</f>
        <v>0</v>
      </c>
      <c r="N587" s="32"/>
      <c r="O587" s="33">
        <f>SUMIFS(Dump!$D:$D,Dump!$B:$B,$C587,Dump!$A:$A,$Y587)</f>
        <v>0</v>
      </c>
      <c r="P587" s="33">
        <f>SUMIFS(Dump!R:R,Dump!B:B,C587,Dump!A:A,Y587)</f>
        <v>0</v>
      </c>
      <c r="Q587" s="34">
        <f t="shared" si="21"/>
        <v>0</v>
      </c>
      <c r="S587" s="4">
        <f>SUMIFS(Dump!E:E,Dump!B:B,C587,Dump!A:A,Y587)</f>
        <v>0</v>
      </c>
      <c r="T587" s="35">
        <f t="shared" si="22"/>
        <v>0</v>
      </c>
      <c r="V587" s="4">
        <f>SUMIFS(Dump!P:P,Dump!B:B,C587,Dump!A:A,Y587)</f>
        <v>0</v>
      </c>
      <c r="W587" s="37">
        <f t="shared" si="23"/>
        <v>0</v>
      </c>
      <c r="X587" s="39"/>
      <c r="Y587" s="54"/>
    </row>
    <row r="588">
      <c r="C588" s="53"/>
      <c r="G588" s="2" t="str">
        <f t="shared" si="27"/>
        <v/>
      </c>
      <c r="I588" s="4">
        <f>SUMIFS(Dump!D:D,Dump!B:B,C588)</f>
        <v>0</v>
      </c>
      <c r="J588" s="5">
        <f>SUMIFS(Dump!AE:AE,Dump!B:B,C588)</f>
        <v>0</v>
      </c>
      <c r="K588" s="4">
        <f>SUMPRODUCT(
  (TEXT(Dump!$A$2:$A994,"mmm-yy")=TEXT($Y588,"mmm-yy"))*
  (Dump!$B$2:$B994=$C588)*
  Dump!$D$2:$D994)</f>
        <v>0</v>
      </c>
      <c r="L588" s="4">
        <f>SUMPRODUCT(
  (TEXT(Dump!$A$2:$A994,"mmm-yy")=TEXT($Y588,"mmm-yy"))*
  (Dump!$B$2:$B994=$C588)*
  Dump!$E$2:$E994
)</f>
        <v>0</v>
      </c>
      <c r="M588" s="4">
        <f>SUMPRODUCT(
  (TEXT(Dump!$A$2:$A994,"mmm-yy")=TEXT($Y588,"mmm-yy"))*
  (Dump!$B$2:$B994=$C588)*
  Dump!$P$2:$P994
)</f>
        <v>0</v>
      </c>
      <c r="N588" s="32"/>
      <c r="O588" s="33">
        <f>SUMIFS(Dump!$D:$D,Dump!$B:$B,$C588,Dump!$A:$A,$Y588)</f>
        <v>0</v>
      </c>
      <c r="P588" s="33">
        <f>SUMIFS(Dump!R:R,Dump!B:B,C588,Dump!A:A,Y588)</f>
        <v>0</v>
      </c>
      <c r="Q588" s="34">
        <f t="shared" si="21"/>
        <v>0</v>
      </c>
      <c r="S588" s="4">
        <f>SUMIFS(Dump!E:E,Dump!B:B,C588,Dump!A:A,Y588)</f>
        <v>0</v>
      </c>
      <c r="T588" s="35">
        <f t="shared" si="22"/>
        <v>0</v>
      </c>
      <c r="V588" s="4">
        <f>SUMIFS(Dump!P:P,Dump!B:B,C588,Dump!A:A,Y588)</f>
        <v>0</v>
      </c>
      <c r="W588" s="37">
        <f t="shared" si="23"/>
        <v>0</v>
      </c>
      <c r="X588" s="39"/>
      <c r="Y588" s="54"/>
    </row>
    <row r="589">
      <c r="C589" s="53"/>
      <c r="G589" s="2" t="str">
        <f t="shared" si="27"/>
        <v/>
      </c>
      <c r="I589" s="4">
        <f>SUMIFS(Dump!D:D,Dump!B:B,C589)</f>
        <v>0</v>
      </c>
      <c r="J589" s="5">
        <f>SUMIFS(Dump!AE:AE,Dump!B:B,C589)</f>
        <v>0</v>
      </c>
      <c r="K589" s="4">
        <f>SUMPRODUCT(
  (TEXT(Dump!$A$2:$A994,"mmm-yy")=TEXT($Y589,"mmm-yy"))*
  (Dump!$B$2:$B994=$C589)*
  Dump!$D$2:$D994)</f>
        <v>0</v>
      </c>
      <c r="L589" s="4">
        <f>SUMPRODUCT(
  (TEXT(Dump!$A$2:$A994,"mmm-yy")=TEXT($Y589,"mmm-yy"))*
  (Dump!$B$2:$B994=$C589)*
  Dump!$E$2:$E994
)</f>
        <v>0</v>
      </c>
      <c r="M589" s="4">
        <f>SUMPRODUCT(
  (TEXT(Dump!$A$2:$A994,"mmm-yy")=TEXT($Y589,"mmm-yy"))*
  (Dump!$B$2:$B994=$C589)*
  Dump!$P$2:$P994
)</f>
        <v>0</v>
      </c>
      <c r="N589" s="32"/>
      <c r="O589" s="33">
        <f>SUMIFS(Dump!$D:$D,Dump!$B:$B,$C589,Dump!$A:$A,$Y589)</f>
        <v>0</v>
      </c>
      <c r="P589" s="33">
        <f>SUMIFS(Dump!R:R,Dump!B:B,C589,Dump!A:A,Y589)</f>
        <v>0</v>
      </c>
      <c r="Q589" s="34">
        <f t="shared" si="21"/>
        <v>0</v>
      </c>
      <c r="S589" s="4">
        <f>SUMIFS(Dump!E:E,Dump!B:B,C589,Dump!A:A,Y589)</f>
        <v>0</v>
      </c>
      <c r="T589" s="35">
        <f t="shared" si="22"/>
        <v>0</v>
      </c>
      <c r="V589" s="4">
        <f>SUMIFS(Dump!P:P,Dump!B:B,C589,Dump!A:A,Y589)</f>
        <v>0</v>
      </c>
      <c r="W589" s="37">
        <f t="shared" si="23"/>
        <v>0</v>
      </c>
      <c r="X589" s="39"/>
      <c r="Y589" s="54"/>
    </row>
    <row r="590">
      <c r="C590" s="53"/>
      <c r="G590" s="2" t="str">
        <f t="shared" si="27"/>
        <v/>
      </c>
      <c r="I590" s="4">
        <f>SUMIFS(Dump!D:D,Dump!B:B,C590)</f>
        <v>0</v>
      </c>
      <c r="J590" s="5">
        <f>SUMIFS(Dump!AE:AE,Dump!B:B,C590)</f>
        <v>0</v>
      </c>
      <c r="K590" s="4">
        <f>SUMPRODUCT(
  (TEXT(Dump!$A$2:$A994,"mmm-yy")=TEXT($Y590,"mmm-yy"))*
  (Dump!$B$2:$B994=$C590)*
  Dump!$D$2:$D994)</f>
        <v>0</v>
      </c>
      <c r="L590" s="4">
        <f>SUMPRODUCT(
  (TEXT(Dump!$A$2:$A994,"mmm-yy")=TEXT($Y590,"mmm-yy"))*
  (Dump!$B$2:$B994=$C590)*
  Dump!$E$2:$E994
)</f>
        <v>0</v>
      </c>
      <c r="M590" s="4">
        <f>SUMPRODUCT(
  (TEXT(Dump!$A$2:$A994,"mmm-yy")=TEXT($Y590,"mmm-yy"))*
  (Dump!$B$2:$B994=$C590)*
  Dump!$P$2:$P994
)</f>
        <v>0</v>
      </c>
      <c r="N590" s="32"/>
      <c r="O590" s="33">
        <f>SUMIFS(Dump!$D:$D,Dump!$B:$B,$C590,Dump!$A:$A,$Y590)</f>
        <v>0</v>
      </c>
      <c r="P590" s="33">
        <f>SUMIFS(Dump!R:R,Dump!B:B,C590,Dump!A:A,Y590)</f>
        <v>0</v>
      </c>
      <c r="Q590" s="34">
        <f t="shared" si="21"/>
        <v>0</v>
      </c>
      <c r="S590" s="4">
        <f>SUMIFS(Dump!E:E,Dump!B:B,C590,Dump!A:A,Y590)</f>
        <v>0</v>
      </c>
      <c r="T590" s="35">
        <f t="shared" si="22"/>
        <v>0</v>
      </c>
      <c r="V590" s="4">
        <f>SUMIFS(Dump!P:P,Dump!B:B,C590,Dump!A:A,Y590)</f>
        <v>0</v>
      </c>
      <c r="W590" s="37">
        <f t="shared" si="23"/>
        <v>0</v>
      </c>
      <c r="X590" s="39"/>
      <c r="Y590" s="54"/>
    </row>
    <row r="591">
      <c r="C591" s="53"/>
      <c r="G591" s="2" t="str">
        <f t="shared" si="27"/>
        <v/>
      </c>
      <c r="I591" s="4">
        <f>SUMIFS(Dump!D:D,Dump!B:B,C591)</f>
        <v>0</v>
      </c>
      <c r="J591" s="5">
        <f>SUMIFS(Dump!AE:AE,Dump!B:B,C591)</f>
        <v>0</v>
      </c>
      <c r="K591" s="4">
        <f>SUMPRODUCT(
  (TEXT(Dump!$A$2:$A994,"mmm-yy")=TEXT($Y591,"mmm-yy"))*
  (Dump!$B$2:$B994=$C591)*
  Dump!$D$2:$D994)</f>
        <v>0</v>
      </c>
      <c r="L591" s="4">
        <f>SUMPRODUCT(
  (TEXT(Dump!$A$2:$A994,"mmm-yy")=TEXT($Y591,"mmm-yy"))*
  (Dump!$B$2:$B994=$C591)*
  Dump!$E$2:$E994
)</f>
        <v>0</v>
      </c>
      <c r="M591" s="4">
        <f>SUMPRODUCT(
  (TEXT(Dump!$A$2:$A994,"mmm-yy")=TEXT($Y591,"mmm-yy"))*
  (Dump!$B$2:$B994=$C591)*
  Dump!$P$2:$P994
)</f>
        <v>0</v>
      </c>
      <c r="N591" s="32"/>
      <c r="O591" s="33">
        <f>SUMIFS(Dump!$D:$D,Dump!$B:$B,$C591,Dump!$A:$A,$Y591)</f>
        <v>0</v>
      </c>
      <c r="P591" s="33">
        <f>SUMIFS(Dump!R:R,Dump!B:B,C591,Dump!A:A,Y591)</f>
        <v>0</v>
      </c>
      <c r="Q591" s="34">
        <f t="shared" si="21"/>
        <v>0</v>
      </c>
      <c r="S591" s="4">
        <f>SUMIFS(Dump!E:E,Dump!B:B,C591,Dump!A:A,Y591)</f>
        <v>0</v>
      </c>
      <c r="T591" s="35">
        <f t="shared" si="22"/>
        <v>0</v>
      </c>
      <c r="V591" s="4">
        <f>SUMIFS(Dump!P:P,Dump!B:B,C591,Dump!A:A,Y591)</f>
        <v>0</v>
      </c>
      <c r="W591" s="37">
        <f t="shared" si="23"/>
        <v>0</v>
      </c>
      <c r="X591" s="39"/>
      <c r="Y591" s="54"/>
    </row>
    <row r="592">
      <c r="C592" s="53"/>
      <c r="G592" s="2" t="str">
        <f t="shared" si="27"/>
        <v/>
      </c>
      <c r="I592" s="4">
        <f>SUMIFS(Dump!D:D,Dump!B:B,C592)</f>
        <v>0</v>
      </c>
      <c r="J592" s="5">
        <f>SUMIFS(Dump!AE:AE,Dump!B:B,C592)</f>
        <v>0</v>
      </c>
      <c r="K592" s="4">
        <f>SUMPRODUCT(
  (TEXT(Dump!$A$2:$A994,"mmm-yy")=TEXT($Y592,"mmm-yy"))*
  (Dump!$B$2:$B994=$C592)*
  Dump!$D$2:$D994)</f>
        <v>0</v>
      </c>
      <c r="L592" s="4">
        <f>SUMPRODUCT(
  (TEXT(Dump!$A$2:$A994,"mmm-yy")=TEXT($Y592,"mmm-yy"))*
  (Dump!$B$2:$B994=$C592)*
  Dump!$E$2:$E994
)</f>
        <v>0</v>
      </c>
      <c r="M592" s="4">
        <f>SUMPRODUCT(
  (TEXT(Dump!$A$2:$A994,"mmm-yy")=TEXT($Y592,"mmm-yy"))*
  (Dump!$B$2:$B994=$C592)*
  Dump!$P$2:$P994
)</f>
        <v>0</v>
      </c>
      <c r="N592" s="32"/>
      <c r="O592" s="33">
        <f>SUMIFS(Dump!$D:$D,Dump!$B:$B,$C592,Dump!$A:$A,$Y592)</f>
        <v>0</v>
      </c>
      <c r="P592" s="33">
        <f>SUMIFS(Dump!R:R,Dump!B:B,C592,Dump!A:A,Y592)</f>
        <v>0</v>
      </c>
      <c r="Q592" s="34">
        <f t="shared" si="21"/>
        <v>0</v>
      </c>
      <c r="S592" s="4">
        <f>SUMIFS(Dump!E:E,Dump!B:B,C592,Dump!A:A,Y592)</f>
        <v>0</v>
      </c>
      <c r="T592" s="35">
        <f t="shared" si="22"/>
        <v>0</v>
      </c>
      <c r="V592" s="4">
        <f>SUMIFS(Dump!P:P,Dump!B:B,C592,Dump!A:A,Y592)</f>
        <v>0</v>
      </c>
      <c r="W592" s="37">
        <f t="shared" si="23"/>
        <v>0</v>
      </c>
      <c r="X592" s="39"/>
      <c r="Y592" s="54"/>
    </row>
    <row r="593">
      <c r="C593" s="53"/>
      <c r="G593" s="2" t="str">
        <f t="shared" si="27"/>
        <v/>
      </c>
      <c r="I593" s="4">
        <f>SUMIFS(Dump!D:D,Dump!B:B,C593)</f>
        <v>0</v>
      </c>
      <c r="J593" s="5">
        <f>SUMIFS(Dump!AE:AE,Dump!B:B,C593)</f>
        <v>0</v>
      </c>
      <c r="K593" s="4">
        <f>SUMPRODUCT(
  (TEXT(Dump!$A$2:$A994,"mmm-yy")=TEXT($Y593,"mmm-yy"))*
  (Dump!$B$2:$B994=$C593)*
  Dump!$D$2:$D994)</f>
        <v>0</v>
      </c>
      <c r="L593" s="4">
        <f>SUMPRODUCT(
  (TEXT(Dump!$A$2:$A994,"mmm-yy")=TEXT($Y593,"mmm-yy"))*
  (Dump!$B$2:$B994=$C593)*
  Dump!$E$2:$E994
)</f>
        <v>0</v>
      </c>
      <c r="M593" s="4">
        <f>SUMPRODUCT(
  (TEXT(Dump!$A$2:$A994,"mmm-yy")=TEXT($Y593,"mmm-yy"))*
  (Dump!$B$2:$B994=$C593)*
  Dump!$P$2:$P994
)</f>
        <v>0</v>
      </c>
      <c r="N593" s="32"/>
      <c r="O593" s="33">
        <f>SUMIFS(Dump!$D:$D,Dump!$B:$B,$C593,Dump!$A:$A,$Y593)</f>
        <v>0</v>
      </c>
      <c r="P593" s="33">
        <f>SUMIFS(Dump!R:R,Dump!B:B,C593,Dump!A:A,Y593)</f>
        <v>0</v>
      </c>
      <c r="Q593" s="34">
        <f t="shared" si="21"/>
        <v>0</v>
      </c>
      <c r="S593" s="4">
        <f>SUMIFS(Dump!E:E,Dump!B:B,C593,Dump!A:A,Y593)</f>
        <v>0</v>
      </c>
      <c r="T593" s="35">
        <f t="shared" si="22"/>
        <v>0</v>
      </c>
      <c r="V593" s="4">
        <f>SUMIFS(Dump!P:P,Dump!B:B,C593,Dump!A:A,Y593)</f>
        <v>0</v>
      </c>
      <c r="W593" s="37">
        <f t="shared" si="23"/>
        <v>0</v>
      </c>
      <c r="X593" s="39"/>
      <c r="Y593" s="54"/>
    </row>
    <row r="594">
      <c r="C594" s="53"/>
      <c r="G594" s="2" t="str">
        <f t="shared" si="27"/>
        <v/>
      </c>
      <c r="I594" s="4">
        <f>SUMIFS(Dump!D:D,Dump!B:B,C594)</f>
        <v>0</v>
      </c>
      <c r="J594" s="5">
        <f>SUMIFS(Dump!AE:AE,Dump!B:B,C594)</f>
        <v>0</v>
      </c>
      <c r="K594" s="4">
        <f>SUMPRODUCT(
  (TEXT(Dump!$A$2:$A994,"mmm-yy")=TEXT($Y594,"mmm-yy"))*
  (Dump!$B$2:$B994=$C594)*
  Dump!$D$2:$D994)</f>
        <v>0</v>
      </c>
      <c r="L594" s="4">
        <f>SUMPRODUCT(
  (TEXT(Dump!$A$2:$A994,"mmm-yy")=TEXT($Y594,"mmm-yy"))*
  (Dump!$B$2:$B994=$C594)*
  Dump!$E$2:$E994
)</f>
        <v>0</v>
      </c>
      <c r="M594" s="4">
        <f>SUMPRODUCT(
  (TEXT(Dump!$A$2:$A994,"mmm-yy")=TEXT($Y594,"mmm-yy"))*
  (Dump!$B$2:$B994=$C594)*
  Dump!$P$2:$P994
)</f>
        <v>0</v>
      </c>
      <c r="N594" s="32"/>
      <c r="O594" s="33">
        <f>SUMIFS(Dump!$D:$D,Dump!$B:$B,$C594,Dump!$A:$A,$Y594)</f>
        <v>0</v>
      </c>
      <c r="P594" s="33">
        <f>SUMIFS(Dump!R:R,Dump!B:B,C594,Dump!A:A,Y594)</f>
        <v>0</v>
      </c>
      <c r="Q594" s="34">
        <f t="shared" si="21"/>
        <v>0</v>
      </c>
      <c r="S594" s="4">
        <f>SUMIFS(Dump!E:E,Dump!B:B,C594,Dump!A:A,Y594)</f>
        <v>0</v>
      </c>
      <c r="T594" s="35">
        <f t="shared" si="22"/>
        <v>0</v>
      </c>
      <c r="V594" s="4">
        <f>SUMIFS(Dump!P:P,Dump!B:B,C594,Dump!A:A,Y594)</f>
        <v>0</v>
      </c>
      <c r="W594" s="37">
        <f t="shared" si="23"/>
        <v>0</v>
      </c>
      <c r="X594" s="39"/>
      <c r="Y594" s="54"/>
    </row>
    <row r="595">
      <c r="C595" s="53"/>
      <c r="G595" s="2" t="str">
        <f t="shared" si="27"/>
        <v/>
      </c>
      <c r="I595" s="4">
        <f>SUMIFS(Dump!D:D,Dump!B:B,C595)</f>
        <v>0</v>
      </c>
      <c r="J595" s="5">
        <f>SUMIFS(Dump!AE:AE,Dump!B:B,C595)</f>
        <v>0</v>
      </c>
      <c r="K595" s="4">
        <f>SUMPRODUCT(
  (TEXT(Dump!$A$2:$A994,"mmm-yy")=TEXT($Y595,"mmm-yy"))*
  (Dump!$B$2:$B994=$C595)*
  Dump!$D$2:$D994)</f>
        <v>0</v>
      </c>
      <c r="L595" s="4">
        <f>SUMPRODUCT(
  (TEXT(Dump!$A$2:$A994,"mmm-yy")=TEXT($Y595,"mmm-yy"))*
  (Dump!$B$2:$B994=$C595)*
  Dump!$E$2:$E994
)</f>
        <v>0</v>
      </c>
      <c r="M595" s="4">
        <f>SUMPRODUCT(
  (TEXT(Dump!$A$2:$A994,"mmm-yy")=TEXT($Y595,"mmm-yy"))*
  (Dump!$B$2:$B994=$C595)*
  Dump!$P$2:$P994
)</f>
        <v>0</v>
      </c>
      <c r="N595" s="32"/>
      <c r="O595" s="33">
        <f>SUMIFS(Dump!$D:$D,Dump!$B:$B,$C595,Dump!$A:$A,$Y595)</f>
        <v>0</v>
      </c>
      <c r="P595" s="33">
        <f>SUMIFS(Dump!R:R,Dump!B:B,C595,Dump!A:A,Y595)</f>
        <v>0</v>
      </c>
      <c r="Q595" s="34">
        <f t="shared" si="21"/>
        <v>0</v>
      </c>
      <c r="S595" s="4">
        <f>SUMIFS(Dump!E:E,Dump!B:B,C595,Dump!A:A,Y595)</f>
        <v>0</v>
      </c>
      <c r="T595" s="35">
        <f t="shared" si="22"/>
        <v>0</v>
      </c>
      <c r="V595" s="4">
        <f>SUMIFS(Dump!P:P,Dump!B:B,C595,Dump!A:A,Y595)</f>
        <v>0</v>
      </c>
      <c r="W595" s="37">
        <f t="shared" si="23"/>
        <v>0</v>
      </c>
      <c r="X595" s="39"/>
      <c r="Y595" s="54"/>
    </row>
    <row r="596">
      <c r="C596" s="53"/>
      <c r="G596" s="2" t="str">
        <f t="shared" si="27"/>
        <v/>
      </c>
      <c r="I596" s="4">
        <f>SUMIFS(Dump!D:D,Dump!B:B,C596)</f>
        <v>0</v>
      </c>
      <c r="J596" s="5">
        <f>SUMIFS(Dump!AE:AE,Dump!B:B,C596)</f>
        <v>0</v>
      </c>
      <c r="K596" s="4">
        <f>SUMPRODUCT(
  (TEXT(Dump!$A$2:$A994,"mmm-yy")=TEXT($Y596,"mmm-yy"))*
  (Dump!$B$2:$B994=$C596)*
  Dump!$D$2:$D994)</f>
        <v>0</v>
      </c>
      <c r="L596" s="4">
        <f>SUMPRODUCT(
  (TEXT(Dump!$A$2:$A994,"mmm-yy")=TEXT($Y596,"mmm-yy"))*
  (Dump!$B$2:$B994=$C596)*
  Dump!$E$2:$E994
)</f>
        <v>0</v>
      </c>
      <c r="M596" s="4">
        <f>SUMPRODUCT(
  (TEXT(Dump!$A$2:$A994,"mmm-yy")=TEXT($Y596,"mmm-yy"))*
  (Dump!$B$2:$B994=$C596)*
  Dump!$P$2:$P994
)</f>
        <v>0</v>
      </c>
      <c r="N596" s="32"/>
      <c r="O596" s="33">
        <f>SUMIFS(Dump!$D:$D,Dump!$B:$B,$C596,Dump!$A:$A,$Y596)</f>
        <v>0</v>
      </c>
      <c r="P596" s="33">
        <f>SUMIFS(Dump!R:R,Dump!B:B,C596,Dump!A:A,Y596)</f>
        <v>0</v>
      </c>
      <c r="Q596" s="34">
        <f t="shared" si="21"/>
        <v>0</v>
      </c>
      <c r="S596" s="4">
        <f>SUMIFS(Dump!E:E,Dump!B:B,C596,Dump!A:A,Y596)</f>
        <v>0</v>
      </c>
      <c r="T596" s="35">
        <f t="shared" si="22"/>
        <v>0</v>
      </c>
      <c r="V596" s="4">
        <f>SUMIFS(Dump!P:P,Dump!B:B,C596,Dump!A:A,Y596)</f>
        <v>0</v>
      </c>
      <c r="W596" s="37">
        <f t="shared" si="23"/>
        <v>0</v>
      </c>
      <c r="X596" s="39"/>
      <c r="Y596" s="54"/>
    </row>
    <row r="597">
      <c r="C597" s="53"/>
      <c r="G597" s="2" t="str">
        <f t="shared" si="27"/>
        <v/>
      </c>
      <c r="I597" s="4">
        <f>SUMIFS(Dump!D:D,Dump!B:B,C597)</f>
        <v>0</v>
      </c>
      <c r="J597" s="5">
        <f>SUMIFS(Dump!AE:AE,Dump!B:B,C597)</f>
        <v>0</v>
      </c>
      <c r="K597" s="4">
        <f>SUMPRODUCT(
  (TEXT(Dump!$A$2:$A994,"mmm-yy")=TEXT($Y597,"mmm-yy"))*
  (Dump!$B$2:$B994=$C597)*
  Dump!$D$2:$D994)</f>
        <v>0</v>
      </c>
      <c r="L597" s="4">
        <f>SUMPRODUCT(
  (TEXT(Dump!$A$2:$A994,"mmm-yy")=TEXT($Y597,"mmm-yy"))*
  (Dump!$B$2:$B994=$C597)*
  Dump!$E$2:$E994
)</f>
        <v>0</v>
      </c>
      <c r="M597" s="4">
        <f>SUMPRODUCT(
  (TEXT(Dump!$A$2:$A994,"mmm-yy")=TEXT($Y597,"mmm-yy"))*
  (Dump!$B$2:$B994=$C597)*
  Dump!$P$2:$P994
)</f>
        <v>0</v>
      </c>
      <c r="N597" s="32"/>
      <c r="O597" s="33">
        <f>SUMIFS(Dump!$D:$D,Dump!$B:$B,$C597,Dump!$A:$A,$Y597)</f>
        <v>0</v>
      </c>
      <c r="P597" s="33">
        <f>SUMIFS(Dump!R:R,Dump!B:B,C597,Dump!A:A,Y597)</f>
        <v>0</v>
      </c>
      <c r="Q597" s="34">
        <f t="shared" si="21"/>
        <v>0</v>
      </c>
      <c r="S597" s="4">
        <f>SUMIFS(Dump!E:E,Dump!B:B,C597,Dump!A:A,Y597)</f>
        <v>0</v>
      </c>
      <c r="T597" s="35">
        <f t="shared" si="22"/>
        <v>0</v>
      </c>
      <c r="V597" s="4">
        <f>SUMIFS(Dump!P:P,Dump!B:B,C597,Dump!A:A,Y597)</f>
        <v>0</v>
      </c>
      <c r="W597" s="37">
        <f t="shared" si="23"/>
        <v>0</v>
      </c>
      <c r="X597" s="39"/>
      <c r="Y597" s="54"/>
    </row>
    <row r="598">
      <c r="C598" s="53"/>
      <c r="G598" s="2" t="str">
        <f t="shared" si="27"/>
        <v/>
      </c>
      <c r="I598" s="4">
        <f>SUMIFS(Dump!D:D,Dump!B:B,C598)</f>
        <v>0</v>
      </c>
      <c r="J598" s="5">
        <f>SUMIFS(Dump!AE:AE,Dump!B:B,C598)</f>
        <v>0</v>
      </c>
      <c r="K598" s="4">
        <f>SUMPRODUCT(
  (TEXT(Dump!$A$2:$A994,"mmm-yy")=TEXT($Y598,"mmm-yy"))*
  (Dump!$B$2:$B994=$C598)*
  Dump!$D$2:$D994)</f>
        <v>0</v>
      </c>
      <c r="L598" s="4">
        <f>SUMPRODUCT(
  (TEXT(Dump!$A$2:$A994,"mmm-yy")=TEXT($Y598,"mmm-yy"))*
  (Dump!$B$2:$B994=$C598)*
  Dump!$E$2:$E994
)</f>
        <v>0</v>
      </c>
      <c r="M598" s="4">
        <f>SUMPRODUCT(
  (TEXT(Dump!$A$2:$A994,"mmm-yy")=TEXT($Y598,"mmm-yy"))*
  (Dump!$B$2:$B994=$C598)*
  Dump!$P$2:$P994
)</f>
        <v>0</v>
      </c>
      <c r="N598" s="32"/>
      <c r="O598" s="33">
        <f>SUMIFS(Dump!$D:$D,Dump!$B:$B,$C598,Dump!$A:$A,$Y598)</f>
        <v>0</v>
      </c>
      <c r="P598" s="33">
        <f>SUMIFS(Dump!R:R,Dump!B:B,C598,Dump!A:A,Y598)</f>
        <v>0</v>
      </c>
      <c r="Q598" s="34">
        <f t="shared" si="21"/>
        <v>0</v>
      </c>
      <c r="S598" s="4">
        <f>SUMIFS(Dump!E:E,Dump!B:B,C598,Dump!A:A,Y598)</f>
        <v>0</v>
      </c>
      <c r="T598" s="35">
        <f t="shared" si="22"/>
        <v>0</v>
      </c>
      <c r="V598" s="4">
        <f>SUMIFS(Dump!P:P,Dump!B:B,C598,Dump!A:A,Y598)</f>
        <v>0</v>
      </c>
      <c r="W598" s="37">
        <f t="shared" si="23"/>
        <v>0</v>
      </c>
      <c r="X598" s="39"/>
      <c r="Y598" s="54"/>
    </row>
    <row r="599">
      <c r="C599" s="53"/>
      <c r="G599" s="2" t="str">
        <f t="shared" si="27"/>
        <v/>
      </c>
      <c r="I599" s="4">
        <f>SUMIFS(Dump!D:D,Dump!B:B,C599)</f>
        <v>0</v>
      </c>
      <c r="J599" s="5">
        <f>SUMIFS(Dump!AE:AE,Dump!B:B,C599)</f>
        <v>0</v>
      </c>
      <c r="K599" s="4">
        <f>SUMPRODUCT(
  (TEXT(Dump!$A$2:$A994,"mmm-yy")=TEXT($Y599,"mmm-yy"))*
  (Dump!$B$2:$B994=$C599)*
  Dump!$D$2:$D994)</f>
        <v>0</v>
      </c>
      <c r="L599" s="4">
        <f>SUMPRODUCT(
  (TEXT(Dump!$A$2:$A994,"mmm-yy")=TEXT($Y599,"mmm-yy"))*
  (Dump!$B$2:$B994=$C599)*
  Dump!$E$2:$E994
)</f>
        <v>0</v>
      </c>
      <c r="M599" s="4">
        <f>SUMPRODUCT(
  (TEXT(Dump!$A$2:$A994,"mmm-yy")=TEXT($Y599,"mmm-yy"))*
  (Dump!$B$2:$B994=$C599)*
  Dump!$P$2:$P994
)</f>
        <v>0</v>
      </c>
      <c r="N599" s="32"/>
      <c r="O599" s="33">
        <f>SUMIFS(Dump!$D:$D,Dump!$B:$B,$C599,Dump!$A:$A,$Y599)</f>
        <v>0</v>
      </c>
      <c r="P599" s="33">
        <f>SUMIFS(Dump!R:R,Dump!B:B,C599,Dump!A:A,Y599)</f>
        <v>0</v>
      </c>
      <c r="Q599" s="34">
        <f t="shared" si="21"/>
        <v>0</v>
      </c>
      <c r="S599" s="4">
        <f>SUMIFS(Dump!E:E,Dump!B:B,C599,Dump!A:A,Y599)</f>
        <v>0</v>
      </c>
      <c r="T599" s="35">
        <f t="shared" si="22"/>
        <v>0</v>
      </c>
      <c r="V599" s="4">
        <f>SUMIFS(Dump!P:P,Dump!B:B,C599,Dump!A:A,Y599)</f>
        <v>0</v>
      </c>
      <c r="W599" s="37">
        <f t="shared" si="23"/>
        <v>0</v>
      </c>
      <c r="X599" s="39"/>
      <c r="Y599" s="54"/>
    </row>
    <row r="600">
      <c r="C600" s="53"/>
      <c r="G600" s="2" t="str">
        <f t="shared" si="27"/>
        <v/>
      </c>
      <c r="I600" s="4">
        <f>SUMIFS(Dump!D:D,Dump!B:B,C600)</f>
        <v>0</v>
      </c>
      <c r="J600" s="5">
        <f>SUMIFS(Dump!AE:AE,Dump!B:B,C600)</f>
        <v>0</v>
      </c>
      <c r="K600" s="4">
        <f>SUMPRODUCT(
  (TEXT(Dump!$A$2:$A994,"mmm-yy")=TEXT($Y600,"mmm-yy"))*
  (Dump!$B$2:$B994=$C600)*
  Dump!$D$2:$D994)</f>
        <v>0</v>
      </c>
      <c r="L600" s="4">
        <f>SUMPRODUCT(
  (TEXT(Dump!$A$2:$A994,"mmm-yy")=TEXT($Y600,"mmm-yy"))*
  (Dump!$B$2:$B994=$C600)*
  Dump!$E$2:$E994
)</f>
        <v>0</v>
      </c>
      <c r="M600" s="4">
        <f>SUMPRODUCT(
  (TEXT(Dump!$A$2:$A994,"mmm-yy")=TEXT($Y600,"mmm-yy"))*
  (Dump!$B$2:$B994=$C600)*
  Dump!$P$2:$P994
)</f>
        <v>0</v>
      </c>
      <c r="N600" s="32"/>
      <c r="O600" s="33">
        <f>SUMIFS(Dump!$D:$D,Dump!$B:$B,$C600,Dump!$A:$A,$Y600)</f>
        <v>0</v>
      </c>
      <c r="P600" s="33">
        <f>SUMIFS(Dump!R:R,Dump!B:B,C600,Dump!A:A,Y600)</f>
        <v>0</v>
      </c>
      <c r="Q600" s="34">
        <f t="shared" si="21"/>
        <v>0</v>
      </c>
      <c r="S600" s="4">
        <f>SUMIFS(Dump!E:E,Dump!B:B,C600,Dump!A:A,Y600)</f>
        <v>0</v>
      </c>
      <c r="T600" s="35">
        <f t="shared" si="22"/>
        <v>0</v>
      </c>
      <c r="V600" s="4">
        <f>SUMIFS(Dump!P:P,Dump!B:B,C600,Dump!A:A,Y600)</f>
        <v>0</v>
      </c>
      <c r="W600" s="37">
        <f t="shared" si="23"/>
        <v>0</v>
      </c>
      <c r="X600" s="39"/>
      <c r="Y600" s="54"/>
    </row>
    <row r="601">
      <c r="C601" s="53"/>
      <c r="G601" s="2" t="str">
        <f t="shared" si="27"/>
        <v/>
      </c>
      <c r="I601" s="4">
        <f>SUMIFS(Dump!D:D,Dump!B:B,C601)</f>
        <v>0</v>
      </c>
      <c r="J601" s="5">
        <f>SUMIFS(Dump!AE:AE,Dump!B:B,C601)</f>
        <v>0</v>
      </c>
      <c r="K601" s="4">
        <f>SUMPRODUCT(
  (TEXT(Dump!$A$2:$A994,"mmm-yy")=TEXT($Y601,"mmm-yy"))*
  (Dump!$B$2:$B994=$C601)*
  Dump!$D$2:$D994)</f>
        <v>0</v>
      </c>
      <c r="L601" s="4">
        <f>SUMPRODUCT(
  (TEXT(Dump!$A$2:$A994,"mmm-yy")=TEXT($Y601,"mmm-yy"))*
  (Dump!$B$2:$B994=$C601)*
  Dump!$E$2:$E994
)</f>
        <v>0</v>
      </c>
      <c r="M601" s="4">
        <f>SUMPRODUCT(
  (TEXT(Dump!$A$2:$A994,"mmm-yy")=TEXT($Y601,"mmm-yy"))*
  (Dump!$B$2:$B994=$C601)*
  Dump!$P$2:$P994
)</f>
        <v>0</v>
      </c>
      <c r="N601" s="32"/>
      <c r="O601" s="33">
        <f>SUMIFS(Dump!$D:$D,Dump!$B:$B,$C601,Dump!$A:$A,$Y601)</f>
        <v>0</v>
      </c>
      <c r="P601" s="33">
        <f>SUMIFS(Dump!R:R,Dump!B:B,C601,Dump!A:A,Y601)</f>
        <v>0</v>
      </c>
      <c r="Q601" s="34">
        <f t="shared" si="21"/>
        <v>0</v>
      </c>
      <c r="S601" s="4">
        <f>SUMIFS(Dump!E:E,Dump!B:B,C601,Dump!A:A,Y601)</f>
        <v>0</v>
      </c>
      <c r="T601" s="35">
        <f t="shared" si="22"/>
        <v>0</v>
      </c>
      <c r="V601" s="4">
        <f>SUMIFS(Dump!P:P,Dump!B:B,C601,Dump!A:A,Y601)</f>
        <v>0</v>
      </c>
      <c r="W601" s="37">
        <f t="shared" si="23"/>
        <v>0</v>
      </c>
      <c r="X601" s="39"/>
      <c r="Y601" s="54"/>
    </row>
    <row r="602">
      <c r="C602" s="53"/>
      <c r="G602" s="2" t="str">
        <f t="shared" si="27"/>
        <v/>
      </c>
      <c r="I602" s="4">
        <f>SUMIFS(Dump!D:D,Dump!B:B,C602)</f>
        <v>0</v>
      </c>
      <c r="J602" s="5">
        <f>SUMIFS(Dump!AE:AE,Dump!B:B,C602)</f>
        <v>0</v>
      </c>
      <c r="K602" s="4">
        <f>SUMPRODUCT(
  (TEXT(Dump!$A$2:$A994,"mmm-yy")=TEXT($Y602,"mmm-yy"))*
  (Dump!$B$2:$B994=$C602)*
  Dump!$D$2:$D994)</f>
        <v>0</v>
      </c>
      <c r="L602" s="4">
        <f>SUMPRODUCT(
  (TEXT(Dump!$A$2:$A994,"mmm-yy")=TEXT($Y602,"mmm-yy"))*
  (Dump!$B$2:$B994=$C602)*
  Dump!$E$2:$E994
)</f>
        <v>0</v>
      </c>
      <c r="M602" s="4">
        <f>SUMPRODUCT(
  (TEXT(Dump!$A$2:$A994,"mmm-yy")=TEXT($Y602,"mmm-yy"))*
  (Dump!$B$2:$B994=$C602)*
  Dump!$P$2:$P994
)</f>
        <v>0</v>
      </c>
      <c r="N602" s="32"/>
      <c r="O602" s="33">
        <f>SUMIFS(Dump!$D:$D,Dump!$B:$B,$C602,Dump!$A:$A,$Y602)</f>
        <v>0</v>
      </c>
      <c r="P602" s="33">
        <f>SUMIFS(Dump!R:R,Dump!B:B,C602,Dump!A:A,Y602)</f>
        <v>0</v>
      </c>
      <c r="Q602" s="34">
        <f t="shared" si="21"/>
        <v>0</v>
      </c>
      <c r="S602" s="4">
        <f>SUMIFS(Dump!E:E,Dump!B:B,C602,Dump!A:A,Y602)</f>
        <v>0</v>
      </c>
      <c r="T602" s="35">
        <f t="shared" si="22"/>
        <v>0</v>
      </c>
      <c r="V602" s="4">
        <f>SUMIFS(Dump!P:P,Dump!B:B,C602,Dump!A:A,Y602)</f>
        <v>0</v>
      </c>
      <c r="W602" s="37">
        <f t="shared" si="23"/>
        <v>0</v>
      </c>
      <c r="X602" s="39"/>
      <c r="Y602" s="54"/>
    </row>
    <row r="603">
      <c r="C603" s="53"/>
      <c r="G603" s="2" t="str">
        <f t="shared" si="27"/>
        <v/>
      </c>
      <c r="I603" s="4">
        <f>SUMIFS(Dump!D:D,Dump!B:B,C603)</f>
        <v>0</v>
      </c>
      <c r="J603" s="5">
        <f>SUMIFS(Dump!AE:AE,Dump!B:B,C603)</f>
        <v>0</v>
      </c>
      <c r="K603" s="4">
        <f>SUMPRODUCT(
  (TEXT(Dump!$A$2:$A994,"mmm-yy")=TEXT($Y603,"mmm-yy"))*
  (Dump!$B$2:$B994=$C603)*
  Dump!$D$2:$D994)</f>
        <v>0</v>
      </c>
      <c r="L603" s="4">
        <f>SUMPRODUCT(
  (TEXT(Dump!$A$2:$A994,"mmm-yy")=TEXT($Y603,"mmm-yy"))*
  (Dump!$B$2:$B994=$C603)*
  Dump!$E$2:$E994
)</f>
        <v>0</v>
      </c>
      <c r="M603" s="4">
        <f>SUMPRODUCT(
  (TEXT(Dump!$A$2:$A994,"mmm-yy")=TEXT($Y603,"mmm-yy"))*
  (Dump!$B$2:$B994=$C603)*
  Dump!$P$2:$P994
)</f>
        <v>0</v>
      </c>
      <c r="N603" s="32"/>
      <c r="O603" s="33">
        <f>SUMIFS(Dump!$D:$D,Dump!$B:$B,$C603,Dump!$A:$A,$Y603)</f>
        <v>0</v>
      </c>
      <c r="P603" s="33">
        <f>SUMIFS(Dump!R:R,Dump!B:B,C603,Dump!A:A,Y603)</f>
        <v>0</v>
      </c>
      <c r="Q603" s="34">
        <f t="shared" si="21"/>
        <v>0</v>
      </c>
      <c r="S603" s="4">
        <f>SUMIFS(Dump!E:E,Dump!B:B,C603,Dump!A:A,Y603)</f>
        <v>0</v>
      </c>
      <c r="T603" s="35">
        <f t="shared" si="22"/>
        <v>0</v>
      </c>
      <c r="V603" s="4">
        <f>SUMIFS(Dump!P:P,Dump!B:B,C603,Dump!A:A,Y603)</f>
        <v>0</v>
      </c>
      <c r="W603" s="37">
        <f t="shared" si="23"/>
        <v>0</v>
      </c>
      <c r="X603" s="39"/>
      <c r="Y603" s="54"/>
    </row>
    <row r="604">
      <c r="C604" s="53"/>
      <c r="G604" s="2" t="str">
        <f t="shared" si="27"/>
        <v/>
      </c>
      <c r="I604" s="4">
        <f>SUMIFS(Dump!D:D,Dump!B:B,C604)</f>
        <v>0</v>
      </c>
      <c r="J604" s="5">
        <f>SUMIFS(Dump!AE:AE,Dump!B:B,C604)</f>
        <v>0</v>
      </c>
      <c r="K604" s="4">
        <f>SUMPRODUCT(
  (TEXT(Dump!$A$2:$A994,"mmm-yy")=TEXT($Y604,"mmm-yy"))*
  (Dump!$B$2:$B994=$C604)*
  Dump!$D$2:$D994)</f>
        <v>0</v>
      </c>
      <c r="L604" s="4">
        <f>SUMPRODUCT(
  (TEXT(Dump!$A$2:$A994,"mmm-yy")=TEXT($Y604,"mmm-yy"))*
  (Dump!$B$2:$B994=$C604)*
  Dump!$E$2:$E994
)</f>
        <v>0</v>
      </c>
      <c r="M604" s="4">
        <f>SUMPRODUCT(
  (TEXT(Dump!$A$2:$A994,"mmm-yy")=TEXT($Y604,"mmm-yy"))*
  (Dump!$B$2:$B994=$C604)*
  Dump!$P$2:$P994
)</f>
        <v>0</v>
      </c>
      <c r="N604" s="32"/>
      <c r="O604" s="33">
        <f>SUMIFS(Dump!$D:$D,Dump!$B:$B,$C604,Dump!$A:$A,$Y604)</f>
        <v>0</v>
      </c>
      <c r="P604" s="33">
        <f>SUMIFS(Dump!R:R,Dump!B:B,C604,Dump!A:A,Y604)</f>
        <v>0</v>
      </c>
      <c r="Q604" s="34">
        <f t="shared" si="21"/>
        <v>0</v>
      </c>
      <c r="S604" s="4">
        <f>SUMIFS(Dump!E:E,Dump!B:B,C604,Dump!A:A,Y604)</f>
        <v>0</v>
      </c>
      <c r="T604" s="35">
        <f t="shared" si="22"/>
        <v>0</v>
      </c>
      <c r="V604" s="4">
        <f>SUMIFS(Dump!P:P,Dump!B:B,C604,Dump!A:A,Y604)</f>
        <v>0</v>
      </c>
      <c r="W604" s="37">
        <f t="shared" si="23"/>
        <v>0</v>
      </c>
      <c r="X604" s="39"/>
      <c r="Y604" s="54"/>
    </row>
    <row r="605">
      <c r="C605" s="53"/>
      <c r="G605" s="2" t="str">
        <f t="shared" si="27"/>
        <v/>
      </c>
      <c r="I605" s="4">
        <f>SUMIFS(Dump!D:D,Dump!B:B,C605)</f>
        <v>0</v>
      </c>
      <c r="J605" s="5">
        <f>SUMIFS(Dump!AE:AE,Dump!B:B,C605)</f>
        <v>0</v>
      </c>
      <c r="K605" s="4">
        <f>SUMPRODUCT(
  (TEXT(Dump!$A$2:$A994,"mmm-yy")=TEXT($Y605,"mmm-yy"))*
  (Dump!$B$2:$B994=$C605)*
  Dump!$D$2:$D994)</f>
        <v>0</v>
      </c>
      <c r="L605" s="4">
        <f>SUMPRODUCT(
  (TEXT(Dump!$A$2:$A994,"mmm-yy")=TEXT($Y605,"mmm-yy"))*
  (Dump!$B$2:$B994=$C605)*
  Dump!$E$2:$E994
)</f>
        <v>0</v>
      </c>
      <c r="M605" s="4">
        <f>SUMPRODUCT(
  (TEXT(Dump!$A$2:$A994,"mmm-yy")=TEXT($Y605,"mmm-yy"))*
  (Dump!$B$2:$B994=$C605)*
  Dump!$P$2:$P994
)</f>
        <v>0</v>
      </c>
      <c r="N605" s="32"/>
      <c r="O605" s="33">
        <f>SUMIFS(Dump!$D:$D,Dump!$B:$B,$C605,Dump!$A:$A,$Y605)</f>
        <v>0</v>
      </c>
      <c r="P605" s="33">
        <f>SUMIFS(Dump!R:R,Dump!B:B,C605,Dump!A:A,Y605)</f>
        <v>0</v>
      </c>
      <c r="Q605" s="34">
        <f t="shared" si="21"/>
        <v>0</v>
      </c>
      <c r="S605" s="4">
        <f>SUMIFS(Dump!E:E,Dump!B:B,C605,Dump!A:A,Y605)</f>
        <v>0</v>
      </c>
      <c r="T605" s="35">
        <f t="shared" si="22"/>
        <v>0</v>
      </c>
      <c r="V605" s="4">
        <f>SUMIFS(Dump!P:P,Dump!B:B,C605,Dump!A:A,Y605)</f>
        <v>0</v>
      </c>
      <c r="W605" s="37">
        <f t="shared" si="23"/>
        <v>0</v>
      </c>
      <c r="X605" s="39"/>
      <c r="Y605" s="54"/>
    </row>
    <row r="606">
      <c r="C606" s="53"/>
      <c r="G606" s="2" t="str">
        <f t="shared" si="27"/>
        <v/>
      </c>
      <c r="I606" s="4">
        <f>SUMIFS(Dump!D:D,Dump!B:B,C606)</f>
        <v>0</v>
      </c>
      <c r="J606" s="5">
        <f>SUMIFS(Dump!AE:AE,Dump!B:B,C606)</f>
        <v>0</v>
      </c>
      <c r="K606" s="4">
        <f>SUMPRODUCT(
  (TEXT(Dump!$A$2:$A994,"mmm-yy")=TEXT($Y606,"mmm-yy"))*
  (Dump!$B$2:$B994=$C606)*
  Dump!$D$2:$D994)</f>
        <v>0</v>
      </c>
      <c r="L606" s="4">
        <f>SUMPRODUCT(
  (TEXT(Dump!$A$2:$A994,"mmm-yy")=TEXT($Y606,"mmm-yy"))*
  (Dump!$B$2:$B994=$C606)*
  Dump!$E$2:$E994
)</f>
        <v>0</v>
      </c>
      <c r="M606" s="4">
        <f>SUMPRODUCT(
  (TEXT(Dump!$A$2:$A994,"mmm-yy")=TEXT($Y606,"mmm-yy"))*
  (Dump!$B$2:$B994=$C606)*
  Dump!$P$2:$P994
)</f>
        <v>0</v>
      </c>
      <c r="N606" s="32"/>
      <c r="O606" s="33">
        <f>SUMIFS(Dump!$D:$D,Dump!$B:$B,$C606,Dump!$A:$A,$Y606)</f>
        <v>0</v>
      </c>
      <c r="P606" s="33">
        <f>SUMIFS(Dump!R:R,Dump!B:B,C606,Dump!A:A,Y606)</f>
        <v>0</v>
      </c>
      <c r="Q606" s="34">
        <f t="shared" si="21"/>
        <v>0</v>
      </c>
      <c r="S606" s="4">
        <f>SUMIFS(Dump!E:E,Dump!B:B,C606,Dump!A:A,Y606)</f>
        <v>0</v>
      </c>
      <c r="T606" s="35">
        <f t="shared" si="22"/>
        <v>0</v>
      </c>
      <c r="V606" s="4">
        <f>SUMIFS(Dump!P:P,Dump!B:B,C606,Dump!A:A,Y606)</f>
        <v>0</v>
      </c>
      <c r="W606" s="37">
        <f t="shared" si="23"/>
        <v>0</v>
      </c>
      <c r="X606" s="39"/>
      <c r="Y606" s="54"/>
    </row>
    <row r="607">
      <c r="C607" s="53"/>
      <c r="G607" s="2" t="str">
        <f t="shared" si="27"/>
        <v/>
      </c>
      <c r="I607" s="4">
        <f>SUMIFS(Dump!D:D,Dump!B:B,C607)</f>
        <v>0</v>
      </c>
      <c r="J607" s="5">
        <f>SUMIFS(Dump!AE:AE,Dump!B:B,C607)</f>
        <v>0</v>
      </c>
      <c r="K607" s="4">
        <f>SUMPRODUCT(
  (TEXT(Dump!$A$2:$A994,"mmm-yy")=TEXT($Y607,"mmm-yy"))*
  (Dump!$B$2:$B994=$C607)*
  Dump!$D$2:$D994)</f>
        <v>0</v>
      </c>
      <c r="L607" s="4">
        <f>SUMPRODUCT(
  (TEXT(Dump!$A$2:$A994,"mmm-yy")=TEXT($Y607,"mmm-yy"))*
  (Dump!$B$2:$B994=$C607)*
  Dump!$E$2:$E994
)</f>
        <v>0</v>
      </c>
      <c r="M607" s="4">
        <f>SUMPRODUCT(
  (TEXT(Dump!$A$2:$A994,"mmm-yy")=TEXT($Y607,"mmm-yy"))*
  (Dump!$B$2:$B994=$C607)*
  Dump!$P$2:$P994
)</f>
        <v>0</v>
      </c>
      <c r="N607" s="32"/>
      <c r="O607" s="33">
        <f>SUMIFS(Dump!$D:$D,Dump!$B:$B,$C607,Dump!$A:$A,$Y607)</f>
        <v>0</v>
      </c>
      <c r="P607" s="33">
        <f>SUMIFS(Dump!R:R,Dump!B:B,C607,Dump!A:A,Y607)</f>
        <v>0</v>
      </c>
      <c r="Q607" s="34">
        <f t="shared" si="21"/>
        <v>0</v>
      </c>
      <c r="S607" s="4">
        <f>SUMIFS(Dump!E:E,Dump!B:B,C607,Dump!A:A,Y607)</f>
        <v>0</v>
      </c>
      <c r="T607" s="35">
        <f t="shared" si="22"/>
        <v>0</v>
      </c>
      <c r="V607" s="4">
        <f>SUMIFS(Dump!P:P,Dump!B:B,C607,Dump!A:A,Y607)</f>
        <v>0</v>
      </c>
      <c r="W607" s="37">
        <f t="shared" si="23"/>
        <v>0</v>
      </c>
      <c r="X607" s="39"/>
      <c r="Y607" s="54"/>
    </row>
    <row r="608">
      <c r="C608" s="53"/>
      <c r="G608" s="2" t="str">
        <f t="shared" si="27"/>
        <v/>
      </c>
      <c r="I608" s="4">
        <f>SUMIFS(Dump!D:D,Dump!B:B,C608)</f>
        <v>0</v>
      </c>
      <c r="J608" s="5">
        <f>SUMIFS(Dump!AE:AE,Dump!B:B,C608)</f>
        <v>0</v>
      </c>
      <c r="K608" s="4">
        <f>SUMPRODUCT(
  (TEXT(Dump!$A$2:$A994,"mmm-yy")=TEXT($Y608,"mmm-yy"))*
  (Dump!$B$2:$B994=$C608)*
  Dump!$D$2:$D994)</f>
        <v>0</v>
      </c>
      <c r="L608" s="4">
        <f>SUMPRODUCT(
  (TEXT(Dump!$A$2:$A994,"mmm-yy")=TEXT($Y608,"mmm-yy"))*
  (Dump!$B$2:$B994=$C608)*
  Dump!$E$2:$E994
)</f>
        <v>0</v>
      </c>
      <c r="M608" s="4">
        <f>SUMPRODUCT(
  (TEXT(Dump!$A$2:$A994,"mmm-yy")=TEXT($Y608,"mmm-yy"))*
  (Dump!$B$2:$B994=$C608)*
  Dump!$P$2:$P994
)</f>
        <v>0</v>
      </c>
      <c r="N608" s="32"/>
      <c r="O608" s="33">
        <f>SUMIFS(Dump!$D:$D,Dump!$B:$B,$C608,Dump!$A:$A,$Y608)</f>
        <v>0</v>
      </c>
      <c r="P608" s="33">
        <f>SUMIFS(Dump!R:R,Dump!B:B,C608,Dump!A:A,Y608)</f>
        <v>0</v>
      </c>
      <c r="Q608" s="34">
        <f t="shared" si="21"/>
        <v>0</v>
      </c>
      <c r="S608" s="4">
        <f>SUMIFS(Dump!E:E,Dump!B:B,C608,Dump!A:A,Y608)</f>
        <v>0</v>
      </c>
      <c r="T608" s="35">
        <f t="shared" si="22"/>
        <v>0</v>
      </c>
      <c r="V608" s="4">
        <f>SUMIFS(Dump!P:P,Dump!B:B,C608,Dump!A:A,Y608)</f>
        <v>0</v>
      </c>
      <c r="W608" s="37">
        <f t="shared" si="23"/>
        <v>0</v>
      </c>
      <c r="X608" s="39"/>
      <c r="Y608" s="54"/>
    </row>
    <row r="609">
      <c r="C609" s="53"/>
      <c r="G609" s="2" t="str">
        <f t="shared" si="27"/>
        <v/>
      </c>
      <c r="I609" s="4">
        <f>SUMIFS(Dump!D:D,Dump!B:B,C609)</f>
        <v>0</v>
      </c>
      <c r="J609" s="5">
        <f>SUMIFS(Dump!AE:AE,Dump!B:B,C609)</f>
        <v>0</v>
      </c>
      <c r="K609" s="4">
        <f>SUMPRODUCT(
  (TEXT(Dump!$A$2:$A994,"mmm-yy")=TEXT($Y609,"mmm-yy"))*
  (Dump!$B$2:$B994=$C609)*
  Dump!$D$2:$D994)</f>
        <v>0</v>
      </c>
      <c r="L609" s="4">
        <f>SUMPRODUCT(
  (TEXT(Dump!$A$2:$A994,"mmm-yy")=TEXT($Y609,"mmm-yy"))*
  (Dump!$B$2:$B994=$C609)*
  Dump!$E$2:$E994
)</f>
        <v>0</v>
      </c>
      <c r="M609" s="4">
        <f>SUMPRODUCT(
  (TEXT(Dump!$A$2:$A994,"mmm-yy")=TEXT($Y609,"mmm-yy"))*
  (Dump!$B$2:$B994=$C609)*
  Dump!$P$2:$P994
)</f>
        <v>0</v>
      </c>
      <c r="N609" s="32"/>
      <c r="O609" s="33">
        <f>SUMIFS(Dump!$D:$D,Dump!$B:$B,$C609,Dump!$A:$A,$Y609)</f>
        <v>0</v>
      </c>
      <c r="P609" s="33">
        <f>SUMIFS(Dump!R:R,Dump!B:B,C609,Dump!A:A,Y609)</f>
        <v>0</v>
      </c>
      <c r="Q609" s="34">
        <f t="shared" si="21"/>
        <v>0</v>
      </c>
      <c r="S609" s="4">
        <f>SUMIFS(Dump!E:E,Dump!B:B,C609,Dump!A:A,Y609)</f>
        <v>0</v>
      </c>
      <c r="T609" s="35">
        <f t="shared" si="22"/>
        <v>0</v>
      </c>
      <c r="V609" s="4">
        <f>SUMIFS(Dump!P:P,Dump!B:B,C609,Dump!A:A,Y609)</f>
        <v>0</v>
      </c>
      <c r="W609" s="37">
        <f t="shared" si="23"/>
        <v>0</v>
      </c>
      <c r="X609" s="39"/>
      <c r="Y609" s="54"/>
    </row>
    <row r="610">
      <c r="C610" s="53"/>
      <c r="G610" s="2" t="str">
        <f t="shared" si="27"/>
        <v/>
      </c>
      <c r="I610" s="4">
        <f>SUMIFS(Dump!D:D,Dump!B:B,C610)</f>
        <v>0</v>
      </c>
      <c r="J610" s="5">
        <f>SUMIFS(Dump!AE:AE,Dump!B:B,C610)</f>
        <v>0</v>
      </c>
      <c r="K610" s="4">
        <f>SUMPRODUCT(
  (TEXT(Dump!$A$2:$A994,"mmm-yy")=TEXT($Y610,"mmm-yy"))*
  (Dump!$B$2:$B994=$C610)*
  Dump!$D$2:$D994)</f>
        <v>0</v>
      </c>
      <c r="L610" s="4">
        <f>SUMPRODUCT(
  (TEXT(Dump!$A$2:$A994,"mmm-yy")=TEXT($Y610,"mmm-yy"))*
  (Dump!$B$2:$B994=$C610)*
  Dump!$E$2:$E994
)</f>
        <v>0</v>
      </c>
      <c r="M610" s="4">
        <f>SUMPRODUCT(
  (TEXT(Dump!$A$2:$A994,"mmm-yy")=TEXT($Y610,"mmm-yy"))*
  (Dump!$B$2:$B994=$C610)*
  Dump!$P$2:$P994
)</f>
        <v>0</v>
      </c>
      <c r="N610" s="32"/>
      <c r="O610" s="33">
        <f>SUMIFS(Dump!$D:$D,Dump!$B:$B,$C610,Dump!$A:$A,$Y610)</f>
        <v>0</v>
      </c>
      <c r="P610" s="33">
        <f>SUMIFS(Dump!R:R,Dump!B:B,C610,Dump!A:A,Y610)</f>
        <v>0</v>
      </c>
      <c r="Q610" s="34">
        <f t="shared" si="21"/>
        <v>0</v>
      </c>
      <c r="S610" s="4">
        <f>SUMIFS(Dump!E:E,Dump!B:B,C610,Dump!A:A,Y610)</f>
        <v>0</v>
      </c>
      <c r="T610" s="35">
        <f t="shared" si="22"/>
        <v>0</v>
      </c>
      <c r="V610" s="4">
        <f>SUMIFS(Dump!P:P,Dump!B:B,C610,Dump!A:A,Y610)</f>
        <v>0</v>
      </c>
      <c r="W610" s="37">
        <f t="shared" si="23"/>
        <v>0</v>
      </c>
      <c r="X610" s="39"/>
      <c r="Y610" s="54"/>
    </row>
    <row r="611">
      <c r="C611" s="53"/>
      <c r="G611" s="2" t="str">
        <f t="shared" si="27"/>
        <v/>
      </c>
      <c r="I611" s="4">
        <f>SUMIFS(Dump!D:D,Dump!B:B,C611)</f>
        <v>0</v>
      </c>
      <c r="J611" s="5">
        <f>SUMIFS(Dump!AE:AE,Dump!B:B,C611)</f>
        <v>0</v>
      </c>
      <c r="K611" s="4">
        <f>SUMPRODUCT(
  (TEXT(Dump!$A$2:$A994,"mmm-yy")=TEXT($Y611,"mmm-yy"))*
  (Dump!$B$2:$B994=$C611)*
  Dump!$D$2:$D994)</f>
        <v>0</v>
      </c>
      <c r="L611" s="4">
        <f>SUMPRODUCT(
  (TEXT(Dump!$A$2:$A994,"mmm-yy")=TEXT($Y611,"mmm-yy"))*
  (Dump!$B$2:$B994=$C611)*
  Dump!$E$2:$E994
)</f>
        <v>0</v>
      </c>
      <c r="M611" s="4">
        <f>SUMPRODUCT(
  (TEXT(Dump!$A$2:$A994,"mmm-yy")=TEXT($Y611,"mmm-yy"))*
  (Dump!$B$2:$B994=$C611)*
  Dump!$P$2:$P994
)</f>
        <v>0</v>
      </c>
      <c r="N611" s="32"/>
      <c r="O611" s="33">
        <f>SUMIFS(Dump!$D:$D,Dump!$B:$B,$C611,Dump!$A:$A,$Y611)</f>
        <v>0</v>
      </c>
      <c r="P611" s="33">
        <f>SUMIFS(Dump!R:R,Dump!B:B,C611,Dump!A:A,Y611)</f>
        <v>0</v>
      </c>
      <c r="Q611" s="34">
        <f t="shared" si="21"/>
        <v>0</v>
      </c>
      <c r="S611" s="4">
        <f>SUMIFS(Dump!E:E,Dump!B:B,C611,Dump!A:A,Y611)</f>
        <v>0</v>
      </c>
      <c r="T611" s="35">
        <f t="shared" si="22"/>
        <v>0</v>
      </c>
      <c r="V611" s="4">
        <f>SUMIFS(Dump!P:P,Dump!B:B,C611,Dump!A:A,Y611)</f>
        <v>0</v>
      </c>
      <c r="W611" s="37">
        <f t="shared" si="23"/>
        <v>0</v>
      </c>
      <c r="X611" s="39"/>
      <c r="Y611" s="54"/>
    </row>
    <row r="612">
      <c r="C612" s="53"/>
      <c r="G612" s="2" t="str">
        <f t="shared" si="27"/>
        <v/>
      </c>
      <c r="I612" s="4">
        <f>SUMIFS(Dump!D:D,Dump!B:B,C612)</f>
        <v>0</v>
      </c>
      <c r="J612" s="5">
        <f>SUMIFS(Dump!AE:AE,Dump!B:B,C612)</f>
        <v>0</v>
      </c>
      <c r="K612" s="4">
        <f>SUMPRODUCT(
  (TEXT(Dump!$A$2:$A994,"mmm-yy")=TEXT($Y612,"mmm-yy"))*
  (Dump!$B$2:$B994=$C612)*
  Dump!$D$2:$D994)</f>
        <v>0</v>
      </c>
      <c r="L612" s="4">
        <f>SUMPRODUCT(
  (TEXT(Dump!$A$2:$A994,"mmm-yy")=TEXT($Y612,"mmm-yy"))*
  (Dump!$B$2:$B994=$C612)*
  Dump!$E$2:$E994
)</f>
        <v>0</v>
      </c>
      <c r="M612" s="4">
        <f>SUMPRODUCT(
  (TEXT(Dump!$A$2:$A994,"mmm-yy")=TEXT($Y612,"mmm-yy"))*
  (Dump!$B$2:$B994=$C612)*
  Dump!$P$2:$P994
)</f>
        <v>0</v>
      </c>
      <c r="N612" s="32"/>
      <c r="O612" s="33">
        <f>SUMIFS(Dump!$D:$D,Dump!$B:$B,$C612,Dump!$A:$A,$Y612)</f>
        <v>0</v>
      </c>
      <c r="P612" s="33">
        <f>SUMIFS(Dump!R:R,Dump!B:B,C612,Dump!A:A,Y612)</f>
        <v>0</v>
      </c>
      <c r="Q612" s="34">
        <f t="shared" si="21"/>
        <v>0</v>
      </c>
      <c r="S612" s="4">
        <f>SUMIFS(Dump!E:E,Dump!B:B,C612,Dump!A:A,Y612)</f>
        <v>0</v>
      </c>
      <c r="T612" s="35">
        <f t="shared" si="22"/>
        <v>0</v>
      </c>
      <c r="V612" s="4">
        <f>SUMIFS(Dump!P:P,Dump!B:B,C612,Dump!A:A,Y612)</f>
        <v>0</v>
      </c>
      <c r="W612" s="37">
        <f t="shared" si="23"/>
        <v>0</v>
      </c>
      <c r="X612" s="39"/>
      <c r="Y612" s="54"/>
    </row>
    <row r="613">
      <c r="C613" s="53"/>
      <c r="G613" s="2" t="str">
        <f t="shared" si="27"/>
        <v/>
      </c>
      <c r="I613" s="4">
        <f>SUMIFS(Dump!D:D,Dump!B:B,C613)</f>
        <v>0</v>
      </c>
      <c r="J613" s="5">
        <f>SUMIFS(Dump!AE:AE,Dump!B:B,C613)</f>
        <v>0</v>
      </c>
      <c r="K613" s="4">
        <f>SUMPRODUCT(
  (TEXT(Dump!$A$2:$A994,"mmm-yy")=TEXT($Y613,"mmm-yy"))*
  (Dump!$B$2:$B994=$C613)*
  Dump!$D$2:$D994)</f>
        <v>0</v>
      </c>
      <c r="L613" s="4">
        <f>SUMPRODUCT(
  (TEXT(Dump!$A$2:$A994,"mmm-yy")=TEXT($Y613,"mmm-yy"))*
  (Dump!$B$2:$B994=$C613)*
  Dump!$E$2:$E994
)</f>
        <v>0</v>
      </c>
      <c r="M613" s="4">
        <f>SUMPRODUCT(
  (TEXT(Dump!$A$2:$A994,"mmm-yy")=TEXT($Y613,"mmm-yy"))*
  (Dump!$B$2:$B994=$C613)*
  Dump!$P$2:$P994
)</f>
        <v>0</v>
      </c>
      <c r="N613" s="32"/>
      <c r="O613" s="33">
        <f>SUMIFS(Dump!$D:$D,Dump!$B:$B,$C613,Dump!$A:$A,$Y613)</f>
        <v>0</v>
      </c>
      <c r="P613" s="33">
        <f>SUMIFS(Dump!R:R,Dump!B:B,C613,Dump!A:A,Y613)</f>
        <v>0</v>
      </c>
      <c r="Q613" s="34">
        <f t="shared" si="21"/>
        <v>0</v>
      </c>
      <c r="S613" s="4">
        <f>SUMIFS(Dump!E:E,Dump!B:B,C613,Dump!A:A,Y613)</f>
        <v>0</v>
      </c>
      <c r="T613" s="35">
        <f t="shared" si="22"/>
        <v>0</v>
      </c>
      <c r="V613" s="4">
        <f>SUMIFS(Dump!P:P,Dump!B:B,C613,Dump!A:A,Y613)</f>
        <v>0</v>
      </c>
      <c r="W613" s="37">
        <f t="shared" si="23"/>
        <v>0</v>
      </c>
      <c r="X613" s="39"/>
      <c r="Y613" s="54"/>
    </row>
    <row r="614">
      <c r="C614" s="53"/>
      <c r="G614" s="2" t="str">
        <f t="shared" si="27"/>
        <v/>
      </c>
      <c r="I614" s="4">
        <f>SUMIFS(Dump!D:D,Dump!B:B,C614)</f>
        <v>0</v>
      </c>
      <c r="J614" s="5">
        <f>SUMIFS(Dump!AE:AE,Dump!B:B,C614)</f>
        <v>0</v>
      </c>
      <c r="K614" s="4">
        <f>SUMPRODUCT(
  (TEXT(Dump!$A$2:$A994,"mmm-yy")=TEXT($Y614,"mmm-yy"))*
  (Dump!$B$2:$B994=$C614)*
  Dump!$D$2:$D994)</f>
        <v>0</v>
      </c>
      <c r="L614" s="4">
        <f>SUMPRODUCT(
  (TEXT(Dump!$A$2:$A994,"mmm-yy")=TEXT($Y614,"mmm-yy"))*
  (Dump!$B$2:$B994=$C614)*
  Dump!$E$2:$E994
)</f>
        <v>0</v>
      </c>
      <c r="M614" s="4">
        <f>SUMPRODUCT(
  (TEXT(Dump!$A$2:$A994,"mmm-yy")=TEXT($Y614,"mmm-yy"))*
  (Dump!$B$2:$B994=$C614)*
  Dump!$P$2:$P994
)</f>
        <v>0</v>
      </c>
      <c r="N614" s="32"/>
      <c r="O614" s="33">
        <f>SUMIFS(Dump!$D:$D,Dump!$B:$B,$C614,Dump!$A:$A,$Y614)</f>
        <v>0</v>
      </c>
      <c r="P614" s="33">
        <f>SUMIFS(Dump!R:R,Dump!B:B,C614,Dump!A:A,Y614)</f>
        <v>0</v>
      </c>
      <c r="Q614" s="34">
        <f t="shared" si="21"/>
        <v>0</v>
      </c>
      <c r="S614" s="4">
        <f>SUMIFS(Dump!E:E,Dump!B:B,C614,Dump!A:A,Y614)</f>
        <v>0</v>
      </c>
      <c r="T614" s="35">
        <f t="shared" si="22"/>
        <v>0</v>
      </c>
      <c r="V614" s="4">
        <f>SUMIFS(Dump!P:P,Dump!B:B,C614,Dump!A:A,Y614)</f>
        <v>0</v>
      </c>
      <c r="W614" s="37">
        <f t="shared" si="23"/>
        <v>0</v>
      </c>
      <c r="X614" s="39"/>
      <c r="Y614" s="54"/>
    </row>
    <row r="615">
      <c r="C615" s="53"/>
      <c r="G615" s="2" t="str">
        <f t="shared" si="27"/>
        <v/>
      </c>
      <c r="I615" s="4">
        <f>SUMIFS(Dump!D:D,Dump!B:B,C615)</f>
        <v>0</v>
      </c>
      <c r="J615" s="5">
        <f>SUMIFS(Dump!AE:AE,Dump!B:B,C615)</f>
        <v>0</v>
      </c>
      <c r="K615" s="4">
        <f>SUMPRODUCT(
  (TEXT(Dump!$A$2:$A994,"mmm-yy")=TEXT($Y615,"mmm-yy"))*
  (Dump!$B$2:$B994=$C615)*
  Dump!$D$2:$D994)</f>
        <v>0</v>
      </c>
      <c r="L615" s="4">
        <f>SUMPRODUCT(
  (TEXT(Dump!$A$2:$A994,"mmm-yy")=TEXT($Y615,"mmm-yy"))*
  (Dump!$B$2:$B994=$C615)*
  Dump!$E$2:$E994
)</f>
        <v>0</v>
      </c>
      <c r="M615" s="4">
        <f>SUMPRODUCT(
  (TEXT(Dump!$A$2:$A994,"mmm-yy")=TEXT($Y615,"mmm-yy"))*
  (Dump!$B$2:$B994=$C615)*
  Dump!$P$2:$P994
)</f>
        <v>0</v>
      </c>
      <c r="N615" s="32"/>
      <c r="O615" s="33">
        <f>SUMIFS(Dump!$D:$D,Dump!$B:$B,$C615,Dump!$A:$A,$Y615)</f>
        <v>0</v>
      </c>
      <c r="P615" s="33">
        <f>SUMIFS(Dump!R:R,Dump!B:B,C615,Dump!A:A,Y615)</f>
        <v>0</v>
      </c>
      <c r="Q615" s="34">
        <f t="shared" si="21"/>
        <v>0</v>
      </c>
      <c r="S615" s="4">
        <f>SUMIFS(Dump!E:E,Dump!B:B,C615,Dump!A:A,Y615)</f>
        <v>0</v>
      </c>
      <c r="T615" s="35">
        <f t="shared" si="22"/>
        <v>0</v>
      </c>
      <c r="V615" s="4">
        <f>SUMIFS(Dump!P:P,Dump!B:B,C615,Dump!A:A,Y615)</f>
        <v>0</v>
      </c>
      <c r="W615" s="37">
        <f t="shared" si="23"/>
        <v>0</v>
      </c>
      <c r="X615" s="39"/>
      <c r="Y615" s="54"/>
    </row>
    <row r="616">
      <c r="C616" s="53"/>
      <c r="G616" s="2" t="str">
        <f t="shared" si="27"/>
        <v/>
      </c>
      <c r="I616" s="4">
        <f>SUMIFS(Dump!D:D,Dump!B:B,C616)</f>
        <v>0</v>
      </c>
      <c r="J616" s="5">
        <f>SUMIFS(Dump!AE:AE,Dump!B:B,C616)</f>
        <v>0</v>
      </c>
      <c r="K616" s="4">
        <f>SUMPRODUCT(
  (TEXT(Dump!$A$2:$A994,"mmm-yy")=TEXT($Y616,"mmm-yy"))*
  (Dump!$B$2:$B994=$C616)*
  Dump!$D$2:$D994)</f>
        <v>0</v>
      </c>
      <c r="L616" s="4">
        <f>SUMPRODUCT(
  (TEXT(Dump!$A$2:$A994,"mmm-yy")=TEXT($Y616,"mmm-yy"))*
  (Dump!$B$2:$B994=$C616)*
  Dump!$E$2:$E994
)</f>
        <v>0</v>
      </c>
      <c r="M616" s="4">
        <f>SUMPRODUCT(
  (TEXT(Dump!$A$2:$A994,"mmm-yy")=TEXT($Y616,"mmm-yy"))*
  (Dump!$B$2:$B994=$C616)*
  Dump!$P$2:$P994
)</f>
        <v>0</v>
      </c>
      <c r="N616" s="32"/>
      <c r="O616" s="33">
        <f>SUMIFS(Dump!$D:$D,Dump!$B:$B,$C616,Dump!$A:$A,$Y616)</f>
        <v>0</v>
      </c>
      <c r="P616" s="33">
        <f>SUMIFS(Dump!R:R,Dump!B:B,C616,Dump!A:A,Y616)</f>
        <v>0</v>
      </c>
      <c r="Q616" s="34">
        <f t="shared" si="21"/>
        <v>0</v>
      </c>
      <c r="S616" s="4">
        <f>SUMIFS(Dump!E:E,Dump!B:B,C616,Dump!A:A,Y616)</f>
        <v>0</v>
      </c>
      <c r="T616" s="35">
        <f t="shared" si="22"/>
        <v>0</v>
      </c>
      <c r="V616" s="4">
        <f>SUMIFS(Dump!P:P,Dump!B:B,C616,Dump!A:A,Y616)</f>
        <v>0</v>
      </c>
      <c r="W616" s="37">
        <f t="shared" si="23"/>
        <v>0</v>
      </c>
      <c r="X616" s="39"/>
      <c r="Y616" s="54"/>
    </row>
    <row r="617">
      <c r="C617" s="53"/>
      <c r="G617" s="2" t="str">
        <f t="shared" si="27"/>
        <v/>
      </c>
      <c r="I617" s="4">
        <f>SUMIFS(Dump!D:D,Dump!B:B,C617)</f>
        <v>0</v>
      </c>
      <c r="J617" s="5">
        <f>SUMIFS(Dump!AE:AE,Dump!B:B,C617)</f>
        <v>0</v>
      </c>
      <c r="K617" s="4">
        <f>SUMPRODUCT(
  (TEXT(Dump!$A$2:$A994,"mmm-yy")=TEXT($Y617,"mmm-yy"))*
  (Dump!$B$2:$B994=$C617)*
  Dump!$D$2:$D994)</f>
        <v>0</v>
      </c>
      <c r="L617" s="4">
        <f>SUMPRODUCT(
  (TEXT(Dump!$A$2:$A994,"mmm-yy")=TEXT($Y617,"mmm-yy"))*
  (Dump!$B$2:$B994=$C617)*
  Dump!$E$2:$E994
)</f>
        <v>0</v>
      </c>
      <c r="M617" s="4">
        <f>SUMPRODUCT(
  (TEXT(Dump!$A$2:$A994,"mmm-yy")=TEXT($Y617,"mmm-yy"))*
  (Dump!$B$2:$B994=$C617)*
  Dump!$P$2:$P994
)</f>
        <v>0</v>
      </c>
      <c r="N617" s="32"/>
      <c r="O617" s="33">
        <f>SUMIFS(Dump!$D:$D,Dump!$B:$B,$C617,Dump!$A:$A,$Y617)</f>
        <v>0</v>
      </c>
      <c r="P617" s="33">
        <f>SUMIFS(Dump!R:R,Dump!B:B,C617,Dump!A:A,Y617)</f>
        <v>0</v>
      </c>
      <c r="Q617" s="34">
        <f t="shared" si="21"/>
        <v>0</v>
      </c>
      <c r="S617" s="4">
        <f>SUMIFS(Dump!E:E,Dump!B:B,C617,Dump!A:A,Y617)</f>
        <v>0</v>
      </c>
      <c r="T617" s="35">
        <f t="shared" si="22"/>
        <v>0</v>
      </c>
      <c r="V617" s="4">
        <f>SUMIFS(Dump!P:P,Dump!B:B,C617,Dump!A:A,Y617)</f>
        <v>0</v>
      </c>
      <c r="W617" s="37">
        <f t="shared" si="23"/>
        <v>0</v>
      </c>
      <c r="X617" s="39"/>
      <c r="Y617" s="54"/>
    </row>
    <row r="618">
      <c r="C618" s="53"/>
      <c r="G618" s="2" t="str">
        <f t="shared" si="27"/>
        <v/>
      </c>
      <c r="I618" s="4">
        <f>SUMIFS(Dump!D:D,Dump!B:B,C618)</f>
        <v>0</v>
      </c>
      <c r="J618" s="5">
        <f>SUMIFS(Dump!AE:AE,Dump!B:B,C618)</f>
        <v>0</v>
      </c>
      <c r="K618" s="4">
        <f>SUMPRODUCT(
  (TEXT(Dump!$A$2:$A994,"mmm-yy")=TEXT($Y618,"mmm-yy"))*
  (Dump!$B$2:$B994=$C618)*
  Dump!$D$2:$D994)</f>
        <v>0</v>
      </c>
      <c r="L618" s="4">
        <f>SUMPRODUCT(
  (TEXT(Dump!$A$2:$A994,"mmm-yy")=TEXT($Y618,"mmm-yy"))*
  (Dump!$B$2:$B994=$C618)*
  Dump!$E$2:$E994
)</f>
        <v>0</v>
      </c>
      <c r="M618" s="4">
        <f>SUMPRODUCT(
  (TEXT(Dump!$A$2:$A994,"mmm-yy")=TEXT($Y618,"mmm-yy"))*
  (Dump!$B$2:$B994=$C618)*
  Dump!$P$2:$P994
)</f>
        <v>0</v>
      </c>
      <c r="N618" s="32"/>
      <c r="O618" s="33">
        <f>SUMIFS(Dump!$D:$D,Dump!$B:$B,$C618,Dump!$A:$A,$Y618)</f>
        <v>0</v>
      </c>
      <c r="P618" s="33">
        <f>SUMIFS(Dump!R:R,Dump!B:B,C618,Dump!A:A,Y618)</f>
        <v>0</v>
      </c>
      <c r="Q618" s="34">
        <f t="shared" si="21"/>
        <v>0</v>
      </c>
      <c r="S618" s="4">
        <f>SUMIFS(Dump!E:E,Dump!B:B,C618,Dump!A:A,Y618)</f>
        <v>0</v>
      </c>
      <c r="T618" s="35">
        <f t="shared" si="22"/>
        <v>0</v>
      </c>
      <c r="V618" s="4">
        <f>SUMIFS(Dump!P:P,Dump!B:B,C618,Dump!A:A,Y618)</f>
        <v>0</v>
      </c>
      <c r="W618" s="37">
        <f t="shared" si="23"/>
        <v>0</v>
      </c>
      <c r="X618" s="39"/>
      <c r="Y618" s="54"/>
    </row>
    <row r="619">
      <c r="C619" s="53"/>
      <c r="G619" s="2" t="str">
        <f t="shared" si="27"/>
        <v/>
      </c>
      <c r="I619" s="4">
        <f>SUMIFS(Dump!D:D,Dump!B:B,C619)</f>
        <v>0</v>
      </c>
      <c r="J619" s="5">
        <f>SUMIFS(Dump!AE:AE,Dump!B:B,C619)</f>
        <v>0</v>
      </c>
      <c r="K619" s="4">
        <f>SUMPRODUCT(
  (TEXT(Dump!$A$2:$A994,"mmm-yy")=TEXT($Y619,"mmm-yy"))*
  (Dump!$B$2:$B994=$C619)*
  Dump!$D$2:$D994)</f>
        <v>0</v>
      </c>
      <c r="L619" s="4">
        <f>SUMPRODUCT(
  (TEXT(Dump!$A$2:$A994,"mmm-yy")=TEXT($Y619,"mmm-yy"))*
  (Dump!$B$2:$B994=$C619)*
  Dump!$E$2:$E994
)</f>
        <v>0</v>
      </c>
      <c r="M619" s="4">
        <f>SUMPRODUCT(
  (TEXT(Dump!$A$2:$A994,"mmm-yy")=TEXT($Y619,"mmm-yy"))*
  (Dump!$B$2:$B994=$C619)*
  Dump!$P$2:$P994
)</f>
        <v>0</v>
      </c>
      <c r="N619" s="32"/>
      <c r="O619" s="33">
        <f>SUMIFS(Dump!$D:$D,Dump!$B:$B,$C619,Dump!$A:$A,$Y619)</f>
        <v>0</v>
      </c>
      <c r="P619" s="33">
        <f>SUMIFS(Dump!R:R,Dump!B:B,C619,Dump!A:A,Y619)</f>
        <v>0</v>
      </c>
      <c r="Q619" s="34">
        <f t="shared" si="21"/>
        <v>0</v>
      </c>
      <c r="S619" s="4">
        <f>SUMIFS(Dump!E:E,Dump!B:B,C619,Dump!A:A,Y619)</f>
        <v>0</v>
      </c>
      <c r="T619" s="35">
        <f t="shared" si="22"/>
        <v>0</v>
      </c>
      <c r="V619" s="4">
        <f>SUMIFS(Dump!P:P,Dump!B:B,C619,Dump!A:A,Y619)</f>
        <v>0</v>
      </c>
      <c r="W619" s="37">
        <f t="shared" si="23"/>
        <v>0</v>
      </c>
      <c r="X619" s="39"/>
      <c r="Y619" s="54"/>
    </row>
    <row r="620">
      <c r="C620" s="53"/>
      <c r="G620" s="2" t="str">
        <f t="shared" si="27"/>
        <v/>
      </c>
      <c r="I620" s="4">
        <f>SUMIFS(Dump!D:D,Dump!B:B,C620)</f>
        <v>0</v>
      </c>
      <c r="J620" s="5">
        <f>SUMIFS(Dump!AE:AE,Dump!B:B,C620)</f>
        <v>0</v>
      </c>
      <c r="K620" s="4">
        <f>SUMPRODUCT(
  (TEXT(Dump!$A$2:$A994,"mmm-yy")=TEXT($Y620,"mmm-yy"))*
  (Dump!$B$2:$B994=$C620)*
  Dump!$D$2:$D994)</f>
        <v>0</v>
      </c>
      <c r="L620" s="4">
        <f>SUMPRODUCT(
  (TEXT(Dump!$A$2:$A994,"mmm-yy")=TEXT($Y620,"mmm-yy"))*
  (Dump!$B$2:$B994=$C620)*
  Dump!$E$2:$E994
)</f>
        <v>0</v>
      </c>
      <c r="M620" s="4">
        <f>SUMPRODUCT(
  (TEXT(Dump!$A$2:$A994,"mmm-yy")=TEXT($Y620,"mmm-yy"))*
  (Dump!$B$2:$B994=$C620)*
  Dump!$P$2:$P994
)</f>
        <v>0</v>
      </c>
      <c r="N620" s="32"/>
      <c r="O620" s="33">
        <f>SUMIFS(Dump!$D:$D,Dump!$B:$B,$C620,Dump!$A:$A,$Y620)</f>
        <v>0</v>
      </c>
      <c r="P620" s="33">
        <f>SUMIFS(Dump!R:R,Dump!B:B,C620,Dump!A:A,Y620)</f>
        <v>0</v>
      </c>
      <c r="Q620" s="34">
        <f t="shared" si="21"/>
        <v>0</v>
      </c>
      <c r="S620" s="4">
        <f>SUMIFS(Dump!E:E,Dump!B:B,C620,Dump!A:A,Y620)</f>
        <v>0</v>
      </c>
      <c r="T620" s="35">
        <f t="shared" si="22"/>
        <v>0</v>
      </c>
      <c r="V620" s="4">
        <f>SUMIFS(Dump!P:P,Dump!B:B,C620,Dump!A:A,Y620)</f>
        <v>0</v>
      </c>
      <c r="W620" s="37">
        <f t="shared" si="23"/>
        <v>0</v>
      </c>
      <c r="X620" s="39"/>
      <c r="Y620" s="54"/>
    </row>
    <row r="621">
      <c r="C621" s="53"/>
      <c r="G621" s="2" t="str">
        <f t="shared" si="27"/>
        <v/>
      </c>
      <c r="I621" s="4">
        <f>SUMIFS(Dump!D:D,Dump!B:B,C621)</f>
        <v>0</v>
      </c>
      <c r="J621" s="5">
        <f>SUMIFS(Dump!AE:AE,Dump!B:B,C621)</f>
        <v>0</v>
      </c>
      <c r="K621" s="4">
        <f>SUMPRODUCT(
  (TEXT(Dump!$A$2:$A994,"mmm-yy")=TEXT($Y621,"mmm-yy"))*
  (Dump!$B$2:$B994=$C621)*
  Dump!$D$2:$D994)</f>
        <v>0</v>
      </c>
      <c r="L621" s="4">
        <f>SUMPRODUCT(
  (TEXT(Dump!$A$2:$A994,"mmm-yy")=TEXT($Y621,"mmm-yy"))*
  (Dump!$B$2:$B994=$C621)*
  Dump!$E$2:$E994
)</f>
        <v>0</v>
      </c>
      <c r="M621" s="4">
        <f>SUMPRODUCT(
  (TEXT(Dump!$A$2:$A994,"mmm-yy")=TEXT($Y621,"mmm-yy"))*
  (Dump!$B$2:$B994=$C621)*
  Dump!$P$2:$P994
)</f>
        <v>0</v>
      </c>
      <c r="N621" s="32"/>
      <c r="O621" s="33">
        <f>SUMIFS(Dump!$D:$D,Dump!$B:$B,$C621,Dump!$A:$A,$Y621)</f>
        <v>0</v>
      </c>
      <c r="P621" s="33">
        <f>SUMIFS(Dump!R:R,Dump!B:B,C621,Dump!A:A,Y621)</f>
        <v>0</v>
      </c>
      <c r="Q621" s="34">
        <f t="shared" si="21"/>
        <v>0</v>
      </c>
      <c r="S621" s="4">
        <f>SUMIFS(Dump!E:E,Dump!B:B,C621,Dump!A:A,Y621)</f>
        <v>0</v>
      </c>
      <c r="T621" s="35">
        <f t="shared" si="22"/>
        <v>0</v>
      </c>
      <c r="V621" s="4">
        <f>SUMIFS(Dump!P:P,Dump!B:B,C621,Dump!A:A,Y621)</f>
        <v>0</v>
      </c>
      <c r="W621" s="37">
        <f t="shared" si="23"/>
        <v>0</v>
      </c>
      <c r="X621" s="39"/>
      <c r="Y621" s="54"/>
    </row>
    <row r="622">
      <c r="C622" s="53"/>
      <c r="G622" s="2" t="str">
        <f t="shared" si="27"/>
        <v/>
      </c>
      <c r="I622" s="4">
        <f>SUMIFS(Dump!D:D,Dump!B:B,C622)</f>
        <v>0</v>
      </c>
      <c r="J622" s="5">
        <f>SUMIFS(Dump!AE:AE,Dump!B:B,C622)</f>
        <v>0</v>
      </c>
      <c r="K622" s="4">
        <f>SUMPRODUCT(
  (TEXT(Dump!$A$2:$A994,"mmm-yy")=TEXT($Y622,"mmm-yy"))*
  (Dump!$B$2:$B994=$C622)*
  Dump!$D$2:$D994)</f>
        <v>0</v>
      </c>
      <c r="L622" s="4">
        <f>SUMPRODUCT(
  (TEXT(Dump!$A$2:$A994,"mmm-yy")=TEXT($Y622,"mmm-yy"))*
  (Dump!$B$2:$B994=$C622)*
  Dump!$E$2:$E994
)</f>
        <v>0</v>
      </c>
      <c r="M622" s="4">
        <f>SUMPRODUCT(
  (TEXT(Dump!$A$2:$A994,"mmm-yy")=TEXT($Y622,"mmm-yy"))*
  (Dump!$B$2:$B994=$C622)*
  Dump!$P$2:$P994
)</f>
        <v>0</v>
      </c>
      <c r="N622" s="32"/>
      <c r="O622" s="33">
        <f>SUMIFS(Dump!$D:$D,Dump!$B:$B,$C622,Dump!$A:$A,$Y622)</f>
        <v>0</v>
      </c>
      <c r="P622" s="33">
        <f>SUMIFS(Dump!R:R,Dump!B:B,C622,Dump!A:A,Y622)</f>
        <v>0</v>
      </c>
      <c r="Q622" s="34">
        <f t="shared" si="21"/>
        <v>0</v>
      </c>
      <c r="S622" s="4">
        <f>SUMIFS(Dump!E:E,Dump!B:B,C622,Dump!A:A,Y622)</f>
        <v>0</v>
      </c>
      <c r="T622" s="35">
        <f t="shared" si="22"/>
        <v>0</v>
      </c>
      <c r="V622" s="4">
        <f>SUMIFS(Dump!P:P,Dump!B:B,C622,Dump!A:A,Y622)</f>
        <v>0</v>
      </c>
      <c r="W622" s="37">
        <f t="shared" si="23"/>
        <v>0</v>
      </c>
      <c r="X622" s="39"/>
      <c r="Y622" s="54"/>
    </row>
    <row r="623">
      <c r="C623" s="53"/>
      <c r="G623" s="2" t="str">
        <f t="shared" si="27"/>
        <v/>
      </c>
      <c r="I623" s="4">
        <f>SUMIFS(Dump!D:D,Dump!B:B,C623)</f>
        <v>0</v>
      </c>
      <c r="J623" s="5">
        <f>SUMIFS(Dump!AE:AE,Dump!B:B,C623)</f>
        <v>0</v>
      </c>
      <c r="K623" s="4">
        <f>SUMPRODUCT(
  (TEXT(Dump!$A$2:$A994,"mmm-yy")=TEXT($Y623,"mmm-yy"))*
  (Dump!$B$2:$B994=$C623)*
  Dump!$D$2:$D994)</f>
        <v>0</v>
      </c>
      <c r="L623" s="4">
        <f>SUMPRODUCT(
  (TEXT(Dump!$A$2:$A994,"mmm-yy")=TEXT($Y623,"mmm-yy"))*
  (Dump!$B$2:$B994=$C623)*
  Dump!$E$2:$E994
)</f>
        <v>0</v>
      </c>
      <c r="M623" s="4">
        <f>SUMPRODUCT(
  (TEXT(Dump!$A$2:$A994,"mmm-yy")=TEXT($Y623,"mmm-yy"))*
  (Dump!$B$2:$B994=$C623)*
  Dump!$P$2:$P994
)</f>
        <v>0</v>
      </c>
      <c r="N623" s="32"/>
      <c r="O623" s="33">
        <f>SUMIFS(Dump!$D:$D,Dump!$B:$B,$C623,Dump!$A:$A,$Y623)</f>
        <v>0</v>
      </c>
      <c r="P623" s="33">
        <f>SUMIFS(Dump!R:R,Dump!B:B,C623,Dump!A:A,Y623)</f>
        <v>0</v>
      </c>
      <c r="Q623" s="34">
        <f t="shared" si="21"/>
        <v>0</v>
      </c>
      <c r="S623" s="4">
        <f>SUMIFS(Dump!E:E,Dump!B:B,C623,Dump!A:A,Y623)</f>
        <v>0</v>
      </c>
      <c r="T623" s="35">
        <f t="shared" si="22"/>
        <v>0</v>
      </c>
      <c r="V623" s="4">
        <f>SUMIFS(Dump!P:P,Dump!B:B,C623,Dump!A:A,Y623)</f>
        <v>0</v>
      </c>
      <c r="W623" s="37">
        <f t="shared" si="23"/>
        <v>0</v>
      </c>
      <c r="X623" s="39"/>
      <c r="Y623" s="54"/>
    </row>
    <row r="624">
      <c r="C624" s="53"/>
      <c r="G624" s="2" t="str">
        <f t="shared" si="27"/>
        <v/>
      </c>
      <c r="I624" s="4">
        <f>SUMIFS(Dump!D:D,Dump!B:B,C624)</f>
        <v>0</v>
      </c>
      <c r="J624" s="5">
        <f>SUMIFS(Dump!AE:AE,Dump!B:B,C624)</f>
        <v>0</v>
      </c>
      <c r="K624" s="4">
        <f>SUMPRODUCT(
  (TEXT(Dump!$A$2:$A994,"mmm-yy")=TEXT($Y624,"mmm-yy"))*
  (Dump!$B$2:$B994=$C624)*
  Dump!$D$2:$D994)</f>
        <v>0</v>
      </c>
      <c r="L624" s="4">
        <f>SUMPRODUCT(
  (TEXT(Dump!$A$2:$A994,"mmm-yy")=TEXT($Y624,"mmm-yy"))*
  (Dump!$B$2:$B994=$C624)*
  Dump!$E$2:$E994
)</f>
        <v>0</v>
      </c>
      <c r="M624" s="4">
        <f>SUMPRODUCT(
  (TEXT(Dump!$A$2:$A994,"mmm-yy")=TEXT($Y624,"mmm-yy"))*
  (Dump!$B$2:$B994=$C624)*
  Dump!$P$2:$P994
)</f>
        <v>0</v>
      </c>
      <c r="N624" s="32"/>
      <c r="O624" s="33">
        <f>SUMIFS(Dump!$D:$D,Dump!$B:$B,$C624,Dump!$A:$A,$Y624)</f>
        <v>0</v>
      </c>
      <c r="P624" s="33">
        <f>SUMIFS(Dump!R:R,Dump!B:B,C624,Dump!A:A,Y624)</f>
        <v>0</v>
      </c>
      <c r="Q624" s="34">
        <f t="shared" si="21"/>
        <v>0</v>
      </c>
      <c r="S624" s="4">
        <f>SUMIFS(Dump!E:E,Dump!B:B,C624,Dump!A:A,Y624)</f>
        <v>0</v>
      </c>
      <c r="T624" s="35">
        <f t="shared" si="22"/>
        <v>0</v>
      </c>
      <c r="V624" s="4">
        <f>SUMIFS(Dump!P:P,Dump!B:B,C624,Dump!A:A,Y624)</f>
        <v>0</v>
      </c>
      <c r="W624" s="37">
        <f t="shared" si="23"/>
        <v>0</v>
      </c>
      <c r="X624" s="39"/>
      <c r="Y624" s="54"/>
    </row>
    <row r="625">
      <c r="C625" s="53"/>
      <c r="G625" s="2" t="str">
        <f t="shared" si="27"/>
        <v/>
      </c>
      <c r="I625" s="4">
        <f>SUMIFS(Dump!D:D,Dump!B:B,C625)</f>
        <v>0</v>
      </c>
      <c r="J625" s="5">
        <f>SUMIFS(Dump!AE:AE,Dump!B:B,C625)</f>
        <v>0</v>
      </c>
      <c r="K625" s="4">
        <f>SUMPRODUCT(
  (TEXT(Dump!$A$2:$A994,"mmm-yy")=TEXT($Y625,"mmm-yy"))*
  (Dump!$B$2:$B994=$C625)*
  Dump!$D$2:$D994)</f>
        <v>0</v>
      </c>
      <c r="L625" s="4">
        <f>SUMPRODUCT(
  (TEXT(Dump!$A$2:$A994,"mmm-yy")=TEXT($Y625,"mmm-yy"))*
  (Dump!$B$2:$B994=$C625)*
  Dump!$E$2:$E994
)</f>
        <v>0</v>
      </c>
      <c r="M625" s="4">
        <f>SUMPRODUCT(
  (TEXT(Dump!$A$2:$A994,"mmm-yy")=TEXT($Y625,"mmm-yy"))*
  (Dump!$B$2:$B994=$C625)*
  Dump!$P$2:$P994
)</f>
        <v>0</v>
      </c>
      <c r="N625" s="32"/>
      <c r="O625" s="33">
        <f>SUMIFS(Dump!$D:$D,Dump!$B:$B,$C625,Dump!$A:$A,$Y625)</f>
        <v>0</v>
      </c>
      <c r="P625" s="33">
        <f>SUMIFS(Dump!R:R,Dump!B:B,C625,Dump!A:A,Y625)</f>
        <v>0</v>
      </c>
      <c r="Q625" s="34">
        <f t="shared" si="21"/>
        <v>0</v>
      </c>
      <c r="S625" s="4">
        <f>SUMIFS(Dump!E:E,Dump!B:B,C625,Dump!A:A,Y625)</f>
        <v>0</v>
      </c>
      <c r="T625" s="35">
        <f t="shared" si="22"/>
        <v>0</v>
      </c>
      <c r="V625" s="4">
        <f>SUMIFS(Dump!P:P,Dump!B:B,C625,Dump!A:A,Y625)</f>
        <v>0</v>
      </c>
      <c r="W625" s="37">
        <f t="shared" si="23"/>
        <v>0</v>
      </c>
      <c r="X625" s="39"/>
      <c r="Y625" s="54"/>
    </row>
    <row r="626">
      <c r="C626" s="53"/>
      <c r="G626" s="2" t="str">
        <f t="shared" si="27"/>
        <v/>
      </c>
      <c r="I626" s="4">
        <f>SUMIFS(Dump!D:D,Dump!B:B,C626)</f>
        <v>0</v>
      </c>
      <c r="J626" s="5">
        <f>SUMIFS(Dump!AE:AE,Dump!B:B,C626)</f>
        <v>0</v>
      </c>
      <c r="K626" s="4">
        <f>SUMPRODUCT(
  (TEXT(Dump!$A$2:$A994,"mmm-yy")=TEXT($Y626,"mmm-yy"))*
  (Dump!$B$2:$B994=$C626)*
  Dump!$D$2:$D994)</f>
        <v>0</v>
      </c>
      <c r="L626" s="4">
        <f>SUMPRODUCT(
  (TEXT(Dump!$A$2:$A994,"mmm-yy")=TEXT($Y626,"mmm-yy"))*
  (Dump!$B$2:$B994=$C626)*
  Dump!$E$2:$E994
)</f>
        <v>0</v>
      </c>
      <c r="M626" s="4">
        <f>SUMPRODUCT(
  (TEXT(Dump!$A$2:$A994,"mmm-yy")=TEXT($Y626,"mmm-yy"))*
  (Dump!$B$2:$B994=$C626)*
  Dump!$P$2:$P994
)</f>
        <v>0</v>
      </c>
      <c r="N626" s="32"/>
      <c r="O626" s="33">
        <f>SUMIFS(Dump!$D:$D,Dump!$B:$B,$C626,Dump!$A:$A,$Y626)</f>
        <v>0</v>
      </c>
      <c r="P626" s="33">
        <f>SUMIFS(Dump!R:R,Dump!B:B,C626,Dump!A:A,Y626)</f>
        <v>0</v>
      </c>
      <c r="Q626" s="34">
        <f t="shared" si="21"/>
        <v>0</v>
      </c>
      <c r="S626" s="4">
        <f>SUMIFS(Dump!E:E,Dump!B:B,C626,Dump!A:A,Y626)</f>
        <v>0</v>
      </c>
      <c r="T626" s="35">
        <f t="shared" si="22"/>
        <v>0</v>
      </c>
      <c r="V626" s="4">
        <f>SUMIFS(Dump!P:P,Dump!B:B,C626,Dump!A:A,Y626)</f>
        <v>0</v>
      </c>
      <c r="W626" s="37">
        <f t="shared" si="23"/>
        <v>0</v>
      </c>
      <c r="X626" s="39"/>
      <c r="Y626" s="54"/>
    </row>
    <row r="627">
      <c r="C627" s="53"/>
      <c r="G627" s="2" t="str">
        <f t="shared" si="27"/>
        <v/>
      </c>
      <c r="I627" s="4">
        <f>SUMIFS(Dump!D:D,Dump!B:B,C627)</f>
        <v>0</v>
      </c>
      <c r="J627" s="5">
        <f>SUMIFS(Dump!AE:AE,Dump!B:B,C627)</f>
        <v>0</v>
      </c>
      <c r="K627" s="4">
        <f>SUMPRODUCT(
  (TEXT(Dump!$A$2:$A994,"mmm-yy")=TEXT($Y627,"mmm-yy"))*
  (Dump!$B$2:$B994=$C627)*
  Dump!$D$2:$D994)</f>
        <v>0</v>
      </c>
      <c r="L627" s="4">
        <f>SUMPRODUCT(
  (TEXT(Dump!$A$2:$A994,"mmm-yy")=TEXT($Y627,"mmm-yy"))*
  (Dump!$B$2:$B994=$C627)*
  Dump!$E$2:$E994
)</f>
        <v>0</v>
      </c>
      <c r="M627" s="4">
        <f>SUMPRODUCT(
  (TEXT(Dump!$A$2:$A994,"mmm-yy")=TEXT($Y627,"mmm-yy"))*
  (Dump!$B$2:$B994=$C627)*
  Dump!$P$2:$P994
)</f>
        <v>0</v>
      </c>
      <c r="N627" s="32"/>
      <c r="O627" s="33">
        <f>SUMIFS(Dump!$D:$D,Dump!$B:$B,$C627,Dump!$A:$A,$Y627)</f>
        <v>0</v>
      </c>
      <c r="P627" s="33">
        <f>SUMIFS(Dump!R:R,Dump!B:B,C627,Dump!A:A,Y627)</f>
        <v>0</v>
      </c>
      <c r="Q627" s="34">
        <f t="shared" si="21"/>
        <v>0</v>
      </c>
      <c r="S627" s="4">
        <f>SUMIFS(Dump!E:E,Dump!B:B,C627,Dump!A:A,Y627)</f>
        <v>0</v>
      </c>
      <c r="T627" s="35">
        <f t="shared" si="22"/>
        <v>0</v>
      </c>
      <c r="V627" s="4">
        <f>SUMIFS(Dump!P:P,Dump!B:B,C627,Dump!A:A,Y627)</f>
        <v>0</v>
      </c>
      <c r="W627" s="37">
        <f t="shared" si="23"/>
        <v>0</v>
      </c>
      <c r="X627" s="39"/>
      <c r="Y627" s="54"/>
    </row>
    <row r="628">
      <c r="C628" s="53"/>
      <c r="G628" s="2" t="str">
        <f t="shared" si="27"/>
        <v/>
      </c>
      <c r="I628" s="4">
        <f>SUMIFS(Dump!D:D,Dump!B:B,C628)</f>
        <v>0</v>
      </c>
      <c r="J628" s="5">
        <f>SUMIFS(Dump!AE:AE,Dump!B:B,C628)</f>
        <v>0</v>
      </c>
      <c r="K628" s="4">
        <f>SUMPRODUCT(
  (TEXT(Dump!$A$2:$A994,"mmm-yy")=TEXT($Y628,"mmm-yy"))*
  (Dump!$B$2:$B994=$C628)*
  Dump!$D$2:$D994)</f>
        <v>0</v>
      </c>
      <c r="L628" s="4">
        <f>SUMPRODUCT(
  (TEXT(Dump!$A$2:$A994,"mmm-yy")=TEXT($Y628,"mmm-yy"))*
  (Dump!$B$2:$B994=$C628)*
  Dump!$E$2:$E994
)</f>
        <v>0</v>
      </c>
      <c r="M628" s="4">
        <f>SUMPRODUCT(
  (TEXT(Dump!$A$2:$A994,"mmm-yy")=TEXT($Y628,"mmm-yy"))*
  (Dump!$B$2:$B994=$C628)*
  Dump!$P$2:$P994
)</f>
        <v>0</v>
      </c>
      <c r="N628" s="32"/>
      <c r="O628" s="33">
        <f>SUMIFS(Dump!$D:$D,Dump!$B:$B,$C628,Dump!$A:$A,$Y628)</f>
        <v>0</v>
      </c>
      <c r="P628" s="33">
        <f>SUMIFS(Dump!R:R,Dump!B:B,C628,Dump!A:A,Y628)</f>
        <v>0</v>
      </c>
      <c r="Q628" s="34">
        <f t="shared" si="21"/>
        <v>0</v>
      </c>
      <c r="S628" s="4">
        <f>SUMIFS(Dump!E:E,Dump!B:B,C628,Dump!A:A,Y628)</f>
        <v>0</v>
      </c>
      <c r="T628" s="35">
        <f t="shared" si="22"/>
        <v>0</v>
      </c>
      <c r="V628" s="4">
        <f>SUMIFS(Dump!P:P,Dump!B:B,C628,Dump!A:A,Y628)</f>
        <v>0</v>
      </c>
      <c r="W628" s="37">
        <f t="shared" si="23"/>
        <v>0</v>
      </c>
      <c r="X628" s="39"/>
      <c r="Y628" s="54"/>
    </row>
    <row r="629">
      <c r="C629" s="53"/>
      <c r="G629" s="2" t="str">
        <f t="shared" si="27"/>
        <v/>
      </c>
      <c r="I629" s="4">
        <f>SUMIFS(Dump!D:D,Dump!B:B,C629)</f>
        <v>0</v>
      </c>
      <c r="J629" s="5">
        <f>SUMIFS(Dump!AE:AE,Dump!B:B,C629)</f>
        <v>0</v>
      </c>
      <c r="K629" s="4">
        <f>SUMPRODUCT(
  (TEXT(Dump!$A$2:$A994,"mmm-yy")=TEXT($Y629,"mmm-yy"))*
  (Dump!$B$2:$B994=$C629)*
  Dump!$D$2:$D994)</f>
        <v>0</v>
      </c>
      <c r="L629" s="4">
        <f>SUMPRODUCT(
  (TEXT(Dump!$A$2:$A994,"mmm-yy")=TEXT($Y629,"mmm-yy"))*
  (Dump!$B$2:$B994=$C629)*
  Dump!$E$2:$E994
)</f>
        <v>0</v>
      </c>
      <c r="M629" s="4">
        <f>SUMPRODUCT(
  (TEXT(Dump!$A$2:$A994,"mmm-yy")=TEXT($Y629,"mmm-yy"))*
  (Dump!$B$2:$B994=$C629)*
  Dump!$P$2:$P994
)</f>
        <v>0</v>
      </c>
      <c r="N629" s="32"/>
      <c r="O629" s="33">
        <f>SUMIFS(Dump!$D:$D,Dump!$B:$B,$C629,Dump!$A:$A,$Y629)</f>
        <v>0</v>
      </c>
      <c r="P629" s="33">
        <f>SUMIFS(Dump!R:R,Dump!B:B,C629,Dump!A:A,Y629)</f>
        <v>0</v>
      </c>
      <c r="Q629" s="34">
        <f t="shared" si="21"/>
        <v>0</v>
      </c>
      <c r="S629" s="4">
        <f>SUMIFS(Dump!E:E,Dump!B:B,C629,Dump!A:A,Y629)</f>
        <v>0</v>
      </c>
      <c r="T629" s="35">
        <f t="shared" si="22"/>
        <v>0</v>
      </c>
      <c r="V629" s="4">
        <f>SUMIFS(Dump!P:P,Dump!B:B,C629,Dump!A:A,Y629)</f>
        <v>0</v>
      </c>
      <c r="W629" s="37">
        <f t="shared" si="23"/>
        <v>0</v>
      </c>
      <c r="X629" s="39"/>
      <c r="Y629" s="54"/>
    </row>
    <row r="630">
      <c r="C630" s="53"/>
      <c r="G630" s="2" t="str">
        <f t="shared" si="27"/>
        <v/>
      </c>
      <c r="I630" s="4">
        <f>SUMIFS(Dump!D:D,Dump!B:B,C630)</f>
        <v>0</v>
      </c>
      <c r="J630" s="5">
        <f>SUMIFS(Dump!AE:AE,Dump!B:B,C630)</f>
        <v>0</v>
      </c>
      <c r="K630" s="4">
        <f>SUMPRODUCT(
  (TEXT(Dump!$A$2:$A994,"mmm-yy")=TEXT($Y630,"mmm-yy"))*
  (Dump!$B$2:$B994=$C630)*
  Dump!$D$2:$D994)</f>
        <v>0</v>
      </c>
      <c r="L630" s="4">
        <f>SUMPRODUCT(
  (TEXT(Dump!$A$2:$A994,"mmm-yy")=TEXT($Y630,"mmm-yy"))*
  (Dump!$B$2:$B994=$C630)*
  Dump!$E$2:$E994
)</f>
        <v>0</v>
      </c>
      <c r="M630" s="4">
        <f>SUMPRODUCT(
  (TEXT(Dump!$A$2:$A994,"mmm-yy")=TEXT($Y630,"mmm-yy"))*
  (Dump!$B$2:$B994=$C630)*
  Dump!$P$2:$P994
)</f>
        <v>0</v>
      </c>
      <c r="N630" s="32"/>
      <c r="O630" s="33">
        <f>SUMIFS(Dump!$D:$D,Dump!$B:$B,$C630,Dump!$A:$A,$Y630)</f>
        <v>0</v>
      </c>
      <c r="P630" s="33">
        <f>SUMIFS(Dump!R:R,Dump!B:B,C630,Dump!A:A,Y630)</f>
        <v>0</v>
      </c>
      <c r="Q630" s="34">
        <f t="shared" si="21"/>
        <v>0</v>
      </c>
      <c r="S630" s="4">
        <f>SUMIFS(Dump!E:E,Dump!B:B,C630,Dump!A:A,Y630)</f>
        <v>0</v>
      </c>
      <c r="T630" s="35">
        <f t="shared" si="22"/>
        <v>0</v>
      </c>
      <c r="V630" s="4">
        <f>SUMIFS(Dump!P:P,Dump!B:B,C630,Dump!A:A,Y630)</f>
        <v>0</v>
      </c>
      <c r="W630" s="37">
        <f t="shared" si="23"/>
        <v>0</v>
      </c>
      <c r="X630" s="39"/>
      <c r="Y630" s="54"/>
    </row>
    <row r="631">
      <c r="C631" s="53"/>
      <c r="G631" s="2" t="str">
        <f t="shared" si="27"/>
        <v/>
      </c>
      <c r="I631" s="4">
        <f>SUMIFS(Dump!D:D,Dump!B:B,C631)</f>
        <v>0</v>
      </c>
      <c r="J631" s="5">
        <f>SUMIFS(Dump!AE:AE,Dump!B:B,C631)</f>
        <v>0</v>
      </c>
      <c r="K631" s="4">
        <f>SUMPRODUCT(
  (TEXT(Dump!$A$2:$A994,"mmm-yy")=TEXT($Y631,"mmm-yy"))*
  (Dump!$B$2:$B994=$C631)*
  Dump!$D$2:$D994)</f>
        <v>0</v>
      </c>
      <c r="L631" s="4">
        <f>SUMPRODUCT(
  (TEXT(Dump!$A$2:$A994,"mmm-yy")=TEXT($Y631,"mmm-yy"))*
  (Dump!$B$2:$B994=$C631)*
  Dump!$E$2:$E994
)</f>
        <v>0</v>
      </c>
      <c r="M631" s="4">
        <f>SUMPRODUCT(
  (TEXT(Dump!$A$2:$A994,"mmm-yy")=TEXT($Y631,"mmm-yy"))*
  (Dump!$B$2:$B994=$C631)*
  Dump!$P$2:$P994
)</f>
        <v>0</v>
      </c>
      <c r="N631" s="32"/>
      <c r="O631" s="33">
        <f>SUMIFS(Dump!$D:$D,Dump!$B:$B,$C631,Dump!$A:$A,$Y631)</f>
        <v>0</v>
      </c>
      <c r="P631" s="33">
        <f>SUMIFS(Dump!R:R,Dump!B:B,C631,Dump!A:A,Y631)</f>
        <v>0</v>
      </c>
      <c r="Q631" s="34">
        <f t="shared" si="21"/>
        <v>0</v>
      </c>
      <c r="S631" s="4">
        <f>SUMIFS(Dump!E:E,Dump!B:B,C631,Dump!A:A,Y631)</f>
        <v>0</v>
      </c>
      <c r="T631" s="35">
        <f t="shared" si="22"/>
        <v>0</v>
      </c>
      <c r="V631" s="4">
        <f>SUMIFS(Dump!P:P,Dump!B:B,C631,Dump!A:A,Y631)</f>
        <v>0</v>
      </c>
      <c r="W631" s="37">
        <f t="shared" si="23"/>
        <v>0</v>
      </c>
      <c r="X631" s="39"/>
      <c r="Y631" s="54"/>
    </row>
    <row r="632">
      <c r="C632" s="53"/>
      <c r="G632" s="2" t="str">
        <f t="shared" si="27"/>
        <v/>
      </c>
      <c r="I632" s="4">
        <f>SUMIFS(Dump!D:D,Dump!B:B,C632)</f>
        <v>0</v>
      </c>
      <c r="J632" s="5">
        <f>SUMIFS(Dump!AE:AE,Dump!B:B,C632)</f>
        <v>0</v>
      </c>
      <c r="K632" s="4">
        <f>SUMPRODUCT(
  (TEXT(Dump!$A$2:$A994,"mmm-yy")=TEXT($Y632,"mmm-yy"))*
  (Dump!$B$2:$B994=$C632)*
  Dump!$D$2:$D994)</f>
        <v>0</v>
      </c>
      <c r="L632" s="4">
        <f>SUMPRODUCT(
  (TEXT(Dump!$A$2:$A994,"mmm-yy")=TEXT($Y632,"mmm-yy"))*
  (Dump!$B$2:$B994=$C632)*
  Dump!$E$2:$E994
)</f>
        <v>0</v>
      </c>
      <c r="M632" s="4">
        <f>SUMPRODUCT(
  (TEXT(Dump!$A$2:$A994,"mmm-yy")=TEXT($Y632,"mmm-yy"))*
  (Dump!$B$2:$B994=$C632)*
  Dump!$P$2:$P994
)</f>
        <v>0</v>
      </c>
      <c r="N632" s="32"/>
      <c r="O632" s="33">
        <f>SUMIFS(Dump!$D:$D,Dump!$B:$B,$C632,Dump!$A:$A,$Y632)</f>
        <v>0</v>
      </c>
      <c r="P632" s="33">
        <f>SUMIFS(Dump!R:R,Dump!B:B,C632,Dump!A:A,Y632)</f>
        <v>0</v>
      </c>
      <c r="Q632" s="34">
        <f t="shared" si="21"/>
        <v>0</v>
      </c>
      <c r="S632" s="4">
        <f>SUMIFS(Dump!E:E,Dump!B:B,C632,Dump!A:A,Y632)</f>
        <v>0</v>
      </c>
      <c r="T632" s="35">
        <f t="shared" si="22"/>
        <v>0</v>
      </c>
      <c r="V632" s="4">
        <f>SUMIFS(Dump!P:P,Dump!B:B,C632,Dump!A:A,Y632)</f>
        <v>0</v>
      </c>
      <c r="W632" s="37">
        <f t="shared" si="23"/>
        <v>0</v>
      </c>
      <c r="X632" s="39"/>
      <c r="Y632" s="54"/>
    </row>
    <row r="633">
      <c r="C633" s="53"/>
      <c r="G633" s="2" t="str">
        <f t="shared" si="27"/>
        <v/>
      </c>
      <c r="I633" s="4">
        <f>SUMIFS(Dump!D:D,Dump!B:B,C633)</f>
        <v>0</v>
      </c>
      <c r="J633" s="5">
        <f>SUMIFS(Dump!AE:AE,Dump!B:B,C633)</f>
        <v>0</v>
      </c>
      <c r="K633" s="4">
        <f>SUMPRODUCT(
  (TEXT(Dump!$A$2:$A994,"mmm-yy")=TEXT($Y633,"mmm-yy"))*
  (Dump!$B$2:$B994=$C633)*
  Dump!$D$2:$D994)</f>
        <v>0</v>
      </c>
      <c r="L633" s="4">
        <f>SUMPRODUCT(
  (TEXT(Dump!$A$2:$A994,"mmm-yy")=TEXT($Y633,"mmm-yy"))*
  (Dump!$B$2:$B994=$C633)*
  Dump!$E$2:$E994
)</f>
        <v>0</v>
      </c>
      <c r="M633" s="4">
        <f>SUMPRODUCT(
  (TEXT(Dump!$A$2:$A994,"mmm-yy")=TEXT($Y633,"mmm-yy"))*
  (Dump!$B$2:$B994=$C633)*
  Dump!$P$2:$P994
)</f>
        <v>0</v>
      </c>
      <c r="N633" s="32"/>
      <c r="O633" s="33">
        <f>SUMIFS(Dump!$D:$D,Dump!$B:$B,$C633,Dump!$A:$A,$Y633)</f>
        <v>0</v>
      </c>
      <c r="P633" s="33">
        <f>SUMIFS(Dump!R:R,Dump!B:B,C633,Dump!A:A,Y633)</f>
        <v>0</v>
      </c>
      <c r="Q633" s="34">
        <f t="shared" si="21"/>
        <v>0</v>
      </c>
      <c r="S633" s="4">
        <f>SUMIFS(Dump!E:E,Dump!B:B,C633,Dump!A:A,Y633)</f>
        <v>0</v>
      </c>
      <c r="T633" s="35">
        <f t="shared" si="22"/>
        <v>0</v>
      </c>
      <c r="V633" s="4">
        <f>SUMIFS(Dump!P:P,Dump!B:B,C633,Dump!A:A,Y633)</f>
        <v>0</v>
      </c>
      <c r="W633" s="37">
        <f t="shared" si="23"/>
        <v>0</v>
      </c>
      <c r="X633" s="39"/>
      <c r="Y633" s="54"/>
    </row>
    <row r="634">
      <c r="C634" s="53"/>
      <c r="G634" s="2" t="str">
        <f t="shared" si="27"/>
        <v/>
      </c>
      <c r="I634" s="4">
        <f>SUMIFS(Dump!D:D,Dump!B:B,C634)</f>
        <v>0</v>
      </c>
      <c r="J634" s="5">
        <f>SUMIFS(Dump!AE:AE,Dump!B:B,C634)</f>
        <v>0</v>
      </c>
      <c r="K634" s="4">
        <f>SUMPRODUCT(
  (TEXT(Dump!$A$2:$A994,"mmm-yy")=TEXT($Y634,"mmm-yy"))*
  (Dump!$B$2:$B994=$C634)*
  Dump!$D$2:$D994)</f>
        <v>0</v>
      </c>
      <c r="L634" s="4">
        <f>SUMPRODUCT(
  (TEXT(Dump!$A$2:$A994,"mmm-yy")=TEXT($Y634,"mmm-yy"))*
  (Dump!$B$2:$B994=$C634)*
  Dump!$E$2:$E994
)</f>
        <v>0</v>
      </c>
      <c r="M634" s="4">
        <f>SUMPRODUCT(
  (TEXT(Dump!$A$2:$A994,"mmm-yy")=TEXT($Y634,"mmm-yy"))*
  (Dump!$B$2:$B994=$C634)*
  Dump!$P$2:$P994
)</f>
        <v>0</v>
      </c>
      <c r="N634" s="32"/>
      <c r="O634" s="33">
        <f>SUMIFS(Dump!$D:$D,Dump!$B:$B,$C634,Dump!$A:$A,$Y634)</f>
        <v>0</v>
      </c>
      <c r="P634" s="33">
        <f>SUMIFS(Dump!R:R,Dump!B:B,C634,Dump!A:A,Y634)</f>
        <v>0</v>
      </c>
      <c r="Q634" s="34">
        <f t="shared" si="21"/>
        <v>0</v>
      </c>
      <c r="S634" s="4">
        <f>SUMIFS(Dump!E:E,Dump!B:B,C634,Dump!A:A,Y634)</f>
        <v>0</v>
      </c>
      <c r="T634" s="35">
        <f t="shared" si="22"/>
        <v>0</v>
      </c>
      <c r="V634" s="4">
        <f>SUMIFS(Dump!P:P,Dump!B:B,C634,Dump!A:A,Y634)</f>
        <v>0</v>
      </c>
      <c r="W634" s="37">
        <f t="shared" si="23"/>
        <v>0</v>
      </c>
      <c r="X634" s="39"/>
      <c r="Y634" s="54"/>
    </row>
    <row r="635">
      <c r="C635" s="53"/>
      <c r="G635" s="2" t="str">
        <f t="shared" si="27"/>
        <v/>
      </c>
      <c r="I635" s="4">
        <f>SUMIFS(Dump!D:D,Dump!B:B,C635)</f>
        <v>0</v>
      </c>
      <c r="J635" s="5">
        <f>SUMIFS(Dump!AE:AE,Dump!B:B,C635)</f>
        <v>0</v>
      </c>
      <c r="K635" s="4">
        <f>SUMPRODUCT(
  (TEXT(Dump!$A$2:$A994,"mmm-yy")=TEXT($Y635,"mmm-yy"))*
  (Dump!$B$2:$B994=$C635)*
  Dump!$D$2:$D994)</f>
        <v>0</v>
      </c>
      <c r="L635" s="4">
        <f>SUMPRODUCT(
  (TEXT(Dump!$A$2:$A994,"mmm-yy")=TEXT($Y635,"mmm-yy"))*
  (Dump!$B$2:$B994=$C635)*
  Dump!$E$2:$E994
)</f>
        <v>0</v>
      </c>
      <c r="M635" s="4">
        <f>SUMPRODUCT(
  (TEXT(Dump!$A$2:$A994,"mmm-yy")=TEXT($Y635,"mmm-yy"))*
  (Dump!$B$2:$B994=$C635)*
  Dump!$P$2:$P994
)</f>
        <v>0</v>
      </c>
      <c r="N635" s="32"/>
      <c r="O635" s="33">
        <f>SUMIFS(Dump!$D:$D,Dump!$B:$B,$C635,Dump!$A:$A,$Y635)</f>
        <v>0</v>
      </c>
      <c r="P635" s="33">
        <f>SUMIFS(Dump!R:R,Dump!B:B,C635,Dump!A:A,Y635)</f>
        <v>0</v>
      </c>
      <c r="Q635" s="34">
        <f t="shared" si="21"/>
        <v>0</v>
      </c>
      <c r="S635" s="4">
        <f>SUMIFS(Dump!E:E,Dump!B:B,C635,Dump!A:A,Y635)</f>
        <v>0</v>
      </c>
      <c r="T635" s="35">
        <f t="shared" si="22"/>
        <v>0</v>
      </c>
      <c r="V635" s="4">
        <f>SUMIFS(Dump!P:P,Dump!B:B,C635,Dump!A:A,Y635)</f>
        <v>0</v>
      </c>
      <c r="W635" s="37">
        <f t="shared" si="23"/>
        <v>0</v>
      </c>
      <c r="X635" s="39"/>
      <c r="Y635" s="54"/>
    </row>
    <row r="636">
      <c r="C636" s="53"/>
      <c r="G636" s="2" t="str">
        <f t="shared" si="27"/>
        <v/>
      </c>
      <c r="I636" s="4">
        <f>SUMIFS(Dump!D:D,Dump!B:B,C636)</f>
        <v>0</v>
      </c>
      <c r="J636" s="5">
        <f>SUMIFS(Dump!AE:AE,Dump!B:B,C636)</f>
        <v>0</v>
      </c>
      <c r="K636" s="4">
        <f>SUMPRODUCT(
  (TEXT(Dump!$A$2:$A994,"mmm-yy")=TEXT($Y636,"mmm-yy"))*
  (Dump!$B$2:$B994=$C636)*
  Dump!$D$2:$D994)</f>
        <v>0</v>
      </c>
      <c r="L636" s="4">
        <f>SUMPRODUCT(
  (TEXT(Dump!$A$2:$A994,"mmm-yy")=TEXT($Y636,"mmm-yy"))*
  (Dump!$B$2:$B994=$C636)*
  Dump!$E$2:$E994
)</f>
        <v>0</v>
      </c>
      <c r="M636" s="4">
        <f>SUMPRODUCT(
  (TEXT(Dump!$A$2:$A994,"mmm-yy")=TEXT($Y636,"mmm-yy"))*
  (Dump!$B$2:$B994=$C636)*
  Dump!$P$2:$P994
)</f>
        <v>0</v>
      </c>
      <c r="N636" s="32"/>
      <c r="O636" s="33">
        <f>SUMIFS(Dump!$D:$D,Dump!$B:$B,$C636,Dump!$A:$A,$Y636)</f>
        <v>0</v>
      </c>
      <c r="P636" s="33">
        <f>SUMIFS(Dump!R:R,Dump!B:B,C636,Dump!A:A,Y636)</f>
        <v>0</v>
      </c>
      <c r="Q636" s="34">
        <f t="shared" si="21"/>
        <v>0</v>
      </c>
      <c r="S636" s="4">
        <f>SUMIFS(Dump!E:E,Dump!B:B,C636,Dump!A:A,Y636)</f>
        <v>0</v>
      </c>
      <c r="T636" s="35">
        <f t="shared" si="22"/>
        <v>0</v>
      </c>
      <c r="V636" s="4">
        <f>SUMIFS(Dump!P:P,Dump!B:B,C636,Dump!A:A,Y636)</f>
        <v>0</v>
      </c>
      <c r="W636" s="37">
        <f t="shared" si="23"/>
        <v>0</v>
      </c>
      <c r="X636" s="39"/>
      <c r="Y636" s="54"/>
    </row>
    <row r="637">
      <c r="C637" s="53"/>
      <c r="G637" s="2" t="str">
        <f t="shared" si="27"/>
        <v/>
      </c>
      <c r="I637" s="4">
        <f>SUMIFS(Dump!D:D,Dump!B:B,C637)</f>
        <v>0</v>
      </c>
      <c r="J637" s="5">
        <f>SUMIFS(Dump!AE:AE,Dump!B:B,C637)</f>
        <v>0</v>
      </c>
      <c r="K637" s="4">
        <f>SUMPRODUCT(
  (TEXT(Dump!$A$2:$A994,"mmm-yy")=TEXT($Y637,"mmm-yy"))*
  (Dump!$B$2:$B994=$C637)*
  Dump!$D$2:$D994)</f>
        <v>0</v>
      </c>
      <c r="L637" s="4">
        <f>SUMPRODUCT(
  (TEXT(Dump!$A$2:$A994,"mmm-yy")=TEXT($Y637,"mmm-yy"))*
  (Dump!$B$2:$B994=$C637)*
  Dump!$E$2:$E994
)</f>
        <v>0</v>
      </c>
      <c r="M637" s="4">
        <f>SUMPRODUCT(
  (TEXT(Dump!$A$2:$A994,"mmm-yy")=TEXT($Y637,"mmm-yy"))*
  (Dump!$B$2:$B994=$C637)*
  Dump!$P$2:$P994
)</f>
        <v>0</v>
      </c>
      <c r="N637" s="32"/>
      <c r="O637" s="33">
        <f>SUMIFS(Dump!$D:$D,Dump!$B:$B,$C637,Dump!$A:$A,$Y637)</f>
        <v>0</v>
      </c>
      <c r="P637" s="33">
        <f>SUMIFS(Dump!R:R,Dump!B:B,C637,Dump!A:A,Y637)</f>
        <v>0</v>
      </c>
      <c r="Q637" s="34">
        <f t="shared" si="21"/>
        <v>0</v>
      </c>
      <c r="S637" s="4">
        <f>SUMIFS(Dump!E:E,Dump!B:B,C637,Dump!A:A,Y637)</f>
        <v>0</v>
      </c>
      <c r="T637" s="35">
        <f t="shared" si="22"/>
        <v>0</v>
      </c>
      <c r="V637" s="4">
        <f>SUMIFS(Dump!P:P,Dump!B:B,C637,Dump!A:A,Y637)</f>
        <v>0</v>
      </c>
      <c r="W637" s="37">
        <f t="shared" si="23"/>
        <v>0</v>
      </c>
      <c r="X637" s="39"/>
      <c r="Y637" s="54"/>
    </row>
    <row r="638">
      <c r="C638" s="53"/>
      <c r="G638" s="2" t="str">
        <f t="shared" si="27"/>
        <v/>
      </c>
      <c r="I638" s="4">
        <f>SUMIFS(Dump!D:D,Dump!B:B,C638)</f>
        <v>0</v>
      </c>
      <c r="J638" s="5">
        <f>SUMIFS(Dump!AE:AE,Dump!B:B,C638)</f>
        <v>0</v>
      </c>
      <c r="K638" s="4">
        <f>SUMPRODUCT(
  (TEXT(Dump!$A$2:$A994,"mmm-yy")=TEXT($Y638,"mmm-yy"))*
  (Dump!$B$2:$B994=$C638)*
  Dump!$D$2:$D994)</f>
        <v>0</v>
      </c>
      <c r="L638" s="4">
        <f>SUMPRODUCT(
  (TEXT(Dump!$A$2:$A994,"mmm-yy")=TEXT($Y638,"mmm-yy"))*
  (Dump!$B$2:$B994=$C638)*
  Dump!$E$2:$E994
)</f>
        <v>0</v>
      </c>
      <c r="M638" s="4">
        <f>SUMPRODUCT(
  (TEXT(Dump!$A$2:$A994,"mmm-yy")=TEXT($Y638,"mmm-yy"))*
  (Dump!$B$2:$B994=$C638)*
  Dump!$P$2:$P994
)</f>
        <v>0</v>
      </c>
      <c r="N638" s="32"/>
      <c r="O638" s="33">
        <f>SUMIFS(Dump!$D:$D,Dump!$B:$B,$C638,Dump!$A:$A,$Y638)</f>
        <v>0</v>
      </c>
      <c r="P638" s="33">
        <f>SUMIFS(Dump!R:R,Dump!B:B,C638,Dump!A:A,Y638)</f>
        <v>0</v>
      </c>
      <c r="Q638" s="34">
        <f t="shared" si="21"/>
        <v>0</v>
      </c>
      <c r="S638" s="4">
        <f>SUMIFS(Dump!E:E,Dump!B:B,C638,Dump!A:A,Y638)</f>
        <v>0</v>
      </c>
      <c r="T638" s="35">
        <f t="shared" si="22"/>
        <v>0</v>
      </c>
      <c r="V638" s="4">
        <f>SUMIFS(Dump!P:P,Dump!B:B,C638,Dump!A:A,Y638)</f>
        <v>0</v>
      </c>
      <c r="W638" s="37">
        <f t="shared" si="23"/>
        <v>0</v>
      </c>
      <c r="X638" s="39"/>
      <c r="Y638" s="54"/>
    </row>
    <row r="639">
      <c r="C639" s="53"/>
      <c r="G639" s="2" t="str">
        <f t="shared" si="27"/>
        <v/>
      </c>
      <c r="I639" s="4">
        <f>SUMIFS(Dump!D:D,Dump!B:B,C639)</f>
        <v>0</v>
      </c>
      <c r="J639" s="5">
        <f>SUMIFS(Dump!AE:AE,Dump!B:B,C639)</f>
        <v>0</v>
      </c>
      <c r="K639" s="4">
        <f>SUMPRODUCT(
  (TEXT(Dump!$A$2:$A994,"mmm-yy")=TEXT($Y639,"mmm-yy"))*
  (Dump!$B$2:$B994=$C639)*
  Dump!$D$2:$D994)</f>
        <v>0</v>
      </c>
      <c r="L639" s="4">
        <f>SUMPRODUCT(
  (TEXT(Dump!$A$2:$A994,"mmm-yy")=TEXT($Y639,"mmm-yy"))*
  (Dump!$B$2:$B994=$C639)*
  Dump!$E$2:$E994
)</f>
        <v>0</v>
      </c>
      <c r="M639" s="4">
        <f>SUMPRODUCT(
  (TEXT(Dump!$A$2:$A994,"mmm-yy")=TEXT($Y639,"mmm-yy"))*
  (Dump!$B$2:$B994=$C639)*
  Dump!$P$2:$P994
)</f>
        <v>0</v>
      </c>
      <c r="N639" s="32"/>
      <c r="O639" s="33">
        <f>SUMIFS(Dump!$D:$D,Dump!$B:$B,$C639,Dump!$A:$A,$Y639)</f>
        <v>0</v>
      </c>
      <c r="P639" s="33">
        <f>SUMIFS(Dump!R:R,Dump!B:B,C639,Dump!A:A,Y639)</f>
        <v>0</v>
      </c>
      <c r="Q639" s="34">
        <f t="shared" si="21"/>
        <v>0</v>
      </c>
      <c r="S639" s="4">
        <f>SUMIFS(Dump!E:E,Dump!B:B,C639,Dump!A:A,Y639)</f>
        <v>0</v>
      </c>
      <c r="T639" s="35">
        <f t="shared" si="22"/>
        <v>0</v>
      </c>
      <c r="V639" s="4">
        <f>SUMIFS(Dump!P:P,Dump!B:B,C639,Dump!A:A,Y639)</f>
        <v>0</v>
      </c>
      <c r="W639" s="37">
        <f t="shared" si="23"/>
        <v>0</v>
      </c>
      <c r="X639" s="39"/>
      <c r="Y639" s="54"/>
    </row>
    <row r="640">
      <c r="C640" s="53"/>
      <c r="G640" s="2" t="str">
        <f t="shared" si="27"/>
        <v/>
      </c>
      <c r="I640" s="4">
        <f>SUMIFS(Dump!D:D,Dump!B:B,C640)</f>
        <v>0</v>
      </c>
      <c r="J640" s="5">
        <f>SUMIFS(Dump!AE:AE,Dump!B:B,C640)</f>
        <v>0</v>
      </c>
      <c r="K640" s="4">
        <f>SUMPRODUCT(
  (TEXT(Dump!$A$2:$A994,"mmm-yy")=TEXT($Y640,"mmm-yy"))*
  (Dump!$B$2:$B994=$C640)*
  Dump!$D$2:$D994)</f>
        <v>0</v>
      </c>
      <c r="L640" s="4">
        <f>SUMPRODUCT(
  (TEXT(Dump!$A$2:$A994,"mmm-yy")=TEXT($Y640,"mmm-yy"))*
  (Dump!$B$2:$B994=$C640)*
  Dump!$E$2:$E994
)</f>
        <v>0</v>
      </c>
      <c r="M640" s="4">
        <f>SUMPRODUCT(
  (TEXT(Dump!$A$2:$A994,"mmm-yy")=TEXT($Y640,"mmm-yy"))*
  (Dump!$B$2:$B994=$C640)*
  Dump!$P$2:$P994
)</f>
        <v>0</v>
      </c>
      <c r="N640" s="32"/>
      <c r="O640" s="33">
        <f>SUMIFS(Dump!$D:$D,Dump!$B:$B,$C640,Dump!$A:$A,$Y640)</f>
        <v>0</v>
      </c>
      <c r="P640" s="33">
        <f>SUMIFS(Dump!R:R,Dump!B:B,C640,Dump!A:A,Y640)</f>
        <v>0</v>
      </c>
      <c r="Q640" s="34">
        <f t="shared" si="21"/>
        <v>0</v>
      </c>
      <c r="S640" s="4">
        <f>SUMIFS(Dump!E:E,Dump!B:B,C640,Dump!A:A,Y640)</f>
        <v>0</v>
      </c>
      <c r="T640" s="35">
        <f t="shared" si="22"/>
        <v>0</v>
      </c>
      <c r="V640" s="4">
        <f>SUMIFS(Dump!P:P,Dump!B:B,C640,Dump!A:A,Y640)</f>
        <v>0</v>
      </c>
      <c r="W640" s="37">
        <f t="shared" si="23"/>
        <v>0</v>
      </c>
      <c r="X640" s="39"/>
      <c r="Y640" s="54"/>
    </row>
    <row r="641">
      <c r="C641" s="53"/>
      <c r="G641" s="2" t="str">
        <f t="shared" si="27"/>
        <v/>
      </c>
      <c r="I641" s="4">
        <f>SUMIFS(Dump!D:D,Dump!B:B,C641)</f>
        <v>0</v>
      </c>
      <c r="J641" s="5">
        <f>SUMIFS(Dump!AE:AE,Dump!B:B,C641)</f>
        <v>0</v>
      </c>
      <c r="K641" s="4">
        <f>SUMPRODUCT(
  (TEXT(Dump!$A$2:$A994,"mmm-yy")=TEXT($Y641,"mmm-yy"))*
  (Dump!$B$2:$B994=$C641)*
  Dump!$D$2:$D994)</f>
        <v>0</v>
      </c>
      <c r="L641" s="4">
        <f>SUMPRODUCT(
  (TEXT(Dump!$A$2:$A994,"mmm-yy")=TEXT($Y641,"mmm-yy"))*
  (Dump!$B$2:$B994=$C641)*
  Dump!$E$2:$E994
)</f>
        <v>0</v>
      </c>
      <c r="M641" s="4">
        <f>SUMPRODUCT(
  (TEXT(Dump!$A$2:$A994,"mmm-yy")=TEXT($Y641,"mmm-yy"))*
  (Dump!$B$2:$B994=$C641)*
  Dump!$P$2:$P994
)</f>
        <v>0</v>
      </c>
      <c r="N641" s="32"/>
      <c r="O641" s="33">
        <f>SUMIFS(Dump!$D:$D,Dump!$B:$B,$C641,Dump!$A:$A,$Y641)</f>
        <v>0</v>
      </c>
      <c r="P641" s="33">
        <f>SUMIFS(Dump!R:R,Dump!B:B,C641,Dump!A:A,Y641)</f>
        <v>0</v>
      </c>
      <c r="Q641" s="34">
        <f t="shared" si="21"/>
        <v>0</v>
      </c>
      <c r="S641" s="4">
        <f>SUMIFS(Dump!E:E,Dump!B:B,C641,Dump!A:A,Y641)</f>
        <v>0</v>
      </c>
      <c r="T641" s="35">
        <f t="shared" si="22"/>
        <v>0</v>
      </c>
      <c r="V641" s="4">
        <f>SUMIFS(Dump!P:P,Dump!B:B,C641,Dump!A:A,Y641)</f>
        <v>0</v>
      </c>
      <c r="W641" s="37">
        <f t="shared" si="23"/>
        <v>0</v>
      </c>
      <c r="X641" s="39"/>
      <c r="Y641" s="54"/>
    </row>
    <row r="642">
      <c r="C642" s="53"/>
      <c r="G642" s="2" t="str">
        <f t="shared" si="27"/>
        <v/>
      </c>
      <c r="I642" s="4">
        <f>SUMIFS(Dump!D:D,Dump!B:B,C642)</f>
        <v>0</v>
      </c>
      <c r="J642" s="5">
        <f>SUMIFS(Dump!AE:AE,Dump!B:B,C642)</f>
        <v>0</v>
      </c>
      <c r="K642" s="4">
        <f>SUMPRODUCT(
  (TEXT(Dump!$A$2:$A994,"mmm-yy")=TEXT($Y642,"mmm-yy"))*
  (Dump!$B$2:$B994=$C642)*
  Dump!$D$2:$D994)</f>
        <v>0</v>
      </c>
      <c r="L642" s="4">
        <f>SUMPRODUCT(
  (TEXT(Dump!$A$2:$A994,"mmm-yy")=TEXT($Y642,"mmm-yy"))*
  (Dump!$B$2:$B994=$C642)*
  Dump!$E$2:$E994
)</f>
        <v>0</v>
      </c>
      <c r="M642" s="4">
        <f>SUMPRODUCT(
  (TEXT(Dump!$A$2:$A994,"mmm-yy")=TEXT($Y642,"mmm-yy"))*
  (Dump!$B$2:$B994=$C642)*
  Dump!$P$2:$P994
)</f>
        <v>0</v>
      </c>
      <c r="N642" s="32"/>
      <c r="O642" s="33">
        <f>SUMIFS(Dump!$D:$D,Dump!$B:$B,$C642,Dump!$A:$A,$Y642)</f>
        <v>0</v>
      </c>
      <c r="P642" s="33">
        <f>SUMIFS(Dump!R:R,Dump!B:B,C642,Dump!A:A,Y642)</f>
        <v>0</v>
      </c>
      <c r="Q642" s="34">
        <f t="shared" si="21"/>
        <v>0</v>
      </c>
      <c r="S642" s="4">
        <f>SUMIFS(Dump!E:E,Dump!B:B,C642,Dump!A:A,Y642)</f>
        <v>0</v>
      </c>
      <c r="T642" s="35">
        <f t="shared" si="22"/>
        <v>0</v>
      </c>
      <c r="V642" s="4">
        <f>SUMIFS(Dump!P:P,Dump!B:B,C642,Dump!A:A,Y642)</f>
        <v>0</v>
      </c>
      <c r="W642" s="37">
        <f t="shared" si="23"/>
        <v>0</v>
      </c>
      <c r="X642" s="39"/>
      <c r="Y642" s="54"/>
    </row>
    <row r="643">
      <c r="C643" s="53"/>
      <c r="G643" s="2" t="str">
        <f t="shared" si="27"/>
        <v/>
      </c>
      <c r="I643" s="4">
        <f>SUMIFS(Dump!D:D,Dump!B:B,C643)</f>
        <v>0</v>
      </c>
      <c r="J643" s="5">
        <f>SUMIFS(Dump!AE:AE,Dump!B:B,C643)</f>
        <v>0</v>
      </c>
      <c r="K643" s="4">
        <f>SUMPRODUCT(
  (TEXT(Dump!$A$2:$A994,"mmm-yy")=TEXT($Y643,"mmm-yy"))*
  (Dump!$B$2:$B994=$C643)*
  Dump!$D$2:$D994)</f>
        <v>0</v>
      </c>
      <c r="L643" s="4">
        <f>SUMPRODUCT(
  (TEXT(Dump!$A$2:$A994,"mmm-yy")=TEXT($Y643,"mmm-yy"))*
  (Dump!$B$2:$B994=$C643)*
  Dump!$E$2:$E994
)</f>
        <v>0</v>
      </c>
      <c r="M643" s="4">
        <f>SUMPRODUCT(
  (TEXT(Dump!$A$2:$A994,"mmm-yy")=TEXT($Y643,"mmm-yy"))*
  (Dump!$B$2:$B994=$C643)*
  Dump!$P$2:$P994
)</f>
        <v>0</v>
      </c>
      <c r="N643" s="32"/>
      <c r="O643" s="33">
        <f>SUMIFS(Dump!$D:$D,Dump!$B:$B,$C643,Dump!$A:$A,$Y643)</f>
        <v>0</v>
      </c>
      <c r="P643" s="33">
        <f>SUMIFS(Dump!R:R,Dump!B:B,C643,Dump!A:A,Y643)</f>
        <v>0</v>
      </c>
      <c r="Q643" s="34">
        <f t="shared" si="21"/>
        <v>0</v>
      </c>
      <c r="S643" s="4">
        <f>SUMIFS(Dump!E:E,Dump!B:B,C643,Dump!A:A,Y643)</f>
        <v>0</v>
      </c>
      <c r="T643" s="35">
        <f t="shared" si="22"/>
        <v>0</v>
      </c>
      <c r="V643" s="4">
        <f>SUMIFS(Dump!P:P,Dump!B:B,C643,Dump!A:A,Y643)</f>
        <v>0</v>
      </c>
      <c r="W643" s="37">
        <f t="shared" si="23"/>
        <v>0</v>
      </c>
      <c r="X643" s="39"/>
      <c r="Y643" s="54"/>
    </row>
    <row r="644">
      <c r="C644" s="53"/>
      <c r="G644" s="2" t="str">
        <f t="shared" si="27"/>
        <v/>
      </c>
      <c r="I644" s="4">
        <f>SUMIFS(Dump!D:D,Dump!B:B,C644)</f>
        <v>0</v>
      </c>
      <c r="J644" s="5">
        <f>SUMIFS(Dump!AE:AE,Dump!B:B,C644)</f>
        <v>0</v>
      </c>
      <c r="K644" s="4">
        <f>SUMPRODUCT(
  (TEXT(Dump!$A$2:$A994,"mmm-yy")=TEXT($Y644,"mmm-yy"))*
  (Dump!$B$2:$B994=$C644)*
  Dump!$D$2:$D994)</f>
        <v>0</v>
      </c>
      <c r="L644" s="4">
        <f>SUMPRODUCT(
  (TEXT(Dump!$A$2:$A994,"mmm-yy")=TEXT($Y644,"mmm-yy"))*
  (Dump!$B$2:$B994=$C644)*
  Dump!$E$2:$E994
)</f>
        <v>0</v>
      </c>
      <c r="M644" s="4">
        <f>SUMPRODUCT(
  (TEXT(Dump!$A$2:$A994,"mmm-yy")=TEXT($Y644,"mmm-yy"))*
  (Dump!$B$2:$B994=$C644)*
  Dump!$P$2:$P994
)</f>
        <v>0</v>
      </c>
      <c r="N644" s="32"/>
      <c r="O644" s="33">
        <f>SUMIFS(Dump!$D:$D,Dump!$B:$B,$C644,Dump!$A:$A,$Y644)</f>
        <v>0</v>
      </c>
      <c r="P644" s="33">
        <f>SUMIFS(Dump!R:R,Dump!B:B,C644,Dump!A:A,Y644)</f>
        <v>0</v>
      </c>
      <c r="Q644" s="34">
        <f t="shared" si="21"/>
        <v>0</v>
      </c>
      <c r="S644" s="4">
        <f>SUMIFS(Dump!E:E,Dump!B:B,C644,Dump!A:A,Y644)</f>
        <v>0</v>
      </c>
      <c r="T644" s="35">
        <f t="shared" si="22"/>
        <v>0</v>
      </c>
      <c r="V644" s="4">
        <f>SUMIFS(Dump!P:P,Dump!B:B,C644,Dump!A:A,Y644)</f>
        <v>0</v>
      </c>
      <c r="W644" s="37">
        <f t="shared" si="23"/>
        <v>0</v>
      </c>
      <c r="X644" s="39"/>
      <c r="Y644" s="54"/>
    </row>
    <row r="645">
      <c r="C645" s="53"/>
      <c r="G645" s="2" t="str">
        <f t="shared" si="27"/>
        <v/>
      </c>
      <c r="I645" s="4">
        <f>SUMIFS(Dump!D:D,Dump!B:B,C645)</f>
        <v>0</v>
      </c>
      <c r="J645" s="5">
        <f>SUMIFS(Dump!AE:AE,Dump!B:B,C645)</f>
        <v>0</v>
      </c>
      <c r="K645" s="4">
        <f>SUMPRODUCT(
  (TEXT(Dump!$A$2:$A994,"mmm-yy")=TEXT($Y645,"mmm-yy"))*
  (Dump!$B$2:$B994=$C645)*
  Dump!$D$2:$D994)</f>
        <v>0</v>
      </c>
      <c r="L645" s="4">
        <f>SUMPRODUCT(
  (TEXT(Dump!$A$2:$A994,"mmm-yy")=TEXT($Y645,"mmm-yy"))*
  (Dump!$B$2:$B994=$C645)*
  Dump!$E$2:$E994
)</f>
        <v>0</v>
      </c>
      <c r="M645" s="4">
        <f>SUMPRODUCT(
  (TEXT(Dump!$A$2:$A994,"mmm-yy")=TEXT($Y645,"mmm-yy"))*
  (Dump!$B$2:$B994=$C645)*
  Dump!$P$2:$P994
)</f>
        <v>0</v>
      </c>
      <c r="N645" s="32"/>
      <c r="O645" s="33">
        <f>SUMIFS(Dump!$D:$D,Dump!$B:$B,$C645,Dump!$A:$A,$Y645)</f>
        <v>0</v>
      </c>
      <c r="P645" s="33">
        <f>SUMIFS(Dump!R:R,Dump!B:B,C645,Dump!A:A,Y645)</f>
        <v>0</v>
      </c>
      <c r="Q645" s="34">
        <f t="shared" si="21"/>
        <v>0</v>
      </c>
      <c r="S645" s="4">
        <f>SUMIFS(Dump!E:E,Dump!B:B,C645,Dump!A:A,Y645)</f>
        <v>0</v>
      </c>
      <c r="T645" s="35">
        <f t="shared" si="22"/>
        <v>0</v>
      </c>
      <c r="V645" s="4">
        <f>SUMIFS(Dump!P:P,Dump!B:B,C645,Dump!A:A,Y645)</f>
        <v>0</v>
      </c>
      <c r="W645" s="37">
        <f t="shared" si="23"/>
        <v>0</v>
      </c>
      <c r="X645" s="39"/>
      <c r="Y645" s="54"/>
    </row>
    <row r="646">
      <c r="C646" s="53"/>
      <c r="G646" s="2" t="str">
        <f t="shared" si="27"/>
        <v/>
      </c>
      <c r="I646" s="4">
        <f>SUMIFS(Dump!D:D,Dump!B:B,C646)</f>
        <v>0</v>
      </c>
      <c r="J646" s="5">
        <f>SUMIFS(Dump!AE:AE,Dump!B:B,C646)</f>
        <v>0</v>
      </c>
      <c r="K646" s="4">
        <f>SUMPRODUCT(
  (TEXT(Dump!$A$2:$A994,"mmm-yy")=TEXT($Y646,"mmm-yy"))*
  (Dump!$B$2:$B994=$C646)*
  Dump!$D$2:$D994)</f>
        <v>0</v>
      </c>
      <c r="L646" s="4">
        <f>SUMPRODUCT(
  (TEXT(Dump!$A$2:$A994,"mmm-yy")=TEXT($Y646,"mmm-yy"))*
  (Dump!$B$2:$B994=$C646)*
  Dump!$E$2:$E994
)</f>
        <v>0</v>
      </c>
      <c r="M646" s="4">
        <f>SUMPRODUCT(
  (TEXT(Dump!$A$2:$A994,"mmm-yy")=TEXT($Y646,"mmm-yy"))*
  (Dump!$B$2:$B994=$C646)*
  Dump!$P$2:$P994
)</f>
        <v>0</v>
      </c>
      <c r="N646" s="32"/>
      <c r="O646" s="33">
        <f>SUMIFS(Dump!$D:$D,Dump!$B:$B,$C646,Dump!$A:$A,$Y646)</f>
        <v>0</v>
      </c>
      <c r="P646" s="33">
        <f>SUMIFS(Dump!R:R,Dump!B:B,C646,Dump!A:A,Y646)</f>
        <v>0</v>
      </c>
      <c r="Q646" s="34">
        <f t="shared" si="21"/>
        <v>0</v>
      </c>
      <c r="S646" s="4">
        <f>SUMIFS(Dump!E:E,Dump!B:B,C646,Dump!A:A,Y646)</f>
        <v>0</v>
      </c>
      <c r="T646" s="35">
        <f t="shared" si="22"/>
        <v>0</v>
      </c>
      <c r="V646" s="4">
        <f>SUMIFS(Dump!P:P,Dump!B:B,C646,Dump!A:A,Y646)</f>
        <v>0</v>
      </c>
      <c r="W646" s="37">
        <f t="shared" si="23"/>
        <v>0</v>
      </c>
      <c r="X646" s="39"/>
      <c r="Y646" s="54"/>
    </row>
    <row r="647">
      <c r="C647" s="53"/>
      <c r="G647" s="2" t="str">
        <f t="shared" si="27"/>
        <v/>
      </c>
      <c r="I647" s="4">
        <f>SUMIFS(Dump!D:D,Dump!B:B,C647)</f>
        <v>0</v>
      </c>
      <c r="J647" s="5">
        <f>SUMIFS(Dump!AE:AE,Dump!B:B,C647)</f>
        <v>0</v>
      </c>
      <c r="K647" s="4">
        <f>SUMPRODUCT(
  (TEXT(Dump!$A$2:$A994,"mmm-yy")=TEXT($Y647,"mmm-yy"))*
  (Dump!$B$2:$B994=$C647)*
  Dump!$D$2:$D994)</f>
        <v>0</v>
      </c>
      <c r="L647" s="4">
        <f>SUMPRODUCT(
  (TEXT(Dump!$A$2:$A994,"mmm-yy")=TEXT($Y647,"mmm-yy"))*
  (Dump!$B$2:$B994=$C647)*
  Dump!$E$2:$E994
)</f>
        <v>0</v>
      </c>
      <c r="M647" s="4">
        <f>SUMPRODUCT(
  (TEXT(Dump!$A$2:$A994,"mmm-yy")=TEXT($Y647,"mmm-yy"))*
  (Dump!$B$2:$B994=$C647)*
  Dump!$P$2:$P994
)</f>
        <v>0</v>
      </c>
      <c r="N647" s="32"/>
      <c r="O647" s="33">
        <f>SUMIFS(Dump!$D:$D,Dump!$B:$B,$C647,Dump!$A:$A,$Y647)</f>
        <v>0</v>
      </c>
      <c r="P647" s="33">
        <f>SUMIFS(Dump!R:R,Dump!B:B,C647,Dump!A:A,Y647)</f>
        <v>0</v>
      </c>
      <c r="Q647" s="34">
        <f t="shared" si="21"/>
        <v>0</v>
      </c>
      <c r="S647" s="4">
        <f>SUMIFS(Dump!E:E,Dump!B:B,C647,Dump!A:A,Y647)</f>
        <v>0</v>
      </c>
      <c r="T647" s="35">
        <f t="shared" si="22"/>
        <v>0</v>
      </c>
      <c r="V647" s="4">
        <f>SUMIFS(Dump!P:P,Dump!B:B,C647,Dump!A:A,Y647)</f>
        <v>0</v>
      </c>
      <c r="W647" s="37">
        <f t="shared" si="23"/>
        <v>0</v>
      </c>
      <c r="X647" s="39"/>
      <c r="Y647" s="54"/>
    </row>
    <row r="648">
      <c r="C648" s="53"/>
      <c r="G648" s="2" t="str">
        <f t="shared" si="27"/>
        <v/>
      </c>
      <c r="I648" s="4">
        <f>SUMIFS(Dump!D:D,Dump!B:B,C648)</f>
        <v>0</v>
      </c>
      <c r="J648" s="5">
        <f>SUMIFS(Dump!AE:AE,Dump!B:B,C648)</f>
        <v>0</v>
      </c>
      <c r="K648" s="4">
        <f>SUMPRODUCT(
  (TEXT(Dump!$A$2:$A994,"mmm-yy")=TEXT($Y648,"mmm-yy"))*
  (Dump!$B$2:$B994=$C648)*
  Dump!$D$2:$D994)</f>
        <v>0</v>
      </c>
      <c r="L648" s="4">
        <f>SUMPRODUCT(
  (TEXT(Dump!$A$2:$A994,"mmm-yy")=TEXT($Y648,"mmm-yy"))*
  (Dump!$B$2:$B994=$C648)*
  Dump!$E$2:$E994
)</f>
        <v>0</v>
      </c>
      <c r="M648" s="4">
        <f>SUMPRODUCT(
  (TEXT(Dump!$A$2:$A994,"mmm-yy")=TEXT($Y648,"mmm-yy"))*
  (Dump!$B$2:$B994=$C648)*
  Dump!$P$2:$P994
)</f>
        <v>0</v>
      </c>
      <c r="N648" s="32"/>
      <c r="O648" s="33">
        <f>SUMIFS(Dump!$D:$D,Dump!$B:$B,$C648,Dump!$A:$A,$Y648)</f>
        <v>0</v>
      </c>
      <c r="P648" s="33">
        <f>SUMIFS(Dump!R:R,Dump!B:B,C648,Dump!A:A,Y648)</f>
        <v>0</v>
      </c>
      <c r="Q648" s="34">
        <f t="shared" si="21"/>
        <v>0</v>
      </c>
      <c r="S648" s="4">
        <f>SUMIFS(Dump!E:E,Dump!B:B,C648,Dump!A:A,Y648)</f>
        <v>0</v>
      </c>
      <c r="T648" s="35">
        <f t="shared" si="22"/>
        <v>0</v>
      </c>
      <c r="V648" s="4">
        <f>SUMIFS(Dump!P:P,Dump!B:B,C648,Dump!A:A,Y648)</f>
        <v>0</v>
      </c>
      <c r="W648" s="37">
        <f t="shared" si="23"/>
        <v>0</v>
      </c>
      <c r="X648" s="39"/>
      <c r="Y648" s="54"/>
    </row>
    <row r="649">
      <c r="C649" s="53"/>
      <c r="G649" s="2" t="str">
        <f t="shared" si="27"/>
        <v/>
      </c>
      <c r="I649" s="4">
        <f>SUMIFS(Dump!D:D,Dump!B:B,C649)</f>
        <v>0</v>
      </c>
      <c r="J649" s="5">
        <f>SUMIFS(Dump!AE:AE,Dump!B:B,C649)</f>
        <v>0</v>
      </c>
      <c r="K649" s="4">
        <f>SUMPRODUCT(
  (TEXT(Dump!$A$2:$A994,"mmm-yy")=TEXT($Y649,"mmm-yy"))*
  (Dump!$B$2:$B994=$C649)*
  Dump!$D$2:$D994)</f>
        <v>0</v>
      </c>
      <c r="L649" s="4">
        <f>SUMPRODUCT(
  (TEXT(Dump!$A$2:$A994,"mmm-yy")=TEXT($Y649,"mmm-yy"))*
  (Dump!$B$2:$B994=$C649)*
  Dump!$E$2:$E994
)</f>
        <v>0</v>
      </c>
      <c r="M649" s="4">
        <f>SUMPRODUCT(
  (TEXT(Dump!$A$2:$A994,"mmm-yy")=TEXT($Y649,"mmm-yy"))*
  (Dump!$B$2:$B994=$C649)*
  Dump!$P$2:$P994
)</f>
        <v>0</v>
      </c>
      <c r="N649" s="32"/>
      <c r="O649" s="33">
        <f>SUMIFS(Dump!$D:$D,Dump!$B:$B,$C649,Dump!$A:$A,$Y649)</f>
        <v>0</v>
      </c>
      <c r="P649" s="33">
        <f>SUMIFS(Dump!R:R,Dump!B:B,C649,Dump!A:A,Y649)</f>
        <v>0</v>
      </c>
      <c r="Q649" s="34">
        <f t="shared" si="21"/>
        <v>0</v>
      </c>
      <c r="S649" s="4">
        <f>SUMIFS(Dump!E:E,Dump!B:B,C649,Dump!A:A,Y649)</f>
        <v>0</v>
      </c>
      <c r="T649" s="35">
        <f t="shared" si="22"/>
        <v>0</v>
      </c>
      <c r="V649" s="4">
        <f>SUMIFS(Dump!P:P,Dump!B:B,C649,Dump!A:A,Y649)</f>
        <v>0</v>
      </c>
      <c r="W649" s="37">
        <f t="shared" si="23"/>
        <v>0</v>
      </c>
      <c r="X649" s="39"/>
      <c r="Y649" s="54"/>
    </row>
    <row r="650">
      <c r="C650" s="53"/>
      <c r="G650" s="2" t="str">
        <f t="shared" si="27"/>
        <v/>
      </c>
      <c r="I650" s="4">
        <f>SUMIFS(Dump!D:D,Dump!B:B,C650)</f>
        <v>0</v>
      </c>
      <c r="J650" s="5">
        <f>SUMIFS(Dump!AE:AE,Dump!B:B,C650)</f>
        <v>0</v>
      </c>
      <c r="K650" s="4">
        <f>SUMPRODUCT(
  (TEXT(Dump!$A$2:$A994,"mmm-yy")=TEXT($Y650,"mmm-yy"))*
  (Dump!$B$2:$B994=$C650)*
  Dump!$D$2:$D994)</f>
        <v>0</v>
      </c>
      <c r="L650" s="4">
        <f>SUMPRODUCT(
  (TEXT(Dump!$A$2:$A994,"mmm-yy")=TEXT($Y650,"mmm-yy"))*
  (Dump!$B$2:$B994=$C650)*
  Dump!$E$2:$E994
)</f>
        <v>0</v>
      </c>
      <c r="M650" s="4">
        <f>SUMPRODUCT(
  (TEXT(Dump!$A$2:$A994,"mmm-yy")=TEXT($Y650,"mmm-yy"))*
  (Dump!$B$2:$B994=$C650)*
  Dump!$P$2:$P994
)</f>
        <v>0</v>
      </c>
      <c r="N650" s="32"/>
      <c r="O650" s="33">
        <f>SUMIFS(Dump!$D:$D,Dump!$B:$B,$C650,Dump!$A:$A,$Y650)</f>
        <v>0</v>
      </c>
      <c r="P650" s="33">
        <f>SUMIFS(Dump!R:R,Dump!B:B,C650,Dump!A:A,Y650)</f>
        <v>0</v>
      </c>
      <c r="Q650" s="34">
        <f t="shared" si="21"/>
        <v>0</v>
      </c>
      <c r="S650" s="4">
        <f>SUMIFS(Dump!E:E,Dump!B:B,C650,Dump!A:A,Y650)</f>
        <v>0</v>
      </c>
      <c r="T650" s="35">
        <f t="shared" si="22"/>
        <v>0</v>
      </c>
      <c r="V650" s="4">
        <f>SUMIFS(Dump!P:P,Dump!B:B,C650,Dump!A:A,Y650)</f>
        <v>0</v>
      </c>
      <c r="W650" s="37">
        <f t="shared" si="23"/>
        <v>0</v>
      </c>
      <c r="X650" s="39"/>
      <c r="Y650" s="54"/>
    </row>
    <row r="651">
      <c r="C651" s="53"/>
      <c r="G651" s="2" t="str">
        <f t="shared" si="27"/>
        <v/>
      </c>
      <c r="I651" s="4">
        <f>SUMIFS(Dump!D:D,Dump!B:B,C651)</f>
        <v>0</v>
      </c>
      <c r="J651" s="5">
        <f>SUMIFS(Dump!AE:AE,Dump!B:B,C651)</f>
        <v>0</v>
      </c>
      <c r="K651" s="4">
        <f>SUMPRODUCT(
  (TEXT(Dump!$A$2:$A994,"mmm-yy")=TEXT($Y651,"mmm-yy"))*
  (Dump!$B$2:$B994=$C651)*
  Dump!$D$2:$D994)</f>
        <v>0</v>
      </c>
      <c r="L651" s="4">
        <f>SUMPRODUCT(
  (TEXT(Dump!$A$2:$A994,"mmm-yy")=TEXT($Y651,"mmm-yy"))*
  (Dump!$B$2:$B994=$C651)*
  Dump!$E$2:$E994
)</f>
        <v>0</v>
      </c>
      <c r="M651" s="4">
        <f>SUMPRODUCT(
  (TEXT(Dump!$A$2:$A994,"mmm-yy")=TEXT($Y651,"mmm-yy"))*
  (Dump!$B$2:$B994=$C651)*
  Dump!$P$2:$P994
)</f>
        <v>0</v>
      </c>
      <c r="N651" s="32"/>
      <c r="O651" s="33">
        <f>SUMIFS(Dump!$D:$D,Dump!$B:$B,$C651,Dump!$A:$A,$Y651)</f>
        <v>0</v>
      </c>
      <c r="P651" s="33">
        <f>SUMIFS(Dump!R:R,Dump!B:B,C651,Dump!A:A,Y651)</f>
        <v>0</v>
      </c>
      <c r="Q651" s="34">
        <f t="shared" si="21"/>
        <v>0</v>
      </c>
      <c r="S651" s="4">
        <f>SUMIFS(Dump!E:E,Dump!B:B,C651,Dump!A:A,Y651)</f>
        <v>0</v>
      </c>
      <c r="T651" s="35">
        <f t="shared" si="22"/>
        <v>0</v>
      </c>
      <c r="V651" s="4">
        <f>SUMIFS(Dump!P:P,Dump!B:B,C651,Dump!A:A,Y651)</f>
        <v>0</v>
      </c>
      <c r="W651" s="37">
        <f t="shared" si="23"/>
        <v>0</v>
      </c>
      <c r="X651" s="39"/>
      <c r="Y651" s="54"/>
    </row>
    <row r="652">
      <c r="C652" s="53"/>
      <c r="G652" s="2" t="str">
        <f t="shared" si="27"/>
        <v/>
      </c>
      <c r="I652" s="4">
        <f>SUMIFS(Dump!D:D,Dump!B:B,C652)</f>
        <v>0</v>
      </c>
      <c r="J652" s="5">
        <f>SUMIFS(Dump!AE:AE,Dump!B:B,C652)</f>
        <v>0</v>
      </c>
      <c r="K652" s="4">
        <f>SUMPRODUCT(
  (TEXT(Dump!$A$2:$A994,"mmm-yy")=TEXT($Y652,"mmm-yy"))*
  (Dump!$B$2:$B994=$C652)*
  Dump!$D$2:$D994)</f>
        <v>0</v>
      </c>
      <c r="L652" s="4">
        <f>SUMPRODUCT(
  (TEXT(Dump!$A$2:$A994,"mmm-yy")=TEXT($Y652,"mmm-yy"))*
  (Dump!$B$2:$B994=$C652)*
  Dump!$E$2:$E994
)</f>
        <v>0</v>
      </c>
      <c r="M652" s="4">
        <f>SUMPRODUCT(
  (TEXT(Dump!$A$2:$A994,"mmm-yy")=TEXT($Y652,"mmm-yy"))*
  (Dump!$B$2:$B994=$C652)*
  Dump!$P$2:$P994
)</f>
        <v>0</v>
      </c>
      <c r="N652" s="32"/>
      <c r="O652" s="33">
        <f>SUMIFS(Dump!$D:$D,Dump!$B:$B,$C652,Dump!$A:$A,$Y652)</f>
        <v>0</v>
      </c>
      <c r="P652" s="33">
        <f>SUMIFS(Dump!R:R,Dump!B:B,C652,Dump!A:A,Y652)</f>
        <v>0</v>
      </c>
      <c r="Q652" s="34">
        <f t="shared" si="21"/>
        <v>0</v>
      </c>
      <c r="S652" s="4">
        <f>SUMIFS(Dump!E:E,Dump!B:B,C652,Dump!A:A,Y652)</f>
        <v>0</v>
      </c>
      <c r="T652" s="35">
        <f t="shared" si="22"/>
        <v>0</v>
      </c>
      <c r="V652" s="4">
        <f>SUMIFS(Dump!P:P,Dump!B:B,C652,Dump!A:A,Y652)</f>
        <v>0</v>
      </c>
      <c r="W652" s="37">
        <f t="shared" si="23"/>
        <v>0</v>
      </c>
      <c r="X652" s="39"/>
      <c r="Y652" s="54"/>
    </row>
    <row r="653">
      <c r="C653" s="53"/>
      <c r="G653" s="2" t="str">
        <f t="shared" si="27"/>
        <v/>
      </c>
      <c r="I653" s="4">
        <f>SUMIFS(Dump!D:D,Dump!B:B,C653)</f>
        <v>0</v>
      </c>
      <c r="J653" s="5">
        <f>SUMIFS(Dump!AE:AE,Dump!B:B,C653)</f>
        <v>0</v>
      </c>
      <c r="K653" s="4">
        <f>SUMPRODUCT(
  (TEXT(Dump!$A$2:$A994,"mmm-yy")=TEXT($Y653,"mmm-yy"))*
  (Dump!$B$2:$B994=$C653)*
  Dump!$D$2:$D994)</f>
        <v>0</v>
      </c>
      <c r="L653" s="4">
        <f>SUMPRODUCT(
  (TEXT(Dump!$A$2:$A994,"mmm-yy")=TEXT($Y653,"mmm-yy"))*
  (Dump!$B$2:$B994=$C653)*
  Dump!$E$2:$E994
)</f>
        <v>0</v>
      </c>
      <c r="M653" s="4">
        <f>SUMPRODUCT(
  (TEXT(Dump!$A$2:$A994,"mmm-yy")=TEXT($Y653,"mmm-yy"))*
  (Dump!$B$2:$B994=$C653)*
  Dump!$P$2:$P994
)</f>
        <v>0</v>
      </c>
      <c r="N653" s="32"/>
      <c r="O653" s="33">
        <f>SUMIFS(Dump!$D:$D,Dump!$B:$B,$C653,Dump!$A:$A,$Y653)</f>
        <v>0</v>
      </c>
      <c r="P653" s="33">
        <f>SUMIFS(Dump!R:R,Dump!B:B,C653,Dump!A:A,Y653)</f>
        <v>0</v>
      </c>
      <c r="Q653" s="34">
        <f t="shared" si="21"/>
        <v>0</v>
      </c>
      <c r="S653" s="4">
        <f>SUMIFS(Dump!E:E,Dump!B:B,C653,Dump!A:A,Y653)</f>
        <v>0</v>
      </c>
      <c r="T653" s="35">
        <f t="shared" si="22"/>
        <v>0</v>
      </c>
      <c r="V653" s="4">
        <f>SUMIFS(Dump!P:P,Dump!B:B,C653,Dump!A:A,Y653)</f>
        <v>0</v>
      </c>
      <c r="W653" s="37">
        <f t="shared" si="23"/>
        <v>0</v>
      </c>
      <c r="X653" s="39"/>
      <c r="Y653" s="54"/>
    </row>
    <row r="654">
      <c r="C654" s="53"/>
      <c r="G654" s="2" t="str">
        <f t="shared" si="27"/>
        <v/>
      </c>
      <c r="I654" s="4">
        <f>SUMIFS(Dump!D:D,Dump!B:B,C654)</f>
        <v>0</v>
      </c>
      <c r="J654" s="5">
        <f>SUMIFS(Dump!AE:AE,Dump!B:B,C654)</f>
        <v>0</v>
      </c>
      <c r="K654" s="4">
        <f>SUMPRODUCT(
  (TEXT(Dump!$A$2:$A994,"mmm-yy")=TEXT($Y654,"mmm-yy"))*
  (Dump!$B$2:$B994=$C654)*
  Dump!$D$2:$D994)</f>
        <v>0</v>
      </c>
      <c r="L654" s="4">
        <f>SUMPRODUCT(
  (TEXT(Dump!$A$2:$A994,"mmm-yy")=TEXT($Y654,"mmm-yy"))*
  (Dump!$B$2:$B994=$C654)*
  Dump!$E$2:$E994
)</f>
        <v>0</v>
      </c>
      <c r="M654" s="4">
        <f>SUMPRODUCT(
  (TEXT(Dump!$A$2:$A994,"mmm-yy")=TEXT($Y654,"mmm-yy"))*
  (Dump!$B$2:$B994=$C654)*
  Dump!$P$2:$P994
)</f>
        <v>0</v>
      </c>
      <c r="N654" s="32"/>
      <c r="O654" s="33">
        <f>SUMIFS(Dump!$D:$D,Dump!$B:$B,$C654,Dump!$A:$A,$Y654)</f>
        <v>0</v>
      </c>
      <c r="P654" s="33">
        <f>SUMIFS(Dump!R:R,Dump!B:B,C654,Dump!A:A,Y654)</f>
        <v>0</v>
      </c>
      <c r="Q654" s="34">
        <f t="shared" si="21"/>
        <v>0</v>
      </c>
      <c r="S654" s="4">
        <f>SUMIFS(Dump!E:E,Dump!B:B,C654,Dump!A:A,Y654)</f>
        <v>0</v>
      </c>
      <c r="T654" s="35">
        <f t="shared" si="22"/>
        <v>0</v>
      </c>
      <c r="V654" s="4">
        <f>SUMIFS(Dump!P:P,Dump!B:B,C654,Dump!A:A,Y654)</f>
        <v>0</v>
      </c>
      <c r="W654" s="37">
        <f t="shared" si="23"/>
        <v>0</v>
      </c>
      <c r="X654" s="39"/>
      <c r="Y654" s="54"/>
    </row>
    <row r="655">
      <c r="C655" s="53"/>
      <c r="G655" s="2" t="str">
        <f t="shared" si="27"/>
        <v/>
      </c>
      <c r="I655" s="4">
        <f>SUMIFS(Dump!D:D,Dump!B:B,C655)</f>
        <v>0</v>
      </c>
      <c r="J655" s="5">
        <f>SUMIFS(Dump!AE:AE,Dump!B:B,C655)</f>
        <v>0</v>
      </c>
      <c r="K655" s="4">
        <f>SUMPRODUCT(
  (TEXT(Dump!$A$2:$A994,"mmm-yy")=TEXT($Y655,"mmm-yy"))*
  (Dump!$B$2:$B994=$C655)*
  Dump!$D$2:$D994)</f>
        <v>0</v>
      </c>
      <c r="L655" s="4">
        <f>SUMPRODUCT(
  (TEXT(Dump!$A$2:$A994,"mmm-yy")=TEXT($Y655,"mmm-yy"))*
  (Dump!$B$2:$B994=$C655)*
  Dump!$E$2:$E994
)</f>
        <v>0</v>
      </c>
      <c r="M655" s="4">
        <f>SUMPRODUCT(
  (TEXT(Dump!$A$2:$A994,"mmm-yy")=TEXT($Y655,"mmm-yy"))*
  (Dump!$B$2:$B994=$C655)*
  Dump!$P$2:$P994
)</f>
        <v>0</v>
      </c>
      <c r="N655" s="32"/>
      <c r="O655" s="33">
        <f>SUMIFS(Dump!$D:$D,Dump!$B:$B,$C655,Dump!$A:$A,$Y655)</f>
        <v>0</v>
      </c>
      <c r="P655" s="33">
        <f>SUMIFS(Dump!R:R,Dump!B:B,C655,Dump!A:A,Y655)</f>
        <v>0</v>
      </c>
      <c r="Q655" s="34">
        <f t="shared" si="21"/>
        <v>0</v>
      </c>
      <c r="S655" s="4">
        <f>SUMIFS(Dump!E:E,Dump!B:B,C655,Dump!A:A,Y655)</f>
        <v>0</v>
      </c>
      <c r="T655" s="35">
        <f t="shared" si="22"/>
        <v>0</v>
      </c>
      <c r="V655" s="4">
        <f>SUMIFS(Dump!P:P,Dump!B:B,C655,Dump!A:A,Y655)</f>
        <v>0</v>
      </c>
      <c r="W655" s="37">
        <f t="shared" si="23"/>
        <v>0</v>
      </c>
      <c r="X655" s="39"/>
      <c r="Y655" s="54"/>
    </row>
    <row r="656">
      <c r="C656" s="53"/>
      <c r="G656" s="2" t="str">
        <f t="shared" si="27"/>
        <v/>
      </c>
      <c r="I656" s="4">
        <f>SUMIFS(Dump!D:D,Dump!B:B,C656)</f>
        <v>0</v>
      </c>
      <c r="J656" s="5">
        <f>SUMIFS(Dump!AE:AE,Dump!B:B,C656)</f>
        <v>0</v>
      </c>
      <c r="K656" s="4">
        <f>SUMPRODUCT(
  (TEXT(Dump!$A$2:$A994,"mmm-yy")=TEXT($Y656,"mmm-yy"))*
  (Dump!$B$2:$B994=$C656)*
  Dump!$D$2:$D994)</f>
        <v>0</v>
      </c>
      <c r="L656" s="4">
        <f>SUMPRODUCT(
  (TEXT(Dump!$A$2:$A994,"mmm-yy")=TEXT($Y656,"mmm-yy"))*
  (Dump!$B$2:$B994=$C656)*
  Dump!$E$2:$E994
)</f>
        <v>0</v>
      </c>
      <c r="M656" s="4">
        <f>SUMPRODUCT(
  (TEXT(Dump!$A$2:$A994,"mmm-yy")=TEXT($Y656,"mmm-yy"))*
  (Dump!$B$2:$B994=$C656)*
  Dump!$P$2:$P994
)</f>
        <v>0</v>
      </c>
      <c r="N656" s="32"/>
      <c r="O656" s="33">
        <f>SUMIFS(Dump!$D:$D,Dump!$B:$B,$C656,Dump!$A:$A,$Y656)</f>
        <v>0</v>
      </c>
      <c r="P656" s="33">
        <f>SUMIFS(Dump!R:R,Dump!B:B,C656,Dump!A:A,Y656)</f>
        <v>0</v>
      </c>
      <c r="Q656" s="34">
        <f t="shared" si="21"/>
        <v>0</v>
      </c>
      <c r="S656" s="4">
        <f>SUMIFS(Dump!E:E,Dump!B:B,C656,Dump!A:A,Y656)</f>
        <v>0</v>
      </c>
      <c r="T656" s="35">
        <f t="shared" si="22"/>
        <v>0</v>
      </c>
      <c r="V656" s="4">
        <f>SUMIFS(Dump!P:P,Dump!B:B,C656,Dump!A:A,Y656)</f>
        <v>0</v>
      </c>
      <c r="W656" s="37">
        <f t="shared" si="23"/>
        <v>0</v>
      </c>
      <c r="X656" s="39"/>
      <c r="Y656" s="54"/>
    </row>
    <row r="657">
      <c r="C657" s="53"/>
      <c r="G657" s="2" t="str">
        <f t="shared" si="27"/>
        <v/>
      </c>
      <c r="I657" s="4">
        <f>SUMIFS(Dump!D:D,Dump!B:B,C657)</f>
        <v>0</v>
      </c>
      <c r="J657" s="5">
        <f>SUMIFS(Dump!AE:AE,Dump!B:B,C657)</f>
        <v>0</v>
      </c>
      <c r="K657" s="4">
        <f>SUMPRODUCT(
  (TEXT(Dump!$A$2:$A994,"mmm-yy")=TEXT($Y657,"mmm-yy"))*
  (Dump!$B$2:$B994=$C657)*
  Dump!$D$2:$D994)</f>
        <v>0</v>
      </c>
      <c r="L657" s="4">
        <f>SUMPRODUCT(
  (TEXT(Dump!$A$2:$A994,"mmm-yy")=TEXT($Y657,"mmm-yy"))*
  (Dump!$B$2:$B994=$C657)*
  Dump!$E$2:$E994
)</f>
        <v>0</v>
      </c>
      <c r="M657" s="4">
        <f>SUMPRODUCT(
  (TEXT(Dump!$A$2:$A994,"mmm-yy")=TEXT($Y657,"mmm-yy"))*
  (Dump!$B$2:$B994=$C657)*
  Dump!$P$2:$P994
)</f>
        <v>0</v>
      </c>
      <c r="N657" s="32"/>
      <c r="O657" s="33">
        <f>SUMIFS(Dump!$D:$D,Dump!$B:$B,$C657,Dump!$A:$A,$Y657)</f>
        <v>0</v>
      </c>
      <c r="P657" s="33">
        <f>SUMIFS(Dump!R:R,Dump!B:B,C657,Dump!A:A,Y657)</f>
        <v>0</v>
      </c>
      <c r="Q657" s="34">
        <f t="shared" si="21"/>
        <v>0</v>
      </c>
      <c r="S657" s="4">
        <f>SUMIFS(Dump!E:E,Dump!B:B,C657,Dump!A:A,Y657)</f>
        <v>0</v>
      </c>
      <c r="T657" s="35">
        <f t="shared" si="22"/>
        <v>0</v>
      </c>
      <c r="V657" s="4">
        <f>SUMIFS(Dump!P:P,Dump!B:B,C657,Dump!A:A,Y657)</f>
        <v>0</v>
      </c>
      <c r="W657" s="37">
        <f t="shared" si="23"/>
        <v>0</v>
      </c>
      <c r="X657" s="39"/>
      <c r="Y657" s="54"/>
    </row>
    <row r="658">
      <c r="C658" s="53"/>
      <c r="G658" s="2" t="str">
        <f t="shared" si="27"/>
        <v/>
      </c>
      <c r="I658" s="4">
        <f>SUMIFS(Dump!D:D,Dump!B:B,C658)</f>
        <v>0</v>
      </c>
      <c r="J658" s="5">
        <f>SUMIFS(Dump!AE:AE,Dump!B:B,C658)</f>
        <v>0</v>
      </c>
      <c r="K658" s="4">
        <f>SUMPRODUCT(
  (TEXT(Dump!$A$2:$A994,"mmm-yy")=TEXT($Y658,"mmm-yy"))*
  (Dump!$B$2:$B994=$C658)*
  Dump!$D$2:$D994)</f>
        <v>0</v>
      </c>
      <c r="L658" s="4">
        <f>SUMPRODUCT(
  (TEXT(Dump!$A$2:$A994,"mmm-yy")=TEXT($Y658,"mmm-yy"))*
  (Dump!$B$2:$B994=$C658)*
  Dump!$E$2:$E994
)</f>
        <v>0</v>
      </c>
      <c r="M658" s="4">
        <f>SUMPRODUCT(
  (TEXT(Dump!$A$2:$A994,"mmm-yy")=TEXT($Y658,"mmm-yy"))*
  (Dump!$B$2:$B994=$C658)*
  Dump!$P$2:$P994
)</f>
        <v>0</v>
      </c>
      <c r="N658" s="32"/>
      <c r="O658" s="33">
        <f>SUMIFS(Dump!$D:$D,Dump!$B:$B,$C658,Dump!$A:$A,$Y658)</f>
        <v>0</v>
      </c>
      <c r="P658" s="33">
        <f>SUMIFS(Dump!R:R,Dump!B:B,C658,Dump!A:A,Y658)</f>
        <v>0</v>
      </c>
      <c r="Q658" s="34">
        <f t="shared" si="21"/>
        <v>0</v>
      </c>
      <c r="S658" s="4">
        <f>SUMIFS(Dump!E:E,Dump!B:B,C658,Dump!A:A,Y658)</f>
        <v>0</v>
      </c>
      <c r="T658" s="35">
        <f t="shared" si="22"/>
        <v>0</v>
      </c>
      <c r="V658" s="4">
        <f>SUMIFS(Dump!P:P,Dump!B:B,C658,Dump!A:A,Y658)</f>
        <v>0</v>
      </c>
      <c r="W658" s="37">
        <f t="shared" si="23"/>
        <v>0</v>
      </c>
      <c r="X658" s="39"/>
      <c r="Y658" s="54"/>
    </row>
    <row r="659">
      <c r="C659" s="53"/>
      <c r="G659" s="2" t="str">
        <f t="shared" si="27"/>
        <v/>
      </c>
      <c r="I659" s="4">
        <f>SUMIFS(Dump!D:D,Dump!B:B,C659)</f>
        <v>0</v>
      </c>
      <c r="J659" s="5">
        <f>SUMIFS(Dump!AE:AE,Dump!B:B,C659)</f>
        <v>0</v>
      </c>
      <c r="K659" s="4">
        <f>SUMPRODUCT(
  (TEXT(Dump!$A$2:$A994,"mmm-yy")=TEXT($Y659,"mmm-yy"))*
  (Dump!$B$2:$B994=$C659)*
  Dump!$D$2:$D994)</f>
        <v>0</v>
      </c>
      <c r="L659" s="4">
        <f>SUMPRODUCT(
  (TEXT(Dump!$A$2:$A994,"mmm-yy")=TEXT($Y659,"mmm-yy"))*
  (Dump!$B$2:$B994=$C659)*
  Dump!$E$2:$E994
)</f>
        <v>0</v>
      </c>
      <c r="M659" s="4">
        <f>SUMPRODUCT(
  (TEXT(Dump!$A$2:$A994,"mmm-yy")=TEXT($Y659,"mmm-yy"))*
  (Dump!$B$2:$B994=$C659)*
  Dump!$P$2:$P994
)</f>
        <v>0</v>
      </c>
      <c r="N659" s="32"/>
      <c r="O659" s="33">
        <f>SUMIFS(Dump!$D:$D,Dump!$B:$B,$C659,Dump!$A:$A,$Y659)</f>
        <v>0</v>
      </c>
      <c r="P659" s="33">
        <f>SUMIFS(Dump!R:R,Dump!B:B,C659,Dump!A:A,Y659)</f>
        <v>0</v>
      </c>
      <c r="Q659" s="34">
        <f t="shared" si="21"/>
        <v>0</v>
      </c>
      <c r="S659" s="4">
        <f>SUMIFS(Dump!E:E,Dump!B:B,C659,Dump!A:A,Y659)</f>
        <v>0</v>
      </c>
      <c r="T659" s="35">
        <f t="shared" si="22"/>
        <v>0</v>
      </c>
      <c r="V659" s="4">
        <f>SUMIFS(Dump!P:P,Dump!B:B,C659,Dump!A:A,Y659)</f>
        <v>0</v>
      </c>
      <c r="W659" s="37">
        <f t="shared" si="23"/>
        <v>0</v>
      </c>
      <c r="X659" s="39"/>
      <c r="Y659" s="54"/>
    </row>
    <row r="660">
      <c r="C660" s="53"/>
      <c r="G660" s="2" t="str">
        <f t="shared" si="27"/>
        <v/>
      </c>
      <c r="I660" s="4">
        <f>SUMIFS(Dump!D:D,Dump!B:B,C660)</f>
        <v>0</v>
      </c>
      <c r="J660" s="5">
        <f>SUMIFS(Dump!AE:AE,Dump!B:B,C660)</f>
        <v>0</v>
      </c>
      <c r="K660" s="4">
        <f>SUMPRODUCT(
  (TEXT(Dump!$A$2:$A994,"mmm-yy")=TEXT($Y660,"mmm-yy"))*
  (Dump!$B$2:$B994=$C660)*
  Dump!$D$2:$D994)</f>
        <v>0</v>
      </c>
      <c r="L660" s="4">
        <f>SUMPRODUCT(
  (TEXT(Dump!$A$2:$A994,"mmm-yy")=TEXT($Y660,"mmm-yy"))*
  (Dump!$B$2:$B994=$C660)*
  Dump!$E$2:$E994
)</f>
        <v>0</v>
      </c>
      <c r="M660" s="4">
        <f>SUMPRODUCT(
  (TEXT(Dump!$A$2:$A994,"mmm-yy")=TEXT($Y660,"mmm-yy"))*
  (Dump!$B$2:$B994=$C660)*
  Dump!$P$2:$P994
)</f>
        <v>0</v>
      </c>
      <c r="N660" s="32"/>
      <c r="O660" s="33">
        <f>SUMIFS(Dump!$D:$D,Dump!$B:$B,$C660,Dump!$A:$A,$Y660)</f>
        <v>0</v>
      </c>
      <c r="P660" s="33">
        <f>SUMIFS(Dump!R:R,Dump!B:B,C660,Dump!A:A,Y660)</f>
        <v>0</v>
      </c>
      <c r="Q660" s="34">
        <f t="shared" si="21"/>
        <v>0</v>
      </c>
      <c r="S660" s="4">
        <f>SUMIFS(Dump!E:E,Dump!B:B,C660,Dump!A:A,Y660)</f>
        <v>0</v>
      </c>
      <c r="T660" s="35">
        <f t="shared" si="22"/>
        <v>0</v>
      </c>
      <c r="V660" s="4">
        <f>SUMIFS(Dump!P:P,Dump!B:B,C660,Dump!A:A,Y660)</f>
        <v>0</v>
      </c>
      <c r="W660" s="37">
        <f t="shared" si="23"/>
        <v>0</v>
      </c>
      <c r="X660" s="39"/>
      <c r="Y660" s="54"/>
    </row>
    <row r="661">
      <c r="C661" s="53"/>
      <c r="G661" s="2" t="str">
        <f t="shared" si="27"/>
        <v/>
      </c>
      <c r="I661" s="4">
        <f>SUMIFS(Dump!D:D,Dump!B:B,C661)</f>
        <v>0</v>
      </c>
      <c r="J661" s="5">
        <f>SUMIFS(Dump!AE:AE,Dump!B:B,C661)</f>
        <v>0</v>
      </c>
      <c r="K661" s="4">
        <f>SUMPRODUCT(
  (TEXT(Dump!$A$2:$A994,"mmm-yy")=TEXT($Y661,"mmm-yy"))*
  (Dump!$B$2:$B994=$C661)*
  Dump!$D$2:$D994)</f>
        <v>0</v>
      </c>
      <c r="L661" s="4">
        <f>SUMPRODUCT(
  (TEXT(Dump!$A$2:$A994,"mmm-yy")=TEXT($Y661,"mmm-yy"))*
  (Dump!$B$2:$B994=$C661)*
  Dump!$E$2:$E994
)</f>
        <v>0</v>
      </c>
      <c r="M661" s="4">
        <f>SUMPRODUCT(
  (TEXT(Dump!$A$2:$A994,"mmm-yy")=TEXT($Y661,"mmm-yy"))*
  (Dump!$B$2:$B994=$C661)*
  Dump!$P$2:$P994
)</f>
        <v>0</v>
      </c>
      <c r="N661" s="32"/>
      <c r="O661" s="33">
        <f>SUMIFS(Dump!$D:$D,Dump!$B:$B,$C661,Dump!$A:$A,$Y661)</f>
        <v>0</v>
      </c>
      <c r="P661" s="33">
        <f>SUMIFS(Dump!R:R,Dump!B:B,C661,Dump!A:A,Y661)</f>
        <v>0</v>
      </c>
      <c r="Q661" s="34">
        <f t="shared" si="21"/>
        <v>0</v>
      </c>
      <c r="S661" s="4">
        <f>SUMIFS(Dump!E:E,Dump!B:B,C661,Dump!A:A,Y661)</f>
        <v>0</v>
      </c>
      <c r="T661" s="35">
        <f t="shared" si="22"/>
        <v>0</v>
      </c>
      <c r="V661" s="4">
        <f>SUMIFS(Dump!P:P,Dump!B:B,C661,Dump!A:A,Y661)</f>
        <v>0</v>
      </c>
      <c r="W661" s="37">
        <f t="shared" si="23"/>
        <v>0</v>
      </c>
      <c r="X661" s="39"/>
      <c r="Y661" s="54"/>
    </row>
    <row r="662">
      <c r="C662" s="53"/>
      <c r="G662" s="2" t="str">
        <f t="shared" si="27"/>
        <v/>
      </c>
      <c r="I662" s="4">
        <f>SUMIFS(Dump!D:D,Dump!B:B,C662)</f>
        <v>0</v>
      </c>
      <c r="J662" s="5">
        <f>SUMIFS(Dump!AE:AE,Dump!B:B,C662)</f>
        <v>0</v>
      </c>
      <c r="K662" s="4">
        <f>SUMPRODUCT(
  (TEXT(Dump!$A$2:$A994,"mmm-yy")=TEXT($Y662,"mmm-yy"))*
  (Dump!$B$2:$B994=$C662)*
  Dump!$D$2:$D994)</f>
        <v>0</v>
      </c>
      <c r="L662" s="4">
        <f>SUMPRODUCT(
  (TEXT(Dump!$A$2:$A994,"mmm-yy")=TEXT($Y662,"mmm-yy"))*
  (Dump!$B$2:$B994=$C662)*
  Dump!$E$2:$E994
)</f>
        <v>0</v>
      </c>
      <c r="M662" s="4">
        <f>SUMPRODUCT(
  (TEXT(Dump!$A$2:$A994,"mmm-yy")=TEXT($Y662,"mmm-yy"))*
  (Dump!$B$2:$B994=$C662)*
  Dump!$P$2:$P994
)</f>
        <v>0</v>
      </c>
      <c r="N662" s="32"/>
      <c r="O662" s="33">
        <f>SUMIFS(Dump!$D:$D,Dump!$B:$B,$C662,Dump!$A:$A,$Y662)</f>
        <v>0</v>
      </c>
      <c r="P662" s="33">
        <f>SUMIFS(Dump!R:R,Dump!B:B,C662,Dump!A:A,Y662)</f>
        <v>0</v>
      </c>
      <c r="Q662" s="34">
        <f t="shared" si="21"/>
        <v>0</v>
      </c>
      <c r="S662" s="4">
        <f>SUMIFS(Dump!E:E,Dump!B:B,C662,Dump!A:A,Y662)</f>
        <v>0</v>
      </c>
      <c r="T662" s="35">
        <f t="shared" si="22"/>
        <v>0</v>
      </c>
      <c r="V662" s="4">
        <f>SUMIFS(Dump!P:P,Dump!B:B,C662,Dump!A:A,Y662)</f>
        <v>0</v>
      </c>
      <c r="W662" s="37">
        <f t="shared" si="23"/>
        <v>0</v>
      </c>
      <c r="X662" s="39"/>
      <c r="Y662" s="54"/>
    </row>
    <row r="663">
      <c r="C663" s="53"/>
      <c r="G663" s="2" t="str">
        <f t="shared" si="27"/>
        <v/>
      </c>
      <c r="I663" s="4">
        <f>SUMIFS(Dump!D:D,Dump!B:B,C663)</f>
        <v>0</v>
      </c>
      <c r="J663" s="5">
        <f>SUMIFS(Dump!AE:AE,Dump!B:B,C663)</f>
        <v>0</v>
      </c>
      <c r="K663" s="4">
        <f>SUMPRODUCT(
  (TEXT(Dump!$A$2:$A994,"mmm-yy")=TEXT($Y663,"mmm-yy"))*
  (Dump!$B$2:$B994=$C663)*
  Dump!$D$2:$D994)</f>
        <v>0</v>
      </c>
      <c r="L663" s="4">
        <f>SUMPRODUCT(
  (TEXT(Dump!$A$2:$A994,"mmm-yy")=TEXT($Y663,"mmm-yy"))*
  (Dump!$B$2:$B994=$C663)*
  Dump!$E$2:$E994
)</f>
        <v>0</v>
      </c>
      <c r="M663" s="4">
        <f>SUMPRODUCT(
  (TEXT(Dump!$A$2:$A994,"mmm-yy")=TEXT($Y663,"mmm-yy"))*
  (Dump!$B$2:$B994=$C663)*
  Dump!$P$2:$P994
)</f>
        <v>0</v>
      </c>
      <c r="N663" s="32"/>
      <c r="O663" s="33">
        <f>SUMIFS(Dump!$D:$D,Dump!$B:$B,$C663,Dump!$A:$A,$Y663)</f>
        <v>0</v>
      </c>
      <c r="P663" s="33">
        <f>SUMIFS(Dump!R:R,Dump!B:B,C663,Dump!A:A,Y663)</f>
        <v>0</v>
      </c>
      <c r="Q663" s="34">
        <f t="shared" si="21"/>
        <v>0</v>
      </c>
      <c r="S663" s="4">
        <f>SUMIFS(Dump!E:E,Dump!B:B,C663,Dump!A:A,Y663)</f>
        <v>0</v>
      </c>
      <c r="T663" s="35">
        <f t="shared" si="22"/>
        <v>0</v>
      </c>
      <c r="V663" s="4">
        <f>SUMIFS(Dump!P:P,Dump!B:B,C663,Dump!A:A,Y663)</f>
        <v>0</v>
      </c>
      <c r="W663" s="37">
        <f t="shared" si="23"/>
        <v>0</v>
      </c>
      <c r="X663" s="39"/>
      <c r="Y663" s="54"/>
    </row>
    <row r="664">
      <c r="C664" s="53"/>
      <c r="G664" s="2" t="str">
        <f t="shared" si="27"/>
        <v/>
      </c>
      <c r="I664" s="4">
        <f>SUMIFS(Dump!D:D,Dump!B:B,C664)</f>
        <v>0</v>
      </c>
      <c r="J664" s="5">
        <f>SUMIFS(Dump!AE:AE,Dump!B:B,C664)</f>
        <v>0</v>
      </c>
      <c r="K664" s="4">
        <f>SUMPRODUCT(
  (TEXT(Dump!$A$2:$A994,"mmm-yy")=TEXT($Y664,"mmm-yy"))*
  (Dump!$B$2:$B994=$C664)*
  Dump!$D$2:$D994)</f>
        <v>0</v>
      </c>
      <c r="L664" s="4">
        <f>SUMPRODUCT(
  (TEXT(Dump!$A$2:$A994,"mmm-yy")=TEXT($Y664,"mmm-yy"))*
  (Dump!$B$2:$B994=$C664)*
  Dump!$E$2:$E994
)</f>
        <v>0</v>
      </c>
      <c r="M664" s="4">
        <f>SUMPRODUCT(
  (TEXT(Dump!$A$2:$A994,"mmm-yy")=TEXT($Y664,"mmm-yy"))*
  (Dump!$B$2:$B994=$C664)*
  Dump!$P$2:$P994
)</f>
        <v>0</v>
      </c>
      <c r="N664" s="32"/>
      <c r="O664" s="33">
        <f>SUMIFS(Dump!$D:$D,Dump!$B:$B,$C664,Dump!$A:$A,$Y664)</f>
        <v>0</v>
      </c>
      <c r="P664" s="33">
        <f>SUMIFS(Dump!R:R,Dump!B:B,C664,Dump!A:A,Y664)</f>
        <v>0</v>
      </c>
      <c r="Q664" s="34">
        <f t="shared" si="21"/>
        <v>0</v>
      </c>
      <c r="S664" s="4">
        <f>SUMIFS(Dump!E:E,Dump!B:B,C664,Dump!A:A,Y664)</f>
        <v>0</v>
      </c>
      <c r="T664" s="35">
        <f t="shared" si="22"/>
        <v>0</v>
      </c>
      <c r="V664" s="4">
        <f>SUMIFS(Dump!P:P,Dump!B:B,C664,Dump!A:A,Y664)</f>
        <v>0</v>
      </c>
      <c r="W664" s="37">
        <f t="shared" si="23"/>
        <v>0</v>
      </c>
      <c r="X664" s="39"/>
      <c r="Y664" s="54"/>
    </row>
    <row r="665">
      <c r="C665" s="53"/>
      <c r="G665" s="2" t="str">
        <f t="shared" si="27"/>
        <v/>
      </c>
      <c r="I665" s="4">
        <f>SUMIFS(Dump!D:D,Dump!B:B,C665)</f>
        <v>0</v>
      </c>
      <c r="J665" s="5">
        <f>SUMIFS(Dump!AE:AE,Dump!B:B,C665)</f>
        <v>0</v>
      </c>
      <c r="K665" s="4">
        <f>SUMPRODUCT(
  (TEXT(Dump!$A$2:$A994,"mmm-yy")=TEXT($Y665,"mmm-yy"))*
  (Dump!$B$2:$B994=$C665)*
  Dump!$D$2:$D994)</f>
        <v>0</v>
      </c>
      <c r="L665" s="4">
        <f>SUMPRODUCT(
  (TEXT(Dump!$A$2:$A994,"mmm-yy")=TEXT($Y665,"mmm-yy"))*
  (Dump!$B$2:$B994=$C665)*
  Dump!$E$2:$E994
)</f>
        <v>0</v>
      </c>
      <c r="M665" s="4">
        <f>SUMPRODUCT(
  (TEXT(Dump!$A$2:$A994,"mmm-yy")=TEXT($Y665,"mmm-yy"))*
  (Dump!$B$2:$B994=$C665)*
  Dump!$P$2:$P994
)</f>
        <v>0</v>
      </c>
      <c r="N665" s="32"/>
      <c r="O665" s="33">
        <f>SUMIFS(Dump!$D:$D,Dump!$B:$B,$C665,Dump!$A:$A,$Y665)</f>
        <v>0</v>
      </c>
      <c r="P665" s="33">
        <f>SUMIFS(Dump!R:R,Dump!B:B,C665,Dump!A:A,Y665)</f>
        <v>0</v>
      </c>
      <c r="Q665" s="34">
        <f t="shared" si="21"/>
        <v>0</v>
      </c>
      <c r="S665" s="4">
        <f>SUMIFS(Dump!E:E,Dump!B:B,C665,Dump!A:A,Y665)</f>
        <v>0</v>
      </c>
      <c r="T665" s="35">
        <f t="shared" si="22"/>
        <v>0</v>
      </c>
      <c r="V665" s="4">
        <f>SUMIFS(Dump!P:P,Dump!B:B,C665,Dump!A:A,Y665)</f>
        <v>0</v>
      </c>
      <c r="W665" s="37">
        <f t="shared" si="23"/>
        <v>0</v>
      </c>
      <c r="X665" s="39"/>
      <c r="Y665" s="54"/>
    </row>
    <row r="666">
      <c r="C666" s="53"/>
      <c r="G666" s="2" t="str">
        <f t="shared" si="27"/>
        <v/>
      </c>
      <c r="I666" s="4">
        <f>SUMIFS(Dump!D:D,Dump!B:B,C666)</f>
        <v>0</v>
      </c>
      <c r="J666" s="5">
        <f>SUMIFS(Dump!AE:AE,Dump!B:B,C666)</f>
        <v>0</v>
      </c>
      <c r="K666" s="4">
        <f>SUMPRODUCT(
  (TEXT(Dump!$A$2:$A994,"mmm-yy")=TEXT($Y666,"mmm-yy"))*
  (Dump!$B$2:$B994=$C666)*
  Dump!$D$2:$D994)</f>
        <v>0</v>
      </c>
      <c r="L666" s="4">
        <f>SUMPRODUCT(
  (TEXT(Dump!$A$2:$A994,"mmm-yy")=TEXT($Y666,"mmm-yy"))*
  (Dump!$B$2:$B994=$C666)*
  Dump!$E$2:$E994
)</f>
        <v>0</v>
      </c>
      <c r="M666" s="4">
        <f>SUMPRODUCT(
  (TEXT(Dump!$A$2:$A994,"mmm-yy")=TEXT($Y666,"mmm-yy"))*
  (Dump!$B$2:$B994=$C666)*
  Dump!$P$2:$P994
)</f>
        <v>0</v>
      </c>
      <c r="N666" s="32"/>
      <c r="O666" s="33">
        <f>SUMIFS(Dump!$D:$D,Dump!$B:$B,$C666,Dump!$A:$A,$Y666)</f>
        <v>0</v>
      </c>
      <c r="P666" s="33">
        <f>SUMIFS(Dump!R:R,Dump!B:B,C666,Dump!A:A,Y666)</f>
        <v>0</v>
      </c>
      <c r="Q666" s="34">
        <f t="shared" si="21"/>
        <v>0</v>
      </c>
      <c r="S666" s="4">
        <f>SUMIFS(Dump!E:E,Dump!B:B,C666,Dump!A:A,Y666)</f>
        <v>0</v>
      </c>
      <c r="T666" s="35">
        <f t="shared" si="22"/>
        <v>0</v>
      </c>
      <c r="V666" s="4">
        <f>SUMIFS(Dump!P:P,Dump!B:B,C666,Dump!A:A,Y666)</f>
        <v>0</v>
      </c>
      <c r="W666" s="37">
        <f t="shared" si="23"/>
        <v>0</v>
      </c>
      <c r="X666" s="39"/>
      <c r="Y666" s="54"/>
    </row>
    <row r="667">
      <c r="C667" s="53"/>
      <c r="G667" s="2" t="str">
        <f t="shared" si="27"/>
        <v/>
      </c>
      <c r="I667" s="4">
        <f>SUMIFS(Dump!D:D,Dump!B:B,C667)</f>
        <v>0</v>
      </c>
      <c r="J667" s="5">
        <f>SUMIFS(Dump!AE:AE,Dump!B:B,C667)</f>
        <v>0</v>
      </c>
      <c r="K667" s="4">
        <f>SUMPRODUCT(
  (TEXT(Dump!$A$2:$A994,"mmm-yy")=TEXT($Y667,"mmm-yy"))*
  (Dump!$B$2:$B994=$C667)*
  Dump!$D$2:$D994)</f>
        <v>0</v>
      </c>
      <c r="L667" s="4">
        <f>SUMPRODUCT(
  (TEXT(Dump!$A$2:$A994,"mmm-yy")=TEXT($Y667,"mmm-yy"))*
  (Dump!$B$2:$B994=$C667)*
  Dump!$E$2:$E994
)</f>
        <v>0</v>
      </c>
      <c r="M667" s="4">
        <f>SUMPRODUCT(
  (TEXT(Dump!$A$2:$A994,"mmm-yy")=TEXT($Y667,"mmm-yy"))*
  (Dump!$B$2:$B994=$C667)*
  Dump!$P$2:$P994
)</f>
        <v>0</v>
      </c>
      <c r="N667" s="32"/>
      <c r="O667" s="33">
        <f>SUMIFS(Dump!$D:$D,Dump!$B:$B,$C667,Dump!$A:$A,$Y667)</f>
        <v>0</v>
      </c>
      <c r="P667" s="33">
        <f>SUMIFS(Dump!R:R,Dump!B:B,C667,Dump!A:A,Y667)</f>
        <v>0</v>
      </c>
      <c r="Q667" s="34">
        <f t="shared" si="21"/>
        <v>0</v>
      </c>
      <c r="S667" s="4">
        <f>SUMIFS(Dump!E:E,Dump!B:B,C667,Dump!A:A,Y667)</f>
        <v>0</v>
      </c>
      <c r="T667" s="35">
        <f t="shared" si="22"/>
        <v>0</v>
      </c>
      <c r="V667" s="4">
        <f>SUMIFS(Dump!P:P,Dump!B:B,C667,Dump!A:A,Y667)</f>
        <v>0</v>
      </c>
      <c r="W667" s="37">
        <f t="shared" si="23"/>
        <v>0</v>
      </c>
      <c r="X667" s="39"/>
      <c r="Y667" s="54"/>
    </row>
    <row r="668">
      <c r="C668" s="53"/>
      <c r="G668" s="2" t="str">
        <f t="shared" si="27"/>
        <v/>
      </c>
      <c r="I668" s="4">
        <f>SUMIFS(Dump!D:D,Dump!B:B,C668)</f>
        <v>0</v>
      </c>
      <c r="J668" s="5">
        <f>SUMIFS(Dump!AE:AE,Dump!B:B,C668)</f>
        <v>0</v>
      </c>
      <c r="K668" s="4">
        <f>SUMPRODUCT(
  (TEXT(Dump!$A$2:$A994,"mmm-yy")=TEXT($Y668,"mmm-yy"))*
  (Dump!$B$2:$B994=$C668)*
  Dump!$D$2:$D994)</f>
        <v>0</v>
      </c>
      <c r="L668" s="4">
        <f>SUMPRODUCT(
  (TEXT(Dump!$A$2:$A994,"mmm-yy")=TEXT($Y668,"mmm-yy"))*
  (Dump!$B$2:$B994=$C668)*
  Dump!$E$2:$E994
)</f>
        <v>0</v>
      </c>
      <c r="M668" s="4">
        <f>SUMPRODUCT(
  (TEXT(Dump!$A$2:$A994,"mmm-yy")=TEXT($Y668,"mmm-yy"))*
  (Dump!$B$2:$B994=$C668)*
  Dump!$P$2:$P994
)</f>
        <v>0</v>
      </c>
      <c r="N668" s="32"/>
      <c r="O668" s="33">
        <f>SUMIFS(Dump!$D:$D,Dump!$B:$B,$C668,Dump!$A:$A,$Y668)</f>
        <v>0</v>
      </c>
      <c r="P668" s="33">
        <f>SUMIFS(Dump!R:R,Dump!B:B,C668,Dump!A:A,Y668)</f>
        <v>0</v>
      </c>
      <c r="Q668" s="34">
        <f t="shared" si="21"/>
        <v>0</v>
      </c>
      <c r="S668" s="4">
        <f>SUMIFS(Dump!E:E,Dump!B:B,C668,Dump!A:A,Y668)</f>
        <v>0</v>
      </c>
      <c r="T668" s="35">
        <f t="shared" si="22"/>
        <v>0</v>
      </c>
      <c r="V668" s="4">
        <f>SUMIFS(Dump!P:P,Dump!B:B,C668,Dump!A:A,Y668)</f>
        <v>0</v>
      </c>
      <c r="W668" s="37">
        <f t="shared" si="23"/>
        <v>0</v>
      </c>
      <c r="X668" s="39"/>
      <c r="Y668" s="54"/>
    </row>
    <row r="669">
      <c r="C669" s="53"/>
      <c r="G669" s="2" t="str">
        <f t="shared" si="27"/>
        <v/>
      </c>
      <c r="I669" s="4">
        <f>SUMIFS(Dump!D:D,Dump!B:B,C669)</f>
        <v>0</v>
      </c>
      <c r="J669" s="5">
        <f>SUMIFS(Dump!AE:AE,Dump!B:B,C669)</f>
        <v>0</v>
      </c>
      <c r="K669" s="4">
        <f>SUMPRODUCT(
  (TEXT(Dump!$A$2:$A994,"mmm-yy")=TEXT($Y669,"mmm-yy"))*
  (Dump!$B$2:$B994=$C669)*
  Dump!$D$2:$D994)</f>
        <v>0</v>
      </c>
      <c r="L669" s="4">
        <f>SUMPRODUCT(
  (TEXT(Dump!$A$2:$A994,"mmm-yy")=TEXT($Y669,"mmm-yy"))*
  (Dump!$B$2:$B994=$C669)*
  Dump!$E$2:$E994
)</f>
        <v>0</v>
      </c>
      <c r="M669" s="4">
        <f>SUMPRODUCT(
  (TEXT(Dump!$A$2:$A994,"mmm-yy")=TEXT($Y669,"mmm-yy"))*
  (Dump!$B$2:$B994=$C669)*
  Dump!$P$2:$P994
)</f>
        <v>0</v>
      </c>
      <c r="N669" s="32"/>
      <c r="O669" s="33">
        <f>SUMIFS(Dump!$D:$D,Dump!$B:$B,$C669,Dump!$A:$A,$Y669)</f>
        <v>0</v>
      </c>
      <c r="P669" s="33">
        <f>SUMIFS(Dump!R:R,Dump!B:B,C669,Dump!A:A,Y669)</f>
        <v>0</v>
      </c>
      <c r="Q669" s="34">
        <f t="shared" si="21"/>
        <v>0</v>
      </c>
      <c r="S669" s="4">
        <f>SUMIFS(Dump!E:E,Dump!B:B,C669,Dump!A:A,Y669)</f>
        <v>0</v>
      </c>
      <c r="T669" s="35">
        <f t="shared" si="22"/>
        <v>0</v>
      </c>
      <c r="V669" s="4">
        <f>SUMIFS(Dump!P:P,Dump!B:B,C669,Dump!A:A,Y669)</f>
        <v>0</v>
      </c>
      <c r="W669" s="37">
        <f t="shared" si="23"/>
        <v>0</v>
      </c>
      <c r="X669" s="39"/>
      <c r="Y669" s="54"/>
    </row>
    <row r="670">
      <c r="C670" s="53"/>
      <c r="G670" s="2" t="str">
        <f t="shared" si="27"/>
        <v/>
      </c>
      <c r="I670" s="4">
        <f>SUMIFS(Dump!D:D,Dump!B:B,C670)</f>
        <v>0</v>
      </c>
      <c r="J670" s="5">
        <f>SUMIFS(Dump!AE:AE,Dump!B:B,C670)</f>
        <v>0</v>
      </c>
      <c r="K670" s="4">
        <f>SUMPRODUCT(
  (TEXT(Dump!$A$2:$A994,"mmm-yy")=TEXT($Y670,"mmm-yy"))*
  (Dump!$B$2:$B994=$C670)*
  Dump!$D$2:$D994)</f>
        <v>0</v>
      </c>
      <c r="L670" s="4">
        <f>SUMPRODUCT(
  (TEXT(Dump!$A$2:$A994,"mmm-yy")=TEXT($Y670,"mmm-yy"))*
  (Dump!$B$2:$B994=$C670)*
  Dump!$E$2:$E994
)</f>
        <v>0</v>
      </c>
      <c r="M670" s="4">
        <f>SUMPRODUCT(
  (TEXT(Dump!$A$2:$A994,"mmm-yy")=TEXT($Y670,"mmm-yy"))*
  (Dump!$B$2:$B994=$C670)*
  Dump!$P$2:$P994
)</f>
        <v>0</v>
      </c>
      <c r="N670" s="32"/>
      <c r="O670" s="33">
        <f>SUMIFS(Dump!$D:$D,Dump!$B:$B,$C670,Dump!$A:$A,$Y670)</f>
        <v>0</v>
      </c>
      <c r="P670" s="33">
        <f>SUMIFS(Dump!R:R,Dump!B:B,C670,Dump!A:A,Y670)</f>
        <v>0</v>
      </c>
      <c r="Q670" s="34">
        <f t="shared" si="21"/>
        <v>0</v>
      </c>
      <c r="S670" s="4">
        <f>SUMIFS(Dump!E:E,Dump!B:B,C670,Dump!A:A,Y670)</f>
        <v>0</v>
      </c>
      <c r="T670" s="35">
        <f t="shared" si="22"/>
        <v>0</v>
      </c>
      <c r="V670" s="4">
        <f>SUMIFS(Dump!P:P,Dump!B:B,C670,Dump!A:A,Y670)</f>
        <v>0</v>
      </c>
      <c r="W670" s="37">
        <f t="shared" si="23"/>
        <v>0</v>
      </c>
      <c r="X670" s="39"/>
      <c r="Y670" s="54"/>
    </row>
    <row r="671">
      <c r="C671" s="53"/>
      <c r="G671" s="2" t="str">
        <f t="shared" si="27"/>
        <v/>
      </c>
      <c r="I671" s="4">
        <f>SUMIFS(Dump!D:D,Dump!B:B,C671)</f>
        <v>0</v>
      </c>
      <c r="J671" s="5">
        <f>SUMIFS(Dump!AE:AE,Dump!B:B,C671)</f>
        <v>0</v>
      </c>
      <c r="K671" s="4">
        <f>SUMPRODUCT(
  (TEXT(Dump!$A$2:$A994,"mmm-yy")=TEXT($Y671,"mmm-yy"))*
  (Dump!$B$2:$B994=$C671)*
  Dump!$D$2:$D994)</f>
        <v>0</v>
      </c>
      <c r="L671" s="4">
        <f>SUMPRODUCT(
  (TEXT(Dump!$A$2:$A994,"mmm-yy")=TEXT($Y671,"mmm-yy"))*
  (Dump!$B$2:$B994=$C671)*
  Dump!$E$2:$E994
)</f>
        <v>0</v>
      </c>
      <c r="M671" s="4">
        <f>SUMPRODUCT(
  (TEXT(Dump!$A$2:$A994,"mmm-yy")=TEXT($Y671,"mmm-yy"))*
  (Dump!$B$2:$B994=$C671)*
  Dump!$P$2:$P994
)</f>
        <v>0</v>
      </c>
      <c r="N671" s="32"/>
      <c r="O671" s="33">
        <f>SUMIFS(Dump!$D:$D,Dump!$B:$B,$C671,Dump!$A:$A,$Y671)</f>
        <v>0</v>
      </c>
      <c r="P671" s="33">
        <f>SUMIFS(Dump!R:R,Dump!B:B,C671,Dump!A:A,Y671)</f>
        <v>0</v>
      </c>
      <c r="Q671" s="34">
        <f t="shared" si="21"/>
        <v>0</v>
      </c>
      <c r="S671" s="4">
        <f>SUMIFS(Dump!E:E,Dump!B:B,C671,Dump!A:A,Y671)</f>
        <v>0</v>
      </c>
      <c r="T671" s="35">
        <f t="shared" si="22"/>
        <v>0</v>
      </c>
      <c r="V671" s="4">
        <f>SUMIFS(Dump!P:P,Dump!B:B,C671,Dump!A:A,Y671)</f>
        <v>0</v>
      </c>
      <c r="W671" s="37">
        <f t="shared" si="23"/>
        <v>0</v>
      </c>
      <c r="X671" s="39"/>
      <c r="Y671" s="54"/>
    </row>
    <row r="672">
      <c r="C672" s="53"/>
      <c r="G672" s="2" t="str">
        <f t="shared" si="27"/>
        <v/>
      </c>
      <c r="I672" s="4">
        <f>SUMIFS(Dump!D:D,Dump!B:B,C672)</f>
        <v>0</v>
      </c>
      <c r="J672" s="5">
        <f>SUMIFS(Dump!AE:AE,Dump!B:B,C672)</f>
        <v>0</v>
      </c>
      <c r="K672" s="4">
        <f>SUMPRODUCT(
  (TEXT(Dump!$A$2:$A994,"mmm-yy")=TEXT($Y672,"mmm-yy"))*
  (Dump!$B$2:$B994=$C672)*
  Dump!$D$2:$D994)</f>
        <v>0</v>
      </c>
      <c r="L672" s="4">
        <f>SUMPRODUCT(
  (TEXT(Dump!$A$2:$A994,"mmm-yy")=TEXT($Y672,"mmm-yy"))*
  (Dump!$B$2:$B994=$C672)*
  Dump!$E$2:$E994
)</f>
        <v>0</v>
      </c>
      <c r="M672" s="4">
        <f>SUMPRODUCT(
  (TEXT(Dump!$A$2:$A994,"mmm-yy")=TEXT($Y672,"mmm-yy"))*
  (Dump!$B$2:$B994=$C672)*
  Dump!$P$2:$P994
)</f>
        <v>0</v>
      </c>
      <c r="N672" s="32"/>
      <c r="O672" s="33">
        <f>SUMIFS(Dump!$D:$D,Dump!$B:$B,$C672,Dump!$A:$A,$Y672)</f>
        <v>0</v>
      </c>
      <c r="P672" s="33">
        <f>SUMIFS(Dump!R:R,Dump!B:B,C672,Dump!A:A,Y672)</f>
        <v>0</v>
      </c>
      <c r="Q672" s="34">
        <f t="shared" si="21"/>
        <v>0</v>
      </c>
      <c r="S672" s="4">
        <f>SUMIFS(Dump!E:E,Dump!B:B,C672,Dump!A:A,Y672)</f>
        <v>0</v>
      </c>
      <c r="T672" s="35">
        <f t="shared" si="22"/>
        <v>0</v>
      </c>
      <c r="V672" s="4">
        <f>SUMIFS(Dump!P:P,Dump!B:B,C672,Dump!A:A,Y672)</f>
        <v>0</v>
      </c>
      <c r="W672" s="37">
        <f t="shared" si="23"/>
        <v>0</v>
      </c>
      <c r="X672" s="39"/>
      <c r="Y672" s="54"/>
    </row>
    <row r="673">
      <c r="C673" s="53"/>
      <c r="G673" s="2" t="str">
        <f t="shared" si="27"/>
        <v/>
      </c>
      <c r="I673" s="4">
        <f>SUMIFS(Dump!D:D,Dump!B:B,C673)</f>
        <v>0</v>
      </c>
      <c r="J673" s="5">
        <f>SUMIFS(Dump!AE:AE,Dump!B:B,C673)</f>
        <v>0</v>
      </c>
      <c r="K673" s="4">
        <f>SUMPRODUCT(
  (TEXT(Dump!$A$2:$A994,"mmm-yy")=TEXT($Y673,"mmm-yy"))*
  (Dump!$B$2:$B994=$C673)*
  Dump!$D$2:$D994)</f>
        <v>0</v>
      </c>
      <c r="L673" s="4">
        <f>SUMPRODUCT(
  (TEXT(Dump!$A$2:$A994,"mmm-yy")=TEXT($Y673,"mmm-yy"))*
  (Dump!$B$2:$B994=$C673)*
  Dump!$E$2:$E994
)</f>
        <v>0</v>
      </c>
      <c r="M673" s="4">
        <f>SUMPRODUCT(
  (TEXT(Dump!$A$2:$A994,"mmm-yy")=TEXT($Y673,"mmm-yy"))*
  (Dump!$B$2:$B994=$C673)*
  Dump!$P$2:$P994
)</f>
        <v>0</v>
      </c>
      <c r="N673" s="32"/>
      <c r="O673" s="33">
        <f>SUMIFS(Dump!$D:$D,Dump!$B:$B,$C673,Dump!$A:$A,$Y673)</f>
        <v>0</v>
      </c>
      <c r="P673" s="33">
        <f>SUMIFS(Dump!R:R,Dump!B:B,C673,Dump!A:A,Y673)</f>
        <v>0</v>
      </c>
      <c r="Q673" s="34">
        <f t="shared" si="21"/>
        <v>0</v>
      </c>
      <c r="S673" s="4">
        <f>SUMIFS(Dump!E:E,Dump!B:B,C673,Dump!A:A,Y673)</f>
        <v>0</v>
      </c>
      <c r="T673" s="35">
        <f t="shared" si="22"/>
        <v>0</v>
      </c>
      <c r="V673" s="4">
        <f>SUMIFS(Dump!P:P,Dump!B:B,C673,Dump!A:A,Y673)</f>
        <v>0</v>
      </c>
      <c r="W673" s="37">
        <f t="shared" si="23"/>
        <v>0</v>
      </c>
      <c r="X673" s="39"/>
      <c r="Y673" s="54"/>
    </row>
    <row r="674">
      <c r="C674" s="53"/>
      <c r="G674" s="2" t="str">
        <f t="shared" si="27"/>
        <v/>
      </c>
      <c r="I674" s="4">
        <f>SUMIFS(Dump!D:D,Dump!B:B,C674)</f>
        <v>0</v>
      </c>
      <c r="J674" s="5">
        <f>SUMIFS(Dump!AE:AE,Dump!B:B,C674)</f>
        <v>0</v>
      </c>
      <c r="K674" s="4">
        <f>SUMPRODUCT(
  (TEXT(Dump!$A$2:$A994,"mmm-yy")=TEXT($Y674,"mmm-yy"))*
  (Dump!$B$2:$B994=$C674)*
  Dump!$D$2:$D994)</f>
        <v>0</v>
      </c>
      <c r="L674" s="4">
        <f>SUMPRODUCT(
  (TEXT(Dump!$A$2:$A994,"mmm-yy")=TEXT($Y674,"mmm-yy"))*
  (Dump!$B$2:$B994=$C674)*
  Dump!$E$2:$E994
)</f>
        <v>0</v>
      </c>
      <c r="M674" s="4">
        <f>SUMPRODUCT(
  (TEXT(Dump!$A$2:$A994,"mmm-yy")=TEXT($Y674,"mmm-yy"))*
  (Dump!$B$2:$B994=$C674)*
  Dump!$P$2:$P994
)</f>
        <v>0</v>
      </c>
      <c r="N674" s="32"/>
      <c r="O674" s="33">
        <f>SUMIFS(Dump!$D:$D,Dump!$B:$B,$C674,Dump!$A:$A,$Y674)</f>
        <v>0</v>
      </c>
      <c r="P674" s="33">
        <f>SUMIFS(Dump!R:R,Dump!B:B,C674,Dump!A:A,Y674)</f>
        <v>0</v>
      </c>
      <c r="Q674" s="34">
        <f t="shared" si="21"/>
        <v>0</v>
      </c>
      <c r="S674" s="4">
        <f>SUMIFS(Dump!E:E,Dump!B:B,C674,Dump!A:A,Y674)</f>
        <v>0</v>
      </c>
      <c r="T674" s="35">
        <f t="shared" si="22"/>
        <v>0</v>
      </c>
      <c r="V674" s="4">
        <f>SUMIFS(Dump!P:P,Dump!B:B,C674,Dump!A:A,Y674)</f>
        <v>0</v>
      </c>
      <c r="W674" s="37">
        <f t="shared" si="23"/>
        <v>0</v>
      </c>
      <c r="X674" s="39"/>
      <c r="Y674" s="54"/>
    </row>
    <row r="675">
      <c r="C675" s="53"/>
      <c r="G675" s="2" t="str">
        <f t="shared" si="27"/>
        <v/>
      </c>
      <c r="I675" s="4">
        <f>SUMIFS(Dump!D:D,Dump!B:B,C675)</f>
        <v>0</v>
      </c>
      <c r="J675" s="5">
        <f>SUMIFS(Dump!AE:AE,Dump!B:B,C675)</f>
        <v>0</v>
      </c>
      <c r="K675" s="4">
        <f>SUMPRODUCT(
  (TEXT(Dump!$A$2:$A994,"mmm-yy")=TEXT($Y675,"mmm-yy"))*
  (Dump!$B$2:$B994=$C675)*
  Dump!$D$2:$D994)</f>
        <v>0</v>
      </c>
      <c r="L675" s="4">
        <f>SUMPRODUCT(
  (TEXT(Dump!$A$2:$A994,"mmm-yy")=TEXT($Y675,"mmm-yy"))*
  (Dump!$B$2:$B994=$C675)*
  Dump!$E$2:$E994
)</f>
        <v>0</v>
      </c>
      <c r="M675" s="4">
        <f>SUMPRODUCT(
  (TEXT(Dump!$A$2:$A994,"mmm-yy")=TEXT($Y675,"mmm-yy"))*
  (Dump!$B$2:$B994=$C675)*
  Dump!$P$2:$P994
)</f>
        <v>0</v>
      </c>
      <c r="N675" s="32"/>
      <c r="O675" s="33">
        <f>SUMIFS(Dump!$D:$D,Dump!$B:$B,$C675,Dump!$A:$A,$Y675)</f>
        <v>0</v>
      </c>
      <c r="P675" s="33">
        <f>SUMIFS(Dump!R:R,Dump!B:B,C675,Dump!A:A,Y675)</f>
        <v>0</v>
      </c>
      <c r="Q675" s="34">
        <f t="shared" si="21"/>
        <v>0</v>
      </c>
      <c r="S675" s="4">
        <f>SUMIFS(Dump!E:E,Dump!B:B,C675,Dump!A:A,Y675)</f>
        <v>0</v>
      </c>
      <c r="T675" s="35">
        <f t="shared" si="22"/>
        <v>0</v>
      </c>
      <c r="V675" s="4">
        <f>SUMIFS(Dump!P:P,Dump!B:B,C675,Dump!A:A,Y675)</f>
        <v>0</v>
      </c>
      <c r="W675" s="37">
        <f t="shared" si="23"/>
        <v>0</v>
      </c>
      <c r="X675" s="39"/>
      <c r="Y675" s="54"/>
    </row>
    <row r="676">
      <c r="C676" s="53"/>
      <c r="G676" s="2" t="str">
        <f t="shared" si="27"/>
        <v/>
      </c>
      <c r="I676" s="4">
        <f>SUMIFS(Dump!D:D,Dump!B:B,C676)</f>
        <v>0</v>
      </c>
      <c r="J676" s="5">
        <f>SUMIFS(Dump!AE:AE,Dump!B:B,C676)</f>
        <v>0</v>
      </c>
      <c r="K676" s="4">
        <f>SUMPRODUCT(
  (TEXT(Dump!$A$2:$A994,"mmm-yy")=TEXT($Y676,"mmm-yy"))*
  (Dump!$B$2:$B994=$C676)*
  Dump!$D$2:$D994)</f>
        <v>0</v>
      </c>
      <c r="L676" s="4">
        <f>SUMPRODUCT(
  (TEXT(Dump!$A$2:$A994,"mmm-yy")=TEXT($Y676,"mmm-yy"))*
  (Dump!$B$2:$B994=$C676)*
  Dump!$E$2:$E994
)</f>
        <v>0</v>
      </c>
      <c r="M676" s="4">
        <f>SUMPRODUCT(
  (TEXT(Dump!$A$2:$A994,"mmm-yy")=TEXT($Y676,"mmm-yy"))*
  (Dump!$B$2:$B994=$C676)*
  Dump!$P$2:$P994
)</f>
        <v>0</v>
      </c>
      <c r="N676" s="32"/>
      <c r="O676" s="33">
        <f>SUMIFS(Dump!$D:$D,Dump!$B:$B,$C676,Dump!$A:$A,$Y676)</f>
        <v>0</v>
      </c>
      <c r="P676" s="33">
        <f>SUMIFS(Dump!R:R,Dump!B:B,C676,Dump!A:A,Y676)</f>
        <v>0</v>
      </c>
      <c r="Q676" s="34">
        <f t="shared" si="21"/>
        <v>0</v>
      </c>
      <c r="S676" s="4">
        <f>SUMIFS(Dump!E:E,Dump!B:B,C676,Dump!A:A,Y676)</f>
        <v>0</v>
      </c>
      <c r="T676" s="35">
        <f t="shared" si="22"/>
        <v>0</v>
      </c>
      <c r="V676" s="4">
        <f>SUMIFS(Dump!P:P,Dump!B:B,C676,Dump!A:A,Y676)</f>
        <v>0</v>
      </c>
      <c r="W676" s="37">
        <f t="shared" si="23"/>
        <v>0</v>
      </c>
      <c r="X676" s="39"/>
      <c r="Y676" s="54"/>
    </row>
    <row r="677">
      <c r="C677" s="53"/>
      <c r="G677" s="2" t="str">
        <f t="shared" si="27"/>
        <v/>
      </c>
      <c r="I677" s="4">
        <f>SUMIFS(Dump!D:D,Dump!B:B,C677)</f>
        <v>0</v>
      </c>
      <c r="J677" s="5">
        <f>SUMIFS(Dump!AE:AE,Dump!B:B,C677)</f>
        <v>0</v>
      </c>
      <c r="K677" s="4">
        <f>SUMPRODUCT(
  (TEXT(Dump!$A$2:$A994,"mmm-yy")=TEXT($Y677,"mmm-yy"))*
  (Dump!$B$2:$B994=$C677)*
  Dump!$D$2:$D994)</f>
        <v>0</v>
      </c>
      <c r="L677" s="4">
        <f>SUMPRODUCT(
  (TEXT(Dump!$A$2:$A994,"mmm-yy")=TEXT($Y677,"mmm-yy"))*
  (Dump!$B$2:$B994=$C677)*
  Dump!$E$2:$E994
)</f>
        <v>0</v>
      </c>
      <c r="M677" s="4">
        <f>SUMPRODUCT(
  (TEXT(Dump!$A$2:$A994,"mmm-yy")=TEXT($Y677,"mmm-yy"))*
  (Dump!$B$2:$B994=$C677)*
  Dump!$P$2:$P994
)</f>
        <v>0</v>
      </c>
      <c r="N677" s="32"/>
      <c r="O677" s="33">
        <f>SUMIFS(Dump!$D:$D,Dump!$B:$B,$C677,Dump!$A:$A,$Y677)</f>
        <v>0</v>
      </c>
      <c r="P677" s="33">
        <f>SUMIFS(Dump!R:R,Dump!B:B,C677,Dump!A:A,Y677)</f>
        <v>0</v>
      </c>
      <c r="Q677" s="34">
        <f t="shared" si="21"/>
        <v>0</v>
      </c>
      <c r="S677" s="4">
        <f>SUMIFS(Dump!E:E,Dump!B:B,C677,Dump!A:A,Y677)</f>
        <v>0</v>
      </c>
      <c r="T677" s="35">
        <f t="shared" si="22"/>
        <v>0</v>
      </c>
      <c r="V677" s="4">
        <f>SUMIFS(Dump!P:P,Dump!B:B,C677,Dump!A:A,Y677)</f>
        <v>0</v>
      </c>
      <c r="W677" s="37">
        <f t="shared" si="23"/>
        <v>0</v>
      </c>
      <c r="X677" s="39"/>
      <c r="Y677" s="54"/>
    </row>
    <row r="678">
      <c r="C678" s="53"/>
      <c r="G678" s="2" t="str">
        <f t="shared" si="27"/>
        <v/>
      </c>
      <c r="I678" s="4">
        <f>SUMIFS(Dump!D:D,Dump!B:B,C678)</f>
        <v>0</v>
      </c>
      <c r="J678" s="5">
        <f>SUMIFS(Dump!AE:AE,Dump!B:B,C678)</f>
        <v>0</v>
      </c>
      <c r="K678" s="4">
        <f>SUMPRODUCT(
  (TEXT(Dump!$A$2:$A994,"mmm-yy")=TEXT($Y678,"mmm-yy"))*
  (Dump!$B$2:$B994=$C678)*
  Dump!$D$2:$D994)</f>
        <v>0</v>
      </c>
      <c r="L678" s="4">
        <f>SUMPRODUCT(
  (TEXT(Dump!$A$2:$A994,"mmm-yy")=TEXT($Y678,"mmm-yy"))*
  (Dump!$B$2:$B994=$C678)*
  Dump!$E$2:$E994
)</f>
        <v>0</v>
      </c>
      <c r="M678" s="4">
        <f>SUMPRODUCT(
  (TEXT(Dump!$A$2:$A994,"mmm-yy")=TEXT($Y678,"mmm-yy"))*
  (Dump!$B$2:$B994=$C678)*
  Dump!$P$2:$P994
)</f>
        <v>0</v>
      </c>
      <c r="N678" s="32"/>
      <c r="O678" s="33">
        <f>SUMIFS(Dump!$D:$D,Dump!$B:$B,$C678,Dump!$A:$A,$Y678)</f>
        <v>0</v>
      </c>
      <c r="P678" s="33">
        <f>SUMIFS(Dump!R:R,Dump!B:B,C678,Dump!A:A,Y678)</f>
        <v>0</v>
      </c>
      <c r="Q678" s="34">
        <f t="shared" si="21"/>
        <v>0</v>
      </c>
      <c r="S678" s="4">
        <f>SUMIFS(Dump!E:E,Dump!B:B,C678,Dump!A:A,Y678)</f>
        <v>0</v>
      </c>
      <c r="T678" s="35">
        <f t="shared" si="22"/>
        <v>0</v>
      </c>
      <c r="V678" s="4">
        <f>SUMIFS(Dump!P:P,Dump!B:B,C678,Dump!A:A,Y678)</f>
        <v>0</v>
      </c>
      <c r="W678" s="37">
        <f t="shared" si="23"/>
        <v>0</v>
      </c>
      <c r="X678" s="39"/>
      <c r="Y678" s="54"/>
    </row>
    <row r="679">
      <c r="C679" s="53"/>
      <c r="G679" s="2" t="str">
        <f t="shared" si="27"/>
        <v/>
      </c>
      <c r="I679" s="4">
        <f>SUMIFS(Dump!D:D,Dump!B:B,C679)</f>
        <v>0</v>
      </c>
      <c r="J679" s="5">
        <f>SUMIFS(Dump!AE:AE,Dump!B:B,C679)</f>
        <v>0</v>
      </c>
      <c r="K679" s="4">
        <f>SUMPRODUCT(
  (TEXT(Dump!$A$2:$A994,"mmm-yy")=TEXT($Y679,"mmm-yy"))*
  (Dump!$B$2:$B994=$C679)*
  Dump!$D$2:$D994)</f>
        <v>0</v>
      </c>
      <c r="L679" s="4">
        <f>SUMPRODUCT(
  (TEXT(Dump!$A$2:$A994,"mmm-yy")=TEXT($Y679,"mmm-yy"))*
  (Dump!$B$2:$B994=$C679)*
  Dump!$E$2:$E994
)</f>
        <v>0</v>
      </c>
      <c r="M679" s="4">
        <f>SUMPRODUCT(
  (TEXT(Dump!$A$2:$A994,"mmm-yy")=TEXT($Y679,"mmm-yy"))*
  (Dump!$B$2:$B994=$C679)*
  Dump!$P$2:$P994
)</f>
        <v>0</v>
      </c>
      <c r="N679" s="32"/>
      <c r="O679" s="33">
        <f>SUMIFS(Dump!$D:$D,Dump!$B:$B,$C679,Dump!$A:$A,$Y679)</f>
        <v>0</v>
      </c>
      <c r="P679" s="33">
        <f>SUMIFS(Dump!R:R,Dump!B:B,C679,Dump!A:A,Y679)</f>
        <v>0</v>
      </c>
      <c r="Q679" s="34">
        <f t="shared" si="21"/>
        <v>0</v>
      </c>
      <c r="S679" s="4">
        <f>SUMIFS(Dump!E:E,Dump!B:B,C679,Dump!A:A,Y679)</f>
        <v>0</v>
      </c>
      <c r="T679" s="35">
        <f t="shared" si="22"/>
        <v>0</v>
      </c>
      <c r="V679" s="4">
        <f>SUMIFS(Dump!P:P,Dump!B:B,C679,Dump!A:A,Y679)</f>
        <v>0</v>
      </c>
      <c r="W679" s="37">
        <f t="shared" si="23"/>
        <v>0</v>
      </c>
      <c r="X679" s="39"/>
      <c r="Y679" s="54"/>
    </row>
    <row r="680">
      <c r="C680" s="53"/>
      <c r="G680" s="2" t="str">
        <f t="shared" si="27"/>
        <v/>
      </c>
      <c r="I680" s="4">
        <f>SUMIFS(Dump!D:D,Dump!B:B,C680)</f>
        <v>0</v>
      </c>
      <c r="J680" s="5">
        <f>SUMIFS(Dump!AE:AE,Dump!B:B,C680)</f>
        <v>0</v>
      </c>
      <c r="K680" s="4">
        <f>SUMPRODUCT(
  (TEXT(Dump!$A$2:$A994,"mmm-yy")=TEXT($Y680,"mmm-yy"))*
  (Dump!$B$2:$B994=$C680)*
  Dump!$D$2:$D994)</f>
        <v>0</v>
      </c>
      <c r="L680" s="4">
        <f>SUMPRODUCT(
  (TEXT(Dump!$A$2:$A994,"mmm-yy")=TEXT($Y680,"mmm-yy"))*
  (Dump!$B$2:$B994=$C680)*
  Dump!$E$2:$E994
)</f>
        <v>0</v>
      </c>
      <c r="M680" s="4">
        <f>SUMPRODUCT(
  (TEXT(Dump!$A$2:$A994,"mmm-yy")=TEXT($Y680,"mmm-yy"))*
  (Dump!$B$2:$B994=$C680)*
  Dump!$P$2:$P994
)</f>
        <v>0</v>
      </c>
      <c r="N680" s="32"/>
      <c r="O680" s="33">
        <f>SUMIFS(Dump!$D:$D,Dump!$B:$B,$C680,Dump!$A:$A,$Y680)</f>
        <v>0</v>
      </c>
      <c r="P680" s="33">
        <f>SUMIFS(Dump!R:R,Dump!B:B,C680,Dump!A:A,Y680)</f>
        <v>0</v>
      </c>
      <c r="Q680" s="34">
        <f t="shared" si="21"/>
        <v>0</v>
      </c>
      <c r="S680" s="4">
        <f>SUMIFS(Dump!E:E,Dump!B:B,C680,Dump!A:A,Y680)</f>
        <v>0</v>
      </c>
      <c r="T680" s="35">
        <f t="shared" si="22"/>
        <v>0</v>
      </c>
      <c r="V680" s="4">
        <f>SUMIFS(Dump!P:P,Dump!B:B,C680,Dump!A:A,Y680)</f>
        <v>0</v>
      </c>
      <c r="W680" s="37">
        <f t="shared" si="23"/>
        <v>0</v>
      </c>
      <c r="X680" s="39"/>
      <c r="Y680" s="54"/>
    </row>
    <row r="681">
      <c r="C681" s="53"/>
      <c r="G681" s="2" t="str">
        <f t="shared" si="27"/>
        <v/>
      </c>
      <c r="I681" s="4">
        <f>SUMIFS(Dump!D:D,Dump!B:B,C681)</f>
        <v>0</v>
      </c>
      <c r="J681" s="5">
        <f>SUMIFS(Dump!AE:AE,Dump!B:B,C681)</f>
        <v>0</v>
      </c>
      <c r="K681" s="4">
        <f>SUMPRODUCT(
  (TEXT(Dump!$A$2:$A994,"mmm-yy")=TEXT($Y681,"mmm-yy"))*
  (Dump!$B$2:$B994=$C681)*
  Dump!$D$2:$D994)</f>
        <v>0</v>
      </c>
      <c r="L681" s="4">
        <f>SUMPRODUCT(
  (TEXT(Dump!$A$2:$A994,"mmm-yy")=TEXT($Y681,"mmm-yy"))*
  (Dump!$B$2:$B994=$C681)*
  Dump!$E$2:$E994
)</f>
        <v>0</v>
      </c>
      <c r="M681" s="4">
        <f>SUMPRODUCT(
  (TEXT(Dump!$A$2:$A994,"mmm-yy")=TEXT($Y681,"mmm-yy"))*
  (Dump!$B$2:$B994=$C681)*
  Dump!$P$2:$P994
)</f>
        <v>0</v>
      </c>
      <c r="N681" s="32"/>
      <c r="O681" s="33">
        <f>SUMIFS(Dump!$D:$D,Dump!$B:$B,$C681,Dump!$A:$A,$Y681)</f>
        <v>0</v>
      </c>
      <c r="P681" s="33">
        <f>SUMIFS(Dump!R:R,Dump!B:B,C681,Dump!A:A,Y681)</f>
        <v>0</v>
      </c>
      <c r="Q681" s="34">
        <f t="shared" si="21"/>
        <v>0</v>
      </c>
      <c r="S681" s="4">
        <f>SUMIFS(Dump!E:E,Dump!B:B,C681,Dump!A:A,Y681)</f>
        <v>0</v>
      </c>
      <c r="T681" s="35">
        <f t="shared" si="22"/>
        <v>0</v>
      </c>
      <c r="V681" s="4">
        <f>SUMIFS(Dump!P:P,Dump!B:B,C681,Dump!A:A,Y681)</f>
        <v>0</v>
      </c>
      <c r="W681" s="37">
        <f t="shared" si="23"/>
        <v>0</v>
      </c>
      <c r="X681" s="39"/>
      <c r="Y681" s="54"/>
    </row>
    <row r="682">
      <c r="C682" s="53"/>
      <c r="G682" s="2" t="str">
        <f t="shared" si="27"/>
        <v/>
      </c>
      <c r="I682" s="4">
        <f>SUMIFS(Dump!D:D,Dump!B:B,C682)</f>
        <v>0</v>
      </c>
      <c r="J682" s="5">
        <f>SUMIFS(Dump!AE:AE,Dump!B:B,C682)</f>
        <v>0</v>
      </c>
      <c r="K682" s="4">
        <f>SUMPRODUCT(
  (TEXT(Dump!$A$2:$A994,"mmm-yy")=TEXT($Y682,"mmm-yy"))*
  (Dump!$B$2:$B994=$C682)*
  Dump!$D$2:$D994)</f>
        <v>0</v>
      </c>
      <c r="L682" s="4">
        <f>SUMPRODUCT(
  (TEXT(Dump!$A$2:$A994,"mmm-yy")=TEXT($Y682,"mmm-yy"))*
  (Dump!$B$2:$B994=$C682)*
  Dump!$E$2:$E994
)</f>
        <v>0</v>
      </c>
      <c r="M682" s="4">
        <f>SUMPRODUCT(
  (TEXT(Dump!$A$2:$A994,"mmm-yy")=TEXT($Y682,"mmm-yy"))*
  (Dump!$B$2:$B994=$C682)*
  Dump!$P$2:$P994
)</f>
        <v>0</v>
      </c>
      <c r="N682" s="32"/>
      <c r="O682" s="33">
        <f>SUMIFS(Dump!$D:$D,Dump!$B:$B,$C682,Dump!$A:$A,$Y682)</f>
        <v>0</v>
      </c>
      <c r="P682" s="33">
        <f>SUMIFS(Dump!R:R,Dump!B:B,C682,Dump!A:A,Y682)</f>
        <v>0</v>
      </c>
      <c r="Q682" s="34">
        <f t="shared" si="21"/>
        <v>0</v>
      </c>
      <c r="S682" s="4">
        <f>SUMIFS(Dump!E:E,Dump!B:B,C682,Dump!A:A,Y682)</f>
        <v>0</v>
      </c>
      <c r="T682" s="35">
        <f t="shared" si="22"/>
        <v>0</v>
      </c>
      <c r="V682" s="4">
        <f>SUMIFS(Dump!P:P,Dump!B:B,C682,Dump!A:A,Y682)</f>
        <v>0</v>
      </c>
      <c r="W682" s="37">
        <f t="shared" si="23"/>
        <v>0</v>
      </c>
      <c r="X682" s="39"/>
      <c r="Y682" s="54"/>
    </row>
    <row r="683">
      <c r="C683" s="53"/>
      <c r="G683" s="2" t="str">
        <f t="shared" si="27"/>
        <v/>
      </c>
      <c r="I683" s="4">
        <f>SUMIFS(Dump!D:D,Dump!B:B,C683)</f>
        <v>0</v>
      </c>
      <c r="J683" s="5">
        <f>SUMIFS(Dump!AE:AE,Dump!B:B,C683)</f>
        <v>0</v>
      </c>
      <c r="K683" s="4">
        <f>SUMPRODUCT(
  (TEXT(Dump!$A$2:$A994,"mmm-yy")=TEXT($Y683,"mmm-yy"))*
  (Dump!$B$2:$B994=$C683)*
  Dump!$D$2:$D994)</f>
        <v>0</v>
      </c>
      <c r="L683" s="4">
        <f>SUMPRODUCT(
  (TEXT(Dump!$A$2:$A994,"mmm-yy")=TEXT($Y683,"mmm-yy"))*
  (Dump!$B$2:$B994=$C683)*
  Dump!$E$2:$E994
)</f>
        <v>0</v>
      </c>
      <c r="M683" s="4">
        <f>SUMPRODUCT(
  (TEXT(Dump!$A$2:$A994,"mmm-yy")=TEXT($Y683,"mmm-yy"))*
  (Dump!$B$2:$B994=$C683)*
  Dump!$P$2:$P994
)</f>
        <v>0</v>
      </c>
      <c r="N683" s="32"/>
      <c r="O683" s="33">
        <f>SUMIFS(Dump!$D:$D,Dump!$B:$B,$C683,Dump!$A:$A,$Y683)</f>
        <v>0</v>
      </c>
      <c r="P683" s="33">
        <f>SUMIFS(Dump!R:R,Dump!B:B,C683,Dump!A:A,Y683)</f>
        <v>0</v>
      </c>
      <c r="Q683" s="34">
        <f t="shared" si="21"/>
        <v>0</v>
      </c>
      <c r="S683" s="4">
        <f>SUMIFS(Dump!E:E,Dump!B:B,C683,Dump!A:A,Y683)</f>
        <v>0</v>
      </c>
      <c r="T683" s="35">
        <f t="shared" si="22"/>
        <v>0</v>
      </c>
      <c r="V683" s="4">
        <f>SUMIFS(Dump!P:P,Dump!B:B,C683,Dump!A:A,Y683)</f>
        <v>0</v>
      </c>
      <c r="W683" s="37">
        <f t="shared" si="23"/>
        <v>0</v>
      </c>
      <c r="X683" s="39"/>
      <c r="Y683" s="54"/>
    </row>
    <row r="684">
      <c r="C684" s="53"/>
      <c r="G684" s="2" t="str">
        <f t="shared" si="27"/>
        <v/>
      </c>
      <c r="I684" s="4">
        <f>SUMIFS(Dump!D:D,Dump!B:B,C684)</f>
        <v>0</v>
      </c>
      <c r="J684" s="5">
        <f>SUMIFS(Dump!AE:AE,Dump!B:B,C684)</f>
        <v>0</v>
      </c>
      <c r="K684" s="4">
        <f>SUMPRODUCT(
  (TEXT(Dump!$A$2:$A994,"mmm-yy")=TEXT($Y684,"mmm-yy"))*
  (Dump!$B$2:$B994=$C684)*
  Dump!$D$2:$D994)</f>
        <v>0</v>
      </c>
      <c r="L684" s="4">
        <f>SUMPRODUCT(
  (TEXT(Dump!$A$2:$A994,"mmm-yy")=TEXT($Y684,"mmm-yy"))*
  (Dump!$B$2:$B994=$C684)*
  Dump!$E$2:$E994
)</f>
        <v>0</v>
      </c>
      <c r="M684" s="4">
        <f>SUMPRODUCT(
  (TEXT(Dump!$A$2:$A994,"mmm-yy")=TEXT($Y684,"mmm-yy"))*
  (Dump!$B$2:$B994=$C684)*
  Dump!$P$2:$P994
)</f>
        <v>0</v>
      </c>
      <c r="N684" s="32"/>
      <c r="O684" s="33">
        <f>SUMIFS(Dump!$D:$D,Dump!$B:$B,$C684,Dump!$A:$A,$Y684)</f>
        <v>0</v>
      </c>
      <c r="P684" s="33">
        <f>SUMIFS(Dump!R:R,Dump!B:B,C684,Dump!A:A,Y684)</f>
        <v>0</v>
      </c>
      <c r="Q684" s="34">
        <f t="shared" si="21"/>
        <v>0</v>
      </c>
      <c r="S684" s="4">
        <f>SUMIFS(Dump!E:E,Dump!B:B,C684,Dump!A:A,Y684)</f>
        <v>0</v>
      </c>
      <c r="T684" s="35">
        <f t="shared" si="22"/>
        <v>0</v>
      </c>
      <c r="V684" s="4">
        <f>SUMIFS(Dump!P:P,Dump!B:B,C684,Dump!A:A,Y684)</f>
        <v>0</v>
      </c>
      <c r="W684" s="37">
        <f t="shared" si="23"/>
        <v>0</v>
      </c>
      <c r="X684" s="39"/>
      <c r="Y684" s="54"/>
    </row>
    <row r="685">
      <c r="C685" s="53"/>
      <c r="G685" s="2" t="str">
        <f t="shared" si="27"/>
        <v/>
      </c>
      <c r="I685" s="4">
        <f>SUMIFS(Dump!D:D,Dump!B:B,C685)</f>
        <v>0</v>
      </c>
      <c r="J685" s="5">
        <f>SUMIFS(Dump!AE:AE,Dump!B:B,C685)</f>
        <v>0</v>
      </c>
      <c r="K685" s="4">
        <f>SUMPRODUCT(
  (TEXT(Dump!$A$2:$A994,"mmm-yy")=TEXT($Y685,"mmm-yy"))*
  (Dump!$B$2:$B994=$C685)*
  Dump!$D$2:$D994)</f>
        <v>0</v>
      </c>
      <c r="L685" s="4">
        <f>SUMPRODUCT(
  (TEXT(Dump!$A$2:$A994,"mmm-yy")=TEXT($Y685,"mmm-yy"))*
  (Dump!$B$2:$B994=$C685)*
  Dump!$E$2:$E994
)</f>
        <v>0</v>
      </c>
      <c r="M685" s="4">
        <f>SUMPRODUCT(
  (TEXT(Dump!$A$2:$A994,"mmm-yy")=TEXT($Y685,"mmm-yy"))*
  (Dump!$B$2:$B994=$C685)*
  Dump!$P$2:$P994
)</f>
        <v>0</v>
      </c>
      <c r="N685" s="32"/>
      <c r="O685" s="33">
        <f>SUMIFS(Dump!$D:$D,Dump!$B:$B,$C685,Dump!$A:$A,$Y685)</f>
        <v>0</v>
      </c>
      <c r="P685" s="33">
        <f>SUMIFS(Dump!R:R,Dump!B:B,C685,Dump!A:A,Y685)</f>
        <v>0</v>
      </c>
      <c r="Q685" s="34">
        <f t="shared" si="21"/>
        <v>0</v>
      </c>
      <c r="S685" s="4">
        <f>SUMIFS(Dump!E:E,Dump!B:B,C685,Dump!A:A,Y685)</f>
        <v>0</v>
      </c>
      <c r="T685" s="35">
        <f t="shared" si="22"/>
        <v>0</v>
      </c>
      <c r="V685" s="4">
        <f>SUMIFS(Dump!P:P,Dump!B:B,C685,Dump!A:A,Y685)</f>
        <v>0</v>
      </c>
      <c r="W685" s="37">
        <f t="shared" si="23"/>
        <v>0</v>
      </c>
      <c r="X685" s="39"/>
      <c r="Y685" s="54"/>
    </row>
    <row r="686">
      <c r="C686" s="53"/>
      <c r="G686" s="2" t="str">
        <f t="shared" si="27"/>
        <v/>
      </c>
      <c r="I686" s="4">
        <f>SUMIFS(Dump!D:D,Dump!B:B,C686)</f>
        <v>0</v>
      </c>
      <c r="J686" s="5">
        <f>SUMIFS(Dump!AE:AE,Dump!B:B,C686)</f>
        <v>0</v>
      </c>
      <c r="K686" s="4">
        <f>SUMPRODUCT(
  (TEXT(Dump!$A$2:$A994,"mmm-yy")=TEXT($Y686,"mmm-yy"))*
  (Dump!$B$2:$B994=$C686)*
  Dump!$D$2:$D994)</f>
        <v>0</v>
      </c>
      <c r="L686" s="4">
        <f>SUMPRODUCT(
  (TEXT(Dump!$A$2:$A994,"mmm-yy")=TEXT($Y686,"mmm-yy"))*
  (Dump!$B$2:$B994=$C686)*
  Dump!$E$2:$E994
)</f>
        <v>0</v>
      </c>
      <c r="M686" s="4">
        <f>SUMPRODUCT(
  (TEXT(Dump!$A$2:$A994,"mmm-yy")=TEXT($Y686,"mmm-yy"))*
  (Dump!$B$2:$B994=$C686)*
  Dump!$P$2:$P994
)</f>
        <v>0</v>
      </c>
      <c r="N686" s="32"/>
      <c r="O686" s="33">
        <f>SUMIFS(Dump!$D:$D,Dump!$B:$B,$C686,Dump!$A:$A,$Y686)</f>
        <v>0</v>
      </c>
      <c r="P686" s="33">
        <f>SUMIFS(Dump!R:R,Dump!B:B,C686,Dump!A:A,Y686)</f>
        <v>0</v>
      </c>
      <c r="Q686" s="34">
        <f t="shared" si="21"/>
        <v>0</v>
      </c>
      <c r="S686" s="4">
        <f>SUMIFS(Dump!E:E,Dump!B:B,C686,Dump!A:A,Y686)</f>
        <v>0</v>
      </c>
      <c r="T686" s="35">
        <f t="shared" si="22"/>
        <v>0</v>
      </c>
      <c r="V686" s="4">
        <f>SUMIFS(Dump!P:P,Dump!B:B,C686,Dump!A:A,Y686)</f>
        <v>0</v>
      </c>
      <c r="W686" s="37">
        <f t="shared" si="23"/>
        <v>0</v>
      </c>
      <c r="X686" s="39"/>
      <c r="Y686" s="54"/>
    </row>
    <row r="687">
      <c r="C687" s="53"/>
      <c r="G687" s="2" t="str">
        <f t="shared" si="27"/>
        <v/>
      </c>
      <c r="I687" s="4">
        <f>SUMIFS(Dump!D:D,Dump!B:B,C687)</f>
        <v>0</v>
      </c>
      <c r="J687" s="5">
        <f>SUMIFS(Dump!AE:AE,Dump!B:B,C687)</f>
        <v>0</v>
      </c>
      <c r="K687" s="4">
        <f>SUMPRODUCT(
  (TEXT(Dump!$A$2:$A994,"mmm-yy")=TEXT($Y687,"mmm-yy"))*
  (Dump!$B$2:$B994=$C687)*
  Dump!$D$2:$D994)</f>
        <v>0</v>
      </c>
      <c r="L687" s="4">
        <f>SUMPRODUCT(
  (TEXT(Dump!$A$2:$A994,"mmm-yy")=TEXT($Y687,"mmm-yy"))*
  (Dump!$B$2:$B994=$C687)*
  Dump!$E$2:$E994
)</f>
        <v>0</v>
      </c>
      <c r="M687" s="4">
        <f>SUMPRODUCT(
  (TEXT(Dump!$A$2:$A994,"mmm-yy")=TEXT($Y687,"mmm-yy"))*
  (Dump!$B$2:$B994=$C687)*
  Dump!$P$2:$P994
)</f>
        <v>0</v>
      </c>
      <c r="N687" s="32"/>
      <c r="O687" s="33">
        <f>SUMIFS(Dump!$D:$D,Dump!$B:$B,$C687,Dump!$A:$A,$Y687)</f>
        <v>0</v>
      </c>
      <c r="P687" s="33">
        <f>SUMIFS(Dump!R:R,Dump!B:B,C687,Dump!A:A,Y687)</f>
        <v>0</v>
      </c>
      <c r="Q687" s="34">
        <f t="shared" si="21"/>
        <v>0</v>
      </c>
      <c r="S687" s="4">
        <f>SUMIFS(Dump!E:E,Dump!B:B,C687,Dump!A:A,Y687)</f>
        <v>0</v>
      </c>
      <c r="T687" s="35">
        <f t="shared" si="22"/>
        <v>0</v>
      </c>
      <c r="V687" s="4">
        <f>SUMIFS(Dump!P:P,Dump!B:B,C687,Dump!A:A,Y687)</f>
        <v>0</v>
      </c>
      <c r="W687" s="37">
        <f t="shared" si="23"/>
        <v>0</v>
      </c>
      <c r="X687" s="39"/>
      <c r="Y687" s="54"/>
    </row>
    <row r="688">
      <c r="C688" s="53"/>
      <c r="G688" s="2" t="str">
        <f t="shared" si="27"/>
        <v/>
      </c>
      <c r="I688" s="4">
        <f>SUMIFS(Dump!D:D,Dump!B:B,C688)</f>
        <v>0</v>
      </c>
      <c r="J688" s="5">
        <f>SUMIFS(Dump!AE:AE,Dump!B:B,C688)</f>
        <v>0</v>
      </c>
      <c r="K688" s="4">
        <f>SUMPRODUCT(
  (TEXT(Dump!$A$2:$A994,"mmm-yy")=TEXT($Y688,"mmm-yy"))*
  (Dump!$B$2:$B994=$C688)*
  Dump!$D$2:$D994)</f>
        <v>0</v>
      </c>
      <c r="L688" s="4">
        <f>SUMPRODUCT(
  (TEXT(Dump!$A$2:$A994,"mmm-yy")=TEXT($Y688,"mmm-yy"))*
  (Dump!$B$2:$B994=$C688)*
  Dump!$E$2:$E994
)</f>
        <v>0</v>
      </c>
      <c r="M688" s="4">
        <f>SUMPRODUCT(
  (TEXT(Dump!$A$2:$A994,"mmm-yy")=TEXT($Y688,"mmm-yy"))*
  (Dump!$B$2:$B994=$C688)*
  Dump!$P$2:$P994
)</f>
        <v>0</v>
      </c>
      <c r="N688" s="32"/>
      <c r="O688" s="33">
        <f>SUMIFS(Dump!$D:$D,Dump!$B:$B,$C688,Dump!$A:$A,$Y688)</f>
        <v>0</v>
      </c>
      <c r="P688" s="33">
        <f>SUMIFS(Dump!R:R,Dump!B:B,C688,Dump!A:A,Y688)</f>
        <v>0</v>
      </c>
      <c r="Q688" s="34">
        <f t="shared" si="21"/>
        <v>0</v>
      </c>
      <c r="S688" s="4">
        <f>SUMIFS(Dump!E:E,Dump!B:B,C688,Dump!A:A,Y688)</f>
        <v>0</v>
      </c>
      <c r="T688" s="35">
        <f t="shared" si="22"/>
        <v>0</v>
      </c>
      <c r="V688" s="4">
        <f>SUMIFS(Dump!P:P,Dump!B:B,C688,Dump!A:A,Y688)</f>
        <v>0</v>
      </c>
      <c r="W688" s="37">
        <f t="shared" si="23"/>
        <v>0</v>
      </c>
      <c r="X688" s="39"/>
      <c r="Y688" s="54"/>
    </row>
    <row r="689">
      <c r="C689" s="53"/>
      <c r="G689" s="2" t="str">
        <f t="shared" si="27"/>
        <v/>
      </c>
      <c r="I689" s="4">
        <f>SUMIFS(Dump!D:D,Dump!B:B,C689)</f>
        <v>0</v>
      </c>
      <c r="J689" s="5">
        <f>SUMIFS(Dump!AE:AE,Dump!B:B,C689)</f>
        <v>0</v>
      </c>
      <c r="K689" s="4">
        <f>SUMPRODUCT(
  (TEXT(Dump!$A$2:$A994,"mmm-yy")=TEXT($Y689,"mmm-yy"))*
  (Dump!$B$2:$B994=$C689)*
  Dump!$D$2:$D994)</f>
        <v>0</v>
      </c>
      <c r="L689" s="4">
        <f>SUMPRODUCT(
  (TEXT(Dump!$A$2:$A994,"mmm-yy")=TEXT($Y689,"mmm-yy"))*
  (Dump!$B$2:$B994=$C689)*
  Dump!$E$2:$E994
)</f>
        <v>0</v>
      </c>
      <c r="M689" s="4">
        <f>SUMPRODUCT(
  (TEXT(Dump!$A$2:$A994,"mmm-yy")=TEXT($Y689,"mmm-yy"))*
  (Dump!$B$2:$B994=$C689)*
  Dump!$P$2:$P994
)</f>
        <v>0</v>
      </c>
      <c r="N689" s="32"/>
      <c r="O689" s="33">
        <f>SUMIFS(Dump!$D:$D,Dump!$B:$B,$C689,Dump!$A:$A,$Y689)</f>
        <v>0</v>
      </c>
      <c r="P689" s="33">
        <f>SUMIFS(Dump!R:R,Dump!B:B,C689,Dump!A:A,Y689)</f>
        <v>0</v>
      </c>
      <c r="Q689" s="34">
        <f t="shared" si="21"/>
        <v>0</v>
      </c>
      <c r="S689" s="4">
        <f>SUMIFS(Dump!E:E,Dump!B:B,C689,Dump!A:A,Y689)</f>
        <v>0</v>
      </c>
      <c r="T689" s="35">
        <f t="shared" si="22"/>
        <v>0</v>
      </c>
      <c r="V689" s="4">
        <f>SUMIFS(Dump!P:P,Dump!B:B,C689,Dump!A:A,Y689)</f>
        <v>0</v>
      </c>
      <c r="W689" s="37">
        <f t="shared" si="23"/>
        <v>0</v>
      </c>
      <c r="X689" s="39"/>
      <c r="Y689" s="54"/>
    </row>
    <row r="690">
      <c r="C690" s="53"/>
      <c r="G690" s="2" t="str">
        <f t="shared" si="27"/>
        <v/>
      </c>
      <c r="I690" s="4">
        <f>SUMIFS(Dump!D:D,Dump!B:B,C690)</f>
        <v>0</v>
      </c>
      <c r="J690" s="5">
        <f>SUMIFS(Dump!AE:AE,Dump!B:B,C690)</f>
        <v>0</v>
      </c>
      <c r="K690" s="4">
        <f>SUMPRODUCT(
  (TEXT(Dump!$A$2:$A994,"mmm-yy")=TEXT($Y690,"mmm-yy"))*
  (Dump!$B$2:$B994=$C690)*
  Dump!$D$2:$D994)</f>
        <v>0</v>
      </c>
      <c r="L690" s="4">
        <f>SUMPRODUCT(
  (TEXT(Dump!$A$2:$A994,"mmm-yy")=TEXT($Y690,"mmm-yy"))*
  (Dump!$B$2:$B994=$C690)*
  Dump!$E$2:$E994
)</f>
        <v>0</v>
      </c>
      <c r="M690" s="4">
        <f>SUMPRODUCT(
  (TEXT(Dump!$A$2:$A994,"mmm-yy")=TEXT($Y690,"mmm-yy"))*
  (Dump!$B$2:$B994=$C690)*
  Dump!$P$2:$P994
)</f>
        <v>0</v>
      </c>
      <c r="N690" s="32"/>
      <c r="O690" s="33">
        <f>SUMIFS(Dump!$D:$D,Dump!$B:$B,$C690,Dump!$A:$A,$Y690)</f>
        <v>0</v>
      </c>
      <c r="P690" s="33">
        <f>SUMIFS(Dump!R:R,Dump!B:B,C690,Dump!A:A,Y690)</f>
        <v>0</v>
      </c>
      <c r="Q690" s="34">
        <f t="shared" si="21"/>
        <v>0</v>
      </c>
      <c r="S690" s="4">
        <f>SUMIFS(Dump!E:E,Dump!B:B,C690,Dump!A:A,Y690)</f>
        <v>0</v>
      </c>
      <c r="T690" s="35">
        <f t="shared" si="22"/>
        <v>0</v>
      </c>
      <c r="V690" s="4">
        <f>SUMIFS(Dump!P:P,Dump!B:B,C690,Dump!A:A,Y690)</f>
        <v>0</v>
      </c>
      <c r="W690" s="37">
        <f t="shared" si="23"/>
        <v>0</v>
      </c>
      <c r="X690" s="39"/>
      <c r="Y690" s="54"/>
    </row>
    <row r="691">
      <c r="C691" s="53"/>
      <c r="G691" s="2" t="str">
        <f t="shared" si="27"/>
        <v/>
      </c>
      <c r="I691" s="4">
        <f>SUMIFS(Dump!D:D,Dump!B:B,C691)</f>
        <v>0</v>
      </c>
      <c r="J691" s="5">
        <f>SUMIFS(Dump!AE:AE,Dump!B:B,C691)</f>
        <v>0</v>
      </c>
      <c r="K691" s="4">
        <f>SUMPRODUCT(
  (TEXT(Dump!$A$2:$A994,"mmm-yy")=TEXT($Y691,"mmm-yy"))*
  (Dump!$B$2:$B994=$C691)*
  Dump!$D$2:$D994)</f>
        <v>0</v>
      </c>
      <c r="L691" s="4">
        <f>SUMPRODUCT(
  (TEXT(Dump!$A$2:$A994,"mmm-yy")=TEXT($Y691,"mmm-yy"))*
  (Dump!$B$2:$B994=$C691)*
  Dump!$E$2:$E994
)</f>
        <v>0</v>
      </c>
      <c r="M691" s="4">
        <f>SUMPRODUCT(
  (TEXT(Dump!$A$2:$A994,"mmm-yy")=TEXT($Y691,"mmm-yy"))*
  (Dump!$B$2:$B994=$C691)*
  Dump!$P$2:$P994
)</f>
        <v>0</v>
      </c>
      <c r="N691" s="32"/>
      <c r="O691" s="33">
        <f>SUMIFS(Dump!$D:$D,Dump!$B:$B,$C691,Dump!$A:$A,$Y691)</f>
        <v>0</v>
      </c>
      <c r="P691" s="33">
        <f>SUMIFS(Dump!R:R,Dump!B:B,C691,Dump!A:A,Y691)</f>
        <v>0</v>
      </c>
      <c r="Q691" s="34">
        <f t="shared" si="21"/>
        <v>0</v>
      </c>
      <c r="S691" s="4">
        <f>SUMIFS(Dump!E:E,Dump!B:B,C691,Dump!A:A,Y691)</f>
        <v>0</v>
      </c>
      <c r="T691" s="35">
        <f t="shared" si="22"/>
        <v>0</v>
      </c>
      <c r="V691" s="4">
        <f>SUMIFS(Dump!P:P,Dump!B:B,C691,Dump!A:A,Y691)</f>
        <v>0</v>
      </c>
      <c r="W691" s="37">
        <f t="shared" si="23"/>
        <v>0</v>
      </c>
      <c r="X691" s="39"/>
      <c r="Y691" s="54"/>
    </row>
    <row r="692">
      <c r="C692" s="53"/>
      <c r="G692" s="2" t="str">
        <f t="shared" si="27"/>
        <v/>
      </c>
      <c r="I692" s="4">
        <f>SUMIFS(Dump!D:D,Dump!B:B,C692)</f>
        <v>0</v>
      </c>
      <c r="J692" s="5">
        <f>SUMIFS(Dump!AE:AE,Dump!B:B,C692)</f>
        <v>0</v>
      </c>
      <c r="K692" s="4">
        <f>SUMPRODUCT(
  (TEXT(Dump!$A$2:$A994,"mmm-yy")=TEXT($Y692,"mmm-yy"))*
  (Dump!$B$2:$B994=$C692)*
  Dump!$D$2:$D994)</f>
        <v>0</v>
      </c>
      <c r="L692" s="4">
        <f>SUMPRODUCT(
  (TEXT(Dump!$A$2:$A994,"mmm-yy")=TEXT($Y692,"mmm-yy"))*
  (Dump!$B$2:$B994=$C692)*
  Dump!$E$2:$E994
)</f>
        <v>0</v>
      </c>
      <c r="M692" s="4">
        <f>SUMPRODUCT(
  (TEXT(Dump!$A$2:$A994,"mmm-yy")=TEXT($Y692,"mmm-yy"))*
  (Dump!$B$2:$B994=$C692)*
  Dump!$P$2:$P994
)</f>
        <v>0</v>
      </c>
      <c r="N692" s="32"/>
      <c r="O692" s="33">
        <f>SUMIFS(Dump!$D:$D,Dump!$B:$B,$C692,Dump!$A:$A,$Y692)</f>
        <v>0</v>
      </c>
      <c r="P692" s="33">
        <f>SUMIFS(Dump!R:R,Dump!B:B,C692,Dump!A:A,Y692)</f>
        <v>0</v>
      </c>
      <c r="Q692" s="34">
        <f t="shared" si="21"/>
        <v>0</v>
      </c>
      <c r="S692" s="4">
        <f>SUMIFS(Dump!E:E,Dump!B:B,C692,Dump!A:A,Y692)</f>
        <v>0</v>
      </c>
      <c r="T692" s="35">
        <f t="shared" si="22"/>
        <v>0</v>
      </c>
      <c r="V692" s="4">
        <f>SUMIFS(Dump!P:P,Dump!B:B,C692,Dump!A:A,Y692)</f>
        <v>0</v>
      </c>
      <c r="W692" s="37">
        <f t="shared" si="23"/>
        <v>0</v>
      </c>
      <c r="X692" s="39"/>
      <c r="Y692" s="54"/>
    </row>
    <row r="693">
      <c r="C693" s="53"/>
      <c r="G693" s="2" t="str">
        <f t="shared" si="27"/>
        <v/>
      </c>
      <c r="I693" s="4">
        <f>SUMIFS(Dump!D:D,Dump!B:B,C693)</f>
        <v>0</v>
      </c>
      <c r="J693" s="5">
        <f>SUMIFS(Dump!AE:AE,Dump!B:B,C693)</f>
        <v>0</v>
      </c>
      <c r="K693" s="4">
        <f>SUMPRODUCT(
  (TEXT(Dump!$A$2:$A994,"mmm-yy")=TEXT($Y693,"mmm-yy"))*
  (Dump!$B$2:$B994=$C693)*
  Dump!$D$2:$D994)</f>
        <v>0</v>
      </c>
      <c r="L693" s="4">
        <f>SUMPRODUCT(
  (TEXT(Dump!$A$2:$A994,"mmm-yy")=TEXT($Y693,"mmm-yy"))*
  (Dump!$B$2:$B994=$C693)*
  Dump!$E$2:$E994
)</f>
        <v>0</v>
      </c>
      <c r="M693" s="4">
        <f>SUMPRODUCT(
  (TEXT(Dump!$A$2:$A994,"mmm-yy")=TEXT($Y693,"mmm-yy"))*
  (Dump!$B$2:$B994=$C693)*
  Dump!$P$2:$P994
)</f>
        <v>0</v>
      </c>
      <c r="N693" s="32"/>
      <c r="O693" s="33">
        <f>SUMIFS(Dump!$D:$D,Dump!$B:$B,$C693,Dump!$A:$A,$Y693)</f>
        <v>0</v>
      </c>
      <c r="P693" s="33">
        <f>SUMIFS(Dump!R:R,Dump!B:B,C693,Dump!A:A,Y693)</f>
        <v>0</v>
      </c>
      <c r="Q693" s="34">
        <f t="shared" si="21"/>
        <v>0</v>
      </c>
      <c r="S693" s="4">
        <f>SUMIFS(Dump!E:E,Dump!B:B,C693,Dump!A:A,Y693)</f>
        <v>0</v>
      </c>
      <c r="T693" s="35">
        <f t="shared" si="22"/>
        <v>0</v>
      </c>
      <c r="V693" s="4">
        <f>SUMIFS(Dump!P:P,Dump!B:B,C693,Dump!A:A,Y693)</f>
        <v>0</v>
      </c>
      <c r="W693" s="37">
        <f t="shared" si="23"/>
        <v>0</v>
      </c>
      <c r="X693" s="39"/>
      <c r="Y693" s="54"/>
    </row>
    <row r="694">
      <c r="C694" s="53"/>
      <c r="G694" s="2" t="str">
        <f t="shared" si="27"/>
        <v/>
      </c>
      <c r="I694" s="4">
        <f>SUMIFS(Dump!D:D,Dump!B:B,C694)</f>
        <v>0</v>
      </c>
      <c r="J694" s="5">
        <f>SUMIFS(Dump!AE:AE,Dump!B:B,C694)</f>
        <v>0</v>
      </c>
      <c r="K694" s="4">
        <f>SUMPRODUCT(
  (TEXT(Dump!$A$2:$A994,"mmm-yy")=TEXT($Y694,"mmm-yy"))*
  (Dump!$B$2:$B994=$C694)*
  Dump!$D$2:$D994)</f>
        <v>0</v>
      </c>
      <c r="L694" s="4">
        <f>SUMPRODUCT(
  (TEXT(Dump!$A$2:$A994,"mmm-yy")=TEXT($Y694,"mmm-yy"))*
  (Dump!$B$2:$B994=$C694)*
  Dump!$E$2:$E994
)</f>
        <v>0</v>
      </c>
      <c r="M694" s="4">
        <f>SUMPRODUCT(
  (TEXT(Dump!$A$2:$A994,"mmm-yy")=TEXT($Y694,"mmm-yy"))*
  (Dump!$B$2:$B994=$C694)*
  Dump!$P$2:$P994
)</f>
        <v>0</v>
      </c>
      <c r="N694" s="32"/>
      <c r="O694" s="33">
        <f>SUMIFS(Dump!$D:$D,Dump!$B:$B,$C694,Dump!$A:$A,$Y694)</f>
        <v>0</v>
      </c>
      <c r="P694" s="33">
        <f>SUMIFS(Dump!R:R,Dump!B:B,C694,Dump!A:A,Y694)</f>
        <v>0</v>
      </c>
      <c r="Q694" s="34">
        <f t="shared" si="21"/>
        <v>0</v>
      </c>
      <c r="S694" s="4">
        <f>SUMIFS(Dump!E:E,Dump!B:B,C694,Dump!A:A,Y694)</f>
        <v>0</v>
      </c>
      <c r="T694" s="35">
        <f t="shared" si="22"/>
        <v>0</v>
      </c>
      <c r="V694" s="4">
        <f>SUMIFS(Dump!P:P,Dump!B:B,C694,Dump!A:A,Y694)</f>
        <v>0</v>
      </c>
      <c r="W694" s="37">
        <f t="shared" si="23"/>
        <v>0</v>
      </c>
      <c r="X694" s="39"/>
      <c r="Y694" s="54"/>
    </row>
    <row r="695">
      <c r="C695" s="53"/>
      <c r="G695" s="2" t="str">
        <f t="shared" si="27"/>
        <v/>
      </c>
      <c r="I695" s="4">
        <f>SUMIFS(Dump!D:D,Dump!B:B,C695)</f>
        <v>0</v>
      </c>
      <c r="J695" s="5">
        <f>SUMIFS(Dump!AE:AE,Dump!B:B,C695)</f>
        <v>0</v>
      </c>
      <c r="K695" s="4">
        <f>SUMPRODUCT(
  (TEXT(Dump!$A$2:$A994,"mmm-yy")=TEXT($Y695,"mmm-yy"))*
  (Dump!$B$2:$B994=$C695)*
  Dump!$D$2:$D994)</f>
        <v>0</v>
      </c>
      <c r="L695" s="4">
        <f>SUMPRODUCT(
  (TEXT(Dump!$A$2:$A994,"mmm-yy")=TEXT($Y695,"mmm-yy"))*
  (Dump!$B$2:$B994=$C695)*
  Dump!$E$2:$E994
)</f>
        <v>0</v>
      </c>
      <c r="M695" s="4">
        <f>SUMPRODUCT(
  (TEXT(Dump!$A$2:$A994,"mmm-yy")=TEXT($Y695,"mmm-yy"))*
  (Dump!$B$2:$B994=$C695)*
  Dump!$P$2:$P994
)</f>
        <v>0</v>
      </c>
      <c r="N695" s="32"/>
      <c r="O695" s="33">
        <f>SUMIFS(Dump!$D:$D,Dump!$B:$B,$C695,Dump!$A:$A,$Y695)</f>
        <v>0</v>
      </c>
      <c r="P695" s="33">
        <f>SUMIFS(Dump!R:R,Dump!B:B,C695,Dump!A:A,Y695)</f>
        <v>0</v>
      </c>
      <c r="Q695" s="34">
        <f t="shared" si="21"/>
        <v>0</v>
      </c>
      <c r="S695" s="4">
        <f>SUMIFS(Dump!E:E,Dump!B:B,C695,Dump!A:A,Y695)</f>
        <v>0</v>
      </c>
      <c r="T695" s="35">
        <f t="shared" si="22"/>
        <v>0</v>
      </c>
      <c r="V695" s="4">
        <f>SUMIFS(Dump!P:P,Dump!B:B,C695,Dump!A:A,Y695)</f>
        <v>0</v>
      </c>
      <c r="W695" s="37">
        <f t="shared" si="23"/>
        <v>0</v>
      </c>
      <c r="X695" s="39"/>
      <c r="Y695" s="54"/>
    </row>
    <row r="696">
      <c r="C696" s="53"/>
      <c r="G696" s="2" t="str">
        <f t="shared" si="27"/>
        <v/>
      </c>
      <c r="I696" s="4">
        <f>SUMIFS(Dump!D:D,Dump!B:B,C696)</f>
        <v>0</v>
      </c>
      <c r="J696" s="5">
        <f>SUMIFS(Dump!AE:AE,Dump!B:B,C696)</f>
        <v>0</v>
      </c>
      <c r="K696" s="4">
        <f>SUMPRODUCT(
  (TEXT(Dump!$A$2:$A994,"mmm-yy")=TEXT($Y696,"mmm-yy"))*
  (Dump!$B$2:$B994=$C696)*
  Dump!$D$2:$D994)</f>
        <v>0</v>
      </c>
      <c r="L696" s="4">
        <f>SUMPRODUCT(
  (TEXT(Dump!$A$2:$A994,"mmm-yy")=TEXT($Y696,"mmm-yy"))*
  (Dump!$B$2:$B994=$C696)*
  Dump!$E$2:$E994
)</f>
        <v>0</v>
      </c>
      <c r="M696" s="4">
        <f>SUMPRODUCT(
  (TEXT(Dump!$A$2:$A994,"mmm-yy")=TEXT($Y696,"mmm-yy"))*
  (Dump!$B$2:$B994=$C696)*
  Dump!$P$2:$P994
)</f>
        <v>0</v>
      </c>
      <c r="N696" s="32"/>
      <c r="O696" s="33">
        <f>SUMIFS(Dump!$D:$D,Dump!$B:$B,$C696,Dump!$A:$A,$Y696)</f>
        <v>0</v>
      </c>
      <c r="P696" s="33">
        <f>SUMIFS(Dump!R:R,Dump!B:B,C696,Dump!A:A,Y696)</f>
        <v>0</v>
      </c>
      <c r="Q696" s="34">
        <f t="shared" si="21"/>
        <v>0</v>
      </c>
      <c r="S696" s="4">
        <f>SUMIFS(Dump!E:E,Dump!B:B,C696,Dump!A:A,Y696)</f>
        <v>0</v>
      </c>
      <c r="T696" s="35">
        <f t="shared" si="22"/>
        <v>0</v>
      </c>
      <c r="V696" s="4">
        <f>SUMIFS(Dump!P:P,Dump!B:B,C696,Dump!A:A,Y696)</f>
        <v>0</v>
      </c>
      <c r="W696" s="37">
        <f t="shared" si="23"/>
        <v>0</v>
      </c>
      <c r="X696" s="39"/>
      <c r="Y696" s="54"/>
    </row>
    <row r="697">
      <c r="C697" s="53"/>
      <c r="G697" s="2" t="str">
        <f t="shared" si="27"/>
        <v/>
      </c>
      <c r="I697" s="4">
        <f>SUMIFS(Dump!D:D,Dump!B:B,C697)</f>
        <v>0</v>
      </c>
      <c r="J697" s="5">
        <f>SUMIFS(Dump!AE:AE,Dump!B:B,C697)</f>
        <v>0</v>
      </c>
      <c r="K697" s="4">
        <f>SUMPRODUCT(
  (TEXT(Dump!$A$2:$A994,"mmm-yy")=TEXT($Y697,"mmm-yy"))*
  (Dump!$B$2:$B994=$C697)*
  Dump!$D$2:$D994)</f>
        <v>0</v>
      </c>
      <c r="L697" s="4">
        <f>SUMPRODUCT(
  (TEXT(Dump!$A$2:$A994,"mmm-yy")=TEXT($Y697,"mmm-yy"))*
  (Dump!$B$2:$B994=$C697)*
  Dump!$E$2:$E994
)</f>
        <v>0</v>
      </c>
      <c r="M697" s="4">
        <f>SUMPRODUCT(
  (TEXT(Dump!$A$2:$A994,"mmm-yy")=TEXT($Y697,"mmm-yy"))*
  (Dump!$B$2:$B994=$C697)*
  Dump!$P$2:$P994
)</f>
        <v>0</v>
      </c>
      <c r="N697" s="32"/>
      <c r="O697" s="33">
        <f>SUMIFS(Dump!$D:$D,Dump!$B:$B,$C697,Dump!$A:$A,$Y697)</f>
        <v>0</v>
      </c>
      <c r="P697" s="33">
        <f>SUMIFS(Dump!R:R,Dump!B:B,C697,Dump!A:A,Y697)</f>
        <v>0</v>
      </c>
      <c r="Q697" s="34">
        <f t="shared" si="21"/>
        <v>0</v>
      </c>
      <c r="S697" s="4">
        <f>SUMIFS(Dump!E:E,Dump!B:B,C697,Dump!A:A,Y697)</f>
        <v>0</v>
      </c>
      <c r="T697" s="35">
        <f t="shared" si="22"/>
        <v>0</v>
      </c>
      <c r="V697" s="4">
        <f>SUMIFS(Dump!P:P,Dump!B:B,C697,Dump!A:A,Y697)</f>
        <v>0</v>
      </c>
      <c r="W697" s="37">
        <f t="shared" si="23"/>
        <v>0</v>
      </c>
      <c r="X697" s="39"/>
      <c r="Y697" s="54"/>
    </row>
    <row r="698">
      <c r="C698" s="53"/>
      <c r="G698" s="2" t="str">
        <f t="shared" si="27"/>
        <v/>
      </c>
      <c r="I698" s="4">
        <f>SUMIFS(Dump!D:D,Dump!B:B,C698)</f>
        <v>0</v>
      </c>
      <c r="J698" s="5">
        <f>SUMIFS(Dump!AE:AE,Dump!B:B,C698)</f>
        <v>0</v>
      </c>
      <c r="K698" s="4">
        <f>SUMPRODUCT(
  (TEXT(Dump!$A$2:$A994,"mmm-yy")=TEXT($Y698,"mmm-yy"))*
  (Dump!$B$2:$B994=$C698)*
  Dump!$D$2:$D994)</f>
        <v>0</v>
      </c>
      <c r="L698" s="4">
        <f>SUMPRODUCT(
  (TEXT(Dump!$A$2:$A994,"mmm-yy")=TEXT($Y698,"mmm-yy"))*
  (Dump!$B$2:$B994=$C698)*
  Dump!$E$2:$E994
)</f>
        <v>0</v>
      </c>
      <c r="M698" s="4">
        <f>SUMPRODUCT(
  (TEXT(Dump!$A$2:$A994,"mmm-yy")=TEXT($Y698,"mmm-yy"))*
  (Dump!$B$2:$B994=$C698)*
  Dump!$P$2:$P994
)</f>
        <v>0</v>
      </c>
      <c r="N698" s="32"/>
      <c r="O698" s="33">
        <f>SUMIFS(Dump!$D:$D,Dump!$B:$B,$C698,Dump!$A:$A,$Y698)</f>
        <v>0</v>
      </c>
      <c r="P698" s="33">
        <f>SUMIFS(Dump!R:R,Dump!B:B,C698,Dump!A:A,Y698)</f>
        <v>0</v>
      </c>
      <c r="Q698" s="34">
        <f t="shared" si="21"/>
        <v>0</v>
      </c>
      <c r="S698" s="4">
        <f>SUMIFS(Dump!E:E,Dump!B:B,C698,Dump!A:A,Y698)</f>
        <v>0</v>
      </c>
      <c r="T698" s="35">
        <f t="shared" si="22"/>
        <v>0</v>
      </c>
      <c r="V698" s="4">
        <f>SUMIFS(Dump!P:P,Dump!B:B,C698,Dump!A:A,Y698)</f>
        <v>0</v>
      </c>
      <c r="W698" s="37">
        <f t="shared" si="23"/>
        <v>0</v>
      </c>
      <c r="X698" s="39"/>
      <c r="Y698" s="54"/>
    </row>
    <row r="699">
      <c r="C699" s="53"/>
      <c r="G699" s="2" t="str">
        <f t="shared" si="27"/>
        <v/>
      </c>
      <c r="I699" s="4">
        <f>SUMIFS(Dump!D:D,Dump!B:B,C699)</f>
        <v>0</v>
      </c>
      <c r="J699" s="5">
        <f>SUMIFS(Dump!AE:AE,Dump!B:B,C699)</f>
        <v>0</v>
      </c>
      <c r="K699" s="4">
        <f>SUMPRODUCT(
  (TEXT(Dump!$A$2:$A994,"mmm-yy")=TEXT($Y699,"mmm-yy"))*
  (Dump!$B$2:$B994=$C699)*
  Dump!$D$2:$D994)</f>
        <v>0</v>
      </c>
      <c r="L699" s="4">
        <f>SUMPRODUCT(
  (TEXT(Dump!$A$2:$A994,"mmm-yy")=TEXT($Y699,"mmm-yy"))*
  (Dump!$B$2:$B994=$C699)*
  Dump!$E$2:$E994
)</f>
        <v>0</v>
      </c>
      <c r="M699" s="4">
        <f>SUMPRODUCT(
  (TEXT(Dump!$A$2:$A994,"mmm-yy")=TEXT($Y699,"mmm-yy"))*
  (Dump!$B$2:$B994=$C699)*
  Dump!$P$2:$P994
)</f>
        <v>0</v>
      </c>
      <c r="N699" s="32"/>
      <c r="O699" s="33">
        <f>SUMIFS(Dump!$D:$D,Dump!$B:$B,$C699,Dump!$A:$A,$Y699)</f>
        <v>0</v>
      </c>
      <c r="P699" s="33">
        <f>SUMIFS(Dump!R:R,Dump!B:B,C699,Dump!A:A,Y699)</f>
        <v>0</v>
      </c>
      <c r="Q699" s="34">
        <f t="shared" si="21"/>
        <v>0</v>
      </c>
      <c r="S699" s="4">
        <f>SUMIFS(Dump!E:E,Dump!B:B,C699,Dump!A:A,Y699)</f>
        <v>0</v>
      </c>
      <c r="T699" s="35">
        <f t="shared" si="22"/>
        <v>0</v>
      </c>
      <c r="V699" s="4">
        <f>SUMIFS(Dump!P:P,Dump!B:B,C699,Dump!A:A,Y699)</f>
        <v>0</v>
      </c>
      <c r="W699" s="37">
        <f t="shared" si="23"/>
        <v>0</v>
      </c>
      <c r="X699" s="39"/>
      <c r="Y699" s="54"/>
    </row>
    <row r="700">
      <c r="C700" s="53"/>
      <c r="G700" s="2" t="str">
        <f t="shared" si="27"/>
        <v/>
      </c>
      <c r="I700" s="4">
        <f>SUMIFS(Dump!D:D,Dump!B:B,C700)</f>
        <v>0</v>
      </c>
      <c r="J700" s="5">
        <f>SUMIFS(Dump!AE:AE,Dump!B:B,C700)</f>
        <v>0</v>
      </c>
      <c r="K700" s="4">
        <f>SUMPRODUCT(
  (TEXT(Dump!$A$2:$A994,"mmm-yy")=TEXT($Y700,"mmm-yy"))*
  (Dump!$B$2:$B994=$C700)*
  Dump!$D$2:$D994)</f>
        <v>0</v>
      </c>
      <c r="L700" s="4">
        <f>SUMPRODUCT(
  (TEXT(Dump!$A$2:$A994,"mmm-yy")=TEXT($Y700,"mmm-yy"))*
  (Dump!$B$2:$B994=$C700)*
  Dump!$E$2:$E994
)</f>
        <v>0</v>
      </c>
      <c r="M700" s="4">
        <f>SUMPRODUCT(
  (TEXT(Dump!$A$2:$A994,"mmm-yy")=TEXT($Y700,"mmm-yy"))*
  (Dump!$B$2:$B994=$C700)*
  Dump!$P$2:$P994
)</f>
        <v>0</v>
      </c>
      <c r="N700" s="32"/>
      <c r="O700" s="33">
        <f>SUMIFS(Dump!$D:$D,Dump!$B:$B,$C700,Dump!$A:$A,$Y700)</f>
        <v>0</v>
      </c>
      <c r="P700" s="33">
        <f>SUMIFS(Dump!R:R,Dump!B:B,C700,Dump!A:A,Y700)</f>
        <v>0</v>
      </c>
      <c r="Q700" s="34">
        <f t="shared" si="21"/>
        <v>0</v>
      </c>
      <c r="S700" s="4">
        <f>SUMIFS(Dump!E:E,Dump!B:B,C700,Dump!A:A,Y700)</f>
        <v>0</v>
      </c>
      <c r="T700" s="35">
        <f t="shared" si="22"/>
        <v>0</v>
      </c>
      <c r="V700" s="4">
        <f>SUMIFS(Dump!P:P,Dump!B:B,C700,Dump!A:A,Y700)</f>
        <v>0</v>
      </c>
      <c r="W700" s="37">
        <f t="shared" si="23"/>
        <v>0</v>
      </c>
      <c r="X700" s="39"/>
      <c r="Y700" s="54"/>
    </row>
    <row r="701">
      <c r="C701" s="53"/>
      <c r="G701" s="2" t="str">
        <f t="shared" si="27"/>
        <v/>
      </c>
      <c r="I701" s="4">
        <f>SUMIFS(Dump!D:D,Dump!B:B,C701)</f>
        <v>0</v>
      </c>
      <c r="J701" s="5">
        <f>SUMIFS(Dump!AE:AE,Dump!B:B,C701)</f>
        <v>0</v>
      </c>
      <c r="K701" s="4">
        <f>SUMPRODUCT(
  (TEXT(Dump!$A$2:$A994,"mmm-yy")=TEXT($Y701,"mmm-yy"))*
  (Dump!$B$2:$B994=$C701)*
  Dump!$D$2:$D994)</f>
        <v>0</v>
      </c>
      <c r="L701" s="4">
        <f>SUMPRODUCT(
  (TEXT(Dump!$A$2:$A994,"mmm-yy")=TEXT($Y701,"mmm-yy"))*
  (Dump!$B$2:$B994=$C701)*
  Dump!$E$2:$E994
)</f>
        <v>0</v>
      </c>
      <c r="M701" s="4">
        <f>SUMPRODUCT(
  (TEXT(Dump!$A$2:$A994,"mmm-yy")=TEXT($Y701,"mmm-yy"))*
  (Dump!$B$2:$B994=$C701)*
  Dump!$P$2:$P994
)</f>
        <v>0</v>
      </c>
      <c r="N701" s="32"/>
      <c r="O701" s="33">
        <f>SUMIFS(Dump!$D:$D,Dump!$B:$B,$C701,Dump!$A:$A,$Y701)</f>
        <v>0</v>
      </c>
      <c r="P701" s="33">
        <f>SUMIFS(Dump!R:R,Dump!B:B,C701,Dump!A:A,Y701)</f>
        <v>0</v>
      </c>
      <c r="Q701" s="34">
        <f t="shared" si="21"/>
        <v>0</v>
      </c>
      <c r="S701" s="4">
        <f>SUMIFS(Dump!E:E,Dump!B:B,C701,Dump!A:A,Y701)</f>
        <v>0</v>
      </c>
      <c r="T701" s="35">
        <f t="shared" si="22"/>
        <v>0</v>
      </c>
      <c r="V701" s="4">
        <f>SUMIFS(Dump!P:P,Dump!B:B,C701,Dump!A:A,Y701)</f>
        <v>0</v>
      </c>
      <c r="W701" s="37">
        <f t="shared" si="23"/>
        <v>0</v>
      </c>
      <c r="X701" s="39"/>
      <c r="Y701" s="54"/>
    </row>
    <row r="702">
      <c r="C702" s="53"/>
      <c r="G702" s="2" t="str">
        <f t="shared" si="27"/>
        <v/>
      </c>
      <c r="I702" s="4">
        <f>SUMIFS(Dump!D:D,Dump!B:B,C702)</f>
        <v>0</v>
      </c>
      <c r="J702" s="5">
        <f>SUMIFS(Dump!AE:AE,Dump!B:B,C702)</f>
        <v>0</v>
      </c>
      <c r="K702" s="4">
        <f>SUMPRODUCT(
  (TEXT(Dump!$A$2:$A994,"mmm-yy")=TEXT($Y702,"mmm-yy"))*
  (Dump!$B$2:$B994=$C702)*
  Dump!$D$2:$D994)</f>
        <v>0</v>
      </c>
      <c r="L702" s="4">
        <f>SUMPRODUCT(
  (TEXT(Dump!$A$2:$A994,"mmm-yy")=TEXT($Y702,"mmm-yy"))*
  (Dump!$B$2:$B994=$C702)*
  Dump!$E$2:$E994
)</f>
        <v>0</v>
      </c>
      <c r="M702" s="4">
        <f>SUMPRODUCT(
  (TEXT(Dump!$A$2:$A994,"mmm-yy")=TEXT($Y702,"mmm-yy"))*
  (Dump!$B$2:$B994=$C702)*
  Dump!$P$2:$P994
)</f>
        <v>0</v>
      </c>
      <c r="N702" s="32"/>
      <c r="O702" s="33">
        <f>SUMIFS(Dump!$D:$D,Dump!$B:$B,$C702,Dump!$A:$A,$Y702)</f>
        <v>0</v>
      </c>
      <c r="P702" s="33">
        <f>SUMIFS(Dump!R:R,Dump!B:B,C702,Dump!A:A,Y702)</f>
        <v>0</v>
      </c>
      <c r="Q702" s="34">
        <f t="shared" si="21"/>
        <v>0</v>
      </c>
      <c r="S702" s="4">
        <f>SUMIFS(Dump!E:E,Dump!B:B,C702,Dump!A:A,Y702)</f>
        <v>0</v>
      </c>
      <c r="T702" s="35">
        <f t="shared" si="22"/>
        <v>0</v>
      </c>
      <c r="V702" s="4">
        <f>SUMIFS(Dump!P:P,Dump!B:B,C702,Dump!A:A,Y702)</f>
        <v>0</v>
      </c>
      <c r="W702" s="37">
        <f t="shared" si="23"/>
        <v>0</v>
      </c>
      <c r="X702" s="39"/>
      <c r="Y702" s="54"/>
    </row>
    <row r="703">
      <c r="C703" s="53"/>
      <c r="G703" s="2" t="str">
        <f t="shared" si="27"/>
        <v/>
      </c>
      <c r="I703" s="4">
        <f>SUMIFS(Dump!D:D,Dump!B:B,C703)</f>
        <v>0</v>
      </c>
      <c r="J703" s="5">
        <f>SUMIFS(Dump!AE:AE,Dump!B:B,C703)</f>
        <v>0</v>
      </c>
      <c r="K703" s="4">
        <f>SUMPRODUCT(
  (TEXT(Dump!$A$2:$A994,"mmm-yy")=TEXT($Y703,"mmm-yy"))*
  (Dump!$B$2:$B994=$C703)*
  Dump!$D$2:$D994)</f>
        <v>0</v>
      </c>
      <c r="L703" s="4">
        <f>SUMPRODUCT(
  (TEXT(Dump!$A$2:$A994,"mmm-yy")=TEXT($Y703,"mmm-yy"))*
  (Dump!$B$2:$B994=$C703)*
  Dump!$E$2:$E994
)</f>
        <v>0</v>
      </c>
      <c r="M703" s="4">
        <f>SUMPRODUCT(
  (TEXT(Dump!$A$2:$A994,"mmm-yy")=TEXT($Y703,"mmm-yy"))*
  (Dump!$B$2:$B994=$C703)*
  Dump!$P$2:$P994
)</f>
        <v>0</v>
      </c>
      <c r="N703" s="32"/>
      <c r="O703" s="33">
        <f>SUMIFS(Dump!$D:$D,Dump!$B:$B,$C703,Dump!$A:$A,$Y703)</f>
        <v>0</v>
      </c>
      <c r="P703" s="33">
        <f>SUMIFS(Dump!R:R,Dump!B:B,C703,Dump!A:A,Y703)</f>
        <v>0</v>
      </c>
      <c r="Q703" s="34">
        <f t="shared" si="21"/>
        <v>0</v>
      </c>
      <c r="S703" s="4">
        <f>SUMIFS(Dump!E:E,Dump!B:B,C703,Dump!A:A,Y703)</f>
        <v>0</v>
      </c>
      <c r="T703" s="35">
        <f t="shared" si="22"/>
        <v>0</v>
      </c>
      <c r="V703" s="4">
        <f>SUMIFS(Dump!P:P,Dump!B:B,C703,Dump!A:A,Y703)</f>
        <v>0</v>
      </c>
      <c r="W703" s="37">
        <f t="shared" si="23"/>
        <v>0</v>
      </c>
      <c r="X703" s="39"/>
      <c r="Y703" s="54"/>
    </row>
    <row r="704">
      <c r="C704" s="53"/>
      <c r="G704" s="2" t="str">
        <f t="shared" si="27"/>
        <v/>
      </c>
      <c r="I704" s="4">
        <f>SUMIFS(Dump!D:D,Dump!B:B,C704)</f>
        <v>0</v>
      </c>
      <c r="J704" s="5">
        <f>SUMIFS(Dump!AE:AE,Dump!B:B,C704)</f>
        <v>0</v>
      </c>
      <c r="K704" s="4">
        <f>SUMPRODUCT(
  (TEXT(Dump!$A$2:$A994,"mmm-yy")=TEXT($Y704,"mmm-yy"))*
  (Dump!$B$2:$B994=$C704)*
  Dump!$D$2:$D994)</f>
        <v>0</v>
      </c>
      <c r="L704" s="4">
        <f>SUMPRODUCT(
  (TEXT(Dump!$A$2:$A994,"mmm-yy")=TEXT($Y704,"mmm-yy"))*
  (Dump!$B$2:$B994=$C704)*
  Dump!$E$2:$E994
)</f>
        <v>0</v>
      </c>
      <c r="M704" s="4">
        <f>SUMPRODUCT(
  (TEXT(Dump!$A$2:$A994,"mmm-yy")=TEXT($Y704,"mmm-yy"))*
  (Dump!$B$2:$B994=$C704)*
  Dump!$P$2:$P994
)</f>
        <v>0</v>
      </c>
      <c r="N704" s="32"/>
      <c r="O704" s="33">
        <f>SUMIFS(Dump!$D:$D,Dump!$B:$B,$C704,Dump!$A:$A,$Y704)</f>
        <v>0</v>
      </c>
      <c r="P704" s="33">
        <f>SUMIFS(Dump!R:R,Dump!B:B,C704,Dump!A:A,Y704)</f>
        <v>0</v>
      </c>
      <c r="Q704" s="34">
        <f t="shared" si="21"/>
        <v>0</v>
      </c>
      <c r="S704" s="4">
        <f>SUMIFS(Dump!E:E,Dump!B:B,C704,Dump!A:A,Y704)</f>
        <v>0</v>
      </c>
      <c r="T704" s="35">
        <f t="shared" si="22"/>
        <v>0</v>
      </c>
      <c r="V704" s="4">
        <f>SUMIFS(Dump!P:P,Dump!B:B,C704,Dump!A:A,Y704)</f>
        <v>0</v>
      </c>
      <c r="W704" s="37">
        <f t="shared" si="23"/>
        <v>0</v>
      </c>
      <c r="X704" s="39"/>
      <c r="Y704" s="54"/>
    </row>
    <row r="705">
      <c r="C705" s="53"/>
      <c r="G705" s="2" t="str">
        <f t="shared" si="27"/>
        <v/>
      </c>
      <c r="I705" s="4">
        <f>SUMIFS(Dump!D:D,Dump!B:B,C705)</f>
        <v>0</v>
      </c>
      <c r="J705" s="5">
        <f>SUMIFS(Dump!AE:AE,Dump!B:B,C705)</f>
        <v>0</v>
      </c>
      <c r="K705" s="4">
        <f>SUMPRODUCT(
  (TEXT(Dump!$A$2:$A994,"mmm-yy")=TEXT($Y705,"mmm-yy"))*
  (Dump!$B$2:$B994=$C705)*
  Dump!$D$2:$D994)</f>
        <v>0</v>
      </c>
      <c r="L705" s="4">
        <f>SUMPRODUCT(
  (TEXT(Dump!$A$2:$A994,"mmm-yy")=TEXT($Y705,"mmm-yy"))*
  (Dump!$B$2:$B994=$C705)*
  Dump!$E$2:$E994
)</f>
        <v>0</v>
      </c>
      <c r="M705" s="4">
        <f>SUMPRODUCT(
  (TEXT(Dump!$A$2:$A994,"mmm-yy")=TEXT($Y705,"mmm-yy"))*
  (Dump!$B$2:$B994=$C705)*
  Dump!$P$2:$P994
)</f>
        <v>0</v>
      </c>
      <c r="N705" s="32"/>
      <c r="O705" s="33">
        <f>SUMIFS(Dump!$D:$D,Dump!$B:$B,$C705,Dump!$A:$A,$Y705)</f>
        <v>0</v>
      </c>
      <c r="P705" s="33">
        <f>SUMIFS(Dump!R:R,Dump!B:B,C705,Dump!A:A,Y705)</f>
        <v>0</v>
      </c>
      <c r="Q705" s="34">
        <f t="shared" si="21"/>
        <v>0</v>
      </c>
      <c r="S705" s="4">
        <f>SUMIFS(Dump!E:E,Dump!B:B,C705,Dump!A:A,Y705)</f>
        <v>0</v>
      </c>
      <c r="T705" s="35">
        <f t="shared" si="22"/>
        <v>0</v>
      </c>
      <c r="V705" s="4">
        <f>SUMIFS(Dump!P:P,Dump!B:B,C705,Dump!A:A,Y705)</f>
        <v>0</v>
      </c>
      <c r="W705" s="37">
        <f t="shared" si="23"/>
        <v>0</v>
      </c>
      <c r="X705" s="39"/>
      <c r="Y705" s="54"/>
    </row>
    <row r="706">
      <c r="C706" s="53"/>
      <c r="G706" s="2" t="str">
        <f t="shared" si="27"/>
        <v/>
      </c>
      <c r="I706" s="4">
        <f>SUMIFS(Dump!D:D,Dump!B:B,C706)</f>
        <v>0</v>
      </c>
      <c r="J706" s="5">
        <f>SUMIFS(Dump!AE:AE,Dump!B:B,C706)</f>
        <v>0</v>
      </c>
      <c r="K706" s="4">
        <f>SUMPRODUCT(
  (TEXT(Dump!$A$2:$A994,"mmm-yy")=TEXT($Y706,"mmm-yy"))*
  (Dump!$B$2:$B994=$C706)*
  Dump!$D$2:$D994)</f>
        <v>0</v>
      </c>
      <c r="L706" s="4">
        <f>SUMPRODUCT(
  (TEXT(Dump!$A$2:$A994,"mmm-yy")=TEXT($Y706,"mmm-yy"))*
  (Dump!$B$2:$B994=$C706)*
  Dump!$E$2:$E994
)</f>
        <v>0</v>
      </c>
      <c r="M706" s="4">
        <f>SUMPRODUCT(
  (TEXT(Dump!$A$2:$A994,"mmm-yy")=TEXT($Y706,"mmm-yy"))*
  (Dump!$B$2:$B994=$C706)*
  Dump!$P$2:$P994
)</f>
        <v>0</v>
      </c>
      <c r="N706" s="32"/>
      <c r="O706" s="33">
        <f>SUMIFS(Dump!$D:$D,Dump!$B:$B,$C706,Dump!$A:$A,$Y706)</f>
        <v>0</v>
      </c>
      <c r="P706" s="33">
        <f>SUMIFS(Dump!R:R,Dump!B:B,C706,Dump!A:A,Y706)</f>
        <v>0</v>
      </c>
      <c r="Q706" s="34">
        <f t="shared" si="21"/>
        <v>0</v>
      </c>
      <c r="S706" s="4">
        <f>SUMIFS(Dump!E:E,Dump!B:B,C706,Dump!A:A,Y706)</f>
        <v>0</v>
      </c>
      <c r="T706" s="35">
        <f t="shared" si="22"/>
        <v>0</v>
      </c>
      <c r="V706" s="4">
        <f>SUMIFS(Dump!P:P,Dump!B:B,C706,Dump!A:A,Y706)</f>
        <v>0</v>
      </c>
      <c r="W706" s="37">
        <f t="shared" si="23"/>
        <v>0</v>
      </c>
      <c r="X706" s="39"/>
      <c r="Y706" s="54"/>
    </row>
    <row r="707">
      <c r="C707" s="53"/>
      <c r="G707" s="2" t="str">
        <f t="shared" si="27"/>
        <v/>
      </c>
      <c r="I707" s="4">
        <f>SUMIFS(Dump!D:D,Dump!B:B,C707)</f>
        <v>0</v>
      </c>
      <c r="J707" s="5">
        <f>SUMIFS(Dump!AE:AE,Dump!B:B,C707)</f>
        <v>0</v>
      </c>
      <c r="K707" s="4">
        <f>SUMPRODUCT(
  (TEXT(Dump!$A$2:$A994,"mmm-yy")=TEXT($Y707,"mmm-yy"))*
  (Dump!$B$2:$B994=$C707)*
  Dump!$D$2:$D994)</f>
        <v>0</v>
      </c>
      <c r="L707" s="4">
        <f>SUMPRODUCT(
  (TEXT(Dump!$A$2:$A994,"mmm-yy")=TEXT($Y707,"mmm-yy"))*
  (Dump!$B$2:$B994=$C707)*
  Dump!$E$2:$E994
)</f>
        <v>0</v>
      </c>
      <c r="M707" s="4">
        <f>SUMPRODUCT(
  (TEXT(Dump!$A$2:$A994,"mmm-yy")=TEXT($Y707,"mmm-yy"))*
  (Dump!$B$2:$B994=$C707)*
  Dump!$P$2:$P994
)</f>
        <v>0</v>
      </c>
      <c r="N707" s="32"/>
      <c r="O707" s="33">
        <f>SUMIFS(Dump!$D:$D,Dump!$B:$B,$C707,Dump!$A:$A,$Y707)</f>
        <v>0</v>
      </c>
      <c r="P707" s="33">
        <f>SUMIFS(Dump!R:R,Dump!B:B,C707,Dump!A:A,Y707)</f>
        <v>0</v>
      </c>
      <c r="Q707" s="34">
        <f t="shared" si="21"/>
        <v>0</v>
      </c>
      <c r="S707" s="4">
        <f>SUMIFS(Dump!E:E,Dump!B:B,C707,Dump!A:A,Y707)</f>
        <v>0</v>
      </c>
      <c r="T707" s="35">
        <f t="shared" si="22"/>
        <v>0</v>
      </c>
      <c r="V707" s="4">
        <f>SUMIFS(Dump!P:P,Dump!B:B,C707,Dump!A:A,Y707)</f>
        <v>0</v>
      </c>
      <c r="W707" s="37">
        <f t="shared" si="23"/>
        <v>0</v>
      </c>
      <c r="X707" s="39"/>
      <c r="Y707" s="54"/>
    </row>
    <row r="708">
      <c r="C708" s="53"/>
      <c r="G708" s="2" t="str">
        <f t="shared" si="27"/>
        <v/>
      </c>
      <c r="I708" s="4">
        <f>SUMIFS(Dump!D:D,Dump!B:B,C708)</f>
        <v>0</v>
      </c>
      <c r="J708" s="5">
        <f>SUMIFS(Dump!AE:AE,Dump!B:B,C708)</f>
        <v>0</v>
      </c>
      <c r="K708" s="4">
        <f>SUMPRODUCT(
  (TEXT(Dump!$A$2:$A994,"mmm-yy")=TEXT($Y708,"mmm-yy"))*
  (Dump!$B$2:$B994=$C708)*
  Dump!$D$2:$D994)</f>
        <v>0</v>
      </c>
      <c r="L708" s="4">
        <f>SUMPRODUCT(
  (TEXT(Dump!$A$2:$A994,"mmm-yy")=TEXT($Y708,"mmm-yy"))*
  (Dump!$B$2:$B994=$C708)*
  Dump!$E$2:$E994
)</f>
        <v>0</v>
      </c>
      <c r="M708" s="4">
        <f>SUMPRODUCT(
  (TEXT(Dump!$A$2:$A994,"mmm-yy")=TEXT($Y708,"mmm-yy"))*
  (Dump!$B$2:$B994=$C708)*
  Dump!$P$2:$P994
)</f>
        <v>0</v>
      </c>
      <c r="N708" s="32"/>
      <c r="O708" s="33">
        <f>SUMIFS(Dump!$D:$D,Dump!$B:$B,$C708,Dump!$A:$A,$Y708)</f>
        <v>0</v>
      </c>
      <c r="P708" s="33">
        <f>SUMIFS(Dump!R:R,Dump!B:B,C708,Dump!A:A,Y708)</f>
        <v>0</v>
      </c>
      <c r="Q708" s="34">
        <f t="shared" si="21"/>
        <v>0</v>
      </c>
      <c r="S708" s="4">
        <f>SUMIFS(Dump!E:E,Dump!B:B,C708,Dump!A:A,Y708)</f>
        <v>0</v>
      </c>
      <c r="T708" s="35">
        <f t="shared" si="22"/>
        <v>0</v>
      </c>
      <c r="V708" s="4">
        <f>SUMIFS(Dump!P:P,Dump!B:B,C708,Dump!A:A,Y708)</f>
        <v>0</v>
      </c>
      <c r="W708" s="37">
        <f t="shared" si="23"/>
        <v>0</v>
      </c>
      <c r="X708" s="39"/>
      <c r="Y708" s="54"/>
    </row>
    <row r="709">
      <c r="C709" s="53"/>
      <c r="G709" s="2" t="str">
        <f t="shared" si="27"/>
        <v/>
      </c>
      <c r="I709" s="4">
        <f>SUMIFS(Dump!D:D,Dump!B:B,C709)</f>
        <v>0</v>
      </c>
      <c r="J709" s="5">
        <f>SUMIFS(Dump!AE:AE,Dump!B:B,C709)</f>
        <v>0</v>
      </c>
      <c r="K709" s="4">
        <f>SUMPRODUCT(
  (TEXT(Dump!$A$2:$A994,"mmm-yy")=TEXT($Y709,"mmm-yy"))*
  (Dump!$B$2:$B994=$C709)*
  Dump!$D$2:$D994)</f>
        <v>0</v>
      </c>
      <c r="L709" s="4">
        <f>SUMPRODUCT(
  (TEXT(Dump!$A$2:$A994,"mmm-yy")=TEXT($Y709,"mmm-yy"))*
  (Dump!$B$2:$B994=$C709)*
  Dump!$E$2:$E994
)</f>
        <v>0</v>
      </c>
      <c r="M709" s="4">
        <f>SUMPRODUCT(
  (TEXT(Dump!$A$2:$A994,"mmm-yy")=TEXT($Y709,"mmm-yy"))*
  (Dump!$B$2:$B994=$C709)*
  Dump!$P$2:$P994
)</f>
        <v>0</v>
      </c>
      <c r="N709" s="32"/>
      <c r="O709" s="33">
        <f>SUMIFS(Dump!$D:$D,Dump!$B:$B,$C709,Dump!$A:$A,$Y709)</f>
        <v>0</v>
      </c>
      <c r="P709" s="33">
        <f>SUMIFS(Dump!R:R,Dump!B:B,C709,Dump!A:A,Y709)</f>
        <v>0</v>
      </c>
      <c r="Q709" s="34">
        <f t="shared" si="21"/>
        <v>0</v>
      </c>
      <c r="S709" s="4">
        <f>SUMIFS(Dump!E:E,Dump!B:B,C709,Dump!A:A,Y709)</f>
        <v>0</v>
      </c>
      <c r="T709" s="35">
        <f t="shared" si="22"/>
        <v>0</v>
      </c>
      <c r="V709" s="4">
        <f>SUMIFS(Dump!P:P,Dump!B:B,C709,Dump!A:A,Y709)</f>
        <v>0</v>
      </c>
      <c r="W709" s="37">
        <f t="shared" si="23"/>
        <v>0</v>
      </c>
      <c r="X709" s="39"/>
      <c r="Y709" s="54"/>
    </row>
    <row r="710">
      <c r="C710" s="53"/>
      <c r="G710" s="2" t="str">
        <f t="shared" si="27"/>
        <v/>
      </c>
      <c r="I710" s="4">
        <f>SUMIFS(Dump!D:D,Dump!B:B,C710)</f>
        <v>0</v>
      </c>
      <c r="J710" s="5">
        <f>SUMIFS(Dump!AE:AE,Dump!B:B,C710)</f>
        <v>0</v>
      </c>
      <c r="K710" s="4">
        <f>SUMPRODUCT(
  (TEXT(Dump!$A$2:$A994,"mmm-yy")=TEXT($Y710,"mmm-yy"))*
  (Dump!$B$2:$B994=$C710)*
  Dump!$D$2:$D994)</f>
        <v>0</v>
      </c>
      <c r="L710" s="4">
        <f>SUMPRODUCT(
  (TEXT(Dump!$A$2:$A994,"mmm-yy")=TEXT($Y710,"mmm-yy"))*
  (Dump!$B$2:$B994=$C710)*
  Dump!$E$2:$E994
)</f>
        <v>0</v>
      </c>
      <c r="M710" s="4">
        <f>SUMPRODUCT(
  (TEXT(Dump!$A$2:$A994,"mmm-yy")=TEXT($Y710,"mmm-yy"))*
  (Dump!$B$2:$B994=$C710)*
  Dump!$P$2:$P994
)</f>
        <v>0</v>
      </c>
      <c r="N710" s="32"/>
      <c r="O710" s="33">
        <f>SUMIFS(Dump!$D:$D,Dump!$B:$B,$C710,Dump!$A:$A,$Y710)</f>
        <v>0</v>
      </c>
      <c r="P710" s="33">
        <f>SUMIFS(Dump!R:R,Dump!B:B,C710,Dump!A:A,Y710)</f>
        <v>0</v>
      </c>
      <c r="Q710" s="34">
        <f t="shared" si="21"/>
        <v>0</v>
      </c>
      <c r="S710" s="4">
        <f>SUMIFS(Dump!E:E,Dump!B:B,C710,Dump!A:A,Y710)</f>
        <v>0</v>
      </c>
      <c r="T710" s="35">
        <f t="shared" si="22"/>
        <v>0</v>
      </c>
      <c r="V710" s="4">
        <f>SUMIFS(Dump!P:P,Dump!B:B,C710,Dump!A:A,Y710)</f>
        <v>0</v>
      </c>
      <c r="W710" s="37">
        <f t="shared" si="23"/>
        <v>0</v>
      </c>
      <c r="X710" s="39"/>
      <c r="Y710" s="54"/>
    </row>
    <row r="711">
      <c r="C711" s="53"/>
      <c r="G711" s="2" t="str">
        <f t="shared" si="27"/>
        <v/>
      </c>
      <c r="I711" s="4">
        <f>SUMIFS(Dump!D:D,Dump!B:B,C711)</f>
        <v>0</v>
      </c>
      <c r="J711" s="5">
        <f>SUMIFS(Dump!AE:AE,Dump!B:B,C711)</f>
        <v>0</v>
      </c>
      <c r="K711" s="4">
        <f>SUMPRODUCT(
  (TEXT(Dump!$A$2:$A994,"mmm-yy")=TEXT($Y711,"mmm-yy"))*
  (Dump!$B$2:$B994=$C711)*
  Dump!$D$2:$D994)</f>
        <v>0</v>
      </c>
      <c r="L711" s="4">
        <f>SUMPRODUCT(
  (TEXT(Dump!$A$2:$A994,"mmm-yy")=TEXT($Y711,"mmm-yy"))*
  (Dump!$B$2:$B994=$C711)*
  Dump!$E$2:$E994
)</f>
        <v>0</v>
      </c>
      <c r="M711" s="4">
        <f>SUMPRODUCT(
  (TEXT(Dump!$A$2:$A994,"mmm-yy")=TEXT($Y711,"mmm-yy"))*
  (Dump!$B$2:$B994=$C711)*
  Dump!$P$2:$P994
)</f>
        <v>0</v>
      </c>
      <c r="N711" s="32"/>
      <c r="O711" s="33">
        <f>SUMIFS(Dump!$D:$D,Dump!$B:$B,$C711,Dump!$A:$A,$Y711)</f>
        <v>0</v>
      </c>
      <c r="P711" s="33">
        <f>SUMIFS(Dump!R:R,Dump!B:B,C711,Dump!A:A,Y711)</f>
        <v>0</v>
      </c>
      <c r="Q711" s="34">
        <f t="shared" si="21"/>
        <v>0</v>
      </c>
      <c r="S711" s="4">
        <f>SUMIFS(Dump!E:E,Dump!B:B,C711,Dump!A:A,Y711)</f>
        <v>0</v>
      </c>
      <c r="T711" s="35">
        <f t="shared" si="22"/>
        <v>0</v>
      </c>
      <c r="V711" s="4">
        <f>SUMIFS(Dump!P:P,Dump!B:B,C711,Dump!A:A,Y711)</f>
        <v>0</v>
      </c>
      <c r="W711" s="37">
        <f t="shared" si="23"/>
        <v>0</v>
      </c>
      <c r="X711" s="39"/>
      <c r="Y711" s="54"/>
    </row>
    <row r="712">
      <c r="C712" s="53"/>
      <c r="G712" s="2" t="str">
        <f t="shared" si="27"/>
        <v/>
      </c>
      <c r="I712" s="4">
        <f>SUMIFS(Dump!D:D,Dump!B:B,C712)</f>
        <v>0</v>
      </c>
      <c r="J712" s="5">
        <f>SUMIFS(Dump!AE:AE,Dump!B:B,C712)</f>
        <v>0</v>
      </c>
      <c r="K712" s="4">
        <f>SUMPRODUCT(
  (TEXT(Dump!$A$2:$A994,"mmm-yy")=TEXT($Y712,"mmm-yy"))*
  (Dump!$B$2:$B994=$C712)*
  Dump!$D$2:$D994)</f>
        <v>0</v>
      </c>
      <c r="L712" s="4">
        <f>SUMPRODUCT(
  (TEXT(Dump!$A$2:$A994,"mmm-yy")=TEXT($Y712,"mmm-yy"))*
  (Dump!$B$2:$B994=$C712)*
  Dump!$E$2:$E994
)</f>
        <v>0</v>
      </c>
      <c r="M712" s="4">
        <f>SUMPRODUCT(
  (TEXT(Dump!$A$2:$A994,"mmm-yy")=TEXT($Y712,"mmm-yy"))*
  (Dump!$B$2:$B994=$C712)*
  Dump!$P$2:$P994
)</f>
        <v>0</v>
      </c>
      <c r="N712" s="32"/>
      <c r="O712" s="33">
        <f>SUMIFS(Dump!$D:$D,Dump!$B:$B,$C712,Dump!$A:$A,$Y712)</f>
        <v>0</v>
      </c>
      <c r="P712" s="33">
        <f>SUMIFS(Dump!R:R,Dump!B:B,C712,Dump!A:A,Y712)</f>
        <v>0</v>
      </c>
      <c r="Q712" s="34">
        <f t="shared" si="21"/>
        <v>0</v>
      </c>
      <c r="S712" s="4">
        <f>SUMIFS(Dump!E:E,Dump!B:B,C712,Dump!A:A,Y712)</f>
        <v>0</v>
      </c>
      <c r="T712" s="35">
        <f t="shared" si="22"/>
        <v>0</v>
      </c>
      <c r="V712" s="4">
        <f>SUMIFS(Dump!P:P,Dump!B:B,C712,Dump!A:A,Y712)</f>
        <v>0</v>
      </c>
      <c r="W712" s="37">
        <f t="shared" si="23"/>
        <v>0</v>
      </c>
      <c r="X712" s="39"/>
      <c r="Y712" s="54"/>
    </row>
    <row r="713">
      <c r="C713" s="53"/>
      <c r="G713" s="2" t="str">
        <f t="shared" si="27"/>
        <v/>
      </c>
      <c r="I713" s="4">
        <f>SUMIFS(Dump!D:D,Dump!B:B,C713)</f>
        <v>0</v>
      </c>
      <c r="J713" s="5">
        <f>SUMIFS(Dump!AE:AE,Dump!B:B,C713)</f>
        <v>0</v>
      </c>
      <c r="K713" s="4">
        <f>SUMPRODUCT(
  (TEXT(Dump!$A$2:$A994,"mmm-yy")=TEXT($Y713,"mmm-yy"))*
  (Dump!$B$2:$B994=$C713)*
  Dump!$D$2:$D994)</f>
        <v>0</v>
      </c>
      <c r="L713" s="4">
        <f>SUMPRODUCT(
  (TEXT(Dump!$A$2:$A994,"mmm-yy")=TEXT($Y713,"mmm-yy"))*
  (Dump!$B$2:$B994=$C713)*
  Dump!$E$2:$E994
)</f>
        <v>0</v>
      </c>
      <c r="M713" s="4">
        <f>SUMPRODUCT(
  (TEXT(Dump!$A$2:$A994,"mmm-yy")=TEXT($Y713,"mmm-yy"))*
  (Dump!$B$2:$B994=$C713)*
  Dump!$P$2:$P994
)</f>
        <v>0</v>
      </c>
      <c r="N713" s="32"/>
      <c r="O713" s="33">
        <f>SUMIFS(Dump!$D:$D,Dump!$B:$B,$C713,Dump!$A:$A,$Y713)</f>
        <v>0</v>
      </c>
      <c r="P713" s="33">
        <f>SUMIFS(Dump!R:R,Dump!B:B,C713,Dump!A:A,Y713)</f>
        <v>0</v>
      </c>
      <c r="Q713" s="34">
        <f t="shared" si="21"/>
        <v>0</v>
      </c>
      <c r="S713" s="4">
        <f>SUMIFS(Dump!E:E,Dump!B:B,C713,Dump!A:A,Y713)</f>
        <v>0</v>
      </c>
      <c r="T713" s="35">
        <f t="shared" si="22"/>
        <v>0</v>
      </c>
      <c r="V713" s="4">
        <f>SUMIFS(Dump!P:P,Dump!B:B,C713,Dump!A:A,Y713)</f>
        <v>0</v>
      </c>
      <c r="W713" s="37">
        <f t="shared" si="23"/>
        <v>0</v>
      </c>
      <c r="X713" s="39"/>
      <c r="Y713" s="54"/>
    </row>
    <row r="714">
      <c r="C714" s="53"/>
      <c r="G714" s="2" t="str">
        <f t="shared" si="27"/>
        <v/>
      </c>
      <c r="I714" s="4">
        <f>SUMIFS(Dump!D:D,Dump!B:B,C714)</f>
        <v>0</v>
      </c>
      <c r="J714" s="5">
        <f>SUMIFS(Dump!AE:AE,Dump!B:B,C714)</f>
        <v>0</v>
      </c>
      <c r="K714" s="4">
        <f>SUMPRODUCT(
  (TEXT(Dump!$A$2:$A994,"mmm-yy")=TEXT($Y714,"mmm-yy"))*
  (Dump!$B$2:$B994=$C714)*
  Dump!$D$2:$D994)</f>
        <v>0</v>
      </c>
      <c r="L714" s="4">
        <f>SUMPRODUCT(
  (TEXT(Dump!$A$2:$A994,"mmm-yy")=TEXT($Y714,"mmm-yy"))*
  (Dump!$B$2:$B994=$C714)*
  Dump!$E$2:$E994
)</f>
        <v>0</v>
      </c>
      <c r="M714" s="4">
        <f>SUMPRODUCT(
  (TEXT(Dump!$A$2:$A994,"mmm-yy")=TEXT($Y714,"mmm-yy"))*
  (Dump!$B$2:$B994=$C714)*
  Dump!$P$2:$P994
)</f>
        <v>0</v>
      </c>
      <c r="N714" s="32"/>
      <c r="O714" s="33">
        <f>SUMIFS(Dump!$D:$D,Dump!$B:$B,$C714,Dump!$A:$A,$Y714)</f>
        <v>0</v>
      </c>
      <c r="P714" s="33">
        <f>SUMIFS(Dump!R:R,Dump!B:B,C714,Dump!A:A,Y714)</f>
        <v>0</v>
      </c>
      <c r="Q714" s="34">
        <f t="shared" si="21"/>
        <v>0</v>
      </c>
      <c r="S714" s="4">
        <f>SUMIFS(Dump!E:E,Dump!B:B,C714,Dump!A:A,Y714)</f>
        <v>0</v>
      </c>
      <c r="T714" s="35">
        <f t="shared" si="22"/>
        <v>0</v>
      </c>
      <c r="V714" s="4">
        <f>SUMIFS(Dump!P:P,Dump!B:B,C714,Dump!A:A,Y714)</f>
        <v>0</v>
      </c>
      <c r="W714" s="37">
        <f t="shared" si="23"/>
        <v>0</v>
      </c>
      <c r="X714" s="39"/>
      <c r="Y714" s="54"/>
    </row>
    <row r="715">
      <c r="C715" s="53"/>
      <c r="G715" s="2" t="str">
        <f t="shared" si="27"/>
        <v/>
      </c>
      <c r="I715" s="4">
        <f>SUMIFS(Dump!D:D,Dump!B:B,C715)</f>
        <v>0</v>
      </c>
      <c r="J715" s="5">
        <f>SUMIFS(Dump!AE:AE,Dump!B:B,C715)</f>
        <v>0</v>
      </c>
      <c r="K715" s="4">
        <f>SUMPRODUCT(
  (TEXT(Dump!$A$2:$A994,"mmm-yy")=TEXT($Y715,"mmm-yy"))*
  (Dump!$B$2:$B994=$C715)*
  Dump!$D$2:$D994)</f>
        <v>0</v>
      </c>
      <c r="L715" s="4">
        <f>SUMPRODUCT(
  (TEXT(Dump!$A$2:$A994,"mmm-yy")=TEXT($Y715,"mmm-yy"))*
  (Dump!$B$2:$B994=$C715)*
  Dump!$E$2:$E994
)</f>
        <v>0</v>
      </c>
      <c r="M715" s="4">
        <f>SUMPRODUCT(
  (TEXT(Dump!$A$2:$A994,"mmm-yy")=TEXT($Y715,"mmm-yy"))*
  (Dump!$B$2:$B994=$C715)*
  Dump!$P$2:$P994
)</f>
        <v>0</v>
      </c>
      <c r="N715" s="32"/>
      <c r="O715" s="33">
        <f>SUMIFS(Dump!$D:$D,Dump!$B:$B,$C715,Dump!$A:$A,$Y715)</f>
        <v>0</v>
      </c>
      <c r="P715" s="33">
        <f>SUMIFS(Dump!R:R,Dump!B:B,C715,Dump!A:A,Y715)</f>
        <v>0</v>
      </c>
      <c r="Q715" s="34">
        <f t="shared" si="21"/>
        <v>0</v>
      </c>
      <c r="S715" s="4">
        <f>SUMIFS(Dump!E:E,Dump!B:B,C715,Dump!A:A,Y715)</f>
        <v>0</v>
      </c>
      <c r="T715" s="35">
        <f t="shared" si="22"/>
        <v>0</v>
      </c>
      <c r="V715" s="4">
        <f>SUMIFS(Dump!P:P,Dump!B:B,C715,Dump!A:A,Y715)</f>
        <v>0</v>
      </c>
      <c r="W715" s="37">
        <f t="shared" si="23"/>
        <v>0</v>
      </c>
      <c r="X715" s="39"/>
      <c r="Y715" s="54"/>
    </row>
    <row r="716">
      <c r="C716" s="53"/>
      <c r="G716" s="2" t="str">
        <f t="shared" si="27"/>
        <v/>
      </c>
      <c r="I716" s="4">
        <f>SUMIFS(Dump!D:D,Dump!B:B,C716)</f>
        <v>0</v>
      </c>
      <c r="J716" s="5">
        <f>SUMIFS(Dump!AE:AE,Dump!B:B,C716)</f>
        <v>0</v>
      </c>
      <c r="K716" s="4">
        <f>SUMPRODUCT(
  (TEXT(Dump!$A$2:$A994,"mmm-yy")=TEXT($Y716,"mmm-yy"))*
  (Dump!$B$2:$B994=$C716)*
  Dump!$D$2:$D994)</f>
        <v>0</v>
      </c>
      <c r="L716" s="4">
        <f>SUMPRODUCT(
  (TEXT(Dump!$A$2:$A994,"mmm-yy")=TEXT($Y716,"mmm-yy"))*
  (Dump!$B$2:$B994=$C716)*
  Dump!$E$2:$E994
)</f>
        <v>0</v>
      </c>
      <c r="M716" s="4">
        <f>SUMPRODUCT(
  (TEXT(Dump!$A$2:$A994,"mmm-yy")=TEXT($Y716,"mmm-yy"))*
  (Dump!$B$2:$B994=$C716)*
  Dump!$P$2:$P994
)</f>
        <v>0</v>
      </c>
      <c r="N716" s="32"/>
      <c r="O716" s="33">
        <f>SUMIFS(Dump!$D:$D,Dump!$B:$B,$C716,Dump!$A:$A,$Y716)</f>
        <v>0</v>
      </c>
      <c r="P716" s="33">
        <f>SUMIFS(Dump!R:R,Dump!B:B,C716,Dump!A:A,Y716)</f>
        <v>0</v>
      </c>
      <c r="Q716" s="34">
        <f t="shared" si="21"/>
        <v>0</v>
      </c>
      <c r="S716" s="4">
        <f>SUMIFS(Dump!E:E,Dump!B:B,C716,Dump!A:A,Y716)</f>
        <v>0</v>
      </c>
      <c r="T716" s="35">
        <f t="shared" si="22"/>
        <v>0</v>
      </c>
      <c r="V716" s="4">
        <f>SUMIFS(Dump!P:P,Dump!B:B,C716,Dump!A:A,Y716)</f>
        <v>0</v>
      </c>
      <c r="W716" s="37">
        <f t="shared" si="23"/>
        <v>0</v>
      </c>
      <c r="X716" s="39"/>
      <c r="Y716" s="54"/>
    </row>
    <row r="717">
      <c r="C717" s="53"/>
      <c r="G717" s="2" t="str">
        <f t="shared" si="27"/>
        <v/>
      </c>
      <c r="I717" s="4">
        <f>SUMIFS(Dump!D:D,Dump!B:B,C717)</f>
        <v>0</v>
      </c>
      <c r="J717" s="5">
        <f>SUMIFS(Dump!AE:AE,Dump!B:B,C717)</f>
        <v>0</v>
      </c>
      <c r="K717" s="4">
        <f>SUMPRODUCT(
  (TEXT(Dump!$A$2:$A994,"mmm-yy")=TEXT($Y717,"mmm-yy"))*
  (Dump!$B$2:$B994=$C717)*
  Dump!$D$2:$D994)</f>
        <v>0</v>
      </c>
      <c r="L717" s="4">
        <f>SUMPRODUCT(
  (TEXT(Dump!$A$2:$A994,"mmm-yy")=TEXT($Y717,"mmm-yy"))*
  (Dump!$B$2:$B994=$C717)*
  Dump!$E$2:$E994
)</f>
        <v>0</v>
      </c>
      <c r="M717" s="4">
        <f>SUMPRODUCT(
  (TEXT(Dump!$A$2:$A994,"mmm-yy")=TEXT($Y717,"mmm-yy"))*
  (Dump!$B$2:$B994=$C717)*
  Dump!$P$2:$P994
)</f>
        <v>0</v>
      </c>
      <c r="N717" s="32"/>
      <c r="O717" s="33">
        <f>SUMIFS(Dump!$D:$D,Dump!$B:$B,$C717,Dump!$A:$A,$Y717)</f>
        <v>0</v>
      </c>
      <c r="P717" s="33">
        <f>SUMIFS(Dump!R:R,Dump!B:B,C717,Dump!A:A,Y717)</f>
        <v>0</v>
      </c>
      <c r="Q717" s="34">
        <f t="shared" si="21"/>
        <v>0</v>
      </c>
      <c r="S717" s="4">
        <f>SUMIFS(Dump!E:E,Dump!B:B,C717,Dump!A:A,Y717)</f>
        <v>0</v>
      </c>
      <c r="T717" s="35">
        <f t="shared" si="22"/>
        <v>0</v>
      </c>
      <c r="V717" s="4">
        <f>SUMIFS(Dump!P:P,Dump!B:B,C717,Dump!A:A,Y717)</f>
        <v>0</v>
      </c>
      <c r="W717" s="37">
        <f t="shared" si="23"/>
        <v>0</v>
      </c>
      <c r="X717" s="39"/>
      <c r="Y717" s="54"/>
    </row>
    <row r="718">
      <c r="C718" s="53"/>
      <c r="G718" s="2" t="str">
        <f t="shared" si="27"/>
        <v/>
      </c>
      <c r="I718" s="4">
        <f>SUMIFS(Dump!D:D,Dump!B:B,C718)</f>
        <v>0</v>
      </c>
      <c r="J718" s="5">
        <f>SUMIFS(Dump!AE:AE,Dump!B:B,C718)</f>
        <v>0</v>
      </c>
      <c r="K718" s="4">
        <f>SUMPRODUCT(
  (TEXT(Dump!$A$2:$A994,"mmm-yy")=TEXT($Y718,"mmm-yy"))*
  (Dump!$B$2:$B994=$C718)*
  Dump!$D$2:$D994)</f>
        <v>0</v>
      </c>
      <c r="L718" s="4">
        <f>SUMPRODUCT(
  (TEXT(Dump!$A$2:$A994,"mmm-yy")=TEXT($Y718,"mmm-yy"))*
  (Dump!$B$2:$B994=$C718)*
  Dump!$E$2:$E994
)</f>
        <v>0</v>
      </c>
      <c r="M718" s="4">
        <f>SUMPRODUCT(
  (TEXT(Dump!$A$2:$A994,"mmm-yy")=TEXT($Y718,"mmm-yy"))*
  (Dump!$B$2:$B994=$C718)*
  Dump!$P$2:$P994
)</f>
        <v>0</v>
      </c>
      <c r="N718" s="32"/>
      <c r="O718" s="33">
        <f>SUMIFS(Dump!$D:$D,Dump!$B:$B,$C718,Dump!$A:$A,$Y718)</f>
        <v>0</v>
      </c>
      <c r="P718" s="33">
        <f>SUMIFS(Dump!R:R,Dump!B:B,C718,Dump!A:A,Y718)</f>
        <v>0</v>
      </c>
      <c r="Q718" s="34">
        <f t="shared" si="21"/>
        <v>0</v>
      </c>
      <c r="S718" s="4">
        <f>SUMIFS(Dump!E:E,Dump!B:B,C718,Dump!A:A,Y718)</f>
        <v>0</v>
      </c>
      <c r="T718" s="35">
        <f t="shared" si="22"/>
        <v>0</v>
      </c>
      <c r="V718" s="4">
        <f>SUMIFS(Dump!P:P,Dump!B:B,C718,Dump!A:A,Y718)</f>
        <v>0</v>
      </c>
      <c r="W718" s="37">
        <f t="shared" si="23"/>
        <v>0</v>
      </c>
      <c r="X718" s="39"/>
      <c r="Y718" s="54"/>
    </row>
    <row r="719">
      <c r="C719" s="53"/>
      <c r="G719" s="2" t="str">
        <f t="shared" si="27"/>
        <v/>
      </c>
      <c r="I719" s="4">
        <f>SUMIFS(Dump!D:D,Dump!B:B,C719)</f>
        <v>0</v>
      </c>
      <c r="J719" s="5">
        <f>SUMIFS(Dump!AE:AE,Dump!B:B,C719)</f>
        <v>0</v>
      </c>
      <c r="K719" s="4">
        <f>SUMPRODUCT(
  (TEXT(Dump!$A$2:$A994,"mmm-yy")=TEXT($Y719,"mmm-yy"))*
  (Dump!$B$2:$B994=$C719)*
  Dump!$D$2:$D994)</f>
        <v>0</v>
      </c>
      <c r="L719" s="4">
        <f>SUMPRODUCT(
  (TEXT(Dump!$A$2:$A994,"mmm-yy")=TEXT($Y719,"mmm-yy"))*
  (Dump!$B$2:$B994=$C719)*
  Dump!$E$2:$E994
)</f>
        <v>0</v>
      </c>
      <c r="M719" s="4">
        <f>SUMPRODUCT(
  (TEXT(Dump!$A$2:$A994,"mmm-yy")=TEXT($Y719,"mmm-yy"))*
  (Dump!$B$2:$B994=$C719)*
  Dump!$P$2:$P994
)</f>
        <v>0</v>
      </c>
      <c r="N719" s="32"/>
      <c r="O719" s="33">
        <f>SUMIFS(Dump!$D:$D,Dump!$B:$B,$C719,Dump!$A:$A,$Y719)</f>
        <v>0</v>
      </c>
      <c r="P719" s="33">
        <f>SUMIFS(Dump!R:R,Dump!B:B,C719,Dump!A:A,Y719)</f>
        <v>0</v>
      </c>
      <c r="Q719" s="34">
        <f t="shared" si="21"/>
        <v>0</v>
      </c>
      <c r="S719" s="4">
        <f>SUMIFS(Dump!E:E,Dump!B:B,C719,Dump!A:A,Y719)</f>
        <v>0</v>
      </c>
      <c r="T719" s="35">
        <f t="shared" si="22"/>
        <v>0</v>
      </c>
      <c r="V719" s="4">
        <f>SUMIFS(Dump!P:P,Dump!B:B,C719,Dump!A:A,Y719)</f>
        <v>0</v>
      </c>
      <c r="W719" s="37">
        <f t="shared" si="23"/>
        <v>0</v>
      </c>
      <c r="X719" s="39"/>
      <c r="Y719" s="54"/>
    </row>
    <row r="720">
      <c r="C720" s="53"/>
      <c r="G720" s="2" t="str">
        <f t="shared" si="27"/>
        <v/>
      </c>
      <c r="I720" s="4">
        <f>SUMIFS(Dump!D:D,Dump!B:B,C720)</f>
        <v>0</v>
      </c>
      <c r="J720" s="5">
        <f>SUMIFS(Dump!AE:AE,Dump!B:B,C720)</f>
        <v>0</v>
      </c>
      <c r="K720" s="4">
        <f>SUMPRODUCT(
  (TEXT(Dump!$A$2:$A994,"mmm-yy")=TEXT($Y720,"mmm-yy"))*
  (Dump!$B$2:$B994=$C720)*
  Dump!$D$2:$D994)</f>
        <v>0</v>
      </c>
      <c r="L720" s="4">
        <f>SUMPRODUCT(
  (TEXT(Dump!$A$2:$A994,"mmm-yy")=TEXT($Y720,"mmm-yy"))*
  (Dump!$B$2:$B994=$C720)*
  Dump!$E$2:$E994
)</f>
        <v>0</v>
      </c>
      <c r="M720" s="4">
        <f>SUMPRODUCT(
  (TEXT(Dump!$A$2:$A994,"mmm-yy")=TEXT($Y720,"mmm-yy"))*
  (Dump!$B$2:$B994=$C720)*
  Dump!$P$2:$P994
)</f>
        <v>0</v>
      </c>
      <c r="N720" s="32"/>
      <c r="O720" s="33">
        <f>SUMIFS(Dump!$D:$D,Dump!$B:$B,$C720,Dump!$A:$A,$Y720)</f>
        <v>0</v>
      </c>
      <c r="P720" s="33">
        <f>SUMIFS(Dump!R:R,Dump!B:B,C720,Dump!A:A,Y720)</f>
        <v>0</v>
      </c>
      <c r="Q720" s="34">
        <f t="shared" si="21"/>
        <v>0</v>
      </c>
      <c r="S720" s="4">
        <f>SUMIFS(Dump!E:E,Dump!B:B,C720,Dump!A:A,Y720)</f>
        <v>0</v>
      </c>
      <c r="T720" s="35">
        <f t="shared" si="22"/>
        <v>0</v>
      </c>
      <c r="V720" s="4">
        <f>SUMIFS(Dump!P:P,Dump!B:B,C720,Dump!A:A,Y720)</f>
        <v>0</v>
      </c>
      <c r="W720" s="37">
        <f t="shared" si="23"/>
        <v>0</v>
      </c>
      <c r="X720" s="39"/>
      <c r="Y720" s="54"/>
    </row>
    <row r="721">
      <c r="C721" s="53"/>
      <c r="G721" s="2" t="str">
        <f t="shared" si="27"/>
        <v/>
      </c>
      <c r="I721" s="4">
        <f>SUMIFS(Dump!D:D,Dump!B:B,C721)</f>
        <v>0</v>
      </c>
      <c r="J721" s="5">
        <f>SUMIFS(Dump!AE:AE,Dump!B:B,C721)</f>
        <v>0</v>
      </c>
      <c r="K721" s="4">
        <f>SUMPRODUCT(
  (TEXT(Dump!$A$2:$A994,"mmm-yy")=TEXT($Y721,"mmm-yy"))*
  (Dump!$B$2:$B994=$C721)*
  Dump!$D$2:$D994)</f>
        <v>0</v>
      </c>
      <c r="L721" s="4">
        <f>SUMPRODUCT(
  (TEXT(Dump!$A$2:$A994,"mmm-yy")=TEXT($Y721,"mmm-yy"))*
  (Dump!$B$2:$B994=$C721)*
  Dump!$E$2:$E994
)</f>
        <v>0</v>
      </c>
      <c r="M721" s="4">
        <f>SUMPRODUCT(
  (TEXT(Dump!$A$2:$A994,"mmm-yy")=TEXT($Y721,"mmm-yy"))*
  (Dump!$B$2:$B994=$C721)*
  Dump!$P$2:$P994
)</f>
        <v>0</v>
      </c>
      <c r="N721" s="32"/>
      <c r="O721" s="33">
        <f>SUMIFS(Dump!$D:$D,Dump!$B:$B,$C721,Dump!$A:$A,$Y721)</f>
        <v>0</v>
      </c>
      <c r="P721" s="33">
        <f>SUMIFS(Dump!R:R,Dump!B:B,C721,Dump!A:A,Y721)</f>
        <v>0</v>
      </c>
      <c r="Q721" s="34">
        <f t="shared" si="21"/>
        <v>0</v>
      </c>
      <c r="S721" s="4">
        <f>SUMIFS(Dump!E:E,Dump!B:B,C721,Dump!A:A,Y721)</f>
        <v>0</v>
      </c>
      <c r="T721" s="35">
        <f t="shared" si="22"/>
        <v>0</v>
      </c>
      <c r="V721" s="4">
        <f>SUMIFS(Dump!P:P,Dump!B:B,C721,Dump!A:A,Y721)</f>
        <v>0</v>
      </c>
      <c r="W721" s="37">
        <f t="shared" si="23"/>
        <v>0</v>
      </c>
      <c r="X721" s="39"/>
      <c r="Y721" s="54"/>
    </row>
    <row r="722">
      <c r="C722" s="53"/>
      <c r="G722" s="2" t="str">
        <f t="shared" si="27"/>
        <v/>
      </c>
      <c r="I722" s="4">
        <f>SUMIFS(Dump!D:D,Dump!B:B,C722)</f>
        <v>0</v>
      </c>
      <c r="J722" s="5">
        <f>SUMIFS(Dump!AE:AE,Dump!B:B,C722)</f>
        <v>0</v>
      </c>
      <c r="K722" s="4">
        <f>SUMPRODUCT(
  (TEXT(Dump!$A$2:$A994,"mmm-yy")=TEXT($Y722,"mmm-yy"))*
  (Dump!$B$2:$B994=$C722)*
  Dump!$D$2:$D994)</f>
        <v>0</v>
      </c>
      <c r="L722" s="4">
        <f>SUMPRODUCT(
  (TEXT(Dump!$A$2:$A994,"mmm-yy")=TEXT($Y722,"mmm-yy"))*
  (Dump!$B$2:$B994=$C722)*
  Dump!$E$2:$E994
)</f>
        <v>0</v>
      </c>
      <c r="M722" s="4">
        <f>SUMPRODUCT(
  (TEXT(Dump!$A$2:$A994,"mmm-yy")=TEXT($Y722,"mmm-yy"))*
  (Dump!$B$2:$B994=$C722)*
  Dump!$P$2:$P994
)</f>
        <v>0</v>
      </c>
      <c r="N722" s="32"/>
      <c r="O722" s="33">
        <f>SUMIFS(Dump!$D:$D,Dump!$B:$B,$C722,Dump!$A:$A,$Y722)</f>
        <v>0</v>
      </c>
      <c r="P722" s="33">
        <f>SUMIFS(Dump!R:R,Dump!B:B,C722,Dump!A:A,Y722)</f>
        <v>0</v>
      </c>
      <c r="Q722" s="34">
        <f t="shared" si="21"/>
        <v>0</v>
      </c>
      <c r="S722" s="4">
        <f>SUMIFS(Dump!E:E,Dump!B:B,C722,Dump!A:A,Y722)</f>
        <v>0</v>
      </c>
      <c r="T722" s="35">
        <f t="shared" si="22"/>
        <v>0</v>
      </c>
      <c r="V722" s="4">
        <f>SUMIFS(Dump!P:P,Dump!B:B,C722,Dump!A:A,Y722)</f>
        <v>0</v>
      </c>
      <c r="W722" s="37">
        <f t="shared" si="23"/>
        <v>0</v>
      </c>
      <c r="X722" s="39"/>
      <c r="Y722" s="54"/>
    </row>
    <row r="723">
      <c r="C723" s="53"/>
      <c r="G723" s="2" t="str">
        <f t="shared" si="27"/>
        <v/>
      </c>
      <c r="I723" s="4">
        <f>SUMIFS(Dump!D:D,Dump!B:B,C723)</f>
        <v>0</v>
      </c>
      <c r="J723" s="5">
        <f>SUMIFS(Dump!AE:AE,Dump!B:B,C723)</f>
        <v>0</v>
      </c>
      <c r="K723" s="4">
        <f>SUMPRODUCT(
  (TEXT(Dump!$A$2:$A994,"mmm-yy")=TEXT($Y723,"mmm-yy"))*
  (Dump!$B$2:$B994=$C723)*
  Dump!$D$2:$D994)</f>
        <v>0</v>
      </c>
      <c r="L723" s="4">
        <f>SUMPRODUCT(
  (TEXT(Dump!$A$2:$A994,"mmm-yy")=TEXT($Y723,"mmm-yy"))*
  (Dump!$B$2:$B994=$C723)*
  Dump!$E$2:$E994
)</f>
        <v>0</v>
      </c>
      <c r="M723" s="4">
        <f>SUMPRODUCT(
  (TEXT(Dump!$A$2:$A994,"mmm-yy")=TEXT($Y723,"mmm-yy"))*
  (Dump!$B$2:$B994=$C723)*
  Dump!$P$2:$P994
)</f>
        <v>0</v>
      </c>
      <c r="N723" s="32"/>
      <c r="O723" s="33">
        <f>SUMIFS(Dump!$D:$D,Dump!$B:$B,$C723,Dump!$A:$A,$Y723)</f>
        <v>0</v>
      </c>
      <c r="P723" s="33">
        <f>SUMIFS(Dump!R:R,Dump!B:B,C723,Dump!A:A,Y723)</f>
        <v>0</v>
      </c>
      <c r="Q723" s="34">
        <f t="shared" si="21"/>
        <v>0</v>
      </c>
      <c r="S723" s="4">
        <f>SUMIFS(Dump!E:E,Dump!B:B,C723,Dump!A:A,Y723)</f>
        <v>0</v>
      </c>
      <c r="T723" s="35">
        <f t="shared" si="22"/>
        <v>0</v>
      </c>
      <c r="V723" s="4">
        <f>SUMIFS(Dump!P:P,Dump!B:B,C723,Dump!A:A,Y723)</f>
        <v>0</v>
      </c>
      <c r="W723" s="37">
        <f t="shared" si="23"/>
        <v>0</v>
      </c>
      <c r="X723" s="39"/>
      <c r="Y723" s="54"/>
    </row>
    <row r="724">
      <c r="C724" s="53"/>
      <c r="G724" s="2" t="str">
        <f t="shared" si="27"/>
        <v/>
      </c>
      <c r="I724" s="4">
        <f>SUMIFS(Dump!D:D,Dump!B:B,C724)</f>
        <v>0</v>
      </c>
      <c r="J724" s="5">
        <f>SUMIFS(Dump!AE:AE,Dump!B:B,C724)</f>
        <v>0</v>
      </c>
      <c r="K724" s="4">
        <f>SUMPRODUCT(
  (TEXT(Dump!$A$2:$A994,"mmm-yy")=TEXT($Y724,"mmm-yy"))*
  (Dump!$B$2:$B994=$C724)*
  Dump!$D$2:$D994)</f>
        <v>0</v>
      </c>
      <c r="L724" s="4">
        <f>SUMPRODUCT(
  (TEXT(Dump!$A$2:$A994,"mmm-yy")=TEXT($Y724,"mmm-yy"))*
  (Dump!$B$2:$B994=$C724)*
  Dump!$E$2:$E994
)</f>
        <v>0</v>
      </c>
      <c r="M724" s="4">
        <f>SUMPRODUCT(
  (TEXT(Dump!$A$2:$A994,"mmm-yy")=TEXT($Y724,"mmm-yy"))*
  (Dump!$B$2:$B994=$C724)*
  Dump!$P$2:$P994
)</f>
        <v>0</v>
      </c>
      <c r="N724" s="32"/>
      <c r="O724" s="33">
        <f>SUMIFS(Dump!$D:$D,Dump!$B:$B,$C724,Dump!$A:$A,$Y724)</f>
        <v>0</v>
      </c>
      <c r="P724" s="33">
        <f>SUMIFS(Dump!R:R,Dump!B:B,C724,Dump!A:A,Y724)</f>
        <v>0</v>
      </c>
      <c r="Q724" s="34">
        <f t="shared" si="21"/>
        <v>0</v>
      </c>
      <c r="S724" s="4">
        <f>SUMIFS(Dump!E:E,Dump!B:B,C724,Dump!A:A,Y724)</f>
        <v>0</v>
      </c>
      <c r="T724" s="35">
        <f t="shared" si="22"/>
        <v>0</v>
      </c>
      <c r="V724" s="4">
        <f>SUMIFS(Dump!P:P,Dump!B:B,C724,Dump!A:A,Y724)</f>
        <v>0</v>
      </c>
      <c r="W724" s="37">
        <f t="shared" si="23"/>
        <v>0</v>
      </c>
      <c r="X724" s="39"/>
      <c r="Y724" s="54"/>
    </row>
    <row r="725">
      <c r="C725" s="53"/>
      <c r="G725" s="2" t="str">
        <f t="shared" si="27"/>
        <v/>
      </c>
      <c r="I725" s="4">
        <f>SUMIFS(Dump!D:D,Dump!B:B,C725)</f>
        <v>0</v>
      </c>
      <c r="J725" s="5">
        <f>SUMIFS(Dump!AE:AE,Dump!B:B,C725)</f>
        <v>0</v>
      </c>
      <c r="K725" s="4">
        <f>SUMPRODUCT(
  (TEXT(Dump!$A$2:$A994,"mmm-yy")=TEXT($Y725,"mmm-yy"))*
  (Dump!$B$2:$B994=$C725)*
  Dump!$D$2:$D994)</f>
        <v>0</v>
      </c>
      <c r="L725" s="4">
        <f>SUMPRODUCT(
  (TEXT(Dump!$A$2:$A994,"mmm-yy")=TEXT($Y725,"mmm-yy"))*
  (Dump!$B$2:$B994=$C725)*
  Dump!$E$2:$E994
)</f>
        <v>0</v>
      </c>
      <c r="M725" s="4">
        <f>SUMPRODUCT(
  (TEXT(Dump!$A$2:$A994,"mmm-yy")=TEXT($Y725,"mmm-yy"))*
  (Dump!$B$2:$B994=$C725)*
  Dump!$P$2:$P994
)</f>
        <v>0</v>
      </c>
      <c r="N725" s="32"/>
      <c r="O725" s="33">
        <f>SUMIFS(Dump!$D:$D,Dump!$B:$B,$C725,Dump!$A:$A,$Y725)</f>
        <v>0</v>
      </c>
      <c r="P725" s="33">
        <f>SUMIFS(Dump!R:R,Dump!B:B,C725,Dump!A:A,Y725)</f>
        <v>0</v>
      </c>
      <c r="Q725" s="34">
        <f t="shared" si="21"/>
        <v>0</v>
      </c>
      <c r="S725" s="4">
        <f>SUMIFS(Dump!E:E,Dump!B:B,C725,Dump!A:A,Y725)</f>
        <v>0</v>
      </c>
      <c r="T725" s="35">
        <f t="shared" si="22"/>
        <v>0</v>
      </c>
      <c r="V725" s="4">
        <f>SUMIFS(Dump!P:P,Dump!B:B,C725,Dump!A:A,Y725)</f>
        <v>0</v>
      </c>
      <c r="W725" s="37">
        <f t="shared" si="23"/>
        <v>0</v>
      </c>
      <c r="X725" s="39"/>
      <c r="Y725" s="54"/>
    </row>
    <row r="726">
      <c r="C726" s="53"/>
      <c r="G726" s="2" t="str">
        <f t="shared" si="27"/>
        <v/>
      </c>
      <c r="I726" s="4">
        <f>SUMIFS(Dump!D:D,Dump!B:B,C726)</f>
        <v>0</v>
      </c>
      <c r="J726" s="5">
        <f>SUMIFS(Dump!AE:AE,Dump!B:B,C726)</f>
        <v>0</v>
      </c>
      <c r="K726" s="4">
        <f>SUMPRODUCT(
  (TEXT(Dump!$A$2:$A994,"mmm-yy")=TEXT($Y726,"mmm-yy"))*
  (Dump!$B$2:$B994=$C726)*
  Dump!$D$2:$D994)</f>
        <v>0</v>
      </c>
      <c r="L726" s="4">
        <f>SUMPRODUCT(
  (TEXT(Dump!$A$2:$A994,"mmm-yy")=TEXT($Y726,"mmm-yy"))*
  (Dump!$B$2:$B994=$C726)*
  Dump!$E$2:$E994
)</f>
        <v>0</v>
      </c>
      <c r="M726" s="4">
        <f>SUMPRODUCT(
  (TEXT(Dump!$A$2:$A994,"mmm-yy")=TEXT($Y726,"mmm-yy"))*
  (Dump!$B$2:$B994=$C726)*
  Dump!$P$2:$P994
)</f>
        <v>0</v>
      </c>
      <c r="N726" s="32"/>
      <c r="O726" s="33">
        <f>SUMIFS(Dump!$D:$D,Dump!$B:$B,$C726,Dump!$A:$A,$Y726)</f>
        <v>0</v>
      </c>
      <c r="P726" s="33">
        <f>SUMIFS(Dump!R:R,Dump!B:B,C726,Dump!A:A,Y726)</f>
        <v>0</v>
      </c>
      <c r="Q726" s="34">
        <f t="shared" si="21"/>
        <v>0</v>
      </c>
      <c r="S726" s="4">
        <f>SUMIFS(Dump!E:E,Dump!B:B,C726,Dump!A:A,Y726)</f>
        <v>0</v>
      </c>
      <c r="T726" s="35">
        <f t="shared" si="22"/>
        <v>0</v>
      </c>
      <c r="V726" s="4">
        <f>SUMIFS(Dump!P:P,Dump!B:B,C726,Dump!A:A,Y726)</f>
        <v>0</v>
      </c>
      <c r="W726" s="37">
        <f t="shared" si="23"/>
        <v>0</v>
      </c>
      <c r="X726" s="39"/>
      <c r="Y726" s="54"/>
    </row>
    <row r="727">
      <c r="C727" s="53"/>
      <c r="G727" s="2" t="str">
        <f t="shared" si="27"/>
        <v/>
      </c>
      <c r="I727" s="4">
        <f>SUMIFS(Dump!D:D,Dump!B:B,C727)</f>
        <v>0</v>
      </c>
      <c r="J727" s="5">
        <f>SUMIFS(Dump!AE:AE,Dump!B:B,C727)</f>
        <v>0</v>
      </c>
      <c r="K727" s="4">
        <f>SUMPRODUCT(
  (TEXT(Dump!$A$2:$A994,"mmm-yy")=TEXT($Y727,"mmm-yy"))*
  (Dump!$B$2:$B994=$C727)*
  Dump!$D$2:$D994)</f>
        <v>0</v>
      </c>
      <c r="L727" s="4">
        <f>SUMPRODUCT(
  (TEXT(Dump!$A$2:$A994,"mmm-yy")=TEXT($Y727,"mmm-yy"))*
  (Dump!$B$2:$B994=$C727)*
  Dump!$E$2:$E994
)</f>
        <v>0</v>
      </c>
      <c r="M727" s="4">
        <f>SUMPRODUCT(
  (TEXT(Dump!$A$2:$A994,"mmm-yy")=TEXT($Y727,"mmm-yy"))*
  (Dump!$B$2:$B994=$C727)*
  Dump!$P$2:$P994
)</f>
        <v>0</v>
      </c>
      <c r="N727" s="32"/>
      <c r="O727" s="33">
        <f>SUMIFS(Dump!$D:$D,Dump!$B:$B,$C727,Dump!$A:$A,$Y727)</f>
        <v>0</v>
      </c>
      <c r="P727" s="33">
        <f>SUMIFS(Dump!R:R,Dump!B:B,C727,Dump!A:A,Y727)</f>
        <v>0</v>
      </c>
      <c r="Q727" s="34">
        <f t="shared" si="21"/>
        <v>0</v>
      </c>
      <c r="S727" s="4">
        <f>SUMIFS(Dump!E:E,Dump!B:B,C727,Dump!A:A,Y727)</f>
        <v>0</v>
      </c>
      <c r="T727" s="35">
        <f t="shared" si="22"/>
        <v>0</v>
      </c>
      <c r="V727" s="4">
        <f>SUMIFS(Dump!P:P,Dump!B:B,C727,Dump!A:A,Y727)</f>
        <v>0</v>
      </c>
      <c r="W727" s="37">
        <f t="shared" si="23"/>
        <v>0</v>
      </c>
      <c r="X727" s="39"/>
      <c r="Y727" s="54"/>
    </row>
    <row r="728">
      <c r="C728" s="53"/>
      <c r="G728" s="2" t="str">
        <f t="shared" si="27"/>
        <v/>
      </c>
      <c r="I728" s="4">
        <f>SUMIFS(Dump!D:D,Dump!B:B,C728)</f>
        <v>0</v>
      </c>
      <c r="J728" s="5">
        <f>SUMIFS(Dump!AE:AE,Dump!B:B,C728)</f>
        <v>0</v>
      </c>
      <c r="K728" s="4">
        <f>SUMPRODUCT(
  (TEXT(Dump!$A$2:$A994,"mmm-yy")=TEXT($Y728,"mmm-yy"))*
  (Dump!$B$2:$B994=$C728)*
  Dump!$D$2:$D994)</f>
        <v>0</v>
      </c>
      <c r="L728" s="4">
        <f>SUMPRODUCT(
  (TEXT(Dump!$A$2:$A994,"mmm-yy")=TEXT($Y728,"mmm-yy"))*
  (Dump!$B$2:$B994=$C728)*
  Dump!$E$2:$E994
)</f>
        <v>0</v>
      </c>
      <c r="M728" s="4">
        <f>SUMPRODUCT(
  (TEXT(Dump!$A$2:$A994,"mmm-yy")=TEXT($Y728,"mmm-yy"))*
  (Dump!$B$2:$B994=$C728)*
  Dump!$P$2:$P994
)</f>
        <v>0</v>
      </c>
      <c r="N728" s="32"/>
      <c r="O728" s="33">
        <f>SUMIFS(Dump!$D:$D,Dump!$B:$B,$C728,Dump!$A:$A,$Y728)</f>
        <v>0</v>
      </c>
      <c r="P728" s="33">
        <f>SUMIFS(Dump!R:R,Dump!B:B,C728,Dump!A:A,Y728)</f>
        <v>0</v>
      </c>
      <c r="Q728" s="34">
        <f t="shared" si="21"/>
        <v>0</v>
      </c>
      <c r="S728" s="4">
        <f>SUMIFS(Dump!E:E,Dump!B:B,C728,Dump!A:A,Y728)</f>
        <v>0</v>
      </c>
      <c r="T728" s="35">
        <f t="shared" si="22"/>
        <v>0</v>
      </c>
      <c r="V728" s="4">
        <f>SUMIFS(Dump!P:P,Dump!B:B,C728,Dump!A:A,Y728)</f>
        <v>0</v>
      </c>
      <c r="W728" s="37">
        <f t="shared" si="23"/>
        <v>0</v>
      </c>
      <c r="X728" s="39"/>
      <c r="Y728" s="54"/>
    </row>
    <row r="729">
      <c r="C729" s="53"/>
      <c r="G729" s="2" t="str">
        <f t="shared" si="27"/>
        <v/>
      </c>
      <c r="I729" s="4">
        <f>SUMIFS(Dump!D:D,Dump!B:B,C729)</f>
        <v>0</v>
      </c>
      <c r="J729" s="5">
        <f>SUMIFS(Dump!AE:AE,Dump!B:B,C729)</f>
        <v>0</v>
      </c>
      <c r="K729" s="4">
        <f>SUMPRODUCT(
  (TEXT(Dump!$A$2:$A994,"mmm-yy")=TEXT($Y729,"mmm-yy"))*
  (Dump!$B$2:$B994=$C729)*
  Dump!$D$2:$D994)</f>
        <v>0</v>
      </c>
      <c r="L729" s="4">
        <f>SUMPRODUCT(
  (TEXT(Dump!$A$2:$A994,"mmm-yy")=TEXT($Y729,"mmm-yy"))*
  (Dump!$B$2:$B994=$C729)*
  Dump!$E$2:$E994
)</f>
        <v>0</v>
      </c>
      <c r="M729" s="4">
        <f>SUMPRODUCT(
  (TEXT(Dump!$A$2:$A994,"mmm-yy")=TEXT($Y729,"mmm-yy"))*
  (Dump!$B$2:$B994=$C729)*
  Dump!$P$2:$P994
)</f>
        <v>0</v>
      </c>
      <c r="N729" s="32"/>
      <c r="O729" s="33">
        <f>SUMIFS(Dump!$D:$D,Dump!$B:$B,$C729,Dump!$A:$A,$Y729)</f>
        <v>0</v>
      </c>
      <c r="P729" s="33">
        <f>SUMIFS(Dump!R:R,Dump!B:B,C729,Dump!A:A,Y729)</f>
        <v>0</v>
      </c>
      <c r="Q729" s="34">
        <f t="shared" si="21"/>
        <v>0</v>
      </c>
      <c r="S729" s="4">
        <f>SUMIFS(Dump!E:E,Dump!B:B,C729,Dump!A:A,Y729)</f>
        <v>0</v>
      </c>
      <c r="T729" s="35">
        <f t="shared" si="22"/>
        <v>0</v>
      </c>
      <c r="V729" s="4">
        <f>SUMIFS(Dump!P:P,Dump!B:B,C729,Dump!A:A,Y729)</f>
        <v>0</v>
      </c>
      <c r="W729" s="37">
        <f t="shared" si="23"/>
        <v>0</v>
      </c>
      <c r="X729" s="39"/>
      <c r="Y729" s="54"/>
    </row>
    <row r="730">
      <c r="C730" s="53"/>
      <c r="G730" s="2" t="str">
        <f t="shared" si="27"/>
        <v/>
      </c>
      <c r="I730" s="4">
        <f>SUMIFS(Dump!D:D,Dump!B:B,C730)</f>
        <v>0</v>
      </c>
      <c r="J730" s="5">
        <f>SUMIFS(Dump!AE:AE,Dump!B:B,C730)</f>
        <v>0</v>
      </c>
      <c r="K730" s="4">
        <f>SUMPRODUCT(
  (TEXT(Dump!$A$2:$A994,"mmm-yy")=TEXT($Y730,"mmm-yy"))*
  (Dump!$B$2:$B994=$C730)*
  Dump!$D$2:$D994)</f>
        <v>0</v>
      </c>
      <c r="L730" s="4">
        <f>SUMPRODUCT(
  (TEXT(Dump!$A$2:$A994,"mmm-yy")=TEXT($Y730,"mmm-yy"))*
  (Dump!$B$2:$B994=$C730)*
  Dump!$E$2:$E994
)</f>
        <v>0</v>
      </c>
      <c r="M730" s="4">
        <f>SUMPRODUCT(
  (TEXT(Dump!$A$2:$A994,"mmm-yy")=TEXT($Y730,"mmm-yy"))*
  (Dump!$B$2:$B994=$C730)*
  Dump!$P$2:$P994
)</f>
        <v>0</v>
      </c>
      <c r="N730" s="32"/>
      <c r="O730" s="33">
        <f>SUMIFS(Dump!$D:$D,Dump!$B:$B,$C730,Dump!$A:$A,$Y730)</f>
        <v>0</v>
      </c>
      <c r="P730" s="33">
        <f>SUMIFS(Dump!R:R,Dump!B:B,C730,Dump!A:A,Y730)</f>
        <v>0</v>
      </c>
      <c r="Q730" s="34">
        <f t="shared" si="21"/>
        <v>0</v>
      </c>
      <c r="S730" s="4">
        <f>SUMIFS(Dump!E:E,Dump!B:B,C730,Dump!A:A,Y730)</f>
        <v>0</v>
      </c>
      <c r="T730" s="35">
        <f t="shared" si="22"/>
        <v>0</v>
      </c>
      <c r="V730" s="4">
        <f>SUMIFS(Dump!P:P,Dump!B:B,C730,Dump!A:A,Y730)</f>
        <v>0</v>
      </c>
      <c r="W730" s="37">
        <f t="shared" si="23"/>
        <v>0</v>
      </c>
      <c r="X730" s="39"/>
      <c r="Y730" s="54"/>
    </row>
    <row r="731">
      <c r="C731" s="53"/>
      <c r="G731" s="2" t="str">
        <f t="shared" si="27"/>
        <v/>
      </c>
      <c r="I731" s="4">
        <f>SUMIFS(Dump!D:D,Dump!B:B,C731)</f>
        <v>0</v>
      </c>
      <c r="J731" s="5">
        <f>SUMIFS(Dump!AE:AE,Dump!B:B,C731)</f>
        <v>0</v>
      </c>
      <c r="K731" s="4">
        <f>SUMPRODUCT(
  (TEXT(Dump!$A$2:$A994,"mmm-yy")=TEXT($Y731,"mmm-yy"))*
  (Dump!$B$2:$B994=$C731)*
  Dump!$D$2:$D994)</f>
        <v>0</v>
      </c>
      <c r="L731" s="4">
        <f>SUMPRODUCT(
  (TEXT(Dump!$A$2:$A994,"mmm-yy")=TEXT($Y731,"mmm-yy"))*
  (Dump!$B$2:$B994=$C731)*
  Dump!$E$2:$E994
)</f>
        <v>0</v>
      </c>
      <c r="M731" s="4">
        <f>SUMPRODUCT(
  (TEXT(Dump!$A$2:$A994,"mmm-yy")=TEXT($Y731,"mmm-yy"))*
  (Dump!$B$2:$B994=$C731)*
  Dump!$P$2:$P994
)</f>
        <v>0</v>
      </c>
      <c r="N731" s="32"/>
      <c r="O731" s="33">
        <f>SUMIFS(Dump!$D:$D,Dump!$B:$B,$C731,Dump!$A:$A,$Y731)</f>
        <v>0</v>
      </c>
      <c r="P731" s="33">
        <f>SUMIFS(Dump!R:R,Dump!B:B,C731,Dump!A:A,Y731)</f>
        <v>0</v>
      </c>
      <c r="Q731" s="34">
        <f t="shared" si="21"/>
        <v>0</v>
      </c>
      <c r="S731" s="4">
        <f>SUMIFS(Dump!E:E,Dump!B:B,C731,Dump!A:A,Y731)</f>
        <v>0</v>
      </c>
      <c r="T731" s="35">
        <f t="shared" si="22"/>
        <v>0</v>
      </c>
      <c r="V731" s="4">
        <f>SUMIFS(Dump!P:P,Dump!B:B,C731,Dump!A:A,Y731)</f>
        <v>0</v>
      </c>
      <c r="W731" s="37">
        <f t="shared" si="23"/>
        <v>0</v>
      </c>
      <c r="X731" s="39"/>
      <c r="Y731" s="54"/>
    </row>
    <row r="732">
      <c r="C732" s="53"/>
      <c r="G732" s="2" t="str">
        <f t="shared" si="27"/>
        <v/>
      </c>
      <c r="I732" s="4">
        <f>SUMIFS(Dump!D:D,Dump!B:B,C732)</f>
        <v>0</v>
      </c>
      <c r="J732" s="5">
        <f>SUMIFS(Dump!AE:AE,Dump!B:B,C732)</f>
        <v>0</v>
      </c>
      <c r="K732" s="4">
        <f>SUMPRODUCT(
  (TEXT(Dump!$A$2:$A994,"mmm-yy")=TEXT($Y732,"mmm-yy"))*
  (Dump!$B$2:$B994=$C732)*
  Dump!$D$2:$D994)</f>
        <v>0</v>
      </c>
      <c r="L732" s="4">
        <f>SUMPRODUCT(
  (TEXT(Dump!$A$2:$A994,"mmm-yy")=TEXT($Y732,"mmm-yy"))*
  (Dump!$B$2:$B994=$C732)*
  Dump!$E$2:$E994
)</f>
        <v>0</v>
      </c>
      <c r="M732" s="4">
        <f>SUMPRODUCT(
  (TEXT(Dump!$A$2:$A994,"mmm-yy")=TEXT($Y732,"mmm-yy"))*
  (Dump!$B$2:$B994=$C732)*
  Dump!$P$2:$P994
)</f>
        <v>0</v>
      </c>
      <c r="N732" s="32"/>
      <c r="O732" s="33">
        <f>SUMIFS(Dump!$D:$D,Dump!$B:$B,$C732,Dump!$A:$A,$Y732)</f>
        <v>0</v>
      </c>
      <c r="P732" s="33">
        <f>SUMIFS(Dump!R:R,Dump!B:B,C732,Dump!A:A,Y732)</f>
        <v>0</v>
      </c>
      <c r="Q732" s="34">
        <f t="shared" si="21"/>
        <v>0</v>
      </c>
      <c r="S732" s="4">
        <f>SUMIFS(Dump!E:E,Dump!B:B,C732,Dump!A:A,Y732)</f>
        <v>0</v>
      </c>
      <c r="T732" s="35">
        <f t="shared" si="22"/>
        <v>0</v>
      </c>
      <c r="V732" s="4">
        <f>SUMIFS(Dump!P:P,Dump!B:B,C732,Dump!A:A,Y732)</f>
        <v>0</v>
      </c>
      <c r="W732" s="37">
        <f t="shared" si="23"/>
        <v>0</v>
      </c>
      <c r="X732" s="39"/>
      <c r="Y732" s="54"/>
    </row>
    <row r="733">
      <c r="C733" s="53"/>
      <c r="G733" s="2" t="str">
        <f t="shared" si="27"/>
        <v/>
      </c>
      <c r="I733" s="4">
        <f>SUMIFS(Dump!D:D,Dump!B:B,C733)</f>
        <v>0</v>
      </c>
      <c r="J733" s="5">
        <f>SUMIFS(Dump!AE:AE,Dump!B:B,C733)</f>
        <v>0</v>
      </c>
      <c r="K733" s="4">
        <f>SUMPRODUCT(
  (TEXT(Dump!$A$2:$A994,"mmm-yy")=TEXT($Y733,"mmm-yy"))*
  (Dump!$B$2:$B994=$C733)*
  Dump!$D$2:$D994)</f>
        <v>0</v>
      </c>
      <c r="L733" s="4">
        <f>SUMPRODUCT(
  (TEXT(Dump!$A$2:$A994,"mmm-yy")=TEXT($Y733,"mmm-yy"))*
  (Dump!$B$2:$B994=$C733)*
  Dump!$E$2:$E994
)</f>
        <v>0</v>
      </c>
      <c r="M733" s="4">
        <f>SUMPRODUCT(
  (TEXT(Dump!$A$2:$A994,"mmm-yy")=TEXT($Y733,"mmm-yy"))*
  (Dump!$B$2:$B994=$C733)*
  Dump!$P$2:$P994
)</f>
        <v>0</v>
      </c>
      <c r="N733" s="32"/>
      <c r="O733" s="33">
        <f>SUMIFS(Dump!$D:$D,Dump!$B:$B,$C733,Dump!$A:$A,$Y733)</f>
        <v>0</v>
      </c>
      <c r="P733" s="33">
        <f>SUMIFS(Dump!R:R,Dump!B:B,C733,Dump!A:A,Y733)</f>
        <v>0</v>
      </c>
      <c r="Q733" s="34">
        <f t="shared" si="21"/>
        <v>0</v>
      </c>
      <c r="S733" s="4">
        <f>SUMIFS(Dump!E:E,Dump!B:B,C733,Dump!A:A,Y733)</f>
        <v>0</v>
      </c>
      <c r="T733" s="35">
        <f t="shared" si="22"/>
        <v>0</v>
      </c>
      <c r="V733" s="4">
        <f>SUMIFS(Dump!P:P,Dump!B:B,C733,Dump!A:A,Y733)</f>
        <v>0</v>
      </c>
      <c r="W733" s="37">
        <f t="shared" si="23"/>
        <v>0</v>
      </c>
      <c r="X733" s="39"/>
      <c r="Y733" s="54"/>
    </row>
    <row r="734">
      <c r="C734" s="53"/>
      <c r="G734" s="2" t="str">
        <f t="shared" si="27"/>
        <v/>
      </c>
      <c r="I734" s="4">
        <f>SUMIFS(Dump!D:D,Dump!B:B,C734)</f>
        <v>0</v>
      </c>
      <c r="J734" s="5">
        <f>SUMIFS(Dump!AE:AE,Dump!B:B,C734)</f>
        <v>0</v>
      </c>
      <c r="K734" s="4">
        <f>SUMPRODUCT(
  (TEXT(Dump!$A$2:$A994,"mmm-yy")=TEXT($Y734,"mmm-yy"))*
  (Dump!$B$2:$B994=$C734)*
  Dump!$D$2:$D994)</f>
        <v>0</v>
      </c>
      <c r="L734" s="4">
        <f>SUMPRODUCT(
  (TEXT(Dump!$A$2:$A994,"mmm-yy")=TEXT($Y734,"mmm-yy"))*
  (Dump!$B$2:$B994=$C734)*
  Dump!$E$2:$E994
)</f>
        <v>0</v>
      </c>
      <c r="M734" s="4">
        <f>SUMPRODUCT(
  (TEXT(Dump!$A$2:$A994,"mmm-yy")=TEXT($Y734,"mmm-yy"))*
  (Dump!$B$2:$B994=$C734)*
  Dump!$P$2:$P994
)</f>
        <v>0</v>
      </c>
      <c r="N734" s="32"/>
      <c r="O734" s="33">
        <f>SUMIFS(Dump!$D:$D,Dump!$B:$B,$C734,Dump!$A:$A,$Y734)</f>
        <v>0</v>
      </c>
      <c r="P734" s="33">
        <f>SUMIFS(Dump!R:R,Dump!B:B,C734,Dump!A:A,Y734)</f>
        <v>0</v>
      </c>
      <c r="Q734" s="34">
        <f t="shared" si="21"/>
        <v>0</v>
      </c>
      <c r="S734" s="4">
        <f>SUMIFS(Dump!E:E,Dump!B:B,C734,Dump!A:A,Y734)</f>
        <v>0</v>
      </c>
      <c r="T734" s="35">
        <f t="shared" si="22"/>
        <v>0</v>
      </c>
      <c r="V734" s="4">
        <f>SUMIFS(Dump!P:P,Dump!B:B,C734,Dump!A:A,Y734)</f>
        <v>0</v>
      </c>
      <c r="W734" s="37">
        <f t="shared" si="23"/>
        <v>0</v>
      </c>
      <c r="X734" s="39"/>
      <c r="Y734" s="54"/>
    </row>
    <row r="735">
      <c r="C735" s="53"/>
      <c r="G735" s="2" t="str">
        <f t="shared" si="27"/>
        <v/>
      </c>
      <c r="I735" s="4">
        <f>SUMIFS(Dump!D:D,Dump!B:B,C735)</f>
        <v>0</v>
      </c>
      <c r="J735" s="5">
        <f>SUMIFS(Dump!AE:AE,Dump!B:B,C735)</f>
        <v>0</v>
      </c>
      <c r="K735" s="4">
        <f>SUMPRODUCT(
  (TEXT(Dump!$A$2:$A994,"mmm-yy")=TEXT($Y735,"mmm-yy"))*
  (Dump!$B$2:$B994=$C735)*
  Dump!$D$2:$D994)</f>
        <v>0</v>
      </c>
      <c r="L735" s="4">
        <f>SUMPRODUCT(
  (TEXT(Dump!$A$2:$A994,"mmm-yy")=TEXT($Y735,"mmm-yy"))*
  (Dump!$B$2:$B994=$C735)*
  Dump!$E$2:$E994
)</f>
        <v>0</v>
      </c>
      <c r="M735" s="4">
        <f>SUMPRODUCT(
  (TEXT(Dump!$A$2:$A994,"mmm-yy")=TEXT($Y735,"mmm-yy"))*
  (Dump!$B$2:$B994=$C735)*
  Dump!$P$2:$P994
)</f>
        <v>0</v>
      </c>
      <c r="N735" s="32"/>
      <c r="O735" s="33">
        <f>SUMIFS(Dump!$D:$D,Dump!$B:$B,$C735,Dump!$A:$A,$Y735)</f>
        <v>0</v>
      </c>
      <c r="P735" s="33">
        <f>SUMIFS(Dump!R:R,Dump!B:B,C735,Dump!A:A,Y735)</f>
        <v>0</v>
      </c>
      <c r="Q735" s="34">
        <f t="shared" si="21"/>
        <v>0</v>
      </c>
      <c r="S735" s="4">
        <f>SUMIFS(Dump!E:E,Dump!B:B,C735,Dump!A:A,Y735)</f>
        <v>0</v>
      </c>
      <c r="T735" s="35">
        <f t="shared" si="22"/>
        <v>0</v>
      </c>
      <c r="V735" s="4">
        <f>SUMIFS(Dump!P:P,Dump!B:B,C735,Dump!A:A,Y735)</f>
        <v>0</v>
      </c>
      <c r="W735" s="37">
        <f t="shared" si="23"/>
        <v>0</v>
      </c>
      <c r="X735" s="39"/>
      <c r="Y735" s="54"/>
    </row>
    <row r="736">
      <c r="C736" s="53"/>
      <c r="G736" s="2" t="str">
        <f t="shared" si="27"/>
        <v/>
      </c>
      <c r="I736" s="4">
        <f>SUMIFS(Dump!D:D,Dump!B:B,C736)</f>
        <v>0</v>
      </c>
      <c r="J736" s="5">
        <f>SUMIFS(Dump!AE:AE,Dump!B:B,C736)</f>
        <v>0</v>
      </c>
      <c r="K736" s="4">
        <f>SUMPRODUCT(
  (TEXT(Dump!$A$2:$A994,"mmm-yy")=TEXT($Y736,"mmm-yy"))*
  (Dump!$B$2:$B994=$C736)*
  Dump!$D$2:$D994)</f>
        <v>0</v>
      </c>
      <c r="L736" s="4">
        <f>SUMPRODUCT(
  (TEXT(Dump!$A$2:$A994,"mmm-yy")=TEXT($Y736,"mmm-yy"))*
  (Dump!$B$2:$B994=$C736)*
  Dump!$E$2:$E994
)</f>
        <v>0</v>
      </c>
      <c r="M736" s="4">
        <f>SUMPRODUCT(
  (TEXT(Dump!$A$2:$A994,"mmm-yy")=TEXT($Y736,"mmm-yy"))*
  (Dump!$B$2:$B994=$C736)*
  Dump!$P$2:$P994
)</f>
        <v>0</v>
      </c>
      <c r="N736" s="32"/>
      <c r="O736" s="33">
        <f>SUMIFS(Dump!$D:$D,Dump!$B:$B,$C736,Dump!$A:$A,$Y736)</f>
        <v>0</v>
      </c>
      <c r="P736" s="33">
        <f>SUMIFS(Dump!R:R,Dump!B:B,C736,Dump!A:A,Y736)</f>
        <v>0</v>
      </c>
      <c r="Q736" s="34">
        <f t="shared" si="21"/>
        <v>0</v>
      </c>
      <c r="S736" s="4">
        <f>SUMIFS(Dump!E:E,Dump!B:B,C736,Dump!A:A,Y736)</f>
        <v>0</v>
      </c>
      <c r="T736" s="35">
        <f t="shared" si="22"/>
        <v>0</v>
      </c>
      <c r="V736" s="4">
        <f>SUMIFS(Dump!P:P,Dump!B:B,C736,Dump!A:A,Y736)</f>
        <v>0</v>
      </c>
      <c r="W736" s="37">
        <f t="shared" si="23"/>
        <v>0</v>
      </c>
      <c r="X736" s="39"/>
      <c r="Y736" s="54"/>
    </row>
    <row r="737">
      <c r="C737" s="53"/>
      <c r="G737" s="2" t="str">
        <f t="shared" si="27"/>
        <v/>
      </c>
      <c r="I737" s="4">
        <f>SUMIFS(Dump!D:D,Dump!B:B,C737)</f>
        <v>0</v>
      </c>
      <c r="J737" s="5">
        <f>SUMIFS(Dump!AE:AE,Dump!B:B,C737)</f>
        <v>0</v>
      </c>
      <c r="K737" s="4">
        <f>SUMPRODUCT(
  (TEXT(Dump!$A$2:$A994,"mmm-yy")=TEXT($Y737,"mmm-yy"))*
  (Dump!$B$2:$B994=$C737)*
  Dump!$D$2:$D994)</f>
        <v>0</v>
      </c>
      <c r="L737" s="4">
        <f>SUMPRODUCT(
  (TEXT(Dump!$A$2:$A994,"mmm-yy")=TEXT($Y737,"mmm-yy"))*
  (Dump!$B$2:$B994=$C737)*
  Dump!$E$2:$E994
)</f>
        <v>0</v>
      </c>
      <c r="M737" s="4">
        <f>SUMPRODUCT(
  (TEXT(Dump!$A$2:$A994,"mmm-yy")=TEXT($Y737,"mmm-yy"))*
  (Dump!$B$2:$B994=$C737)*
  Dump!$P$2:$P994
)</f>
        <v>0</v>
      </c>
      <c r="N737" s="32"/>
      <c r="O737" s="33">
        <f>SUMIFS(Dump!$D:$D,Dump!$B:$B,$C737,Dump!$A:$A,$Y737)</f>
        <v>0</v>
      </c>
      <c r="P737" s="33">
        <f>SUMIFS(Dump!R:R,Dump!B:B,C737,Dump!A:A,Y737)</f>
        <v>0</v>
      </c>
      <c r="Q737" s="34">
        <f t="shared" si="21"/>
        <v>0</v>
      </c>
      <c r="S737" s="4">
        <f>SUMIFS(Dump!E:E,Dump!B:B,C737,Dump!A:A,Y737)</f>
        <v>0</v>
      </c>
      <c r="T737" s="35">
        <f t="shared" si="22"/>
        <v>0</v>
      </c>
      <c r="V737" s="4">
        <f>SUMIFS(Dump!P:P,Dump!B:B,C737,Dump!A:A,Y737)</f>
        <v>0</v>
      </c>
      <c r="W737" s="37">
        <f t="shared" si="23"/>
        <v>0</v>
      </c>
      <c r="X737" s="39"/>
      <c r="Y737" s="54"/>
    </row>
    <row r="738">
      <c r="C738" s="53"/>
      <c r="G738" s="2" t="str">
        <f t="shared" si="27"/>
        <v/>
      </c>
      <c r="I738" s="4">
        <f>SUMIFS(Dump!D:D,Dump!B:B,C738)</f>
        <v>0</v>
      </c>
      <c r="J738" s="5">
        <f>SUMIFS(Dump!AE:AE,Dump!B:B,C738)</f>
        <v>0</v>
      </c>
      <c r="K738" s="4">
        <f>SUMPRODUCT(
  (TEXT(Dump!$A$2:$A994,"mmm-yy")=TEXT($Y738,"mmm-yy"))*
  (Dump!$B$2:$B994=$C738)*
  Dump!$D$2:$D994)</f>
        <v>0</v>
      </c>
      <c r="L738" s="4">
        <f>SUMPRODUCT(
  (TEXT(Dump!$A$2:$A994,"mmm-yy")=TEXT($Y738,"mmm-yy"))*
  (Dump!$B$2:$B994=$C738)*
  Dump!$E$2:$E994
)</f>
        <v>0</v>
      </c>
      <c r="M738" s="4">
        <f>SUMPRODUCT(
  (TEXT(Dump!$A$2:$A994,"mmm-yy")=TEXT($Y738,"mmm-yy"))*
  (Dump!$B$2:$B994=$C738)*
  Dump!$P$2:$P994
)</f>
        <v>0</v>
      </c>
      <c r="N738" s="32"/>
      <c r="O738" s="33">
        <f>SUMIFS(Dump!$D:$D,Dump!$B:$B,$C738,Dump!$A:$A,$Y738)</f>
        <v>0</v>
      </c>
      <c r="P738" s="33">
        <f>SUMIFS(Dump!R:R,Dump!B:B,C738,Dump!A:A,Y738)</f>
        <v>0</v>
      </c>
      <c r="Q738" s="34">
        <f t="shared" si="21"/>
        <v>0</v>
      </c>
      <c r="S738" s="4">
        <f>SUMIFS(Dump!E:E,Dump!B:B,C738,Dump!A:A,Y738)</f>
        <v>0</v>
      </c>
      <c r="T738" s="35">
        <f t="shared" si="22"/>
        <v>0</v>
      </c>
      <c r="V738" s="4">
        <f>SUMIFS(Dump!P:P,Dump!B:B,C738,Dump!A:A,Y738)</f>
        <v>0</v>
      </c>
      <c r="W738" s="37">
        <f t="shared" si="23"/>
        <v>0</v>
      </c>
      <c r="X738" s="39"/>
      <c r="Y738" s="54"/>
    </row>
    <row r="739">
      <c r="C739" s="53"/>
      <c r="G739" s="2" t="str">
        <f t="shared" si="27"/>
        <v/>
      </c>
      <c r="I739" s="4">
        <f>SUMIFS(Dump!D:D,Dump!B:B,C739)</f>
        <v>0</v>
      </c>
      <c r="J739" s="5">
        <f>SUMIFS(Dump!AE:AE,Dump!B:B,C739)</f>
        <v>0</v>
      </c>
      <c r="K739" s="4">
        <f>SUMPRODUCT(
  (TEXT(Dump!$A$2:$A994,"mmm-yy")=TEXT($Y739,"mmm-yy"))*
  (Dump!$B$2:$B994=$C739)*
  Dump!$D$2:$D994)</f>
        <v>0</v>
      </c>
      <c r="L739" s="4">
        <f>SUMPRODUCT(
  (TEXT(Dump!$A$2:$A994,"mmm-yy")=TEXT($Y739,"mmm-yy"))*
  (Dump!$B$2:$B994=$C739)*
  Dump!$E$2:$E994
)</f>
        <v>0</v>
      </c>
      <c r="M739" s="4">
        <f>SUMPRODUCT(
  (TEXT(Dump!$A$2:$A994,"mmm-yy")=TEXT($Y739,"mmm-yy"))*
  (Dump!$B$2:$B994=$C739)*
  Dump!$P$2:$P994
)</f>
        <v>0</v>
      </c>
      <c r="N739" s="32"/>
      <c r="O739" s="33">
        <f>SUMIFS(Dump!$D:$D,Dump!$B:$B,$C739,Dump!$A:$A,$Y739)</f>
        <v>0</v>
      </c>
      <c r="P739" s="33">
        <f>SUMIFS(Dump!R:R,Dump!B:B,C739,Dump!A:A,Y739)</f>
        <v>0</v>
      </c>
      <c r="Q739" s="34">
        <f t="shared" si="21"/>
        <v>0</v>
      </c>
      <c r="S739" s="4">
        <f>SUMIFS(Dump!E:E,Dump!B:B,C739,Dump!A:A,Y739)</f>
        <v>0</v>
      </c>
      <c r="T739" s="35">
        <f t="shared" si="22"/>
        <v>0</v>
      </c>
      <c r="V739" s="4">
        <f>SUMIFS(Dump!P:P,Dump!B:B,C739,Dump!A:A,Y739)</f>
        <v>0</v>
      </c>
      <c r="W739" s="37">
        <f t="shared" si="23"/>
        <v>0</v>
      </c>
      <c r="X739" s="39"/>
      <c r="Y739" s="54"/>
    </row>
    <row r="740">
      <c r="C740" s="53"/>
      <c r="G740" s="2" t="str">
        <f t="shared" si="27"/>
        <v/>
      </c>
      <c r="I740" s="4">
        <f>SUMIFS(Dump!D:D,Dump!B:B,C740)</f>
        <v>0</v>
      </c>
      <c r="J740" s="5">
        <f>SUMIFS(Dump!AE:AE,Dump!B:B,C740)</f>
        <v>0</v>
      </c>
      <c r="K740" s="4">
        <f>SUMPRODUCT(
  (TEXT(Dump!$A$2:$A994,"mmm-yy")=TEXT($Y740,"mmm-yy"))*
  (Dump!$B$2:$B994=$C740)*
  Dump!$D$2:$D994)</f>
        <v>0</v>
      </c>
      <c r="L740" s="4">
        <f>SUMPRODUCT(
  (TEXT(Dump!$A$2:$A994,"mmm-yy")=TEXT($Y740,"mmm-yy"))*
  (Dump!$B$2:$B994=$C740)*
  Dump!$E$2:$E994
)</f>
        <v>0</v>
      </c>
      <c r="M740" s="4">
        <f>SUMPRODUCT(
  (TEXT(Dump!$A$2:$A994,"mmm-yy")=TEXT($Y740,"mmm-yy"))*
  (Dump!$B$2:$B994=$C740)*
  Dump!$P$2:$P994
)</f>
        <v>0</v>
      </c>
      <c r="N740" s="32"/>
      <c r="O740" s="33">
        <f>SUMIFS(Dump!$D:$D,Dump!$B:$B,$C740,Dump!$A:$A,$Y740)</f>
        <v>0</v>
      </c>
      <c r="P740" s="33">
        <f>SUMIFS(Dump!R:R,Dump!B:B,C740,Dump!A:A,Y740)</f>
        <v>0</v>
      </c>
      <c r="Q740" s="34">
        <f t="shared" si="21"/>
        <v>0</v>
      </c>
      <c r="S740" s="4">
        <f>SUMIFS(Dump!E:E,Dump!B:B,C740,Dump!A:A,Y740)</f>
        <v>0</v>
      </c>
      <c r="T740" s="35">
        <f t="shared" si="22"/>
        <v>0</v>
      </c>
      <c r="V740" s="4">
        <f>SUMIFS(Dump!P:P,Dump!B:B,C740,Dump!A:A,Y740)</f>
        <v>0</v>
      </c>
      <c r="W740" s="37">
        <f t="shared" si="23"/>
        <v>0</v>
      </c>
      <c r="X740" s="39"/>
      <c r="Y740" s="54"/>
    </row>
    <row r="741">
      <c r="C741" s="53"/>
      <c r="G741" s="2" t="str">
        <f t="shared" si="27"/>
        <v/>
      </c>
      <c r="I741" s="4">
        <f>SUMIFS(Dump!D:D,Dump!B:B,C741)</f>
        <v>0</v>
      </c>
      <c r="J741" s="5">
        <f>SUMIFS(Dump!AE:AE,Dump!B:B,C741)</f>
        <v>0</v>
      </c>
      <c r="K741" s="4">
        <f>SUMPRODUCT(
  (TEXT(Dump!$A$2:$A994,"mmm-yy")=TEXT($Y741,"mmm-yy"))*
  (Dump!$B$2:$B994=$C741)*
  Dump!$D$2:$D994)</f>
        <v>0</v>
      </c>
      <c r="L741" s="4">
        <f>SUMPRODUCT(
  (TEXT(Dump!$A$2:$A994,"mmm-yy")=TEXT($Y741,"mmm-yy"))*
  (Dump!$B$2:$B994=$C741)*
  Dump!$E$2:$E994
)</f>
        <v>0</v>
      </c>
      <c r="M741" s="4">
        <f>SUMPRODUCT(
  (TEXT(Dump!$A$2:$A994,"mmm-yy")=TEXT($Y741,"mmm-yy"))*
  (Dump!$B$2:$B994=$C741)*
  Dump!$P$2:$P994
)</f>
        <v>0</v>
      </c>
      <c r="N741" s="32"/>
      <c r="O741" s="33">
        <f>SUMIFS(Dump!$D:$D,Dump!$B:$B,$C741,Dump!$A:$A,$Y741)</f>
        <v>0</v>
      </c>
      <c r="P741" s="33">
        <f>SUMIFS(Dump!R:R,Dump!B:B,C741,Dump!A:A,Y741)</f>
        <v>0</v>
      </c>
      <c r="Q741" s="34">
        <f t="shared" si="21"/>
        <v>0</v>
      </c>
      <c r="S741" s="4">
        <f>SUMIFS(Dump!E:E,Dump!B:B,C741,Dump!A:A,Y741)</f>
        <v>0</v>
      </c>
      <c r="T741" s="35">
        <f t="shared" si="22"/>
        <v>0</v>
      </c>
      <c r="V741" s="4">
        <f>SUMIFS(Dump!P:P,Dump!B:B,C741,Dump!A:A,Y741)</f>
        <v>0</v>
      </c>
      <c r="W741" s="37">
        <f t="shared" si="23"/>
        <v>0</v>
      </c>
      <c r="X741" s="39"/>
      <c r="Y741" s="54"/>
    </row>
    <row r="742">
      <c r="C742" s="53"/>
      <c r="G742" s="2" t="str">
        <f t="shared" si="27"/>
        <v/>
      </c>
      <c r="I742" s="4">
        <f>SUMIFS(Dump!D:D,Dump!B:B,C742)</f>
        <v>0</v>
      </c>
      <c r="J742" s="5">
        <f>SUMIFS(Dump!AE:AE,Dump!B:B,C742)</f>
        <v>0</v>
      </c>
      <c r="K742" s="4">
        <f>SUMPRODUCT(
  (TEXT(Dump!$A$2:$A994,"mmm-yy")=TEXT($Y742,"mmm-yy"))*
  (Dump!$B$2:$B994=$C742)*
  Dump!$D$2:$D994)</f>
        <v>0</v>
      </c>
      <c r="L742" s="4">
        <f>SUMPRODUCT(
  (TEXT(Dump!$A$2:$A994,"mmm-yy")=TEXT($Y742,"mmm-yy"))*
  (Dump!$B$2:$B994=$C742)*
  Dump!$E$2:$E994
)</f>
        <v>0</v>
      </c>
      <c r="M742" s="4">
        <f>SUMPRODUCT(
  (TEXT(Dump!$A$2:$A994,"mmm-yy")=TEXT($Y742,"mmm-yy"))*
  (Dump!$B$2:$B994=$C742)*
  Dump!$P$2:$P994
)</f>
        <v>0</v>
      </c>
      <c r="N742" s="32"/>
      <c r="O742" s="33">
        <f>SUMIFS(Dump!$D:$D,Dump!$B:$B,$C742,Dump!$A:$A,$Y742)</f>
        <v>0</v>
      </c>
      <c r="P742" s="33">
        <f>SUMIFS(Dump!R:R,Dump!B:B,C742,Dump!A:A,Y742)</f>
        <v>0</v>
      </c>
      <c r="Q742" s="34">
        <f t="shared" si="21"/>
        <v>0</v>
      </c>
      <c r="S742" s="4">
        <f>SUMIFS(Dump!E:E,Dump!B:B,C742,Dump!A:A,Y742)</f>
        <v>0</v>
      </c>
      <c r="T742" s="35">
        <f t="shared" si="22"/>
        <v>0</v>
      </c>
      <c r="V742" s="4">
        <f>SUMIFS(Dump!P:P,Dump!B:B,C742,Dump!A:A,Y742)</f>
        <v>0</v>
      </c>
      <c r="W742" s="37">
        <f t="shared" si="23"/>
        <v>0</v>
      </c>
      <c r="X742" s="39"/>
      <c r="Y742" s="54"/>
    </row>
    <row r="743">
      <c r="C743" s="53"/>
      <c r="G743" s="2" t="str">
        <f t="shared" si="27"/>
        <v/>
      </c>
      <c r="I743" s="4">
        <f>SUMIFS(Dump!D:D,Dump!B:B,C743)</f>
        <v>0</v>
      </c>
      <c r="J743" s="5">
        <f>SUMIFS(Dump!AE:AE,Dump!B:B,C743)</f>
        <v>0</v>
      </c>
      <c r="K743" s="4">
        <f>SUMPRODUCT(
  (TEXT(Dump!$A$2:$A994,"mmm-yy")=TEXT($Y743,"mmm-yy"))*
  (Dump!$B$2:$B994=$C743)*
  Dump!$D$2:$D994)</f>
        <v>0</v>
      </c>
      <c r="L743" s="4">
        <f>SUMPRODUCT(
  (TEXT(Dump!$A$2:$A994,"mmm-yy")=TEXT($Y743,"mmm-yy"))*
  (Dump!$B$2:$B994=$C743)*
  Dump!$E$2:$E994
)</f>
        <v>0</v>
      </c>
      <c r="M743" s="4">
        <f>SUMPRODUCT(
  (TEXT(Dump!$A$2:$A994,"mmm-yy")=TEXT($Y743,"mmm-yy"))*
  (Dump!$B$2:$B994=$C743)*
  Dump!$P$2:$P994
)</f>
        <v>0</v>
      </c>
      <c r="N743" s="32"/>
      <c r="O743" s="33">
        <f>SUMIFS(Dump!$D:$D,Dump!$B:$B,$C743,Dump!$A:$A,$Y743)</f>
        <v>0</v>
      </c>
      <c r="P743" s="33">
        <f>SUMIFS(Dump!R:R,Dump!B:B,C743,Dump!A:A,Y743)</f>
        <v>0</v>
      </c>
      <c r="Q743" s="34">
        <f t="shared" si="21"/>
        <v>0</v>
      </c>
      <c r="S743" s="4">
        <f>SUMIFS(Dump!E:E,Dump!B:B,C743,Dump!A:A,Y743)</f>
        <v>0</v>
      </c>
      <c r="T743" s="35">
        <f t="shared" si="22"/>
        <v>0</v>
      </c>
      <c r="V743" s="4">
        <f>SUMIFS(Dump!P:P,Dump!B:B,C743,Dump!A:A,Y743)</f>
        <v>0</v>
      </c>
      <c r="W743" s="37">
        <f t="shared" si="23"/>
        <v>0</v>
      </c>
      <c r="X743" s="39"/>
      <c r="Y743" s="54"/>
    </row>
    <row r="744">
      <c r="C744" s="53"/>
      <c r="G744" s="2" t="str">
        <f t="shared" si="27"/>
        <v/>
      </c>
      <c r="I744" s="4">
        <f>SUMIFS(Dump!D:D,Dump!B:B,C744)</f>
        <v>0</v>
      </c>
      <c r="J744" s="5">
        <f>SUMIFS(Dump!AE:AE,Dump!B:B,C744)</f>
        <v>0</v>
      </c>
      <c r="K744" s="4">
        <f>SUMPRODUCT(
  (TEXT(Dump!$A$2:$A994,"mmm-yy")=TEXT($Y744,"mmm-yy"))*
  (Dump!$B$2:$B994=$C744)*
  Dump!$D$2:$D994)</f>
        <v>0</v>
      </c>
      <c r="L744" s="4">
        <f>SUMPRODUCT(
  (TEXT(Dump!$A$2:$A994,"mmm-yy")=TEXT($Y744,"mmm-yy"))*
  (Dump!$B$2:$B994=$C744)*
  Dump!$E$2:$E994
)</f>
        <v>0</v>
      </c>
      <c r="M744" s="4">
        <f>SUMPRODUCT(
  (TEXT(Dump!$A$2:$A994,"mmm-yy")=TEXT($Y744,"mmm-yy"))*
  (Dump!$B$2:$B994=$C744)*
  Dump!$P$2:$P994
)</f>
        <v>0</v>
      </c>
      <c r="N744" s="32"/>
      <c r="O744" s="33">
        <f>SUMIFS(Dump!$D:$D,Dump!$B:$B,$C744,Dump!$A:$A,$Y744)</f>
        <v>0</v>
      </c>
      <c r="P744" s="33">
        <f>SUMIFS(Dump!R:R,Dump!B:B,C744,Dump!A:A,Y744)</f>
        <v>0</v>
      </c>
      <c r="Q744" s="34">
        <f t="shared" si="21"/>
        <v>0</v>
      </c>
      <c r="S744" s="4">
        <f>SUMIFS(Dump!E:E,Dump!B:B,C744,Dump!A:A,Y744)</f>
        <v>0</v>
      </c>
      <c r="T744" s="35">
        <f t="shared" si="22"/>
        <v>0</v>
      </c>
      <c r="V744" s="4">
        <f>SUMIFS(Dump!P:P,Dump!B:B,C744,Dump!A:A,Y744)</f>
        <v>0</v>
      </c>
      <c r="W744" s="37">
        <f t="shared" si="23"/>
        <v>0</v>
      </c>
      <c r="X744" s="39"/>
      <c r="Y744" s="54"/>
    </row>
    <row r="745">
      <c r="C745" s="53"/>
      <c r="G745" s="2" t="str">
        <f t="shared" si="27"/>
        <v/>
      </c>
      <c r="I745" s="4">
        <f>SUMIFS(Dump!D:D,Dump!B:B,C745)</f>
        <v>0</v>
      </c>
      <c r="J745" s="5">
        <f>SUMIFS(Dump!AE:AE,Dump!B:B,C745)</f>
        <v>0</v>
      </c>
      <c r="K745" s="4">
        <f>SUMPRODUCT(
  (TEXT(Dump!$A$2:$A994,"mmm-yy")=TEXT($Y745,"mmm-yy"))*
  (Dump!$B$2:$B994=$C745)*
  Dump!$D$2:$D994)</f>
        <v>0</v>
      </c>
      <c r="L745" s="4">
        <f>SUMPRODUCT(
  (TEXT(Dump!$A$2:$A994,"mmm-yy")=TEXT($Y745,"mmm-yy"))*
  (Dump!$B$2:$B994=$C745)*
  Dump!$E$2:$E994
)</f>
        <v>0</v>
      </c>
      <c r="M745" s="4">
        <f>SUMPRODUCT(
  (TEXT(Dump!$A$2:$A994,"mmm-yy")=TEXT($Y745,"mmm-yy"))*
  (Dump!$B$2:$B994=$C745)*
  Dump!$P$2:$P994
)</f>
        <v>0</v>
      </c>
      <c r="N745" s="32"/>
      <c r="O745" s="33">
        <f>SUMIFS(Dump!$D:$D,Dump!$B:$B,$C745,Dump!$A:$A,$Y745)</f>
        <v>0</v>
      </c>
      <c r="P745" s="33">
        <f>SUMIFS(Dump!R:R,Dump!B:B,C745,Dump!A:A,Y745)</f>
        <v>0</v>
      </c>
      <c r="Q745" s="34">
        <f t="shared" si="21"/>
        <v>0</v>
      </c>
      <c r="S745" s="4">
        <f>SUMIFS(Dump!E:E,Dump!B:B,C745,Dump!A:A,Y745)</f>
        <v>0</v>
      </c>
      <c r="T745" s="35">
        <f t="shared" si="22"/>
        <v>0</v>
      </c>
      <c r="V745" s="4">
        <f>SUMIFS(Dump!P:P,Dump!B:B,C745,Dump!A:A,Y745)</f>
        <v>0</v>
      </c>
      <c r="W745" s="37">
        <f t="shared" si="23"/>
        <v>0</v>
      </c>
      <c r="X745" s="39"/>
      <c r="Y745" s="54"/>
    </row>
    <row r="746">
      <c r="C746" s="53"/>
      <c r="G746" s="2" t="str">
        <f t="shared" si="27"/>
        <v/>
      </c>
      <c r="I746" s="4">
        <f>SUMIFS(Dump!D:D,Dump!B:B,C746)</f>
        <v>0</v>
      </c>
      <c r="J746" s="5">
        <f>SUMIFS(Dump!AE:AE,Dump!B:B,C746)</f>
        <v>0</v>
      </c>
      <c r="K746" s="4">
        <f>SUMPRODUCT(
  (TEXT(Dump!$A$2:$A994,"mmm-yy")=TEXT($Y746,"mmm-yy"))*
  (Dump!$B$2:$B994=$C746)*
  Dump!$D$2:$D994)</f>
        <v>0</v>
      </c>
      <c r="L746" s="4">
        <f>SUMPRODUCT(
  (TEXT(Dump!$A$2:$A994,"mmm-yy")=TEXT($Y746,"mmm-yy"))*
  (Dump!$B$2:$B994=$C746)*
  Dump!$E$2:$E994
)</f>
        <v>0</v>
      </c>
      <c r="M746" s="4">
        <f>SUMPRODUCT(
  (TEXT(Dump!$A$2:$A994,"mmm-yy")=TEXT($Y746,"mmm-yy"))*
  (Dump!$B$2:$B994=$C746)*
  Dump!$P$2:$P994
)</f>
        <v>0</v>
      </c>
      <c r="N746" s="32"/>
      <c r="O746" s="33">
        <f>SUMIFS(Dump!$D:$D,Dump!$B:$B,$C746,Dump!$A:$A,$Y746)</f>
        <v>0</v>
      </c>
      <c r="P746" s="33">
        <f>SUMIFS(Dump!R:R,Dump!B:B,C746,Dump!A:A,Y746)</f>
        <v>0</v>
      </c>
      <c r="Q746" s="34">
        <f t="shared" si="21"/>
        <v>0</v>
      </c>
      <c r="S746" s="4">
        <f>SUMIFS(Dump!E:E,Dump!B:B,C746,Dump!A:A,Y746)</f>
        <v>0</v>
      </c>
      <c r="T746" s="35">
        <f t="shared" si="22"/>
        <v>0</v>
      </c>
      <c r="V746" s="4">
        <f>SUMIFS(Dump!P:P,Dump!B:B,C746,Dump!A:A,Y746)</f>
        <v>0</v>
      </c>
      <c r="W746" s="37">
        <f t="shared" si="23"/>
        <v>0</v>
      </c>
      <c r="X746" s="39"/>
      <c r="Y746" s="54"/>
    </row>
    <row r="747">
      <c r="C747" s="53"/>
      <c r="G747" s="2" t="str">
        <f t="shared" si="27"/>
        <v/>
      </c>
      <c r="I747" s="4">
        <f>SUMIFS(Dump!D:D,Dump!B:B,C747)</f>
        <v>0</v>
      </c>
      <c r="J747" s="5">
        <f>SUMIFS(Dump!AE:AE,Dump!B:B,C747)</f>
        <v>0</v>
      </c>
      <c r="K747" s="4">
        <f>SUMPRODUCT(
  (TEXT(Dump!$A$2:$A994,"mmm-yy")=TEXT($Y747,"mmm-yy"))*
  (Dump!$B$2:$B994=$C747)*
  Dump!$D$2:$D994)</f>
        <v>0</v>
      </c>
      <c r="L747" s="4">
        <f>SUMPRODUCT(
  (TEXT(Dump!$A$2:$A994,"mmm-yy")=TEXT($Y747,"mmm-yy"))*
  (Dump!$B$2:$B994=$C747)*
  Dump!$E$2:$E994
)</f>
        <v>0</v>
      </c>
      <c r="M747" s="4">
        <f>SUMPRODUCT(
  (TEXT(Dump!$A$2:$A994,"mmm-yy")=TEXT($Y747,"mmm-yy"))*
  (Dump!$B$2:$B994=$C747)*
  Dump!$P$2:$P994
)</f>
        <v>0</v>
      </c>
      <c r="N747" s="32"/>
      <c r="O747" s="33">
        <f>SUMIFS(Dump!$D:$D,Dump!$B:$B,$C747,Dump!$A:$A,$Y747)</f>
        <v>0</v>
      </c>
      <c r="P747" s="33">
        <f>SUMIFS(Dump!R:R,Dump!B:B,C747,Dump!A:A,Y747)</f>
        <v>0</v>
      </c>
      <c r="Q747" s="34">
        <f t="shared" si="21"/>
        <v>0</v>
      </c>
      <c r="S747" s="4">
        <f>SUMIFS(Dump!E:E,Dump!B:B,C747,Dump!A:A,Y747)</f>
        <v>0</v>
      </c>
      <c r="T747" s="35">
        <f t="shared" si="22"/>
        <v>0</v>
      </c>
      <c r="V747" s="4">
        <f>SUMIFS(Dump!P:P,Dump!B:B,C747,Dump!A:A,Y747)</f>
        <v>0</v>
      </c>
      <c r="W747" s="37">
        <f t="shared" si="23"/>
        <v>0</v>
      </c>
      <c r="X747" s="39"/>
      <c r="Y747" s="54"/>
    </row>
    <row r="748">
      <c r="C748" s="53"/>
      <c r="G748" s="2" t="str">
        <f t="shared" si="27"/>
        <v/>
      </c>
      <c r="I748" s="4">
        <f>SUMIFS(Dump!D:D,Dump!B:B,C748)</f>
        <v>0</v>
      </c>
      <c r="J748" s="5">
        <f>SUMIFS(Dump!AE:AE,Dump!B:B,C748)</f>
        <v>0</v>
      </c>
      <c r="K748" s="4">
        <f>SUMPRODUCT(
  (TEXT(Dump!$A$2:$A994,"mmm-yy")=TEXT($Y748,"mmm-yy"))*
  (Dump!$B$2:$B994=$C748)*
  Dump!$D$2:$D994)</f>
        <v>0</v>
      </c>
      <c r="L748" s="4">
        <f>SUMPRODUCT(
  (TEXT(Dump!$A$2:$A994,"mmm-yy")=TEXT($Y748,"mmm-yy"))*
  (Dump!$B$2:$B994=$C748)*
  Dump!$E$2:$E994
)</f>
        <v>0</v>
      </c>
      <c r="M748" s="4">
        <f>SUMPRODUCT(
  (TEXT(Dump!$A$2:$A994,"mmm-yy")=TEXT($Y748,"mmm-yy"))*
  (Dump!$B$2:$B994=$C748)*
  Dump!$P$2:$P994
)</f>
        <v>0</v>
      </c>
      <c r="N748" s="32"/>
      <c r="O748" s="33">
        <f>SUMIFS(Dump!$D:$D,Dump!$B:$B,$C748,Dump!$A:$A,$Y748)</f>
        <v>0</v>
      </c>
      <c r="P748" s="33">
        <f>SUMIFS(Dump!R:R,Dump!B:B,C748,Dump!A:A,Y748)</f>
        <v>0</v>
      </c>
      <c r="Q748" s="34">
        <f t="shared" si="21"/>
        <v>0</v>
      </c>
      <c r="S748" s="4">
        <f>SUMIFS(Dump!E:E,Dump!B:B,C748,Dump!A:A,Y748)</f>
        <v>0</v>
      </c>
      <c r="T748" s="35">
        <f t="shared" si="22"/>
        <v>0</v>
      </c>
      <c r="V748" s="4">
        <f>SUMIFS(Dump!P:P,Dump!B:B,C748,Dump!A:A,Y748)</f>
        <v>0</v>
      </c>
      <c r="W748" s="37">
        <f t="shared" si="23"/>
        <v>0</v>
      </c>
      <c r="X748" s="39"/>
      <c r="Y748" s="54"/>
    </row>
    <row r="749">
      <c r="C749" s="53"/>
      <c r="G749" s="2" t="str">
        <f t="shared" si="27"/>
        <v/>
      </c>
      <c r="I749" s="4">
        <f>SUMIFS(Dump!D:D,Dump!B:B,C749)</f>
        <v>0</v>
      </c>
      <c r="J749" s="5">
        <f>SUMIFS(Dump!AE:AE,Dump!B:B,C749)</f>
        <v>0</v>
      </c>
      <c r="K749" s="4">
        <f>SUMPRODUCT(
  (TEXT(Dump!$A$2:$A994,"mmm-yy")=TEXT($Y749,"mmm-yy"))*
  (Dump!$B$2:$B994=$C749)*
  Dump!$D$2:$D994)</f>
        <v>0</v>
      </c>
      <c r="L749" s="4">
        <f>SUMPRODUCT(
  (TEXT(Dump!$A$2:$A994,"mmm-yy")=TEXT($Y749,"mmm-yy"))*
  (Dump!$B$2:$B994=$C749)*
  Dump!$E$2:$E994
)</f>
        <v>0</v>
      </c>
      <c r="M749" s="4">
        <f>SUMPRODUCT(
  (TEXT(Dump!$A$2:$A994,"mmm-yy")=TEXT($Y749,"mmm-yy"))*
  (Dump!$B$2:$B994=$C749)*
  Dump!$P$2:$P994
)</f>
        <v>0</v>
      </c>
      <c r="N749" s="32"/>
      <c r="O749" s="33">
        <f>SUMIFS(Dump!$D:$D,Dump!$B:$B,$C749,Dump!$A:$A,$Y749)</f>
        <v>0</v>
      </c>
      <c r="P749" s="33">
        <f>SUMIFS(Dump!R:R,Dump!B:B,C749,Dump!A:A,Y749)</f>
        <v>0</v>
      </c>
      <c r="Q749" s="34">
        <f t="shared" si="21"/>
        <v>0</v>
      </c>
      <c r="S749" s="4">
        <f>SUMIFS(Dump!E:E,Dump!B:B,C749,Dump!A:A,Y749)</f>
        <v>0</v>
      </c>
      <c r="T749" s="35">
        <f t="shared" si="22"/>
        <v>0</v>
      </c>
      <c r="V749" s="4">
        <f>SUMIFS(Dump!P:P,Dump!B:B,C749,Dump!A:A,Y749)</f>
        <v>0</v>
      </c>
      <c r="W749" s="37">
        <f t="shared" si="23"/>
        <v>0</v>
      </c>
      <c r="X749" s="39"/>
      <c r="Y749" s="54"/>
    </row>
    <row r="750">
      <c r="C750" s="53"/>
      <c r="G750" s="2" t="str">
        <f t="shared" si="27"/>
        <v/>
      </c>
      <c r="I750" s="4">
        <f>SUMIFS(Dump!D:D,Dump!B:B,C750)</f>
        <v>0</v>
      </c>
      <c r="J750" s="5">
        <f>SUMIFS(Dump!AE:AE,Dump!B:B,C750)</f>
        <v>0</v>
      </c>
      <c r="K750" s="4">
        <f>SUMPRODUCT(
  (TEXT(Dump!$A$2:$A994,"mmm-yy")=TEXT($Y750,"mmm-yy"))*
  (Dump!$B$2:$B994=$C750)*
  Dump!$D$2:$D994)</f>
        <v>0</v>
      </c>
      <c r="L750" s="4">
        <f>SUMPRODUCT(
  (TEXT(Dump!$A$2:$A994,"mmm-yy")=TEXT($Y750,"mmm-yy"))*
  (Dump!$B$2:$B994=$C750)*
  Dump!$E$2:$E994
)</f>
        <v>0</v>
      </c>
      <c r="M750" s="4">
        <f>SUMPRODUCT(
  (TEXT(Dump!$A$2:$A994,"mmm-yy")=TEXT($Y750,"mmm-yy"))*
  (Dump!$B$2:$B994=$C750)*
  Dump!$P$2:$P994
)</f>
        <v>0</v>
      </c>
      <c r="N750" s="32"/>
      <c r="O750" s="33">
        <f>SUMIFS(Dump!$D:$D,Dump!$B:$B,$C750,Dump!$A:$A,$Y750)</f>
        <v>0</v>
      </c>
      <c r="P750" s="33">
        <f>SUMIFS(Dump!R:R,Dump!B:B,C750,Dump!A:A,Y750)</f>
        <v>0</v>
      </c>
      <c r="Q750" s="34">
        <f t="shared" si="21"/>
        <v>0</v>
      </c>
      <c r="S750" s="4">
        <f>SUMIFS(Dump!E:E,Dump!B:B,C750,Dump!A:A,Y750)</f>
        <v>0</v>
      </c>
      <c r="T750" s="35">
        <f t="shared" si="22"/>
        <v>0</v>
      </c>
      <c r="V750" s="4">
        <f>SUMIFS(Dump!P:P,Dump!B:B,C750,Dump!A:A,Y750)</f>
        <v>0</v>
      </c>
      <c r="W750" s="37">
        <f t="shared" si="23"/>
        <v>0</v>
      </c>
      <c r="X750" s="39"/>
      <c r="Y750" s="54"/>
    </row>
    <row r="751">
      <c r="C751" s="53"/>
      <c r="G751" s="2" t="str">
        <f t="shared" si="27"/>
        <v/>
      </c>
      <c r="I751" s="4">
        <f>SUMIFS(Dump!D:D,Dump!B:B,C751)</f>
        <v>0</v>
      </c>
      <c r="J751" s="5">
        <f>SUMIFS(Dump!AE:AE,Dump!B:B,C751)</f>
        <v>0</v>
      </c>
      <c r="K751" s="4">
        <f>SUMPRODUCT(
  (TEXT(Dump!$A$2:$A994,"mmm-yy")=TEXT($Y751,"mmm-yy"))*
  (Dump!$B$2:$B994=$C751)*
  Dump!$D$2:$D994)</f>
        <v>0</v>
      </c>
      <c r="L751" s="4">
        <f>SUMPRODUCT(
  (TEXT(Dump!$A$2:$A994,"mmm-yy")=TEXT($Y751,"mmm-yy"))*
  (Dump!$B$2:$B994=$C751)*
  Dump!$E$2:$E994
)</f>
        <v>0</v>
      </c>
      <c r="M751" s="4">
        <f>SUMPRODUCT(
  (TEXT(Dump!$A$2:$A994,"mmm-yy")=TEXT($Y751,"mmm-yy"))*
  (Dump!$B$2:$B994=$C751)*
  Dump!$P$2:$P994
)</f>
        <v>0</v>
      </c>
      <c r="N751" s="32"/>
      <c r="O751" s="33">
        <f>SUMIFS(Dump!$D:$D,Dump!$B:$B,$C751,Dump!$A:$A,$Y751)</f>
        <v>0</v>
      </c>
      <c r="P751" s="33">
        <f>SUMIFS(Dump!R:R,Dump!B:B,C751,Dump!A:A,Y751)</f>
        <v>0</v>
      </c>
      <c r="Q751" s="34">
        <f t="shared" si="21"/>
        <v>0</v>
      </c>
      <c r="S751" s="4">
        <f>SUMIFS(Dump!E:E,Dump!B:B,C751,Dump!A:A,Y751)</f>
        <v>0</v>
      </c>
      <c r="T751" s="35">
        <f t="shared" si="22"/>
        <v>0</v>
      </c>
      <c r="V751" s="4">
        <f>SUMIFS(Dump!P:P,Dump!B:B,C751,Dump!A:A,Y751)</f>
        <v>0</v>
      </c>
      <c r="W751" s="37">
        <f t="shared" si="23"/>
        <v>0</v>
      </c>
      <c r="X751" s="39"/>
      <c r="Y751" s="54"/>
    </row>
    <row r="752">
      <c r="C752" s="53"/>
      <c r="G752" s="2" t="str">
        <f t="shared" si="27"/>
        <v/>
      </c>
      <c r="I752" s="4">
        <f>SUMIFS(Dump!D:D,Dump!B:B,C752)</f>
        <v>0</v>
      </c>
      <c r="J752" s="5">
        <f>SUMIFS(Dump!AE:AE,Dump!B:B,C752)</f>
        <v>0</v>
      </c>
      <c r="K752" s="4">
        <f>SUMPRODUCT(
  (TEXT(Dump!$A$2:$A994,"mmm-yy")=TEXT($Y752,"mmm-yy"))*
  (Dump!$B$2:$B994=$C752)*
  Dump!$D$2:$D994)</f>
        <v>0</v>
      </c>
      <c r="L752" s="4">
        <f>SUMPRODUCT(
  (TEXT(Dump!$A$2:$A994,"mmm-yy")=TEXT($Y752,"mmm-yy"))*
  (Dump!$B$2:$B994=$C752)*
  Dump!$E$2:$E994
)</f>
        <v>0</v>
      </c>
      <c r="M752" s="4">
        <f>SUMPRODUCT(
  (TEXT(Dump!$A$2:$A994,"mmm-yy")=TEXT($Y752,"mmm-yy"))*
  (Dump!$B$2:$B994=$C752)*
  Dump!$P$2:$P994
)</f>
        <v>0</v>
      </c>
      <c r="N752" s="32"/>
      <c r="O752" s="33">
        <f>SUMIFS(Dump!$D:$D,Dump!$B:$B,$C752,Dump!$A:$A,$Y752)</f>
        <v>0</v>
      </c>
      <c r="P752" s="33">
        <f>SUMIFS(Dump!R:R,Dump!B:B,C752,Dump!A:A,Y752)</f>
        <v>0</v>
      </c>
      <c r="Q752" s="34">
        <f t="shared" si="21"/>
        <v>0</v>
      </c>
      <c r="S752" s="4">
        <f>SUMIFS(Dump!E:E,Dump!B:B,C752,Dump!A:A,Y752)</f>
        <v>0</v>
      </c>
      <c r="T752" s="35">
        <f t="shared" si="22"/>
        <v>0</v>
      </c>
      <c r="V752" s="4">
        <f>SUMIFS(Dump!P:P,Dump!B:B,C752,Dump!A:A,Y752)</f>
        <v>0</v>
      </c>
      <c r="W752" s="37">
        <f t="shared" si="23"/>
        <v>0</v>
      </c>
      <c r="X752" s="39"/>
      <c r="Y752" s="54"/>
    </row>
    <row r="753">
      <c r="C753" s="53"/>
      <c r="G753" s="2" t="str">
        <f t="shared" si="27"/>
        <v/>
      </c>
      <c r="I753" s="4">
        <f>SUMIFS(Dump!D:D,Dump!B:B,C753)</f>
        <v>0</v>
      </c>
      <c r="J753" s="5">
        <f>SUMIFS(Dump!AE:AE,Dump!B:B,C753)</f>
        <v>0</v>
      </c>
      <c r="K753" s="4">
        <f>SUMPRODUCT(
  (TEXT(Dump!$A$2:$A994,"mmm-yy")=TEXT($Y753,"mmm-yy"))*
  (Dump!$B$2:$B994=$C753)*
  Dump!$D$2:$D994)</f>
        <v>0</v>
      </c>
      <c r="L753" s="4">
        <f>SUMPRODUCT(
  (TEXT(Dump!$A$2:$A994,"mmm-yy")=TEXT($Y753,"mmm-yy"))*
  (Dump!$B$2:$B994=$C753)*
  Dump!$E$2:$E994
)</f>
        <v>0</v>
      </c>
      <c r="M753" s="4">
        <f>SUMPRODUCT(
  (TEXT(Dump!$A$2:$A994,"mmm-yy")=TEXT($Y753,"mmm-yy"))*
  (Dump!$B$2:$B994=$C753)*
  Dump!$P$2:$P994
)</f>
        <v>0</v>
      </c>
      <c r="N753" s="32"/>
      <c r="O753" s="33">
        <f>SUMIFS(Dump!$D:$D,Dump!$B:$B,$C753,Dump!$A:$A,$Y753)</f>
        <v>0</v>
      </c>
      <c r="P753" s="33">
        <f>SUMIFS(Dump!R:R,Dump!B:B,C753,Dump!A:A,Y753)</f>
        <v>0</v>
      </c>
      <c r="Q753" s="34">
        <f t="shared" si="21"/>
        <v>0</v>
      </c>
      <c r="S753" s="4">
        <f>SUMIFS(Dump!E:E,Dump!B:B,C753,Dump!A:A,Y753)</f>
        <v>0</v>
      </c>
      <c r="T753" s="35">
        <f t="shared" si="22"/>
        <v>0</v>
      </c>
      <c r="V753" s="4">
        <f>SUMIFS(Dump!P:P,Dump!B:B,C753,Dump!A:A,Y753)</f>
        <v>0</v>
      </c>
      <c r="W753" s="37">
        <f t="shared" si="23"/>
        <v>0</v>
      </c>
      <c r="X753" s="39"/>
      <c r="Y753" s="54"/>
    </row>
    <row r="754">
      <c r="C754" s="53"/>
      <c r="G754" s="2" t="str">
        <f t="shared" si="27"/>
        <v/>
      </c>
      <c r="I754" s="4">
        <f>SUMIFS(Dump!D:D,Dump!B:B,C754)</f>
        <v>0</v>
      </c>
      <c r="J754" s="5">
        <f>SUMIFS(Dump!AE:AE,Dump!B:B,C754)</f>
        <v>0</v>
      </c>
      <c r="K754" s="4">
        <f>SUMPRODUCT(
  (TEXT(Dump!$A$2:$A994,"mmm-yy")=TEXT($Y754,"mmm-yy"))*
  (Dump!$B$2:$B994=$C754)*
  Dump!$D$2:$D994)</f>
        <v>0</v>
      </c>
      <c r="L754" s="4">
        <f>SUMPRODUCT(
  (TEXT(Dump!$A$2:$A994,"mmm-yy")=TEXT($Y754,"mmm-yy"))*
  (Dump!$B$2:$B994=$C754)*
  Dump!$E$2:$E994
)</f>
        <v>0</v>
      </c>
      <c r="M754" s="4">
        <f>SUMPRODUCT(
  (TEXT(Dump!$A$2:$A994,"mmm-yy")=TEXT($Y754,"mmm-yy"))*
  (Dump!$B$2:$B994=$C754)*
  Dump!$P$2:$P994
)</f>
        <v>0</v>
      </c>
      <c r="N754" s="32"/>
      <c r="O754" s="33">
        <f>SUMIFS(Dump!$D:$D,Dump!$B:$B,$C754,Dump!$A:$A,$Y754)</f>
        <v>0</v>
      </c>
      <c r="P754" s="33">
        <f>SUMIFS(Dump!R:R,Dump!B:B,C754,Dump!A:A,Y754)</f>
        <v>0</v>
      </c>
      <c r="Q754" s="34">
        <f t="shared" si="21"/>
        <v>0</v>
      </c>
      <c r="S754" s="4">
        <f>SUMIFS(Dump!E:E,Dump!B:B,C754,Dump!A:A,Y754)</f>
        <v>0</v>
      </c>
      <c r="T754" s="35">
        <f t="shared" si="22"/>
        <v>0</v>
      </c>
      <c r="V754" s="4">
        <f>SUMIFS(Dump!P:P,Dump!B:B,C754,Dump!A:A,Y754)</f>
        <v>0</v>
      </c>
      <c r="W754" s="37">
        <f t="shared" si="23"/>
        <v>0</v>
      </c>
      <c r="X754" s="39"/>
      <c r="Y754" s="54"/>
    </row>
    <row r="755">
      <c r="C755" s="53"/>
      <c r="G755" s="2" t="str">
        <f t="shared" si="27"/>
        <v/>
      </c>
      <c r="I755" s="4">
        <f>SUMIFS(Dump!D:D,Dump!B:B,C755)</f>
        <v>0</v>
      </c>
      <c r="J755" s="5">
        <f>SUMIFS(Dump!AE:AE,Dump!B:B,C755)</f>
        <v>0</v>
      </c>
      <c r="K755" s="4">
        <f>SUMPRODUCT(
  (TEXT(Dump!$A$2:$A994,"mmm-yy")=TEXT($Y755,"mmm-yy"))*
  (Dump!$B$2:$B994=$C755)*
  Dump!$D$2:$D994)</f>
        <v>0</v>
      </c>
      <c r="L755" s="4">
        <f>SUMPRODUCT(
  (TEXT(Dump!$A$2:$A994,"mmm-yy")=TEXT($Y755,"mmm-yy"))*
  (Dump!$B$2:$B994=$C755)*
  Dump!$E$2:$E994
)</f>
        <v>0</v>
      </c>
      <c r="M755" s="4">
        <f>SUMPRODUCT(
  (TEXT(Dump!$A$2:$A994,"mmm-yy")=TEXT($Y755,"mmm-yy"))*
  (Dump!$B$2:$B994=$C755)*
  Dump!$P$2:$P994
)</f>
        <v>0</v>
      </c>
      <c r="N755" s="32"/>
      <c r="O755" s="33">
        <f>SUMIFS(Dump!$D:$D,Dump!$B:$B,$C755,Dump!$A:$A,$Y755)</f>
        <v>0</v>
      </c>
      <c r="P755" s="33">
        <f>SUMIFS(Dump!R:R,Dump!B:B,C755,Dump!A:A,Y755)</f>
        <v>0</v>
      </c>
      <c r="Q755" s="34">
        <f t="shared" si="21"/>
        <v>0</v>
      </c>
      <c r="S755" s="4">
        <f>SUMIFS(Dump!E:E,Dump!B:B,C755,Dump!A:A,Y755)</f>
        <v>0</v>
      </c>
      <c r="T755" s="35">
        <f t="shared" si="22"/>
        <v>0</v>
      </c>
      <c r="V755" s="4">
        <f>SUMIFS(Dump!P:P,Dump!B:B,C755,Dump!A:A,Y755)</f>
        <v>0</v>
      </c>
      <c r="W755" s="37">
        <f t="shared" si="23"/>
        <v>0</v>
      </c>
      <c r="X755" s="39"/>
      <c r="Y755" s="54"/>
    </row>
    <row r="756">
      <c r="C756" s="53"/>
      <c r="G756" s="2" t="str">
        <f t="shared" si="27"/>
        <v/>
      </c>
      <c r="I756" s="4">
        <f>SUMIFS(Dump!D:D,Dump!B:B,C756)</f>
        <v>0</v>
      </c>
      <c r="J756" s="5">
        <f>SUMIFS(Dump!AE:AE,Dump!B:B,C756)</f>
        <v>0</v>
      </c>
      <c r="K756" s="4">
        <f>SUMPRODUCT(
  (TEXT(Dump!$A$2:$A994,"mmm-yy")=TEXT($Y756,"mmm-yy"))*
  (Dump!$B$2:$B994=$C756)*
  Dump!$D$2:$D994)</f>
        <v>0</v>
      </c>
      <c r="L756" s="4">
        <f>SUMPRODUCT(
  (TEXT(Dump!$A$2:$A994,"mmm-yy")=TEXT($Y756,"mmm-yy"))*
  (Dump!$B$2:$B994=$C756)*
  Dump!$E$2:$E994
)</f>
        <v>0</v>
      </c>
      <c r="M756" s="4">
        <f>SUMPRODUCT(
  (TEXT(Dump!$A$2:$A994,"mmm-yy")=TEXT($Y756,"mmm-yy"))*
  (Dump!$B$2:$B994=$C756)*
  Dump!$P$2:$P994
)</f>
        <v>0</v>
      </c>
      <c r="N756" s="32"/>
      <c r="O756" s="33">
        <f>SUMIFS(Dump!$D:$D,Dump!$B:$B,$C756,Dump!$A:$A,$Y756)</f>
        <v>0</v>
      </c>
      <c r="P756" s="33">
        <f>SUMIFS(Dump!R:R,Dump!B:B,C756,Dump!A:A,Y756)</f>
        <v>0</v>
      </c>
      <c r="Q756" s="34">
        <f t="shared" si="21"/>
        <v>0</v>
      </c>
      <c r="S756" s="4">
        <f>SUMIFS(Dump!E:E,Dump!B:B,C756,Dump!A:A,Y756)</f>
        <v>0</v>
      </c>
      <c r="T756" s="35">
        <f t="shared" si="22"/>
        <v>0</v>
      </c>
      <c r="V756" s="4">
        <f>SUMIFS(Dump!P:P,Dump!B:B,C756,Dump!A:A,Y756)</f>
        <v>0</v>
      </c>
      <c r="W756" s="37">
        <f t="shared" si="23"/>
        <v>0</v>
      </c>
      <c r="X756" s="39"/>
      <c r="Y756" s="54"/>
    </row>
    <row r="757">
      <c r="C757" s="53"/>
      <c r="G757" s="2" t="str">
        <f t="shared" si="27"/>
        <v/>
      </c>
      <c r="I757" s="4">
        <f>SUMIFS(Dump!D:D,Dump!B:B,C757)</f>
        <v>0</v>
      </c>
      <c r="J757" s="5">
        <f>SUMIFS(Dump!AE:AE,Dump!B:B,C757)</f>
        <v>0</v>
      </c>
      <c r="K757" s="4">
        <f>SUMPRODUCT(
  (TEXT(Dump!$A$2:$A994,"mmm-yy")=TEXT($Y757,"mmm-yy"))*
  (Dump!$B$2:$B994=$C757)*
  Dump!$D$2:$D994)</f>
        <v>0</v>
      </c>
      <c r="L757" s="4">
        <f>SUMPRODUCT(
  (TEXT(Dump!$A$2:$A994,"mmm-yy")=TEXT($Y757,"mmm-yy"))*
  (Dump!$B$2:$B994=$C757)*
  Dump!$E$2:$E994
)</f>
        <v>0</v>
      </c>
      <c r="M757" s="4">
        <f>SUMPRODUCT(
  (TEXT(Dump!$A$2:$A994,"mmm-yy")=TEXT($Y757,"mmm-yy"))*
  (Dump!$B$2:$B994=$C757)*
  Dump!$P$2:$P994
)</f>
        <v>0</v>
      </c>
      <c r="N757" s="32"/>
      <c r="O757" s="33">
        <f>SUMIFS(Dump!$D:$D,Dump!$B:$B,$C757,Dump!$A:$A,$Y757)</f>
        <v>0</v>
      </c>
      <c r="P757" s="33">
        <f>SUMIFS(Dump!R:R,Dump!B:B,C757,Dump!A:A,Y757)</f>
        <v>0</v>
      </c>
      <c r="Q757" s="34">
        <f t="shared" si="21"/>
        <v>0</v>
      </c>
      <c r="S757" s="4">
        <f>SUMIFS(Dump!E:E,Dump!B:B,C757,Dump!A:A,Y757)</f>
        <v>0</v>
      </c>
      <c r="T757" s="35">
        <f t="shared" si="22"/>
        <v>0</v>
      </c>
      <c r="V757" s="4">
        <f>SUMIFS(Dump!P:P,Dump!B:B,C757,Dump!A:A,Y757)</f>
        <v>0</v>
      </c>
      <c r="W757" s="37">
        <f t="shared" si="23"/>
        <v>0</v>
      </c>
      <c r="X757" s="39"/>
      <c r="Y757" s="54"/>
    </row>
    <row r="758">
      <c r="C758" s="53"/>
      <c r="G758" s="2" t="str">
        <f t="shared" si="27"/>
        <v/>
      </c>
      <c r="I758" s="4">
        <f>SUMIFS(Dump!D:D,Dump!B:B,C758)</f>
        <v>0</v>
      </c>
      <c r="J758" s="5">
        <f>SUMIFS(Dump!AE:AE,Dump!B:B,C758)</f>
        <v>0</v>
      </c>
      <c r="K758" s="4">
        <f>SUMPRODUCT(
  (TEXT(Dump!$A$2:$A994,"mmm-yy")=TEXT($Y758,"mmm-yy"))*
  (Dump!$B$2:$B994=$C758)*
  Dump!$D$2:$D994)</f>
        <v>0</v>
      </c>
      <c r="L758" s="4">
        <f>SUMPRODUCT(
  (TEXT(Dump!$A$2:$A994,"mmm-yy")=TEXT($Y758,"mmm-yy"))*
  (Dump!$B$2:$B994=$C758)*
  Dump!$E$2:$E994
)</f>
        <v>0</v>
      </c>
      <c r="M758" s="4">
        <f>SUMPRODUCT(
  (TEXT(Dump!$A$2:$A994,"mmm-yy")=TEXT($Y758,"mmm-yy"))*
  (Dump!$B$2:$B994=$C758)*
  Dump!$P$2:$P994
)</f>
        <v>0</v>
      </c>
      <c r="N758" s="32"/>
      <c r="O758" s="33">
        <f>SUMIFS(Dump!$D:$D,Dump!$B:$B,$C758,Dump!$A:$A,$Y758)</f>
        <v>0</v>
      </c>
      <c r="P758" s="33">
        <f>SUMIFS(Dump!R:R,Dump!B:B,C758,Dump!A:A,Y758)</f>
        <v>0</v>
      </c>
      <c r="Q758" s="34">
        <f t="shared" si="21"/>
        <v>0</v>
      </c>
      <c r="S758" s="4">
        <f>SUMIFS(Dump!E:E,Dump!B:B,C758,Dump!A:A,Y758)</f>
        <v>0</v>
      </c>
      <c r="T758" s="35">
        <f t="shared" si="22"/>
        <v>0</v>
      </c>
      <c r="V758" s="4">
        <f>SUMIFS(Dump!P:P,Dump!B:B,C758,Dump!A:A,Y758)</f>
        <v>0</v>
      </c>
      <c r="W758" s="37">
        <f t="shared" si="23"/>
        <v>0</v>
      </c>
      <c r="X758" s="39"/>
      <c r="Y758" s="54"/>
    </row>
    <row r="759">
      <c r="C759" s="53"/>
      <c r="G759" s="2" t="str">
        <f t="shared" si="27"/>
        <v/>
      </c>
      <c r="I759" s="4">
        <f>SUMIFS(Dump!D:D,Dump!B:B,C759)</f>
        <v>0</v>
      </c>
      <c r="J759" s="5">
        <f>SUMIFS(Dump!AE:AE,Dump!B:B,C759)</f>
        <v>0</v>
      </c>
      <c r="K759" s="4">
        <f>SUMPRODUCT(
  (TEXT(Dump!$A$2:$A994,"mmm-yy")=TEXT($Y759,"mmm-yy"))*
  (Dump!$B$2:$B994=$C759)*
  Dump!$D$2:$D994)</f>
        <v>0</v>
      </c>
      <c r="L759" s="4">
        <f>SUMPRODUCT(
  (TEXT(Dump!$A$2:$A994,"mmm-yy")=TEXT($Y759,"mmm-yy"))*
  (Dump!$B$2:$B994=$C759)*
  Dump!$E$2:$E994
)</f>
        <v>0</v>
      </c>
      <c r="M759" s="4">
        <f>SUMPRODUCT(
  (TEXT(Dump!$A$2:$A994,"mmm-yy")=TEXT($Y759,"mmm-yy"))*
  (Dump!$B$2:$B994=$C759)*
  Dump!$P$2:$P994
)</f>
        <v>0</v>
      </c>
      <c r="N759" s="32"/>
      <c r="O759" s="33">
        <f>SUMIFS(Dump!$D:$D,Dump!$B:$B,$C759,Dump!$A:$A,$Y759)</f>
        <v>0</v>
      </c>
      <c r="P759" s="33">
        <f>SUMIFS(Dump!R:R,Dump!B:B,C759,Dump!A:A,Y759)</f>
        <v>0</v>
      </c>
      <c r="Q759" s="34">
        <f t="shared" si="21"/>
        <v>0</v>
      </c>
      <c r="S759" s="4">
        <f>SUMIFS(Dump!E:E,Dump!B:B,C759,Dump!A:A,Y759)</f>
        <v>0</v>
      </c>
      <c r="T759" s="35">
        <f t="shared" si="22"/>
        <v>0</v>
      </c>
      <c r="V759" s="4">
        <f>SUMIFS(Dump!P:P,Dump!B:B,C759,Dump!A:A,Y759)</f>
        <v>0</v>
      </c>
      <c r="W759" s="37">
        <f t="shared" si="23"/>
        <v>0</v>
      </c>
      <c r="X759" s="39"/>
      <c r="Y759" s="54"/>
    </row>
    <row r="760">
      <c r="C760" s="53"/>
      <c r="G760" s="2" t="str">
        <f t="shared" si="27"/>
        <v/>
      </c>
      <c r="I760" s="4">
        <f>SUMIFS(Dump!D:D,Dump!B:B,C760)</f>
        <v>0</v>
      </c>
      <c r="J760" s="5">
        <f>SUMIFS(Dump!AE:AE,Dump!B:B,C760)</f>
        <v>0</v>
      </c>
      <c r="K760" s="4">
        <f>SUMPRODUCT(
  (TEXT(Dump!$A$2:$A994,"mmm-yy")=TEXT($Y760,"mmm-yy"))*
  (Dump!$B$2:$B994=$C760)*
  Dump!$D$2:$D994)</f>
        <v>0</v>
      </c>
      <c r="L760" s="4">
        <f>SUMPRODUCT(
  (TEXT(Dump!$A$2:$A994,"mmm-yy")=TEXT($Y760,"mmm-yy"))*
  (Dump!$B$2:$B994=$C760)*
  Dump!$E$2:$E994
)</f>
        <v>0</v>
      </c>
      <c r="M760" s="4">
        <f>SUMPRODUCT(
  (TEXT(Dump!$A$2:$A994,"mmm-yy")=TEXT($Y760,"mmm-yy"))*
  (Dump!$B$2:$B994=$C760)*
  Dump!$P$2:$P994
)</f>
        <v>0</v>
      </c>
      <c r="N760" s="32"/>
      <c r="O760" s="33">
        <f>SUMIFS(Dump!$D:$D,Dump!$B:$B,$C760,Dump!$A:$A,$Y760)</f>
        <v>0</v>
      </c>
      <c r="P760" s="33">
        <f>SUMIFS(Dump!R:R,Dump!B:B,C760,Dump!A:A,Y760)</f>
        <v>0</v>
      </c>
      <c r="Q760" s="34">
        <f t="shared" si="21"/>
        <v>0</v>
      </c>
      <c r="S760" s="4">
        <f>SUMIFS(Dump!E:E,Dump!B:B,C760,Dump!A:A,Y760)</f>
        <v>0</v>
      </c>
      <c r="T760" s="35">
        <f t="shared" si="22"/>
        <v>0</v>
      </c>
      <c r="V760" s="4">
        <f>SUMIFS(Dump!P:P,Dump!B:B,C760,Dump!A:A,Y760)</f>
        <v>0</v>
      </c>
      <c r="W760" s="37">
        <f t="shared" si="23"/>
        <v>0</v>
      </c>
      <c r="X760" s="39"/>
      <c r="Y760" s="54"/>
    </row>
    <row r="761">
      <c r="C761" s="53"/>
      <c r="G761" s="2" t="str">
        <f t="shared" si="27"/>
        <v/>
      </c>
      <c r="I761" s="4">
        <f>SUMIFS(Dump!D:D,Dump!B:B,C761)</f>
        <v>0</v>
      </c>
      <c r="J761" s="5">
        <f>SUMIFS(Dump!AE:AE,Dump!B:B,C761)</f>
        <v>0</v>
      </c>
      <c r="K761" s="4">
        <f>SUMPRODUCT(
  (TEXT(Dump!$A$2:$A994,"mmm-yy")=TEXT($Y761,"mmm-yy"))*
  (Dump!$B$2:$B994=$C761)*
  Dump!$D$2:$D994)</f>
        <v>0</v>
      </c>
      <c r="L761" s="4">
        <f>SUMPRODUCT(
  (TEXT(Dump!$A$2:$A994,"mmm-yy")=TEXT($Y761,"mmm-yy"))*
  (Dump!$B$2:$B994=$C761)*
  Dump!$E$2:$E994
)</f>
        <v>0</v>
      </c>
      <c r="M761" s="4">
        <f>SUMPRODUCT(
  (TEXT(Dump!$A$2:$A994,"mmm-yy")=TEXT($Y761,"mmm-yy"))*
  (Dump!$B$2:$B994=$C761)*
  Dump!$P$2:$P994
)</f>
        <v>0</v>
      </c>
      <c r="N761" s="32"/>
      <c r="O761" s="33">
        <f>SUMIFS(Dump!$D:$D,Dump!$B:$B,$C761,Dump!$A:$A,$Y761)</f>
        <v>0</v>
      </c>
      <c r="P761" s="33">
        <f>SUMIFS(Dump!R:R,Dump!B:B,C761,Dump!A:A,Y761)</f>
        <v>0</v>
      </c>
      <c r="Q761" s="34">
        <f t="shared" si="21"/>
        <v>0</v>
      </c>
      <c r="S761" s="4">
        <f>SUMIFS(Dump!E:E,Dump!B:B,C761,Dump!A:A,Y761)</f>
        <v>0</v>
      </c>
      <c r="T761" s="35">
        <f t="shared" si="22"/>
        <v>0</v>
      </c>
      <c r="V761" s="4">
        <f>SUMIFS(Dump!P:P,Dump!B:B,C761,Dump!A:A,Y761)</f>
        <v>0</v>
      </c>
      <c r="W761" s="37">
        <f t="shared" si="23"/>
        <v>0</v>
      </c>
      <c r="X761" s="39"/>
      <c r="Y761" s="54"/>
    </row>
    <row r="762">
      <c r="C762" s="53"/>
      <c r="G762" s="2" t="str">
        <f t="shared" si="27"/>
        <v/>
      </c>
      <c r="I762" s="4">
        <f>SUMIFS(Dump!D:D,Dump!B:B,C762)</f>
        <v>0</v>
      </c>
      <c r="J762" s="5">
        <f>SUMIFS(Dump!AE:AE,Dump!B:B,C762)</f>
        <v>0</v>
      </c>
      <c r="K762" s="4">
        <f>SUMPRODUCT(
  (TEXT(Dump!$A$2:$A994,"mmm-yy")=TEXT($Y762,"mmm-yy"))*
  (Dump!$B$2:$B994=$C762)*
  Dump!$D$2:$D994)</f>
        <v>0</v>
      </c>
      <c r="L762" s="4">
        <f>SUMPRODUCT(
  (TEXT(Dump!$A$2:$A994,"mmm-yy")=TEXT($Y762,"mmm-yy"))*
  (Dump!$B$2:$B994=$C762)*
  Dump!$E$2:$E994
)</f>
        <v>0</v>
      </c>
      <c r="M762" s="4">
        <f>SUMPRODUCT(
  (TEXT(Dump!$A$2:$A994,"mmm-yy")=TEXT($Y762,"mmm-yy"))*
  (Dump!$B$2:$B994=$C762)*
  Dump!$P$2:$P994
)</f>
        <v>0</v>
      </c>
      <c r="N762" s="32"/>
      <c r="O762" s="33">
        <f>SUMIFS(Dump!$D:$D,Dump!$B:$B,$C762,Dump!$A:$A,$Y762)</f>
        <v>0</v>
      </c>
      <c r="P762" s="33">
        <f>SUMIFS(Dump!R:R,Dump!B:B,C762,Dump!A:A,Y762)</f>
        <v>0</v>
      </c>
      <c r="Q762" s="34">
        <f t="shared" si="21"/>
        <v>0</v>
      </c>
      <c r="S762" s="4">
        <f>SUMIFS(Dump!E:E,Dump!B:B,C762,Dump!A:A,Y762)</f>
        <v>0</v>
      </c>
      <c r="T762" s="35">
        <f t="shared" si="22"/>
        <v>0</v>
      </c>
      <c r="V762" s="4">
        <f>SUMIFS(Dump!P:P,Dump!B:B,C762,Dump!A:A,Y762)</f>
        <v>0</v>
      </c>
      <c r="W762" s="37">
        <f t="shared" si="23"/>
        <v>0</v>
      </c>
      <c r="X762" s="39"/>
      <c r="Y762" s="54"/>
    </row>
    <row r="763">
      <c r="C763" s="53"/>
      <c r="G763" s="2" t="str">
        <f t="shared" si="27"/>
        <v/>
      </c>
      <c r="I763" s="4">
        <f>SUMIFS(Dump!D:D,Dump!B:B,C763)</f>
        <v>0</v>
      </c>
      <c r="J763" s="5">
        <f>SUMIFS(Dump!AE:AE,Dump!B:B,C763)</f>
        <v>0</v>
      </c>
      <c r="K763" s="4">
        <f>SUMPRODUCT(
  (TEXT(Dump!$A$2:$A994,"mmm-yy")=TEXT($Y763,"mmm-yy"))*
  (Dump!$B$2:$B994=$C763)*
  Dump!$D$2:$D994)</f>
        <v>0</v>
      </c>
      <c r="L763" s="4">
        <f>SUMPRODUCT(
  (TEXT(Dump!$A$2:$A994,"mmm-yy")=TEXT($Y763,"mmm-yy"))*
  (Dump!$B$2:$B994=$C763)*
  Dump!$E$2:$E994
)</f>
        <v>0</v>
      </c>
      <c r="M763" s="4">
        <f>SUMPRODUCT(
  (TEXT(Dump!$A$2:$A994,"mmm-yy")=TEXT($Y763,"mmm-yy"))*
  (Dump!$B$2:$B994=$C763)*
  Dump!$P$2:$P994
)</f>
        <v>0</v>
      </c>
      <c r="N763" s="32"/>
      <c r="O763" s="33">
        <f>SUMIFS(Dump!$D:$D,Dump!$B:$B,$C763,Dump!$A:$A,$Y763)</f>
        <v>0</v>
      </c>
      <c r="P763" s="33">
        <f>SUMIFS(Dump!R:R,Dump!B:B,C763,Dump!A:A,Y763)</f>
        <v>0</v>
      </c>
      <c r="Q763" s="34">
        <f t="shared" si="21"/>
        <v>0</v>
      </c>
      <c r="S763" s="4">
        <f>SUMIFS(Dump!E:E,Dump!B:B,C763,Dump!A:A,Y763)</f>
        <v>0</v>
      </c>
      <c r="T763" s="35">
        <f t="shared" si="22"/>
        <v>0</v>
      </c>
      <c r="V763" s="4">
        <f>SUMIFS(Dump!P:P,Dump!B:B,C763,Dump!A:A,Y763)</f>
        <v>0</v>
      </c>
      <c r="W763" s="37">
        <f t="shared" si="23"/>
        <v>0</v>
      </c>
      <c r="X763" s="39"/>
      <c r="Y763" s="54"/>
    </row>
    <row r="764">
      <c r="C764" s="53"/>
      <c r="G764" s="2" t="str">
        <f t="shared" si="27"/>
        <v/>
      </c>
      <c r="I764" s="4">
        <f>SUMIFS(Dump!D:D,Dump!B:B,C764)</f>
        <v>0</v>
      </c>
      <c r="J764" s="5">
        <f>SUMIFS(Dump!AE:AE,Dump!B:B,C764)</f>
        <v>0</v>
      </c>
      <c r="K764" s="4">
        <f>SUMPRODUCT(
  (TEXT(Dump!$A$2:$A994,"mmm-yy")=TEXT($Y764,"mmm-yy"))*
  (Dump!$B$2:$B994=$C764)*
  Dump!$D$2:$D994)</f>
        <v>0</v>
      </c>
      <c r="L764" s="4">
        <f>SUMPRODUCT(
  (TEXT(Dump!$A$2:$A994,"mmm-yy")=TEXT($Y764,"mmm-yy"))*
  (Dump!$B$2:$B994=$C764)*
  Dump!$E$2:$E994
)</f>
        <v>0</v>
      </c>
      <c r="M764" s="4">
        <f>SUMPRODUCT(
  (TEXT(Dump!$A$2:$A994,"mmm-yy")=TEXT($Y764,"mmm-yy"))*
  (Dump!$B$2:$B994=$C764)*
  Dump!$P$2:$P994
)</f>
        <v>0</v>
      </c>
      <c r="N764" s="32"/>
      <c r="O764" s="33">
        <f>SUMIFS(Dump!$D:$D,Dump!$B:$B,$C764,Dump!$A:$A,$Y764)</f>
        <v>0</v>
      </c>
      <c r="P764" s="33">
        <f>SUMIFS(Dump!R:R,Dump!B:B,C764,Dump!A:A,Y764)</f>
        <v>0</v>
      </c>
      <c r="Q764" s="34">
        <f t="shared" si="21"/>
        <v>0</v>
      </c>
      <c r="S764" s="4">
        <f>SUMIFS(Dump!E:E,Dump!B:B,C764,Dump!A:A,Y764)</f>
        <v>0</v>
      </c>
      <c r="T764" s="35">
        <f t="shared" si="22"/>
        <v>0</v>
      </c>
      <c r="V764" s="4">
        <f>SUMIFS(Dump!P:P,Dump!B:B,C764,Dump!A:A,Y764)</f>
        <v>0</v>
      </c>
      <c r="W764" s="37">
        <f t="shared" si="23"/>
        <v>0</v>
      </c>
      <c r="X764" s="39"/>
      <c r="Y764" s="54"/>
    </row>
    <row r="765">
      <c r="C765" s="53"/>
      <c r="G765" s="2" t="str">
        <f t="shared" si="27"/>
        <v/>
      </c>
      <c r="I765" s="4">
        <f>SUMIFS(Dump!D:D,Dump!B:B,C765)</f>
        <v>0</v>
      </c>
      <c r="J765" s="5">
        <f>SUMIFS(Dump!AE:AE,Dump!B:B,C765)</f>
        <v>0</v>
      </c>
      <c r="K765" s="4">
        <f>SUMPRODUCT(
  (TEXT(Dump!$A$2:$A994,"mmm-yy")=TEXT($Y765,"mmm-yy"))*
  (Dump!$B$2:$B994=$C765)*
  Dump!$D$2:$D994)</f>
        <v>0</v>
      </c>
      <c r="L765" s="4">
        <f>SUMPRODUCT(
  (TEXT(Dump!$A$2:$A994,"mmm-yy")=TEXT($Y765,"mmm-yy"))*
  (Dump!$B$2:$B994=$C765)*
  Dump!$E$2:$E994
)</f>
        <v>0</v>
      </c>
      <c r="M765" s="4">
        <f>SUMPRODUCT(
  (TEXT(Dump!$A$2:$A994,"mmm-yy")=TEXT($Y765,"mmm-yy"))*
  (Dump!$B$2:$B994=$C765)*
  Dump!$P$2:$P994
)</f>
        <v>0</v>
      </c>
      <c r="N765" s="32"/>
      <c r="O765" s="33">
        <f>SUMIFS(Dump!$D:$D,Dump!$B:$B,$C765,Dump!$A:$A,$Y765)</f>
        <v>0</v>
      </c>
      <c r="P765" s="33">
        <f>SUMIFS(Dump!R:R,Dump!B:B,C765,Dump!A:A,Y765)</f>
        <v>0</v>
      </c>
      <c r="Q765" s="34">
        <f t="shared" si="21"/>
        <v>0</v>
      </c>
      <c r="S765" s="4">
        <f>SUMIFS(Dump!E:E,Dump!B:B,C765,Dump!A:A,Y765)</f>
        <v>0</v>
      </c>
      <c r="T765" s="35">
        <f t="shared" si="22"/>
        <v>0</v>
      </c>
      <c r="V765" s="4">
        <f>SUMIFS(Dump!P:P,Dump!B:B,C765,Dump!A:A,Y765)</f>
        <v>0</v>
      </c>
      <c r="W765" s="37">
        <f t="shared" si="23"/>
        <v>0</v>
      </c>
      <c r="X765" s="39"/>
      <c r="Y765" s="54"/>
    </row>
    <row r="766">
      <c r="C766" s="53"/>
      <c r="G766" s="2" t="str">
        <f t="shared" si="27"/>
        <v/>
      </c>
      <c r="I766" s="4">
        <f>SUMIFS(Dump!D:D,Dump!B:B,C766)</f>
        <v>0</v>
      </c>
      <c r="J766" s="5">
        <f>SUMIFS(Dump!AE:AE,Dump!B:B,C766)</f>
        <v>0</v>
      </c>
      <c r="K766" s="4">
        <f>SUMPRODUCT(
  (TEXT(Dump!$A$2:$A994,"mmm-yy")=TEXT($Y766,"mmm-yy"))*
  (Dump!$B$2:$B994=$C766)*
  Dump!$D$2:$D994)</f>
        <v>0</v>
      </c>
      <c r="L766" s="4">
        <f>SUMPRODUCT(
  (TEXT(Dump!$A$2:$A994,"mmm-yy")=TEXT($Y766,"mmm-yy"))*
  (Dump!$B$2:$B994=$C766)*
  Dump!$E$2:$E994
)</f>
        <v>0</v>
      </c>
      <c r="M766" s="4">
        <f>SUMPRODUCT(
  (TEXT(Dump!$A$2:$A994,"mmm-yy")=TEXT($Y766,"mmm-yy"))*
  (Dump!$B$2:$B994=$C766)*
  Dump!$P$2:$P994
)</f>
        <v>0</v>
      </c>
      <c r="N766" s="32"/>
      <c r="O766" s="33">
        <f>SUMIFS(Dump!$D:$D,Dump!$B:$B,$C766,Dump!$A:$A,$Y766)</f>
        <v>0</v>
      </c>
      <c r="P766" s="33">
        <f>SUMIFS(Dump!R:R,Dump!B:B,C766,Dump!A:A,Y766)</f>
        <v>0</v>
      </c>
      <c r="Q766" s="34">
        <f t="shared" si="21"/>
        <v>0</v>
      </c>
      <c r="S766" s="4">
        <f>SUMIFS(Dump!E:E,Dump!B:B,C766,Dump!A:A,Y766)</f>
        <v>0</v>
      </c>
      <c r="T766" s="35">
        <f t="shared" si="22"/>
        <v>0</v>
      </c>
      <c r="V766" s="4">
        <f>SUMIFS(Dump!P:P,Dump!B:B,C766,Dump!A:A,Y766)</f>
        <v>0</v>
      </c>
      <c r="W766" s="37">
        <f t="shared" si="23"/>
        <v>0</v>
      </c>
      <c r="X766" s="39"/>
      <c r="Y766" s="54"/>
    </row>
    <row r="767">
      <c r="C767" s="53"/>
      <c r="G767" s="2" t="str">
        <f t="shared" si="27"/>
        <v/>
      </c>
      <c r="I767" s="4">
        <f>SUMIFS(Dump!D:D,Dump!B:B,C767)</f>
        <v>0</v>
      </c>
      <c r="J767" s="5">
        <f>SUMIFS(Dump!AE:AE,Dump!B:B,C767)</f>
        <v>0</v>
      </c>
      <c r="K767" s="4">
        <f>SUMPRODUCT(
  (TEXT(Dump!$A$2:$A994,"mmm-yy")=TEXT($Y767,"mmm-yy"))*
  (Dump!$B$2:$B994=$C767)*
  Dump!$D$2:$D994)</f>
        <v>0</v>
      </c>
      <c r="L767" s="4">
        <f>SUMPRODUCT(
  (TEXT(Dump!$A$2:$A994,"mmm-yy")=TEXT($Y767,"mmm-yy"))*
  (Dump!$B$2:$B994=$C767)*
  Dump!$E$2:$E994
)</f>
        <v>0</v>
      </c>
      <c r="M767" s="4">
        <f>SUMPRODUCT(
  (TEXT(Dump!$A$2:$A994,"mmm-yy")=TEXT($Y767,"mmm-yy"))*
  (Dump!$B$2:$B994=$C767)*
  Dump!$P$2:$P994
)</f>
        <v>0</v>
      </c>
      <c r="N767" s="32"/>
      <c r="O767" s="33">
        <f>SUMIFS(Dump!$D:$D,Dump!$B:$B,$C767,Dump!$A:$A,$Y767)</f>
        <v>0</v>
      </c>
      <c r="P767" s="33">
        <f>SUMIFS(Dump!R:R,Dump!B:B,C767,Dump!A:A,Y767)</f>
        <v>0</v>
      </c>
      <c r="Q767" s="34">
        <f t="shared" si="21"/>
        <v>0</v>
      </c>
      <c r="S767" s="4">
        <f>SUMIFS(Dump!E:E,Dump!B:B,C767,Dump!A:A,Y767)</f>
        <v>0</v>
      </c>
      <c r="T767" s="35">
        <f t="shared" si="22"/>
        <v>0</v>
      </c>
      <c r="V767" s="4">
        <f>SUMIFS(Dump!P:P,Dump!B:B,C767,Dump!A:A,Y767)</f>
        <v>0</v>
      </c>
      <c r="W767" s="37">
        <f t="shared" si="23"/>
        <v>0</v>
      </c>
      <c r="X767" s="39"/>
      <c r="Y767" s="54"/>
    </row>
    <row r="768">
      <c r="C768" s="53"/>
      <c r="G768" s="2" t="str">
        <f t="shared" si="27"/>
        <v/>
      </c>
      <c r="I768" s="4">
        <f>SUMIFS(Dump!D:D,Dump!B:B,C768)</f>
        <v>0</v>
      </c>
      <c r="J768" s="5">
        <f>SUMIFS(Dump!AE:AE,Dump!B:B,C768)</f>
        <v>0</v>
      </c>
      <c r="K768" s="4">
        <f>SUMPRODUCT(
  (TEXT(Dump!$A$2:$A994,"mmm-yy")=TEXT($Y768,"mmm-yy"))*
  (Dump!$B$2:$B994=$C768)*
  Dump!$D$2:$D994)</f>
        <v>0</v>
      </c>
      <c r="L768" s="4">
        <f>SUMPRODUCT(
  (TEXT(Dump!$A$2:$A994,"mmm-yy")=TEXT($Y768,"mmm-yy"))*
  (Dump!$B$2:$B994=$C768)*
  Dump!$E$2:$E994
)</f>
        <v>0</v>
      </c>
      <c r="M768" s="4">
        <f>SUMPRODUCT(
  (TEXT(Dump!$A$2:$A994,"mmm-yy")=TEXT($Y768,"mmm-yy"))*
  (Dump!$B$2:$B994=$C768)*
  Dump!$P$2:$P994
)</f>
        <v>0</v>
      </c>
      <c r="N768" s="32"/>
      <c r="O768" s="33">
        <f>SUMIFS(Dump!$D:$D,Dump!$B:$B,$C768,Dump!$A:$A,$Y768)</f>
        <v>0</v>
      </c>
      <c r="P768" s="33">
        <f>SUMIFS(Dump!R:R,Dump!B:B,C768,Dump!A:A,Y768)</f>
        <v>0</v>
      </c>
      <c r="Q768" s="34">
        <f t="shared" si="21"/>
        <v>0</v>
      </c>
      <c r="S768" s="4">
        <f>SUMIFS(Dump!E:E,Dump!B:B,C768,Dump!A:A,Y768)</f>
        <v>0</v>
      </c>
      <c r="T768" s="35">
        <f t="shared" si="22"/>
        <v>0</v>
      </c>
      <c r="V768" s="4">
        <f>SUMIFS(Dump!P:P,Dump!B:B,C768,Dump!A:A,Y768)</f>
        <v>0</v>
      </c>
      <c r="W768" s="37">
        <f t="shared" si="23"/>
        <v>0</v>
      </c>
      <c r="X768" s="39"/>
      <c r="Y768" s="54"/>
    </row>
    <row r="769">
      <c r="C769" s="53"/>
      <c r="G769" s="2" t="str">
        <f t="shared" si="27"/>
        <v/>
      </c>
      <c r="I769" s="4">
        <f>SUMIFS(Dump!D:D,Dump!B:B,C769)</f>
        <v>0</v>
      </c>
      <c r="J769" s="5">
        <f>SUMIFS(Dump!AE:AE,Dump!B:B,C769)</f>
        <v>0</v>
      </c>
      <c r="K769" s="4">
        <f>SUMPRODUCT(
  (TEXT(Dump!$A$2:$A994,"mmm-yy")=TEXT($Y769,"mmm-yy"))*
  (Dump!$B$2:$B994=$C769)*
  Dump!$D$2:$D994)</f>
        <v>0</v>
      </c>
      <c r="L769" s="4">
        <f>SUMPRODUCT(
  (TEXT(Dump!$A$2:$A994,"mmm-yy")=TEXT($Y769,"mmm-yy"))*
  (Dump!$B$2:$B994=$C769)*
  Dump!$E$2:$E994
)</f>
        <v>0</v>
      </c>
      <c r="M769" s="4">
        <f>SUMPRODUCT(
  (TEXT(Dump!$A$2:$A994,"mmm-yy")=TEXT($Y769,"mmm-yy"))*
  (Dump!$B$2:$B994=$C769)*
  Dump!$P$2:$P994
)</f>
        <v>0</v>
      </c>
      <c r="N769" s="32"/>
      <c r="O769" s="33">
        <f>SUMIFS(Dump!$D:$D,Dump!$B:$B,$C769,Dump!$A:$A,$Y769)</f>
        <v>0</v>
      </c>
      <c r="P769" s="33">
        <f>SUMIFS(Dump!R:R,Dump!B:B,C769,Dump!A:A,Y769)</f>
        <v>0</v>
      </c>
      <c r="Q769" s="34">
        <f t="shared" si="21"/>
        <v>0</v>
      </c>
      <c r="S769" s="4">
        <f>SUMIFS(Dump!E:E,Dump!B:B,C769,Dump!A:A,Y769)</f>
        <v>0</v>
      </c>
      <c r="T769" s="35">
        <f t="shared" si="22"/>
        <v>0</v>
      </c>
      <c r="V769" s="4">
        <f>SUMIFS(Dump!P:P,Dump!B:B,C769,Dump!A:A,Y769)</f>
        <v>0</v>
      </c>
      <c r="W769" s="37">
        <f t="shared" si="23"/>
        <v>0</v>
      </c>
      <c r="X769" s="39"/>
      <c r="Y769" s="54"/>
    </row>
    <row r="770">
      <c r="C770" s="53"/>
      <c r="G770" s="2" t="str">
        <f t="shared" si="27"/>
        <v/>
      </c>
      <c r="I770" s="4">
        <f>SUMIFS(Dump!D:D,Dump!B:B,C770)</f>
        <v>0</v>
      </c>
      <c r="J770" s="5">
        <f>SUMIFS(Dump!AE:AE,Dump!B:B,C770)</f>
        <v>0</v>
      </c>
      <c r="K770" s="4">
        <f>SUMPRODUCT(
  (TEXT(Dump!$A$2:$A994,"mmm-yy")=TEXT($Y770,"mmm-yy"))*
  (Dump!$B$2:$B994=$C770)*
  Dump!$D$2:$D994)</f>
        <v>0</v>
      </c>
      <c r="L770" s="4">
        <f>SUMPRODUCT(
  (TEXT(Dump!$A$2:$A994,"mmm-yy")=TEXT($Y770,"mmm-yy"))*
  (Dump!$B$2:$B994=$C770)*
  Dump!$E$2:$E994
)</f>
        <v>0</v>
      </c>
      <c r="M770" s="4">
        <f>SUMPRODUCT(
  (TEXT(Dump!$A$2:$A994,"mmm-yy")=TEXT($Y770,"mmm-yy"))*
  (Dump!$B$2:$B994=$C770)*
  Dump!$P$2:$P994
)</f>
        <v>0</v>
      </c>
      <c r="N770" s="32"/>
      <c r="O770" s="33">
        <f>SUMIFS(Dump!$D:$D,Dump!$B:$B,$C770,Dump!$A:$A,$Y770)</f>
        <v>0</v>
      </c>
      <c r="P770" s="33">
        <f>SUMIFS(Dump!R:R,Dump!B:B,C770,Dump!A:A,Y770)</f>
        <v>0</v>
      </c>
      <c r="Q770" s="34">
        <f t="shared" si="21"/>
        <v>0</v>
      </c>
      <c r="S770" s="4">
        <f>SUMIFS(Dump!E:E,Dump!B:B,C770,Dump!A:A,Y770)</f>
        <v>0</v>
      </c>
      <c r="T770" s="35">
        <f t="shared" si="22"/>
        <v>0</v>
      </c>
      <c r="V770" s="4">
        <f>SUMIFS(Dump!P:P,Dump!B:B,C770,Dump!A:A,Y770)</f>
        <v>0</v>
      </c>
      <c r="W770" s="37">
        <f t="shared" si="23"/>
        <v>0</v>
      </c>
      <c r="X770" s="39"/>
      <c r="Y770" s="54"/>
    </row>
    <row r="771">
      <c r="C771" s="53"/>
      <c r="G771" s="2" t="str">
        <f t="shared" si="27"/>
        <v/>
      </c>
      <c r="I771" s="4">
        <f>SUMIFS(Dump!D:D,Dump!B:B,C771)</f>
        <v>0</v>
      </c>
      <c r="J771" s="5">
        <f>SUMIFS(Dump!AE:AE,Dump!B:B,C771)</f>
        <v>0</v>
      </c>
      <c r="K771" s="4">
        <f>SUMPRODUCT(
  (TEXT(Dump!$A$2:$A994,"mmm-yy")=TEXT($Y771,"mmm-yy"))*
  (Dump!$B$2:$B994=$C771)*
  Dump!$D$2:$D994)</f>
        <v>0</v>
      </c>
      <c r="L771" s="4">
        <f>SUMPRODUCT(
  (TEXT(Dump!$A$2:$A994,"mmm-yy")=TEXT($Y771,"mmm-yy"))*
  (Dump!$B$2:$B994=$C771)*
  Dump!$E$2:$E994
)</f>
        <v>0</v>
      </c>
      <c r="M771" s="4">
        <f>SUMPRODUCT(
  (TEXT(Dump!$A$2:$A994,"mmm-yy")=TEXT($Y771,"mmm-yy"))*
  (Dump!$B$2:$B994=$C771)*
  Dump!$P$2:$P994
)</f>
        <v>0</v>
      </c>
      <c r="N771" s="32"/>
      <c r="O771" s="33">
        <f>SUMIFS(Dump!$D:$D,Dump!$B:$B,$C771,Dump!$A:$A,$Y771)</f>
        <v>0</v>
      </c>
      <c r="P771" s="33">
        <f>SUMIFS(Dump!R:R,Dump!B:B,C771,Dump!A:A,Y771)</f>
        <v>0</v>
      </c>
      <c r="Q771" s="34">
        <f t="shared" si="21"/>
        <v>0</v>
      </c>
      <c r="S771" s="4">
        <f>SUMIFS(Dump!E:E,Dump!B:B,C771,Dump!A:A,Y771)</f>
        <v>0</v>
      </c>
      <c r="T771" s="35">
        <f t="shared" si="22"/>
        <v>0</v>
      </c>
      <c r="V771" s="4">
        <f>SUMIFS(Dump!P:P,Dump!B:B,C771,Dump!A:A,Y771)</f>
        <v>0</v>
      </c>
      <c r="W771" s="37">
        <f t="shared" si="23"/>
        <v>0</v>
      </c>
      <c r="X771" s="39"/>
      <c r="Y771" s="54"/>
    </row>
    <row r="772">
      <c r="C772" s="53"/>
      <c r="G772" s="2" t="str">
        <f t="shared" si="27"/>
        <v/>
      </c>
      <c r="I772" s="4">
        <f>SUMIFS(Dump!D:D,Dump!B:B,C772)</f>
        <v>0</v>
      </c>
      <c r="J772" s="5">
        <f>SUMIFS(Dump!AE:AE,Dump!B:B,C772)</f>
        <v>0</v>
      </c>
      <c r="K772" s="4">
        <f>SUMPRODUCT(
  (TEXT(Dump!$A$2:$A994,"mmm-yy")=TEXT($Y772,"mmm-yy"))*
  (Dump!$B$2:$B994=$C772)*
  Dump!$D$2:$D994)</f>
        <v>0</v>
      </c>
      <c r="L772" s="4">
        <f>SUMPRODUCT(
  (TEXT(Dump!$A$2:$A994,"mmm-yy")=TEXT($Y772,"mmm-yy"))*
  (Dump!$B$2:$B994=$C772)*
  Dump!$E$2:$E994
)</f>
        <v>0</v>
      </c>
      <c r="M772" s="4">
        <f>SUMPRODUCT(
  (TEXT(Dump!$A$2:$A994,"mmm-yy")=TEXT($Y772,"mmm-yy"))*
  (Dump!$B$2:$B994=$C772)*
  Dump!$P$2:$P994
)</f>
        <v>0</v>
      </c>
      <c r="N772" s="32"/>
      <c r="O772" s="33">
        <f>SUMIFS(Dump!$D:$D,Dump!$B:$B,$C772,Dump!$A:$A,$Y772)</f>
        <v>0</v>
      </c>
      <c r="P772" s="33">
        <f>SUMIFS(Dump!R:R,Dump!B:B,C772,Dump!A:A,Y772)</f>
        <v>0</v>
      </c>
      <c r="Q772" s="34">
        <f t="shared" si="21"/>
        <v>0</v>
      </c>
      <c r="S772" s="4">
        <f>SUMIFS(Dump!E:E,Dump!B:B,C772,Dump!A:A,Y772)</f>
        <v>0</v>
      </c>
      <c r="T772" s="35">
        <f t="shared" si="22"/>
        <v>0</v>
      </c>
      <c r="V772" s="4">
        <f>SUMIFS(Dump!P:P,Dump!B:B,C772,Dump!A:A,Y772)</f>
        <v>0</v>
      </c>
      <c r="W772" s="37">
        <f t="shared" si="23"/>
        <v>0</v>
      </c>
      <c r="X772" s="39"/>
      <c r="Y772" s="54"/>
    </row>
    <row r="773">
      <c r="C773" s="53"/>
      <c r="G773" s="2" t="str">
        <f t="shared" si="27"/>
        <v/>
      </c>
      <c r="I773" s="4">
        <f>SUMIFS(Dump!D:D,Dump!B:B,C773)</f>
        <v>0</v>
      </c>
      <c r="J773" s="5">
        <f>SUMIFS(Dump!AE:AE,Dump!B:B,C773)</f>
        <v>0</v>
      </c>
      <c r="K773" s="4">
        <f>SUMPRODUCT(
  (TEXT(Dump!$A$2:$A994,"mmm-yy")=TEXT($Y773,"mmm-yy"))*
  (Dump!$B$2:$B994=$C773)*
  Dump!$D$2:$D994)</f>
        <v>0</v>
      </c>
      <c r="L773" s="4">
        <f>SUMPRODUCT(
  (TEXT(Dump!$A$2:$A994,"mmm-yy")=TEXT($Y773,"mmm-yy"))*
  (Dump!$B$2:$B994=$C773)*
  Dump!$E$2:$E994
)</f>
        <v>0</v>
      </c>
      <c r="M773" s="4">
        <f>SUMPRODUCT(
  (TEXT(Dump!$A$2:$A994,"mmm-yy")=TEXT($Y773,"mmm-yy"))*
  (Dump!$B$2:$B994=$C773)*
  Dump!$P$2:$P994
)</f>
        <v>0</v>
      </c>
      <c r="N773" s="32"/>
      <c r="O773" s="33">
        <f>SUMIFS(Dump!$D:$D,Dump!$B:$B,$C773,Dump!$A:$A,$Y773)</f>
        <v>0</v>
      </c>
      <c r="P773" s="33">
        <f>SUMIFS(Dump!R:R,Dump!B:B,C773,Dump!A:A,Y773)</f>
        <v>0</v>
      </c>
      <c r="Q773" s="34">
        <f t="shared" si="21"/>
        <v>0</v>
      </c>
      <c r="S773" s="4">
        <f>SUMIFS(Dump!E:E,Dump!B:B,C773,Dump!A:A,Y773)</f>
        <v>0</v>
      </c>
      <c r="T773" s="35">
        <f t="shared" si="22"/>
        <v>0</v>
      </c>
      <c r="V773" s="4">
        <f>SUMIFS(Dump!P:P,Dump!B:B,C773,Dump!A:A,Y773)</f>
        <v>0</v>
      </c>
      <c r="W773" s="37">
        <f t="shared" si="23"/>
        <v>0</v>
      </c>
      <c r="X773" s="39"/>
      <c r="Y773" s="54"/>
    </row>
    <row r="774">
      <c r="C774" s="53"/>
      <c r="G774" s="2" t="str">
        <f t="shared" si="27"/>
        <v/>
      </c>
      <c r="I774" s="4">
        <f>SUMIFS(Dump!D:D,Dump!B:B,C774)</f>
        <v>0</v>
      </c>
      <c r="J774" s="5">
        <f>SUMIFS(Dump!AE:AE,Dump!B:B,C774)</f>
        <v>0</v>
      </c>
      <c r="K774" s="4">
        <f>SUMPRODUCT(
  (TEXT(Dump!$A$2:$A994,"mmm-yy")=TEXT($Y774,"mmm-yy"))*
  (Dump!$B$2:$B994=$C774)*
  Dump!$D$2:$D994)</f>
        <v>0</v>
      </c>
      <c r="L774" s="4">
        <f>SUMPRODUCT(
  (TEXT(Dump!$A$2:$A994,"mmm-yy")=TEXT($Y774,"mmm-yy"))*
  (Dump!$B$2:$B994=$C774)*
  Dump!$E$2:$E994
)</f>
        <v>0</v>
      </c>
      <c r="M774" s="4">
        <f>SUMPRODUCT(
  (TEXT(Dump!$A$2:$A994,"mmm-yy")=TEXT($Y774,"mmm-yy"))*
  (Dump!$B$2:$B994=$C774)*
  Dump!$P$2:$P994
)</f>
        <v>0</v>
      </c>
      <c r="N774" s="32"/>
      <c r="O774" s="33">
        <f>SUMIFS(Dump!$D:$D,Dump!$B:$B,$C774,Dump!$A:$A,$Y774)</f>
        <v>0</v>
      </c>
      <c r="P774" s="33">
        <f>SUMIFS(Dump!R:R,Dump!B:B,C774,Dump!A:A,Y774)</f>
        <v>0</v>
      </c>
      <c r="Q774" s="34">
        <f t="shared" si="21"/>
        <v>0</v>
      </c>
      <c r="S774" s="4">
        <f>SUMIFS(Dump!E:E,Dump!B:B,C774,Dump!A:A,Y774)</f>
        <v>0</v>
      </c>
      <c r="T774" s="35">
        <f t="shared" si="22"/>
        <v>0</v>
      </c>
      <c r="V774" s="4">
        <f>SUMIFS(Dump!P:P,Dump!B:B,C774,Dump!A:A,Y774)</f>
        <v>0</v>
      </c>
      <c r="W774" s="37">
        <f t="shared" si="23"/>
        <v>0</v>
      </c>
      <c r="X774" s="39"/>
      <c r="Y774" s="54"/>
    </row>
    <row r="775">
      <c r="C775" s="53"/>
      <c r="G775" s="2" t="str">
        <f t="shared" si="27"/>
        <v/>
      </c>
      <c r="I775" s="4">
        <f>SUMIFS(Dump!D:D,Dump!B:B,C775)</f>
        <v>0</v>
      </c>
      <c r="J775" s="5">
        <f>SUMIFS(Dump!AE:AE,Dump!B:B,C775)</f>
        <v>0</v>
      </c>
      <c r="K775" s="4">
        <f>SUMPRODUCT(
  (TEXT(Dump!$A$2:$A994,"mmm-yy")=TEXT($Y775,"mmm-yy"))*
  (Dump!$B$2:$B994=$C775)*
  Dump!$D$2:$D994)</f>
        <v>0</v>
      </c>
      <c r="L775" s="4">
        <f>SUMPRODUCT(
  (TEXT(Dump!$A$2:$A994,"mmm-yy")=TEXT($Y775,"mmm-yy"))*
  (Dump!$B$2:$B994=$C775)*
  Dump!$E$2:$E994
)</f>
        <v>0</v>
      </c>
      <c r="M775" s="4">
        <f>SUMPRODUCT(
  (TEXT(Dump!$A$2:$A994,"mmm-yy")=TEXT($Y775,"mmm-yy"))*
  (Dump!$B$2:$B994=$C775)*
  Dump!$P$2:$P994
)</f>
        <v>0</v>
      </c>
      <c r="N775" s="32"/>
      <c r="O775" s="33">
        <f>SUMIFS(Dump!$D:$D,Dump!$B:$B,$C775,Dump!$A:$A,$Y775)</f>
        <v>0</v>
      </c>
      <c r="P775" s="33">
        <f>SUMIFS(Dump!R:R,Dump!B:B,C775,Dump!A:A,Y775)</f>
        <v>0</v>
      </c>
      <c r="Q775" s="34">
        <f t="shared" si="21"/>
        <v>0</v>
      </c>
      <c r="S775" s="4">
        <f>SUMIFS(Dump!E:E,Dump!B:B,C775,Dump!A:A,Y775)</f>
        <v>0</v>
      </c>
      <c r="T775" s="35">
        <f t="shared" si="22"/>
        <v>0</v>
      </c>
      <c r="V775" s="4">
        <f>SUMIFS(Dump!P:P,Dump!B:B,C775,Dump!A:A,Y775)</f>
        <v>0</v>
      </c>
      <c r="W775" s="37">
        <f t="shared" si="23"/>
        <v>0</v>
      </c>
      <c r="X775" s="39"/>
      <c r="Y775" s="54"/>
    </row>
    <row r="776">
      <c r="C776" s="53"/>
      <c r="G776" s="2" t="str">
        <f t="shared" si="27"/>
        <v/>
      </c>
      <c r="I776" s="4">
        <f>SUMIFS(Dump!D:D,Dump!B:B,C776)</f>
        <v>0</v>
      </c>
      <c r="J776" s="5">
        <f>SUMIFS(Dump!AE:AE,Dump!B:B,C776)</f>
        <v>0</v>
      </c>
      <c r="K776" s="4">
        <f>SUMPRODUCT(
  (TEXT(Dump!$A$2:$A994,"mmm-yy")=TEXT($Y776,"mmm-yy"))*
  (Dump!$B$2:$B994=$C776)*
  Dump!$D$2:$D994)</f>
        <v>0</v>
      </c>
      <c r="L776" s="4">
        <f>SUMPRODUCT(
  (TEXT(Dump!$A$2:$A994,"mmm-yy")=TEXT($Y776,"mmm-yy"))*
  (Dump!$B$2:$B994=$C776)*
  Dump!$E$2:$E994
)</f>
        <v>0</v>
      </c>
      <c r="M776" s="4">
        <f>SUMPRODUCT(
  (TEXT(Dump!$A$2:$A994,"mmm-yy")=TEXT($Y776,"mmm-yy"))*
  (Dump!$B$2:$B994=$C776)*
  Dump!$P$2:$P994
)</f>
        <v>0</v>
      </c>
      <c r="N776" s="32"/>
      <c r="O776" s="33">
        <f>SUMIFS(Dump!$D:$D,Dump!$B:$B,$C776,Dump!$A:$A,$Y776)</f>
        <v>0</v>
      </c>
      <c r="P776" s="33">
        <f>SUMIFS(Dump!R:R,Dump!B:B,C776,Dump!A:A,Y776)</f>
        <v>0</v>
      </c>
      <c r="Q776" s="34">
        <f t="shared" si="21"/>
        <v>0</v>
      </c>
      <c r="S776" s="4">
        <f>SUMIFS(Dump!E:E,Dump!B:B,C776,Dump!A:A,Y776)</f>
        <v>0</v>
      </c>
      <c r="T776" s="35">
        <f t="shared" si="22"/>
        <v>0</v>
      </c>
      <c r="V776" s="4">
        <f>SUMIFS(Dump!P:P,Dump!B:B,C776,Dump!A:A,Y776)</f>
        <v>0</v>
      </c>
      <c r="W776" s="37">
        <f t="shared" si="23"/>
        <v>0</v>
      </c>
      <c r="X776" s="39"/>
      <c r="Y776" s="54"/>
    </row>
    <row r="777">
      <c r="C777" s="53"/>
      <c r="G777" s="2" t="str">
        <f t="shared" si="27"/>
        <v/>
      </c>
      <c r="I777" s="4">
        <f>SUMIFS(Dump!D:D,Dump!B:B,C777)</f>
        <v>0</v>
      </c>
      <c r="J777" s="5">
        <f>SUMIFS(Dump!AE:AE,Dump!B:B,C777)</f>
        <v>0</v>
      </c>
      <c r="K777" s="4">
        <f>SUMPRODUCT(
  (TEXT(Dump!$A$2:$A994,"mmm-yy")=TEXT($Y777,"mmm-yy"))*
  (Dump!$B$2:$B994=$C777)*
  Dump!$D$2:$D994)</f>
        <v>0</v>
      </c>
      <c r="L777" s="4">
        <f>SUMPRODUCT(
  (TEXT(Dump!$A$2:$A994,"mmm-yy")=TEXT($Y777,"mmm-yy"))*
  (Dump!$B$2:$B994=$C777)*
  Dump!$E$2:$E994
)</f>
        <v>0</v>
      </c>
      <c r="M777" s="4">
        <f>SUMPRODUCT(
  (TEXT(Dump!$A$2:$A994,"mmm-yy")=TEXT($Y777,"mmm-yy"))*
  (Dump!$B$2:$B994=$C777)*
  Dump!$P$2:$P994
)</f>
        <v>0</v>
      </c>
      <c r="N777" s="32"/>
      <c r="O777" s="33">
        <f>SUMIFS(Dump!$D:$D,Dump!$B:$B,$C777,Dump!$A:$A,$Y777)</f>
        <v>0</v>
      </c>
      <c r="P777" s="33">
        <f>SUMIFS(Dump!R:R,Dump!B:B,C777,Dump!A:A,Y777)</f>
        <v>0</v>
      </c>
      <c r="Q777" s="34">
        <f t="shared" si="21"/>
        <v>0</v>
      </c>
      <c r="S777" s="4">
        <f>SUMIFS(Dump!E:E,Dump!B:B,C777,Dump!A:A,Y777)</f>
        <v>0</v>
      </c>
      <c r="T777" s="35">
        <f t="shared" si="22"/>
        <v>0</v>
      </c>
      <c r="V777" s="4">
        <f>SUMIFS(Dump!P:P,Dump!B:B,C777,Dump!A:A,Y777)</f>
        <v>0</v>
      </c>
      <c r="W777" s="37">
        <f t="shared" si="23"/>
        <v>0</v>
      </c>
      <c r="X777" s="39"/>
      <c r="Y777" s="54"/>
    </row>
    <row r="778">
      <c r="C778" s="53"/>
      <c r="G778" s="2" t="str">
        <f t="shared" si="27"/>
        <v/>
      </c>
      <c r="I778" s="4">
        <f>SUMIFS(Dump!D:D,Dump!B:B,C778)</f>
        <v>0</v>
      </c>
      <c r="J778" s="5">
        <f>SUMIFS(Dump!AE:AE,Dump!B:B,C778)</f>
        <v>0</v>
      </c>
      <c r="K778" s="4">
        <f>SUMPRODUCT(
  (TEXT(Dump!$A$2:$A994,"mmm-yy")=TEXT($Y778,"mmm-yy"))*
  (Dump!$B$2:$B994=$C778)*
  Dump!$D$2:$D994)</f>
        <v>0</v>
      </c>
      <c r="L778" s="4">
        <f>SUMPRODUCT(
  (TEXT(Dump!$A$2:$A994,"mmm-yy")=TEXT($Y778,"mmm-yy"))*
  (Dump!$B$2:$B994=$C778)*
  Dump!$E$2:$E994
)</f>
        <v>0</v>
      </c>
      <c r="M778" s="4">
        <f>SUMPRODUCT(
  (TEXT(Dump!$A$2:$A994,"mmm-yy")=TEXT($Y778,"mmm-yy"))*
  (Dump!$B$2:$B994=$C778)*
  Dump!$P$2:$P994
)</f>
        <v>0</v>
      </c>
      <c r="N778" s="32"/>
      <c r="O778" s="33">
        <f>SUMIFS(Dump!$D:$D,Dump!$B:$B,$C778,Dump!$A:$A,$Y778)</f>
        <v>0</v>
      </c>
      <c r="P778" s="33">
        <f>SUMIFS(Dump!R:R,Dump!B:B,C778,Dump!A:A,Y778)</f>
        <v>0</v>
      </c>
      <c r="Q778" s="34">
        <f t="shared" si="21"/>
        <v>0</v>
      </c>
      <c r="S778" s="4">
        <f>SUMIFS(Dump!E:E,Dump!B:B,C778,Dump!A:A,Y778)</f>
        <v>0</v>
      </c>
      <c r="T778" s="35">
        <f t="shared" si="22"/>
        <v>0</v>
      </c>
      <c r="V778" s="4">
        <f>SUMIFS(Dump!P:P,Dump!B:B,C778,Dump!A:A,Y778)</f>
        <v>0</v>
      </c>
      <c r="W778" s="37">
        <f t="shared" si="23"/>
        <v>0</v>
      </c>
      <c r="X778" s="39"/>
      <c r="Y778" s="54"/>
    </row>
    <row r="779">
      <c r="C779" s="53"/>
      <c r="G779" s="2" t="str">
        <f t="shared" si="27"/>
        <v/>
      </c>
      <c r="I779" s="4">
        <f>SUMIFS(Dump!D:D,Dump!B:B,C779)</f>
        <v>0</v>
      </c>
      <c r="J779" s="5">
        <f>SUMIFS(Dump!AE:AE,Dump!B:B,C779)</f>
        <v>0</v>
      </c>
      <c r="K779" s="4">
        <f>SUMPRODUCT(
  (TEXT(Dump!$A$2:$A994,"mmm-yy")=TEXT($Y779,"mmm-yy"))*
  (Dump!$B$2:$B994=$C779)*
  Dump!$D$2:$D994)</f>
        <v>0</v>
      </c>
      <c r="L779" s="4">
        <f>SUMPRODUCT(
  (TEXT(Dump!$A$2:$A994,"mmm-yy")=TEXT($Y779,"mmm-yy"))*
  (Dump!$B$2:$B994=$C779)*
  Dump!$E$2:$E994
)</f>
        <v>0</v>
      </c>
      <c r="M779" s="4">
        <f>SUMPRODUCT(
  (TEXT(Dump!$A$2:$A994,"mmm-yy")=TEXT($Y779,"mmm-yy"))*
  (Dump!$B$2:$B994=$C779)*
  Dump!$P$2:$P994
)</f>
        <v>0</v>
      </c>
      <c r="N779" s="32"/>
      <c r="O779" s="33">
        <f>SUMIFS(Dump!$D:$D,Dump!$B:$B,$C779,Dump!$A:$A,$Y779)</f>
        <v>0</v>
      </c>
      <c r="P779" s="33">
        <f>SUMIFS(Dump!R:R,Dump!B:B,C779,Dump!A:A,Y779)</f>
        <v>0</v>
      </c>
      <c r="Q779" s="34">
        <f t="shared" si="21"/>
        <v>0</v>
      </c>
      <c r="S779" s="4">
        <f>SUMIFS(Dump!E:E,Dump!B:B,C779,Dump!A:A,Y779)</f>
        <v>0</v>
      </c>
      <c r="T779" s="35">
        <f t="shared" si="22"/>
        <v>0</v>
      </c>
      <c r="V779" s="4">
        <f>SUMIFS(Dump!P:P,Dump!B:B,C779,Dump!A:A,Y779)</f>
        <v>0</v>
      </c>
      <c r="W779" s="37">
        <f t="shared" si="23"/>
        <v>0</v>
      </c>
      <c r="X779" s="39"/>
      <c r="Y779" s="54"/>
    </row>
    <row r="780">
      <c r="C780" s="53"/>
      <c r="G780" s="2" t="str">
        <f t="shared" si="27"/>
        <v/>
      </c>
      <c r="I780" s="4">
        <f>SUMIFS(Dump!D:D,Dump!B:B,C780)</f>
        <v>0</v>
      </c>
      <c r="J780" s="5">
        <f>SUMIFS(Dump!AE:AE,Dump!B:B,C780)</f>
        <v>0</v>
      </c>
      <c r="K780" s="4">
        <f>SUMPRODUCT(
  (TEXT(Dump!$A$2:$A994,"mmm-yy")=TEXT($Y780,"mmm-yy"))*
  (Dump!$B$2:$B994=$C780)*
  Dump!$D$2:$D994)</f>
        <v>0</v>
      </c>
      <c r="L780" s="4">
        <f>SUMPRODUCT(
  (TEXT(Dump!$A$2:$A994,"mmm-yy")=TEXT($Y780,"mmm-yy"))*
  (Dump!$B$2:$B994=$C780)*
  Dump!$E$2:$E994
)</f>
        <v>0</v>
      </c>
      <c r="M780" s="4">
        <f>SUMPRODUCT(
  (TEXT(Dump!$A$2:$A994,"mmm-yy")=TEXT($Y780,"mmm-yy"))*
  (Dump!$B$2:$B994=$C780)*
  Dump!$P$2:$P994
)</f>
        <v>0</v>
      </c>
      <c r="N780" s="32"/>
      <c r="O780" s="33">
        <f>SUMIFS(Dump!$D:$D,Dump!$B:$B,$C780,Dump!$A:$A,$Y780)</f>
        <v>0</v>
      </c>
      <c r="P780" s="33">
        <f>SUMIFS(Dump!R:R,Dump!B:B,C780,Dump!A:A,Y780)</f>
        <v>0</v>
      </c>
      <c r="Q780" s="34">
        <f t="shared" si="21"/>
        <v>0</v>
      </c>
      <c r="S780" s="4">
        <f>SUMIFS(Dump!E:E,Dump!B:B,C780,Dump!A:A,Y780)</f>
        <v>0</v>
      </c>
      <c r="T780" s="35">
        <f t="shared" si="22"/>
        <v>0</v>
      </c>
      <c r="V780" s="4">
        <f>SUMIFS(Dump!P:P,Dump!B:B,C780,Dump!A:A,Y780)</f>
        <v>0</v>
      </c>
      <c r="W780" s="37">
        <f t="shared" si="23"/>
        <v>0</v>
      </c>
      <c r="X780" s="39"/>
      <c r="Y780" s="54"/>
    </row>
    <row r="781">
      <c r="C781" s="53"/>
      <c r="G781" s="2" t="str">
        <f t="shared" si="27"/>
        <v/>
      </c>
      <c r="I781" s="4">
        <f>SUMIFS(Dump!D:D,Dump!B:B,C781)</f>
        <v>0</v>
      </c>
      <c r="J781" s="5">
        <f>SUMIFS(Dump!AE:AE,Dump!B:B,C781)</f>
        <v>0</v>
      </c>
      <c r="K781" s="4">
        <f>SUMPRODUCT(
  (TEXT(Dump!$A$2:$A994,"mmm-yy")=TEXT($Y781,"mmm-yy"))*
  (Dump!$B$2:$B994=$C781)*
  Dump!$D$2:$D994)</f>
        <v>0</v>
      </c>
      <c r="L781" s="4">
        <f>SUMPRODUCT(
  (TEXT(Dump!$A$2:$A994,"mmm-yy")=TEXT($Y781,"mmm-yy"))*
  (Dump!$B$2:$B994=$C781)*
  Dump!$E$2:$E994
)</f>
        <v>0</v>
      </c>
      <c r="M781" s="4">
        <f>SUMPRODUCT(
  (TEXT(Dump!$A$2:$A994,"mmm-yy")=TEXT($Y781,"mmm-yy"))*
  (Dump!$B$2:$B994=$C781)*
  Dump!$P$2:$P994
)</f>
        <v>0</v>
      </c>
      <c r="N781" s="32"/>
      <c r="O781" s="33">
        <f>SUMIFS(Dump!$D:$D,Dump!$B:$B,$C781,Dump!$A:$A,$Y781)</f>
        <v>0</v>
      </c>
      <c r="P781" s="33">
        <f>SUMIFS(Dump!R:R,Dump!B:B,C781,Dump!A:A,Y781)</f>
        <v>0</v>
      </c>
      <c r="Q781" s="34">
        <f t="shared" si="21"/>
        <v>0</v>
      </c>
      <c r="S781" s="4">
        <f>SUMIFS(Dump!E:E,Dump!B:B,C781,Dump!A:A,Y781)</f>
        <v>0</v>
      </c>
      <c r="T781" s="35">
        <f t="shared" si="22"/>
        <v>0</v>
      </c>
      <c r="V781" s="4">
        <f>SUMIFS(Dump!P:P,Dump!B:B,C781,Dump!A:A,Y781)</f>
        <v>0</v>
      </c>
      <c r="W781" s="37">
        <f t="shared" si="23"/>
        <v>0</v>
      </c>
      <c r="X781" s="39"/>
      <c r="Y781" s="54"/>
    </row>
    <row r="782">
      <c r="C782" s="53"/>
      <c r="G782" s="2" t="str">
        <f t="shared" si="27"/>
        <v/>
      </c>
      <c r="I782" s="4">
        <f>SUMIFS(Dump!D:D,Dump!B:B,C782)</f>
        <v>0</v>
      </c>
      <c r="J782" s="5">
        <f>SUMIFS(Dump!AE:AE,Dump!B:B,C782)</f>
        <v>0</v>
      </c>
      <c r="K782" s="4">
        <f>SUMPRODUCT(
  (TEXT(Dump!$A$2:$A994,"mmm-yy")=TEXT($Y782,"mmm-yy"))*
  (Dump!$B$2:$B994=$C782)*
  Dump!$D$2:$D994)</f>
        <v>0</v>
      </c>
      <c r="L782" s="4">
        <f>SUMPRODUCT(
  (TEXT(Dump!$A$2:$A994,"mmm-yy")=TEXT($Y782,"mmm-yy"))*
  (Dump!$B$2:$B994=$C782)*
  Dump!$E$2:$E994
)</f>
        <v>0</v>
      </c>
      <c r="M782" s="4">
        <f>SUMPRODUCT(
  (TEXT(Dump!$A$2:$A994,"mmm-yy")=TEXT($Y782,"mmm-yy"))*
  (Dump!$B$2:$B994=$C782)*
  Dump!$P$2:$P994
)</f>
        <v>0</v>
      </c>
      <c r="N782" s="32"/>
      <c r="O782" s="33">
        <f>SUMIFS(Dump!$D:$D,Dump!$B:$B,$C782,Dump!$A:$A,$Y782)</f>
        <v>0</v>
      </c>
      <c r="P782" s="33">
        <f>SUMIFS(Dump!R:R,Dump!B:B,C782,Dump!A:A,Y782)</f>
        <v>0</v>
      </c>
      <c r="Q782" s="34">
        <f t="shared" si="21"/>
        <v>0</v>
      </c>
      <c r="S782" s="4">
        <f>SUMIFS(Dump!E:E,Dump!B:B,C782,Dump!A:A,Y782)</f>
        <v>0</v>
      </c>
      <c r="T782" s="35">
        <f t="shared" si="22"/>
        <v>0</v>
      </c>
      <c r="V782" s="4">
        <f>SUMIFS(Dump!P:P,Dump!B:B,C782,Dump!A:A,Y782)</f>
        <v>0</v>
      </c>
      <c r="W782" s="37">
        <f t="shared" si="23"/>
        <v>0</v>
      </c>
      <c r="X782" s="39"/>
      <c r="Y782" s="54"/>
    </row>
    <row r="783">
      <c r="C783" s="53"/>
      <c r="G783" s="2" t="str">
        <f t="shared" si="27"/>
        <v/>
      </c>
      <c r="I783" s="4">
        <f>SUMIFS(Dump!D:D,Dump!B:B,C783)</f>
        <v>0</v>
      </c>
      <c r="J783" s="5">
        <f>SUMIFS(Dump!AE:AE,Dump!B:B,C783)</f>
        <v>0</v>
      </c>
      <c r="K783" s="4">
        <f>SUMPRODUCT(
  (TEXT(Dump!$A$2:$A994,"mmm-yy")=TEXT($Y783,"mmm-yy"))*
  (Dump!$B$2:$B994=$C783)*
  Dump!$D$2:$D994)</f>
        <v>0</v>
      </c>
      <c r="L783" s="4">
        <f>SUMPRODUCT(
  (TEXT(Dump!$A$2:$A994,"mmm-yy")=TEXT($Y783,"mmm-yy"))*
  (Dump!$B$2:$B994=$C783)*
  Dump!$E$2:$E994
)</f>
        <v>0</v>
      </c>
      <c r="M783" s="4">
        <f>SUMPRODUCT(
  (TEXT(Dump!$A$2:$A994,"mmm-yy")=TEXT($Y783,"mmm-yy"))*
  (Dump!$B$2:$B994=$C783)*
  Dump!$P$2:$P994
)</f>
        <v>0</v>
      </c>
      <c r="N783" s="32"/>
      <c r="O783" s="33">
        <f>SUMIFS(Dump!$D:$D,Dump!$B:$B,$C783,Dump!$A:$A,$Y783)</f>
        <v>0</v>
      </c>
      <c r="P783" s="33">
        <f>SUMIFS(Dump!R:R,Dump!B:B,C783,Dump!A:A,Y783)</f>
        <v>0</v>
      </c>
      <c r="Q783" s="34">
        <f t="shared" si="21"/>
        <v>0</v>
      </c>
      <c r="S783" s="4">
        <f>SUMIFS(Dump!E:E,Dump!B:B,C783,Dump!A:A,Y783)</f>
        <v>0</v>
      </c>
      <c r="T783" s="35">
        <f t="shared" si="22"/>
        <v>0</v>
      </c>
      <c r="V783" s="4">
        <f>SUMIFS(Dump!P:P,Dump!B:B,C783,Dump!A:A,Y783)</f>
        <v>0</v>
      </c>
      <c r="W783" s="37">
        <f t="shared" si="23"/>
        <v>0</v>
      </c>
      <c r="X783" s="39"/>
      <c r="Y783" s="54"/>
    </row>
    <row r="784">
      <c r="C784" s="53"/>
      <c r="G784" s="2" t="str">
        <f t="shared" si="27"/>
        <v/>
      </c>
      <c r="I784" s="4">
        <f>SUMIFS(Dump!D:D,Dump!B:B,C784)</f>
        <v>0</v>
      </c>
      <c r="J784" s="5">
        <f>SUMIFS(Dump!AE:AE,Dump!B:B,C784)</f>
        <v>0</v>
      </c>
      <c r="K784" s="4">
        <f>SUMPRODUCT(
  (TEXT(Dump!$A$2:$A994,"mmm-yy")=TEXT($Y784,"mmm-yy"))*
  (Dump!$B$2:$B994=$C784)*
  Dump!$D$2:$D994)</f>
        <v>0</v>
      </c>
      <c r="L784" s="4">
        <f>SUMPRODUCT(
  (TEXT(Dump!$A$2:$A994,"mmm-yy")=TEXT($Y784,"mmm-yy"))*
  (Dump!$B$2:$B994=$C784)*
  Dump!$E$2:$E994
)</f>
        <v>0</v>
      </c>
      <c r="M784" s="4">
        <f>SUMPRODUCT(
  (TEXT(Dump!$A$2:$A994,"mmm-yy")=TEXT($Y784,"mmm-yy"))*
  (Dump!$B$2:$B994=$C784)*
  Dump!$P$2:$P994
)</f>
        <v>0</v>
      </c>
      <c r="N784" s="32"/>
      <c r="O784" s="33">
        <f>SUMIFS(Dump!$D:$D,Dump!$B:$B,$C784,Dump!$A:$A,$Y784)</f>
        <v>0</v>
      </c>
      <c r="P784" s="33">
        <f>SUMIFS(Dump!R:R,Dump!B:B,C784,Dump!A:A,Y784)</f>
        <v>0</v>
      </c>
      <c r="Q784" s="34">
        <f t="shared" si="21"/>
        <v>0</v>
      </c>
      <c r="S784" s="4">
        <f>SUMIFS(Dump!E:E,Dump!B:B,C784,Dump!A:A,Y784)</f>
        <v>0</v>
      </c>
      <c r="T784" s="35">
        <f t="shared" si="22"/>
        <v>0</v>
      </c>
      <c r="V784" s="4">
        <f>SUMIFS(Dump!P:P,Dump!B:B,C784,Dump!A:A,Y784)</f>
        <v>0</v>
      </c>
      <c r="W784" s="37">
        <f t="shared" si="23"/>
        <v>0</v>
      </c>
      <c r="X784" s="39"/>
      <c r="Y784" s="54"/>
    </row>
    <row r="785">
      <c r="C785" s="53"/>
      <c r="G785" s="2" t="str">
        <f t="shared" si="27"/>
        <v/>
      </c>
      <c r="I785" s="4">
        <f>SUMIFS(Dump!D:D,Dump!B:B,C785)</f>
        <v>0</v>
      </c>
      <c r="J785" s="5">
        <f>SUMIFS(Dump!AE:AE,Dump!B:B,C785)</f>
        <v>0</v>
      </c>
      <c r="K785" s="4">
        <f>SUMPRODUCT(
  (TEXT(Dump!$A$2:$A994,"mmm-yy")=TEXT($Y785,"mmm-yy"))*
  (Dump!$B$2:$B994=$C785)*
  Dump!$D$2:$D994)</f>
        <v>0</v>
      </c>
      <c r="L785" s="4">
        <f>SUMPRODUCT(
  (TEXT(Dump!$A$2:$A994,"mmm-yy")=TEXT($Y785,"mmm-yy"))*
  (Dump!$B$2:$B994=$C785)*
  Dump!$E$2:$E994
)</f>
        <v>0</v>
      </c>
      <c r="M785" s="4">
        <f>SUMPRODUCT(
  (TEXT(Dump!$A$2:$A994,"mmm-yy")=TEXT($Y785,"mmm-yy"))*
  (Dump!$B$2:$B994=$C785)*
  Dump!$P$2:$P994
)</f>
        <v>0</v>
      </c>
      <c r="N785" s="32"/>
      <c r="O785" s="33">
        <f>SUMIFS(Dump!$D:$D,Dump!$B:$B,$C785,Dump!$A:$A,$Y785)</f>
        <v>0</v>
      </c>
      <c r="P785" s="33">
        <f>SUMIFS(Dump!R:R,Dump!B:B,C785,Dump!A:A,Y785)</f>
        <v>0</v>
      </c>
      <c r="Q785" s="34">
        <f t="shared" si="21"/>
        <v>0</v>
      </c>
      <c r="S785" s="4">
        <f>SUMIFS(Dump!E:E,Dump!B:B,C785,Dump!A:A,Y785)</f>
        <v>0</v>
      </c>
      <c r="T785" s="35">
        <f t="shared" si="22"/>
        <v>0</v>
      </c>
      <c r="V785" s="4">
        <f>SUMIFS(Dump!P:P,Dump!B:B,C785,Dump!A:A,Y785)</f>
        <v>0</v>
      </c>
      <c r="W785" s="37">
        <f t="shared" si="23"/>
        <v>0</v>
      </c>
      <c r="X785" s="39"/>
      <c r="Y785" s="54"/>
    </row>
    <row r="786">
      <c r="C786" s="53"/>
      <c r="G786" s="2" t="str">
        <f t="shared" si="27"/>
        <v/>
      </c>
      <c r="I786" s="4">
        <f>SUMIFS(Dump!D:D,Dump!B:B,C786)</f>
        <v>0</v>
      </c>
      <c r="J786" s="5">
        <f>SUMIFS(Dump!AE:AE,Dump!B:B,C786)</f>
        <v>0</v>
      </c>
      <c r="K786" s="4">
        <f>SUMPRODUCT(
  (TEXT(Dump!$A$2:$A994,"mmm-yy")=TEXT($Y786,"mmm-yy"))*
  (Dump!$B$2:$B994=$C786)*
  Dump!$D$2:$D994)</f>
        <v>0</v>
      </c>
      <c r="L786" s="4">
        <f>SUMPRODUCT(
  (TEXT(Dump!$A$2:$A994,"mmm-yy")=TEXT($Y786,"mmm-yy"))*
  (Dump!$B$2:$B994=$C786)*
  Dump!$E$2:$E994
)</f>
        <v>0</v>
      </c>
      <c r="M786" s="4">
        <f>SUMPRODUCT(
  (TEXT(Dump!$A$2:$A994,"mmm-yy")=TEXT($Y786,"mmm-yy"))*
  (Dump!$B$2:$B994=$C786)*
  Dump!$P$2:$P994
)</f>
        <v>0</v>
      </c>
      <c r="N786" s="32"/>
      <c r="O786" s="33">
        <f>SUMIFS(Dump!$D:$D,Dump!$B:$B,$C786,Dump!$A:$A,$Y786)</f>
        <v>0</v>
      </c>
      <c r="P786" s="33">
        <f>SUMIFS(Dump!R:R,Dump!B:B,C786,Dump!A:A,Y786)</f>
        <v>0</v>
      </c>
      <c r="Q786" s="34">
        <f t="shared" si="21"/>
        <v>0</v>
      </c>
      <c r="S786" s="4">
        <f>SUMIFS(Dump!E:E,Dump!B:B,C786,Dump!A:A,Y786)</f>
        <v>0</v>
      </c>
      <c r="T786" s="35">
        <f t="shared" si="22"/>
        <v>0</v>
      </c>
      <c r="V786" s="4">
        <f>SUMIFS(Dump!P:P,Dump!B:B,C786,Dump!A:A,Y786)</f>
        <v>0</v>
      </c>
      <c r="W786" s="37">
        <f t="shared" si="23"/>
        <v>0</v>
      </c>
      <c r="X786" s="39"/>
      <c r="Y786" s="54"/>
    </row>
    <row r="787">
      <c r="C787" s="53"/>
      <c r="G787" s="2" t="str">
        <f t="shared" si="27"/>
        <v/>
      </c>
      <c r="I787" s="4">
        <f>SUMIFS(Dump!D:D,Dump!B:B,C787)</f>
        <v>0</v>
      </c>
      <c r="J787" s="5">
        <f>SUMIFS(Dump!AE:AE,Dump!B:B,C787)</f>
        <v>0</v>
      </c>
      <c r="K787" s="4">
        <f>SUMPRODUCT(
  (TEXT(Dump!$A$2:$A994,"mmm-yy")=TEXT($Y787,"mmm-yy"))*
  (Dump!$B$2:$B994=$C787)*
  Dump!$D$2:$D994)</f>
        <v>0</v>
      </c>
      <c r="L787" s="4">
        <f>SUMPRODUCT(
  (TEXT(Dump!$A$2:$A994,"mmm-yy")=TEXT($Y787,"mmm-yy"))*
  (Dump!$B$2:$B994=$C787)*
  Dump!$E$2:$E994
)</f>
        <v>0</v>
      </c>
      <c r="M787" s="4">
        <f>SUMPRODUCT(
  (TEXT(Dump!$A$2:$A994,"mmm-yy")=TEXT($Y787,"mmm-yy"))*
  (Dump!$B$2:$B994=$C787)*
  Dump!$P$2:$P994
)</f>
        <v>0</v>
      </c>
      <c r="N787" s="32"/>
      <c r="O787" s="33">
        <f>SUMIFS(Dump!$D:$D,Dump!$B:$B,$C787,Dump!$A:$A,$Y787)</f>
        <v>0</v>
      </c>
      <c r="P787" s="33">
        <f>SUMIFS(Dump!R:R,Dump!B:B,C787,Dump!A:A,Y787)</f>
        <v>0</v>
      </c>
      <c r="Q787" s="34">
        <f t="shared" si="21"/>
        <v>0</v>
      </c>
      <c r="S787" s="4">
        <f>SUMIFS(Dump!E:E,Dump!B:B,C787,Dump!A:A,Y787)</f>
        <v>0</v>
      </c>
      <c r="T787" s="35">
        <f t="shared" si="22"/>
        <v>0</v>
      </c>
      <c r="V787" s="4">
        <f>SUMIFS(Dump!P:P,Dump!B:B,C787,Dump!A:A,Y787)</f>
        <v>0</v>
      </c>
      <c r="W787" s="37">
        <f t="shared" si="23"/>
        <v>0</v>
      </c>
      <c r="X787" s="39"/>
      <c r="Y787" s="54"/>
    </row>
    <row r="788">
      <c r="C788" s="53"/>
      <c r="G788" s="2" t="str">
        <f t="shared" si="27"/>
        <v/>
      </c>
      <c r="I788" s="4">
        <f>SUMIFS(Dump!D:D,Dump!B:B,C788)</f>
        <v>0</v>
      </c>
      <c r="J788" s="5">
        <f>SUMIFS(Dump!AE:AE,Dump!B:B,C788)</f>
        <v>0</v>
      </c>
      <c r="K788" s="4">
        <f>SUMPRODUCT(
  (TEXT(Dump!$A$2:$A994,"mmm-yy")=TEXT($Y788,"mmm-yy"))*
  (Dump!$B$2:$B994=$C788)*
  Dump!$D$2:$D994)</f>
        <v>0</v>
      </c>
      <c r="L788" s="4">
        <f>SUMPRODUCT(
  (TEXT(Dump!$A$2:$A994,"mmm-yy")=TEXT($Y788,"mmm-yy"))*
  (Dump!$B$2:$B994=$C788)*
  Dump!$E$2:$E994
)</f>
        <v>0</v>
      </c>
      <c r="M788" s="4">
        <f>SUMPRODUCT(
  (TEXT(Dump!$A$2:$A994,"mmm-yy")=TEXT($Y788,"mmm-yy"))*
  (Dump!$B$2:$B994=$C788)*
  Dump!$P$2:$P994
)</f>
        <v>0</v>
      </c>
      <c r="N788" s="32"/>
      <c r="O788" s="33">
        <f>SUMIFS(Dump!$D:$D,Dump!$B:$B,$C788,Dump!$A:$A,$Y788)</f>
        <v>0</v>
      </c>
      <c r="P788" s="33">
        <f>SUMIFS(Dump!R:R,Dump!B:B,C788,Dump!A:A,Y788)</f>
        <v>0</v>
      </c>
      <c r="Q788" s="34">
        <f t="shared" si="21"/>
        <v>0</v>
      </c>
      <c r="S788" s="4">
        <f>SUMIFS(Dump!E:E,Dump!B:B,C788,Dump!A:A,Y788)</f>
        <v>0</v>
      </c>
      <c r="T788" s="35">
        <f t="shared" si="22"/>
        <v>0</v>
      </c>
      <c r="V788" s="4">
        <f>SUMIFS(Dump!P:P,Dump!B:B,C788,Dump!A:A,Y788)</f>
        <v>0</v>
      </c>
      <c r="W788" s="37">
        <f t="shared" si="23"/>
        <v>0</v>
      </c>
      <c r="X788" s="39"/>
      <c r="Y788" s="54"/>
    </row>
    <row r="789">
      <c r="C789" s="53"/>
      <c r="G789" s="2" t="str">
        <f t="shared" si="27"/>
        <v/>
      </c>
      <c r="I789" s="4">
        <f>SUMIFS(Dump!D:D,Dump!B:B,C789)</f>
        <v>0</v>
      </c>
      <c r="J789" s="5">
        <f>SUMIFS(Dump!AE:AE,Dump!B:B,C789)</f>
        <v>0</v>
      </c>
      <c r="K789" s="4">
        <f>SUMPRODUCT(
  (TEXT(Dump!$A$2:$A994,"mmm-yy")=TEXT($Y789,"mmm-yy"))*
  (Dump!$B$2:$B994=$C789)*
  Dump!$D$2:$D994)</f>
        <v>0</v>
      </c>
      <c r="L789" s="4">
        <f>SUMPRODUCT(
  (TEXT(Dump!$A$2:$A994,"mmm-yy")=TEXT($Y789,"mmm-yy"))*
  (Dump!$B$2:$B994=$C789)*
  Dump!$E$2:$E994
)</f>
        <v>0</v>
      </c>
      <c r="M789" s="4">
        <f>SUMPRODUCT(
  (TEXT(Dump!$A$2:$A994,"mmm-yy")=TEXT($Y789,"mmm-yy"))*
  (Dump!$B$2:$B994=$C789)*
  Dump!$P$2:$P994
)</f>
        <v>0</v>
      </c>
      <c r="N789" s="32"/>
      <c r="O789" s="33">
        <f>SUMIFS(Dump!$D:$D,Dump!$B:$B,$C789,Dump!$A:$A,$Y789)</f>
        <v>0</v>
      </c>
      <c r="P789" s="33">
        <f>SUMIFS(Dump!R:R,Dump!B:B,C789,Dump!A:A,Y789)</f>
        <v>0</v>
      </c>
      <c r="Q789" s="34">
        <f t="shared" si="21"/>
        <v>0</v>
      </c>
      <c r="S789" s="4">
        <f>SUMIFS(Dump!E:E,Dump!B:B,C789,Dump!A:A,Y789)</f>
        <v>0</v>
      </c>
      <c r="T789" s="35">
        <f t="shared" si="22"/>
        <v>0</v>
      </c>
      <c r="V789" s="4">
        <f>SUMIFS(Dump!P:P,Dump!B:B,C789,Dump!A:A,Y789)</f>
        <v>0</v>
      </c>
      <c r="W789" s="37">
        <f t="shared" si="23"/>
        <v>0</v>
      </c>
      <c r="X789" s="39"/>
      <c r="Y789" s="54"/>
    </row>
    <row r="790">
      <c r="C790" s="53"/>
      <c r="G790" s="2" t="str">
        <f t="shared" si="27"/>
        <v/>
      </c>
      <c r="I790" s="4">
        <f>SUMIFS(Dump!D:D,Dump!B:B,C790)</f>
        <v>0</v>
      </c>
      <c r="J790" s="5">
        <f>SUMIFS(Dump!AE:AE,Dump!B:B,C790)</f>
        <v>0</v>
      </c>
      <c r="K790" s="4">
        <f>SUMPRODUCT(
  (TEXT(Dump!$A$2:$A994,"mmm-yy")=TEXT($Y790,"mmm-yy"))*
  (Dump!$B$2:$B994=$C790)*
  Dump!$D$2:$D994)</f>
        <v>0</v>
      </c>
      <c r="L790" s="4">
        <f>SUMPRODUCT(
  (TEXT(Dump!$A$2:$A994,"mmm-yy")=TEXT($Y790,"mmm-yy"))*
  (Dump!$B$2:$B994=$C790)*
  Dump!$E$2:$E994
)</f>
        <v>0</v>
      </c>
      <c r="M790" s="4">
        <f>SUMPRODUCT(
  (TEXT(Dump!$A$2:$A994,"mmm-yy")=TEXT($Y790,"mmm-yy"))*
  (Dump!$B$2:$B994=$C790)*
  Dump!$P$2:$P994
)</f>
        <v>0</v>
      </c>
      <c r="N790" s="32"/>
      <c r="O790" s="33">
        <f>SUMIFS(Dump!$D:$D,Dump!$B:$B,$C790,Dump!$A:$A,$Y790)</f>
        <v>0</v>
      </c>
      <c r="P790" s="33">
        <f>SUMIFS(Dump!R:R,Dump!B:B,C790,Dump!A:A,Y790)</f>
        <v>0</v>
      </c>
      <c r="Q790" s="34">
        <f t="shared" si="21"/>
        <v>0</v>
      </c>
      <c r="S790" s="4">
        <f>SUMIFS(Dump!E:E,Dump!B:B,C790,Dump!A:A,Y790)</f>
        <v>0</v>
      </c>
      <c r="T790" s="35">
        <f t="shared" si="22"/>
        <v>0</v>
      </c>
      <c r="V790" s="4">
        <f>SUMIFS(Dump!P:P,Dump!B:B,C790,Dump!A:A,Y790)</f>
        <v>0</v>
      </c>
      <c r="W790" s="37">
        <f t="shared" si="23"/>
        <v>0</v>
      </c>
      <c r="X790" s="39"/>
      <c r="Y790" s="54"/>
    </row>
    <row r="791">
      <c r="C791" s="53"/>
      <c r="G791" s="2" t="str">
        <f t="shared" si="27"/>
        <v/>
      </c>
      <c r="I791" s="4">
        <f>SUMIFS(Dump!D:D,Dump!B:B,C791)</f>
        <v>0</v>
      </c>
      <c r="J791" s="5">
        <f>SUMIFS(Dump!AE:AE,Dump!B:B,C791)</f>
        <v>0</v>
      </c>
      <c r="K791" s="4">
        <f>SUMPRODUCT(
  (TEXT(Dump!$A$2:$A994,"mmm-yy")=TEXT($Y791,"mmm-yy"))*
  (Dump!$B$2:$B994=$C791)*
  Dump!$D$2:$D994)</f>
        <v>0</v>
      </c>
      <c r="L791" s="4">
        <f>SUMPRODUCT(
  (TEXT(Dump!$A$2:$A994,"mmm-yy")=TEXT($Y791,"mmm-yy"))*
  (Dump!$B$2:$B994=$C791)*
  Dump!$E$2:$E994
)</f>
        <v>0</v>
      </c>
      <c r="M791" s="4">
        <f>SUMPRODUCT(
  (TEXT(Dump!$A$2:$A994,"mmm-yy")=TEXT($Y791,"mmm-yy"))*
  (Dump!$B$2:$B994=$C791)*
  Dump!$P$2:$P994
)</f>
        <v>0</v>
      </c>
      <c r="N791" s="32"/>
      <c r="O791" s="33">
        <f>SUMIFS(Dump!$D:$D,Dump!$B:$B,$C791,Dump!$A:$A,$Y791)</f>
        <v>0</v>
      </c>
      <c r="P791" s="33">
        <f>SUMIFS(Dump!R:R,Dump!B:B,C791,Dump!A:A,Y791)</f>
        <v>0</v>
      </c>
      <c r="Q791" s="34">
        <f t="shared" si="21"/>
        <v>0</v>
      </c>
      <c r="S791" s="4">
        <f>SUMIFS(Dump!E:E,Dump!B:B,C791,Dump!A:A,Y791)</f>
        <v>0</v>
      </c>
      <c r="T791" s="35">
        <f t="shared" si="22"/>
        <v>0</v>
      </c>
      <c r="V791" s="4">
        <f>SUMIFS(Dump!P:P,Dump!B:B,C791,Dump!A:A,Y791)</f>
        <v>0</v>
      </c>
      <c r="W791" s="37">
        <f t="shared" si="23"/>
        <v>0</v>
      </c>
      <c r="X791" s="39"/>
      <c r="Y791" s="54"/>
    </row>
    <row r="792">
      <c r="C792" s="53"/>
      <c r="G792" s="2" t="str">
        <f t="shared" si="27"/>
        <v/>
      </c>
      <c r="I792" s="4">
        <f>SUMIFS(Dump!D:D,Dump!B:B,C792)</f>
        <v>0</v>
      </c>
      <c r="J792" s="5">
        <f>SUMIFS(Dump!AE:AE,Dump!B:B,C792)</f>
        <v>0</v>
      </c>
      <c r="K792" s="4">
        <f>SUMPRODUCT(
  (TEXT(Dump!$A$2:$A994,"mmm-yy")=TEXT($Y792,"mmm-yy"))*
  (Dump!$B$2:$B994=$C792)*
  Dump!$D$2:$D994)</f>
        <v>0</v>
      </c>
      <c r="L792" s="4">
        <f>SUMPRODUCT(
  (TEXT(Dump!$A$2:$A994,"mmm-yy")=TEXT($Y792,"mmm-yy"))*
  (Dump!$B$2:$B994=$C792)*
  Dump!$E$2:$E994
)</f>
        <v>0</v>
      </c>
      <c r="M792" s="4">
        <f>SUMPRODUCT(
  (TEXT(Dump!$A$2:$A994,"mmm-yy")=TEXT($Y792,"mmm-yy"))*
  (Dump!$B$2:$B994=$C792)*
  Dump!$P$2:$P994
)</f>
        <v>0</v>
      </c>
      <c r="N792" s="32"/>
      <c r="O792" s="33">
        <f>SUMIFS(Dump!$D:$D,Dump!$B:$B,$C792,Dump!$A:$A,$Y792)</f>
        <v>0</v>
      </c>
      <c r="P792" s="33">
        <f>SUMIFS(Dump!R:R,Dump!B:B,C792,Dump!A:A,Y792)</f>
        <v>0</v>
      </c>
      <c r="Q792" s="34">
        <f t="shared" si="21"/>
        <v>0</v>
      </c>
      <c r="S792" s="4">
        <f>SUMIFS(Dump!E:E,Dump!B:B,C792,Dump!A:A,Y792)</f>
        <v>0</v>
      </c>
      <c r="T792" s="35">
        <f t="shared" si="22"/>
        <v>0</v>
      </c>
      <c r="V792" s="4">
        <f>SUMIFS(Dump!P:P,Dump!B:B,C792,Dump!A:A,Y792)</f>
        <v>0</v>
      </c>
      <c r="W792" s="37">
        <f t="shared" si="23"/>
        <v>0</v>
      </c>
      <c r="X792" s="39"/>
      <c r="Y792" s="54"/>
    </row>
    <row r="793">
      <c r="C793" s="53"/>
      <c r="G793" s="2" t="str">
        <f t="shared" si="27"/>
        <v/>
      </c>
      <c r="I793" s="4">
        <f>SUMIFS(Dump!D:D,Dump!B:B,C793)</f>
        <v>0</v>
      </c>
      <c r="J793" s="5">
        <f>SUMIFS(Dump!AE:AE,Dump!B:B,C793)</f>
        <v>0</v>
      </c>
      <c r="K793" s="4">
        <f>SUMPRODUCT(
  (TEXT(Dump!$A$2:$A994,"mmm-yy")=TEXT($Y793,"mmm-yy"))*
  (Dump!$B$2:$B994=$C793)*
  Dump!$D$2:$D994)</f>
        <v>0</v>
      </c>
      <c r="L793" s="4">
        <f>SUMPRODUCT(
  (TEXT(Dump!$A$2:$A994,"mmm-yy")=TEXT($Y793,"mmm-yy"))*
  (Dump!$B$2:$B994=$C793)*
  Dump!$E$2:$E994
)</f>
        <v>0</v>
      </c>
      <c r="M793" s="4">
        <f>SUMPRODUCT(
  (TEXT(Dump!$A$2:$A994,"mmm-yy")=TEXT($Y793,"mmm-yy"))*
  (Dump!$B$2:$B994=$C793)*
  Dump!$P$2:$P994
)</f>
        <v>0</v>
      </c>
      <c r="N793" s="32"/>
      <c r="O793" s="33">
        <f>SUMIFS(Dump!$D:$D,Dump!$B:$B,$C793,Dump!$A:$A,$Y793)</f>
        <v>0</v>
      </c>
      <c r="P793" s="33">
        <f>SUMIFS(Dump!R:R,Dump!B:B,C793,Dump!A:A,Y793)</f>
        <v>0</v>
      </c>
      <c r="Q793" s="34">
        <f t="shared" si="21"/>
        <v>0</v>
      </c>
      <c r="S793" s="4">
        <f>SUMIFS(Dump!E:E,Dump!B:B,C793,Dump!A:A,Y793)</f>
        <v>0</v>
      </c>
      <c r="T793" s="35">
        <f t="shared" si="22"/>
        <v>0</v>
      </c>
      <c r="V793" s="4">
        <f>SUMIFS(Dump!P:P,Dump!B:B,C793,Dump!A:A,Y793)</f>
        <v>0</v>
      </c>
      <c r="W793" s="37">
        <f t="shared" si="23"/>
        <v>0</v>
      </c>
      <c r="X793" s="39"/>
      <c r="Y793" s="54"/>
    </row>
    <row r="794">
      <c r="C794" s="53"/>
      <c r="G794" s="2" t="str">
        <f t="shared" si="27"/>
        <v/>
      </c>
      <c r="I794" s="4">
        <f>SUMIFS(Dump!D:D,Dump!B:B,C794)</f>
        <v>0</v>
      </c>
      <c r="J794" s="5">
        <f>SUMIFS(Dump!AE:AE,Dump!B:B,C794)</f>
        <v>0</v>
      </c>
      <c r="K794" s="4">
        <f>SUMPRODUCT(
  (TEXT(Dump!$A$2:$A994,"mmm-yy")=TEXT($Y794,"mmm-yy"))*
  (Dump!$B$2:$B994=$C794)*
  Dump!$D$2:$D994)</f>
        <v>0</v>
      </c>
      <c r="L794" s="4">
        <f>SUMPRODUCT(
  (TEXT(Dump!$A$2:$A994,"mmm-yy")=TEXT($Y794,"mmm-yy"))*
  (Dump!$B$2:$B994=$C794)*
  Dump!$E$2:$E994
)</f>
        <v>0</v>
      </c>
      <c r="M794" s="4">
        <f>SUMPRODUCT(
  (TEXT(Dump!$A$2:$A994,"mmm-yy")=TEXT($Y794,"mmm-yy"))*
  (Dump!$B$2:$B994=$C794)*
  Dump!$P$2:$P994
)</f>
        <v>0</v>
      </c>
      <c r="N794" s="32"/>
      <c r="O794" s="33">
        <f>SUMIFS(Dump!$D:$D,Dump!$B:$B,$C794,Dump!$A:$A,$Y794)</f>
        <v>0</v>
      </c>
      <c r="P794" s="33">
        <f>SUMIFS(Dump!R:R,Dump!B:B,C794,Dump!A:A,Y794)</f>
        <v>0</v>
      </c>
      <c r="Q794" s="34">
        <f t="shared" si="21"/>
        <v>0</v>
      </c>
      <c r="S794" s="4">
        <f>SUMIFS(Dump!E:E,Dump!B:B,C794,Dump!A:A,Y794)</f>
        <v>0</v>
      </c>
      <c r="T794" s="35">
        <f t="shared" si="22"/>
        <v>0</v>
      </c>
      <c r="V794" s="4">
        <f>SUMIFS(Dump!P:P,Dump!B:B,C794,Dump!A:A,Y794)</f>
        <v>0</v>
      </c>
      <c r="W794" s="37">
        <f t="shared" si="23"/>
        <v>0</v>
      </c>
      <c r="X794" s="39"/>
      <c r="Y794" s="54"/>
    </row>
    <row r="795">
      <c r="C795" s="53"/>
      <c r="G795" s="2" t="str">
        <f t="shared" si="27"/>
        <v/>
      </c>
      <c r="I795" s="4">
        <f>SUMIFS(Dump!D:D,Dump!B:B,C795)</f>
        <v>0</v>
      </c>
      <c r="J795" s="5">
        <f>SUMIFS(Dump!AE:AE,Dump!B:B,C795)</f>
        <v>0</v>
      </c>
      <c r="K795" s="4">
        <f>SUMPRODUCT(
  (TEXT(Dump!$A$2:$A994,"mmm-yy")=TEXT($Y795,"mmm-yy"))*
  (Dump!$B$2:$B994=$C795)*
  Dump!$D$2:$D994)</f>
        <v>0</v>
      </c>
      <c r="L795" s="4">
        <f>SUMPRODUCT(
  (TEXT(Dump!$A$2:$A994,"mmm-yy")=TEXT($Y795,"mmm-yy"))*
  (Dump!$B$2:$B994=$C795)*
  Dump!$E$2:$E994
)</f>
        <v>0</v>
      </c>
      <c r="M795" s="4">
        <f>SUMPRODUCT(
  (TEXT(Dump!$A$2:$A994,"mmm-yy")=TEXT($Y795,"mmm-yy"))*
  (Dump!$B$2:$B994=$C795)*
  Dump!$P$2:$P994
)</f>
        <v>0</v>
      </c>
      <c r="N795" s="32"/>
      <c r="O795" s="33">
        <f>SUMIFS(Dump!$D:$D,Dump!$B:$B,$C795,Dump!$A:$A,$Y795)</f>
        <v>0</v>
      </c>
      <c r="P795" s="33">
        <f>SUMIFS(Dump!R:R,Dump!B:B,C795,Dump!A:A,Y795)</f>
        <v>0</v>
      </c>
      <c r="Q795" s="34">
        <f t="shared" si="21"/>
        <v>0</v>
      </c>
      <c r="S795" s="4">
        <f>SUMIFS(Dump!E:E,Dump!B:B,C795,Dump!A:A,Y795)</f>
        <v>0</v>
      </c>
      <c r="T795" s="35">
        <f t="shared" si="22"/>
        <v>0</v>
      </c>
      <c r="V795" s="4">
        <f>SUMIFS(Dump!P:P,Dump!B:B,C795,Dump!A:A,Y795)</f>
        <v>0</v>
      </c>
      <c r="W795" s="37">
        <f t="shared" si="23"/>
        <v>0</v>
      </c>
      <c r="X795" s="39"/>
      <c r="Y795" s="54"/>
    </row>
    <row r="796">
      <c r="C796" s="53"/>
      <c r="G796" s="2" t="str">
        <f t="shared" si="27"/>
        <v/>
      </c>
      <c r="I796" s="4">
        <f>SUMIFS(Dump!D:D,Dump!B:B,C796)</f>
        <v>0</v>
      </c>
      <c r="J796" s="5">
        <f>SUMIFS(Dump!AE:AE,Dump!B:B,C796)</f>
        <v>0</v>
      </c>
      <c r="K796" s="4">
        <f>SUMPRODUCT(
  (TEXT(Dump!$A$2:$A994,"mmm-yy")=TEXT($Y796,"mmm-yy"))*
  (Dump!$B$2:$B994=$C796)*
  Dump!$D$2:$D994)</f>
        <v>0</v>
      </c>
      <c r="L796" s="4">
        <f>SUMPRODUCT(
  (TEXT(Dump!$A$2:$A994,"mmm-yy")=TEXT($Y796,"mmm-yy"))*
  (Dump!$B$2:$B994=$C796)*
  Dump!$E$2:$E994
)</f>
        <v>0</v>
      </c>
      <c r="M796" s="4">
        <f>SUMPRODUCT(
  (TEXT(Dump!$A$2:$A994,"mmm-yy")=TEXT($Y796,"mmm-yy"))*
  (Dump!$B$2:$B994=$C796)*
  Dump!$P$2:$P994
)</f>
        <v>0</v>
      </c>
      <c r="N796" s="32"/>
      <c r="O796" s="33">
        <f>SUMIFS(Dump!$D:$D,Dump!$B:$B,$C796,Dump!$A:$A,$Y796)</f>
        <v>0</v>
      </c>
      <c r="P796" s="33">
        <f>SUMIFS(Dump!R:R,Dump!B:B,C796,Dump!A:A,Y796)</f>
        <v>0</v>
      </c>
      <c r="Q796" s="34">
        <f t="shared" si="21"/>
        <v>0</v>
      </c>
      <c r="S796" s="4">
        <f>SUMIFS(Dump!E:E,Dump!B:B,C796,Dump!A:A,Y796)</f>
        <v>0</v>
      </c>
      <c r="T796" s="35">
        <f t="shared" si="22"/>
        <v>0</v>
      </c>
      <c r="V796" s="4">
        <f>SUMIFS(Dump!P:P,Dump!B:B,C796,Dump!A:A,Y796)</f>
        <v>0</v>
      </c>
      <c r="W796" s="37">
        <f t="shared" si="23"/>
        <v>0</v>
      </c>
      <c r="X796" s="39"/>
      <c r="Y796" s="54"/>
    </row>
    <row r="797">
      <c r="C797" s="53"/>
      <c r="G797" s="2" t="str">
        <f t="shared" si="27"/>
        <v/>
      </c>
      <c r="I797" s="4">
        <f>SUMIFS(Dump!D:D,Dump!B:B,C797)</f>
        <v>0</v>
      </c>
      <c r="J797" s="5">
        <f>SUMIFS(Dump!AE:AE,Dump!B:B,C797)</f>
        <v>0</v>
      </c>
      <c r="K797" s="4">
        <f>SUMPRODUCT(
  (TEXT(Dump!$A$2:$A994,"mmm-yy")=TEXT($Y797,"mmm-yy"))*
  (Dump!$B$2:$B994=$C797)*
  Dump!$D$2:$D994)</f>
        <v>0</v>
      </c>
      <c r="L797" s="4">
        <f>SUMPRODUCT(
  (TEXT(Dump!$A$2:$A994,"mmm-yy")=TEXT($Y797,"mmm-yy"))*
  (Dump!$B$2:$B994=$C797)*
  Dump!$E$2:$E994
)</f>
        <v>0</v>
      </c>
      <c r="M797" s="4">
        <f>SUMPRODUCT(
  (TEXT(Dump!$A$2:$A994,"mmm-yy")=TEXT($Y797,"mmm-yy"))*
  (Dump!$B$2:$B994=$C797)*
  Dump!$P$2:$P994
)</f>
        <v>0</v>
      </c>
      <c r="N797" s="32"/>
      <c r="O797" s="33">
        <f>SUMIFS(Dump!$D:$D,Dump!$B:$B,$C797,Dump!$A:$A,$Y797)</f>
        <v>0</v>
      </c>
      <c r="P797" s="33">
        <f>SUMIFS(Dump!R:R,Dump!B:B,C797,Dump!A:A,Y797)</f>
        <v>0</v>
      </c>
      <c r="Q797" s="34">
        <f t="shared" si="21"/>
        <v>0</v>
      </c>
      <c r="S797" s="4">
        <f>SUMIFS(Dump!E:E,Dump!B:B,C797,Dump!A:A,Y797)</f>
        <v>0</v>
      </c>
      <c r="T797" s="35">
        <f t="shared" si="22"/>
        <v>0</v>
      </c>
      <c r="V797" s="4">
        <f>SUMIFS(Dump!P:P,Dump!B:B,C797,Dump!A:A,Y797)</f>
        <v>0</v>
      </c>
      <c r="W797" s="37">
        <f t="shared" si="23"/>
        <v>0</v>
      </c>
      <c r="X797" s="39"/>
      <c r="Y797" s="54"/>
    </row>
    <row r="798">
      <c r="C798" s="53"/>
      <c r="G798" s="2" t="str">
        <f t="shared" si="27"/>
        <v/>
      </c>
      <c r="I798" s="4">
        <f>SUMIFS(Dump!D:D,Dump!B:B,C798)</f>
        <v>0</v>
      </c>
      <c r="J798" s="5">
        <f>SUMIFS(Dump!AE:AE,Dump!B:B,C798)</f>
        <v>0</v>
      </c>
      <c r="K798" s="4">
        <f>SUMPRODUCT(
  (TEXT(Dump!$A$2:$A994,"mmm-yy")=TEXT($Y798,"mmm-yy"))*
  (Dump!$B$2:$B994=$C798)*
  Dump!$D$2:$D994)</f>
        <v>0</v>
      </c>
      <c r="L798" s="4">
        <f>SUMPRODUCT(
  (TEXT(Dump!$A$2:$A994,"mmm-yy")=TEXT($Y798,"mmm-yy"))*
  (Dump!$B$2:$B994=$C798)*
  Dump!$E$2:$E994
)</f>
        <v>0</v>
      </c>
      <c r="M798" s="4">
        <f>SUMPRODUCT(
  (TEXT(Dump!$A$2:$A994,"mmm-yy")=TEXT($Y798,"mmm-yy"))*
  (Dump!$B$2:$B994=$C798)*
  Dump!$P$2:$P994
)</f>
        <v>0</v>
      </c>
      <c r="N798" s="32"/>
      <c r="O798" s="33">
        <f>SUMIFS(Dump!$D:$D,Dump!$B:$B,$C798,Dump!$A:$A,$Y798)</f>
        <v>0</v>
      </c>
      <c r="P798" s="33">
        <f>SUMIFS(Dump!R:R,Dump!B:B,C798,Dump!A:A,Y798)</f>
        <v>0</v>
      </c>
      <c r="Q798" s="34">
        <f t="shared" si="21"/>
        <v>0</v>
      </c>
      <c r="S798" s="4">
        <f>SUMIFS(Dump!E:E,Dump!B:B,C798,Dump!A:A,Y798)</f>
        <v>0</v>
      </c>
      <c r="T798" s="35">
        <f t="shared" si="22"/>
        <v>0</v>
      </c>
      <c r="V798" s="4">
        <f>SUMIFS(Dump!P:P,Dump!B:B,C798,Dump!A:A,Y798)</f>
        <v>0</v>
      </c>
      <c r="W798" s="37">
        <f t="shared" si="23"/>
        <v>0</v>
      </c>
      <c r="X798" s="39"/>
      <c r="Y798" s="54"/>
    </row>
    <row r="799">
      <c r="C799" s="53"/>
      <c r="G799" s="2" t="str">
        <f t="shared" si="27"/>
        <v/>
      </c>
      <c r="I799" s="4">
        <f>SUMIFS(Dump!D:D,Dump!B:B,C799)</f>
        <v>0</v>
      </c>
      <c r="J799" s="5">
        <f>SUMIFS(Dump!AE:AE,Dump!B:B,C799)</f>
        <v>0</v>
      </c>
      <c r="K799" s="4">
        <f>SUMPRODUCT(
  (TEXT(Dump!$A$2:$A994,"mmm-yy")=TEXT($Y799,"mmm-yy"))*
  (Dump!$B$2:$B994=$C799)*
  Dump!$D$2:$D994)</f>
        <v>0</v>
      </c>
      <c r="L799" s="4">
        <f>SUMPRODUCT(
  (TEXT(Dump!$A$2:$A994,"mmm-yy")=TEXT($Y799,"mmm-yy"))*
  (Dump!$B$2:$B994=$C799)*
  Dump!$E$2:$E994
)</f>
        <v>0</v>
      </c>
      <c r="M799" s="4">
        <f>SUMPRODUCT(
  (TEXT(Dump!$A$2:$A994,"mmm-yy")=TEXT($Y799,"mmm-yy"))*
  (Dump!$B$2:$B994=$C799)*
  Dump!$P$2:$P994
)</f>
        <v>0</v>
      </c>
      <c r="N799" s="32"/>
      <c r="O799" s="33">
        <f>SUMIFS(Dump!$D:$D,Dump!$B:$B,$C799,Dump!$A:$A,$Y799)</f>
        <v>0</v>
      </c>
      <c r="P799" s="33">
        <f>SUMIFS(Dump!R:R,Dump!B:B,C799,Dump!A:A,Y799)</f>
        <v>0</v>
      </c>
      <c r="Q799" s="34">
        <f t="shared" si="21"/>
        <v>0</v>
      </c>
      <c r="S799" s="4">
        <f>SUMIFS(Dump!E:E,Dump!B:B,C799,Dump!A:A,Y799)</f>
        <v>0</v>
      </c>
      <c r="T799" s="35">
        <f t="shared" si="22"/>
        <v>0</v>
      </c>
      <c r="V799" s="4">
        <f>SUMIFS(Dump!P:P,Dump!B:B,C799,Dump!A:A,Y799)</f>
        <v>0</v>
      </c>
      <c r="W799" s="37">
        <f t="shared" si="23"/>
        <v>0</v>
      </c>
      <c r="X799" s="39"/>
      <c r="Y799" s="54"/>
    </row>
    <row r="800">
      <c r="C800" s="53"/>
      <c r="G800" s="2" t="str">
        <f t="shared" si="27"/>
        <v/>
      </c>
      <c r="I800" s="4">
        <f>SUMIFS(Dump!D:D,Dump!B:B,C800)</f>
        <v>0</v>
      </c>
      <c r="J800" s="5">
        <f>SUMIFS(Dump!AE:AE,Dump!B:B,C800)</f>
        <v>0</v>
      </c>
      <c r="K800" s="4">
        <f>SUMPRODUCT(
  (TEXT(Dump!$A$2:$A994,"mmm-yy")=TEXT($Y800,"mmm-yy"))*
  (Dump!$B$2:$B994=$C800)*
  Dump!$D$2:$D994)</f>
        <v>0</v>
      </c>
      <c r="L800" s="4">
        <f>SUMPRODUCT(
  (TEXT(Dump!$A$2:$A994,"mmm-yy")=TEXT($Y800,"mmm-yy"))*
  (Dump!$B$2:$B994=$C800)*
  Dump!$E$2:$E994
)</f>
        <v>0</v>
      </c>
      <c r="M800" s="4">
        <f>SUMPRODUCT(
  (TEXT(Dump!$A$2:$A994,"mmm-yy")=TEXT($Y800,"mmm-yy"))*
  (Dump!$B$2:$B994=$C800)*
  Dump!$P$2:$P994
)</f>
        <v>0</v>
      </c>
      <c r="N800" s="32"/>
      <c r="O800" s="33">
        <f>SUMIFS(Dump!$D:$D,Dump!$B:$B,$C800,Dump!$A:$A,$Y800)</f>
        <v>0</v>
      </c>
      <c r="P800" s="33">
        <f>SUMIFS(Dump!R:R,Dump!B:B,C800,Dump!A:A,Y800)</f>
        <v>0</v>
      </c>
      <c r="Q800" s="34">
        <f t="shared" si="21"/>
        <v>0</v>
      </c>
      <c r="S800" s="4">
        <f>SUMIFS(Dump!E:E,Dump!B:B,C800,Dump!A:A,Y800)</f>
        <v>0</v>
      </c>
      <c r="T800" s="35">
        <f t="shared" si="22"/>
        <v>0</v>
      </c>
      <c r="V800" s="4">
        <f>SUMIFS(Dump!P:P,Dump!B:B,C800,Dump!A:A,Y800)</f>
        <v>0</v>
      </c>
      <c r="W800" s="37">
        <f t="shared" si="23"/>
        <v>0</v>
      </c>
      <c r="X800" s="39"/>
      <c r="Y800" s="54"/>
    </row>
    <row r="801">
      <c r="C801" s="53"/>
      <c r="G801" s="2" t="str">
        <f t="shared" si="27"/>
        <v/>
      </c>
      <c r="I801" s="4">
        <f>SUMIFS(Dump!D:D,Dump!B:B,C801)</f>
        <v>0</v>
      </c>
      <c r="J801" s="5">
        <f>SUMIFS(Dump!AE:AE,Dump!B:B,C801)</f>
        <v>0</v>
      </c>
      <c r="K801" s="4">
        <f>SUMPRODUCT(
  (TEXT(Dump!$A$2:$A994,"mmm-yy")=TEXT($Y801,"mmm-yy"))*
  (Dump!$B$2:$B994=$C801)*
  Dump!$D$2:$D994)</f>
        <v>0</v>
      </c>
      <c r="L801" s="4">
        <f>SUMPRODUCT(
  (TEXT(Dump!$A$2:$A994,"mmm-yy")=TEXT($Y801,"mmm-yy"))*
  (Dump!$B$2:$B994=$C801)*
  Dump!$E$2:$E994
)</f>
        <v>0</v>
      </c>
      <c r="M801" s="4">
        <f>SUMPRODUCT(
  (TEXT(Dump!$A$2:$A994,"mmm-yy")=TEXT($Y801,"mmm-yy"))*
  (Dump!$B$2:$B994=$C801)*
  Dump!$P$2:$P994
)</f>
        <v>0</v>
      </c>
      <c r="N801" s="32"/>
      <c r="O801" s="33">
        <f>SUMIFS(Dump!$D:$D,Dump!$B:$B,$C801,Dump!$A:$A,$Y801)</f>
        <v>0</v>
      </c>
      <c r="P801" s="33">
        <f>SUMIFS(Dump!R:R,Dump!B:B,C801,Dump!A:A,Y801)</f>
        <v>0</v>
      </c>
      <c r="Q801" s="34">
        <f t="shared" si="21"/>
        <v>0</v>
      </c>
      <c r="S801" s="4">
        <f>SUMIFS(Dump!E:E,Dump!B:B,C801,Dump!A:A,Y801)</f>
        <v>0</v>
      </c>
      <c r="T801" s="35">
        <f t="shared" si="22"/>
        <v>0</v>
      </c>
      <c r="V801" s="4">
        <f>SUMIFS(Dump!P:P,Dump!B:B,C801,Dump!A:A,Y801)</f>
        <v>0</v>
      </c>
      <c r="W801" s="37">
        <f t="shared" si="23"/>
        <v>0</v>
      </c>
      <c r="X801" s="39"/>
      <c r="Y801" s="54"/>
    </row>
    <row r="802">
      <c r="C802" s="53"/>
      <c r="G802" s="2" t="str">
        <f t="shared" si="27"/>
        <v/>
      </c>
      <c r="I802" s="4">
        <f>SUMIFS(Dump!D:D,Dump!B:B,C802)</f>
        <v>0</v>
      </c>
      <c r="J802" s="5">
        <f>SUMIFS(Dump!AE:AE,Dump!B:B,C802)</f>
        <v>0</v>
      </c>
      <c r="K802" s="4">
        <f>SUMPRODUCT(
  (TEXT(Dump!$A$2:$A994,"mmm-yy")=TEXT($Y802,"mmm-yy"))*
  (Dump!$B$2:$B994=$C802)*
  Dump!$D$2:$D994)</f>
        <v>0</v>
      </c>
      <c r="L802" s="4">
        <f>SUMPRODUCT(
  (TEXT(Dump!$A$2:$A994,"mmm-yy")=TEXT($Y802,"mmm-yy"))*
  (Dump!$B$2:$B994=$C802)*
  Dump!$E$2:$E994
)</f>
        <v>0</v>
      </c>
      <c r="M802" s="4">
        <f>SUMPRODUCT(
  (TEXT(Dump!$A$2:$A994,"mmm-yy")=TEXT($Y802,"mmm-yy"))*
  (Dump!$B$2:$B994=$C802)*
  Dump!$P$2:$P994
)</f>
        <v>0</v>
      </c>
      <c r="N802" s="32"/>
      <c r="O802" s="33">
        <f>SUMIFS(Dump!$D:$D,Dump!$B:$B,$C802,Dump!$A:$A,$Y802)</f>
        <v>0</v>
      </c>
      <c r="P802" s="33">
        <f>SUMIFS(Dump!R:R,Dump!B:B,C802,Dump!A:A,Y802)</f>
        <v>0</v>
      </c>
      <c r="Q802" s="34">
        <f t="shared" si="21"/>
        <v>0</v>
      </c>
      <c r="S802" s="4">
        <f>SUMIFS(Dump!E:E,Dump!B:B,C802,Dump!A:A,Y802)</f>
        <v>0</v>
      </c>
      <c r="T802" s="35">
        <f t="shared" si="22"/>
        <v>0</v>
      </c>
      <c r="V802" s="4">
        <f>SUMIFS(Dump!P:P,Dump!B:B,C802,Dump!A:A,Y802)</f>
        <v>0</v>
      </c>
      <c r="W802" s="37">
        <f t="shared" si="23"/>
        <v>0</v>
      </c>
      <c r="X802" s="39"/>
      <c r="Y802" s="54"/>
    </row>
    <row r="803">
      <c r="C803" s="53"/>
      <c r="G803" s="2" t="str">
        <f t="shared" si="27"/>
        <v/>
      </c>
      <c r="I803" s="4">
        <f>SUMIFS(Dump!D:D,Dump!B:B,C803)</f>
        <v>0</v>
      </c>
      <c r="J803" s="5">
        <f>SUMIFS(Dump!AE:AE,Dump!B:B,C803)</f>
        <v>0</v>
      </c>
      <c r="K803" s="4">
        <f>SUMPRODUCT(
  (TEXT(Dump!$A$2:$A994,"mmm-yy")=TEXT($Y803,"mmm-yy"))*
  (Dump!$B$2:$B994=$C803)*
  Dump!$D$2:$D994)</f>
        <v>0</v>
      </c>
      <c r="L803" s="4">
        <f>SUMPRODUCT(
  (TEXT(Dump!$A$2:$A994,"mmm-yy")=TEXT($Y803,"mmm-yy"))*
  (Dump!$B$2:$B994=$C803)*
  Dump!$E$2:$E994
)</f>
        <v>0</v>
      </c>
      <c r="M803" s="4">
        <f>SUMPRODUCT(
  (TEXT(Dump!$A$2:$A994,"mmm-yy")=TEXT($Y803,"mmm-yy"))*
  (Dump!$B$2:$B994=$C803)*
  Dump!$P$2:$P994
)</f>
        <v>0</v>
      </c>
      <c r="N803" s="32"/>
      <c r="O803" s="33">
        <f>SUMIFS(Dump!$D:$D,Dump!$B:$B,$C803,Dump!$A:$A,$Y803)</f>
        <v>0</v>
      </c>
      <c r="P803" s="33">
        <f>SUMIFS(Dump!R:R,Dump!B:B,C803,Dump!A:A,Y803)</f>
        <v>0</v>
      </c>
      <c r="Q803" s="34">
        <f t="shared" si="21"/>
        <v>0</v>
      </c>
      <c r="S803" s="4">
        <f>SUMIFS(Dump!E:E,Dump!B:B,C803,Dump!A:A,Y803)</f>
        <v>0</v>
      </c>
      <c r="T803" s="35">
        <f t="shared" si="22"/>
        <v>0</v>
      </c>
      <c r="V803" s="4">
        <f>SUMIFS(Dump!P:P,Dump!B:B,C803,Dump!A:A,Y803)</f>
        <v>0</v>
      </c>
      <c r="W803" s="37">
        <f t="shared" si="23"/>
        <v>0</v>
      </c>
      <c r="X803" s="39"/>
      <c r="Y803" s="54"/>
    </row>
    <row r="804">
      <c r="C804" s="53"/>
      <c r="G804" s="2" t="str">
        <f t="shared" si="27"/>
        <v/>
      </c>
      <c r="I804" s="4">
        <f>SUMIFS(Dump!D:D,Dump!B:B,C804)</f>
        <v>0</v>
      </c>
      <c r="J804" s="5">
        <f>SUMIFS(Dump!AE:AE,Dump!B:B,C804)</f>
        <v>0</v>
      </c>
      <c r="K804" s="4">
        <f>SUMPRODUCT(
  (TEXT(Dump!$A$2:$A994,"mmm-yy")=TEXT($Y804,"mmm-yy"))*
  (Dump!$B$2:$B994=$C804)*
  Dump!$D$2:$D994)</f>
        <v>0</v>
      </c>
      <c r="L804" s="4">
        <f>SUMPRODUCT(
  (TEXT(Dump!$A$2:$A994,"mmm-yy")=TEXT($Y804,"mmm-yy"))*
  (Dump!$B$2:$B994=$C804)*
  Dump!$E$2:$E994
)</f>
        <v>0</v>
      </c>
      <c r="M804" s="4">
        <f>SUMPRODUCT(
  (TEXT(Dump!$A$2:$A994,"mmm-yy")=TEXT($Y804,"mmm-yy"))*
  (Dump!$B$2:$B994=$C804)*
  Dump!$P$2:$P994
)</f>
        <v>0</v>
      </c>
      <c r="N804" s="32"/>
      <c r="O804" s="33">
        <f>SUMIFS(Dump!$D:$D,Dump!$B:$B,$C804,Dump!$A:$A,$Y804)</f>
        <v>0</v>
      </c>
      <c r="P804" s="33">
        <f>SUMIFS(Dump!R:R,Dump!B:B,C804,Dump!A:A,Y804)</f>
        <v>0</v>
      </c>
      <c r="Q804" s="34">
        <f t="shared" si="21"/>
        <v>0</v>
      </c>
      <c r="S804" s="4">
        <f>SUMIFS(Dump!E:E,Dump!B:B,C804,Dump!A:A,Y804)</f>
        <v>0</v>
      </c>
      <c r="T804" s="35">
        <f t="shared" si="22"/>
        <v>0</v>
      </c>
      <c r="V804" s="4">
        <f>SUMIFS(Dump!P:P,Dump!B:B,C804,Dump!A:A,Y804)</f>
        <v>0</v>
      </c>
      <c r="W804" s="37">
        <f t="shared" si="23"/>
        <v>0</v>
      </c>
      <c r="X804" s="39"/>
      <c r="Y804" s="54"/>
    </row>
    <row r="805">
      <c r="C805" s="53"/>
      <c r="G805" s="2" t="str">
        <f t="shared" si="27"/>
        <v/>
      </c>
      <c r="I805" s="4">
        <f>SUMIFS(Dump!D:D,Dump!B:B,C805)</f>
        <v>0</v>
      </c>
      <c r="J805" s="5">
        <f>SUMIFS(Dump!AE:AE,Dump!B:B,C805)</f>
        <v>0</v>
      </c>
      <c r="K805" s="4">
        <f>SUMPRODUCT(
  (TEXT(Dump!$A$2:$A994,"mmm-yy")=TEXT($Y805,"mmm-yy"))*
  (Dump!$B$2:$B994=$C805)*
  Dump!$D$2:$D994)</f>
        <v>0</v>
      </c>
      <c r="L805" s="4">
        <f>SUMPRODUCT(
  (TEXT(Dump!$A$2:$A994,"mmm-yy")=TEXT($Y805,"mmm-yy"))*
  (Dump!$B$2:$B994=$C805)*
  Dump!$E$2:$E994
)</f>
        <v>0</v>
      </c>
      <c r="M805" s="4">
        <f>SUMPRODUCT(
  (TEXT(Dump!$A$2:$A994,"mmm-yy")=TEXT($Y805,"mmm-yy"))*
  (Dump!$B$2:$B994=$C805)*
  Dump!$P$2:$P994
)</f>
        <v>0</v>
      </c>
      <c r="N805" s="32"/>
      <c r="O805" s="33">
        <f>SUMIFS(Dump!$D:$D,Dump!$B:$B,$C805,Dump!$A:$A,$Y805)</f>
        <v>0</v>
      </c>
      <c r="P805" s="33">
        <f>SUMIFS(Dump!R:R,Dump!B:B,C805,Dump!A:A,Y805)</f>
        <v>0</v>
      </c>
      <c r="Q805" s="34">
        <f t="shared" si="21"/>
        <v>0</v>
      </c>
      <c r="S805" s="4">
        <f>SUMIFS(Dump!E:E,Dump!B:B,C805,Dump!A:A,Y805)</f>
        <v>0</v>
      </c>
      <c r="T805" s="35">
        <f t="shared" si="22"/>
        <v>0</v>
      </c>
      <c r="V805" s="4">
        <f>SUMIFS(Dump!P:P,Dump!B:B,C805,Dump!A:A,Y805)</f>
        <v>0</v>
      </c>
      <c r="W805" s="37">
        <f t="shared" si="23"/>
        <v>0</v>
      </c>
      <c r="X805" s="39"/>
      <c r="Y805" s="54"/>
    </row>
    <row r="806">
      <c r="C806" s="53"/>
      <c r="G806" s="2" t="str">
        <f t="shared" si="27"/>
        <v/>
      </c>
      <c r="I806" s="4">
        <f>SUMIFS(Dump!D:D,Dump!B:B,C806)</f>
        <v>0</v>
      </c>
      <c r="J806" s="5">
        <f>SUMIFS(Dump!AE:AE,Dump!B:B,C806)</f>
        <v>0</v>
      </c>
      <c r="K806" s="4">
        <f>SUMPRODUCT(
  (TEXT(Dump!$A$2:$A994,"mmm-yy")=TEXT($Y806,"mmm-yy"))*
  (Dump!$B$2:$B994=$C806)*
  Dump!$D$2:$D994)</f>
        <v>0</v>
      </c>
      <c r="L806" s="4">
        <f>SUMPRODUCT(
  (TEXT(Dump!$A$2:$A994,"mmm-yy")=TEXT($Y806,"mmm-yy"))*
  (Dump!$B$2:$B994=$C806)*
  Dump!$E$2:$E994
)</f>
        <v>0</v>
      </c>
      <c r="M806" s="4">
        <f>SUMPRODUCT(
  (TEXT(Dump!$A$2:$A994,"mmm-yy")=TEXT($Y806,"mmm-yy"))*
  (Dump!$B$2:$B994=$C806)*
  Dump!$P$2:$P994
)</f>
        <v>0</v>
      </c>
      <c r="N806" s="32"/>
      <c r="O806" s="33">
        <f>SUMIFS(Dump!$D:$D,Dump!$B:$B,$C806,Dump!$A:$A,$Y806)</f>
        <v>0</v>
      </c>
      <c r="P806" s="33">
        <f>SUMIFS(Dump!R:R,Dump!B:B,C806,Dump!A:A,Y806)</f>
        <v>0</v>
      </c>
      <c r="Q806" s="34">
        <f t="shared" si="21"/>
        <v>0</v>
      </c>
      <c r="S806" s="4">
        <f>SUMIFS(Dump!E:E,Dump!B:B,C806,Dump!A:A,Y806)</f>
        <v>0</v>
      </c>
      <c r="T806" s="35">
        <f t="shared" si="22"/>
        <v>0</v>
      </c>
      <c r="V806" s="4">
        <f>SUMIFS(Dump!P:P,Dump!B:B,C806,Dump!A:A,Y806)</f>
        <v>0</v>
      </c>
      <c r="W806" s="37">
        <f t="shared" si="23"/>
        <v>0</v>
      </c>
      <c r="X806" s="39"/>
      <c r="Y806" s="54"/>
    </row>
    <row r="807">
      <c r="C807" s="53"/>
      <c r="G807" s="2" t="str">
        <f t="shared" si="27"/>
        <v/>
      </c>
      <c r="I807" s="4">
        <f>SUMIFS(Dump!D:D,Dump!B:B,C807)</f>
        <v>0</v>
      </c>
      <c r="J807" s="5">
        <f>SUMIFS(Dump!AE:AE,Dump!B:B,C807)</f>
        <v>0</v>
      </c>
      <c r="K807" s="4">
        <f>SUMPRODUCT(
  (TEXT(Dump!$A$2:$A994,"mmm-yy")=TEXT($Y807,"mmm-yy"))*
  (Dump!$B$2:$B994=$C807)*
  Dump!$D$2:$D994)</f>
        <v>0</v>
      </c>
      <c r="L807" s="4">
        <f>SUMPRODUCT(
  (TEXT(Dump!$A$2:$A994,"mmm-yy")=TEXT($Y807,"mmm-yy"))*
  (Dump!$B$2:$B994=$C807)*
  Dump!$E$2:$E994
)</f>
        <v>0</v>
      </c>
      <c r="M807" s="4">
        <f>SUMPRODUCT(
  (TEXT(Dump!$A$2:$A994,"mmm-yy")=TEXT($Y807,"mmm-yy"))*
  (Dump!$B$2:$B994=$C807)*
  Dump!$P$2:$P994
)</f>
        <v>0</v>
      </c>
      <c r="N807" s="32"/>
      <c r="O807" s="33">
        <f>SUMIFS(Dump!$D:$D,Dump!$B:$B,$C807,Dump!$A:$A,$Y807)</f>
        <v>0</v>
      </c>
      <c r="P807" s="33">
        <f>SUMIFS(Dump!R:R,Dump!B:B,C807,Dump!A:A,Y807)</f>
        <v>0</v>
      </c>
      <c r="Q807" s="34">
        <f t="shared" si="21"/>
        <v>0</v>
      </c>
      <c r="S807" s="4">
        <f>SUMIFS(Dump!E:E,Dump!B:B,C807,Dump!A:A,Y807)</f>
        <v>0</v>
      </c>
      <c r="T807" s="35">
        <f t="shared" si="22"/>
        <v>0</v>
      </c>
      <c r="V807" s="4">
        <f>SUMIFS(Dump!P:P,Dump!B:B,C807,Dump!A:A,Y807)</f>
        <v>0</v>
      </c>
      <c r="W807" s="37">
        <f t="shared" si="23"/>
        <v>0</v>
      </c>
      <c r="X807" s="39"/>
      <c r="Y807" s="54"/>
    </row>
    <row r="808">
      <c r="C808" s="53"/>
      <c r="G808" s="2" t="str">
        <f t="shared" si="27"/>
        <v/>
      </c>
      <c r="I808" s="4">
        <f>SUMIFS(Dump!D:D,Dump!B:B,C808)</f>
        <v>0</v>
      </c>
      <c r="J808" s="5">
        <f>SUMIFS(Dump!AE:AE,Dump!B:B,C808)</f>
        <v>0</v>
      </c>
      <c r="K808" s="4">
        <f>SUMPRODUCT(
  (TEXT(Dump!$A$2:$A994,"mmm-yy")=TEXT($Y808,"mmm-yy"))*
  (Dump!$B$2:$B994=$C808)*
  Dump!$D$2:$D994)</f>
        <v>0</v>
      </c>
      <c r="L808" s="4">
        <f>SUMPRODUCT(
  (TEXT(Dump!$A$2:$A994,"mmm-yy")=TEXT($Y808,"mmm-yy"))*
  (Dump!$B$2:$B994=$C808)*
  Dump!$E$2:$E994
)</f>
        <v>0</v>
      </c>
      <c r="M808" s="4">
        <f>SUMPRODUCT(
  (TEXT(Dump!$A$2:$A994,"mmm-yy")=TEXT($Y808,"mmm-yy"))*
  (Dump!$B$2:$B994=$C808)*
  Dump!$P$2:$P994
)</f>
        <v>0</v>
      </c>
      <c r="N808" s="32"/>
      <c r="O808" s="33">
        <f>SUMIFS(Dump!$D:$D,Dump!$B:$B,$C808,Dump!$A:$A,$Y808)</f>
        <v>0</v>
      </c>
      <c r="P808" s="33">
        <f>SUMIFS(Dump!R:R,Dump!B:B,C808,Dump!A:A,Y808)</f>
        <v>0</v>
      </c>
      <c r="Q808" s="34">
        <f t="shared" si="21"/>
        <v>0</v>
      </c>
      <c r="S808" s="4">
        <f>SUMIFS(Dump!E:E,Dump!B:B,C808,Dump!A:A,Y808)</f>
        <v>0</v>
      </c>
      <c r="T808" s="35">
        <f t="shared" si="22"/>
        <v>0</v>
      </c>
      <c r="V808" s="4">
        <f>SUMIFS(Dump!P:P,Dump!B:B,C808,Dump!A:A,Y808)</f>
        <v>0</v>
      </c>
      <c r="W808" s="37">
        <f t="shared" si="23"/>
        <v>0</v>
      </c>
      <c r="X808" s="39"/>
      <c r="Y808" s="54"/>
    </row>
    <row r="809">
      <c r="C809" s="53"/>
      <c r="G809" s="2" t="str">
        <f t="shared" si="27"/>
        <v/>
      </c>
      <c r="I809" s="4">
        <f>SUMIFS(Dump!D:D,Dump!B:B,C809)</f>
        <v>0</v>
      </c>
      <c r="J809" s="5">
        <f>SUMIFS(Dump!AE:AE,Dump!B:B,C809)</f>
        <v>0</v>
      </c>
      <c r="K809" s="4">
        <f>SUMPRODUCT(
  (TEXT(Dump!$A$2:$A994,"mmm-yy")=TEXT($Y809,"mmm-yy"))*
  (Dump!$B$2:$B994=$C809)*
  Dump!$D$2:$D994)</f>
        <v>0</v>
      </c>
      <c r="L809" s="4">
        <f>SUMPRODUCT(
  (TEXT(Dump!$A$2:$A994,"mmm-yy")=TEXT($Y809,"mmm-yy"))*
  (Dump!$B$2:$B994=$C809)*
  Dump!$E$2:$E994
)</f>
        <v>0</v>
      </c>
      <c r="M809" s="4">
        <f>SUMPRODUCT(
  (TEXT(Dump!$A$2:$A994,"mmm-yy")=TEXT($Y809,"mmm-yy"))*
  (Dump!$B$2:$B994=$C809)*
  Dump!$P$2:$P994
)</f>
        <v>0</v>
      </c>
      <c r="N809" s="32"/>
      <c r="O809" s="33">
        <f>SUMIFS(Dump!$D:$D,Dump!$B:$B,$C809,Dump!$A:$A,$Y809)</f>
        <v>0</v>
      </c>
      <c r="P809" s="33">
        <f>SUMIFS(Dump!R:R,Dump!B:B,C809,Dump!A:A,Y809)</f>
        <v>0</v>
      </c>
      <c r="Q809" s="34">
        <f t="shared" si="21"/>
        <v>0</v>
      </c>
      <c r="S809" s="4">
        <f>SUMIFS(Dump!E:E,Dump!B:B,C809,Dump!A:A,Y809)</f>
        <v>0</v>
      </c>
      <c r="T809" s="35">
        <f t="shared" si="22"/>
        <v>0</v>
      </c>
      <c r="V809" s="4">
        <f>SUMIFS(Dump!P:P,Dump!B:B,C809,Dump!A:A,Y809)</f>
        <v>0</v>
      </c>
      <c r="W809" s="37">
        <f t="shared" si="23"/>
        <v>0</v>
      </c>
      <c r="X809" s="39"/>
      <c r="Y809" s="54"/>
    </row>
    <row r="810">
      <c r="C810" s="53"/>
      <c r="G810" s="2" t="str">
        <f t="shared" si="27"/>
        <v/>
      </c>
      <c r="I810" s="4">
        <f>SUMIFS(Dump!D:D,Dump!B:B,C810)</f>
        <v>0</v>
      </c>
      <c r="J810" s="5">
        <f>SUMIFS(Dump!AE:AE,Dump!B:B,C810)</f>
        <v>0</v>
      </c>
      <c r="K810" s="4">
        <f>SUMPRODUCT(
  (TEXT(Dump!$A$2:$A994,"mmm-yy")=TEXT($Y810,"mmm-yy"))*
  (Dump!$B$2:$B994=$C810)*
  Dump!$D$2:$D994)</f>
        <v>0</v>
      </c>
      <c r="L810" s="4">
        <f>SUMPRODUCT(
  (TEXT(Dump!$A$2:$A994,"mmm-yy")=TEXT($Y810,"mmm-yy"))*
  (Dump!$B$2:$B994=$C810)*
  Dump!$E$2:$E994
)</f>
        <v>0</v>
      </c>
      <c r="M810" s="4">
        <f>SUMPRODUCT(
  (TEXT(Dump!$A$2:$A994,"mmm-yy")=TEXT($Y810,"mmm-yy"))*
  (Dump!$B$2:$B994=$C810)*
  Dump!$P$2:$P994
)</f>
        <v>0</v>
      </c>
      <c r="N810" s="32"/>
      <c r="O810" s="33">
        <f>SUMIFS(Dump!$D:$D,Dump!$B:$B,$C810,Dump!$A:$A,$Y810)</f>
        <v>0</v>
      </c>
      <c r="P810" s="33">
        <f>SUMIFS(Dump!R:R,Dump!B:B,C810,Dump!A:A,Y810)</f>
        <v>0</v>
      </c>
      <c r="Q810" s="34">
        <f t="shared" si="21"/>
        <v>0</v>
      </c>
      <c r="S810" s="4">
        <f>SUMIFS(Dump!E:E,Dump!B:B,C810,Dump!A:A,Y810)</f>
        <v>0</v>
      </c>
      <c r="T810" s="35">
        <f t="shared" si="22"/>
        <v>0</v>
      </c>
      <c r="V810" s="4">
        <f>SUMIFS(Dump!P:P,Dump!B:B,C810,Dump!A:A,Y810)</f>
        <v>0</v>
      </c>
      <c r="W810" s="37">
        <f t="shared" si="23"/>
        <v>0</v>
      </c>
      <c r="X810" s="39"/>
      <c r="Y810" s="54"/>
    </row>
    <row r="811">
      <c r="C811" s="53"/>
      <c r="G811" s="2" t="str">
        <f t="shared" si="27"/>
        <v/>
      </c>
      <c r="I811" s="4">
        <f>SUMIFS(Dump!D:D,Dump!B:B,C811)</f>
        <v>0</v>
      </c>
      <c r="J811" s="5">
        <f>SUMIFS(Dump!AE:AE,Dump!B:B,C811)</f>
        <v>0</v>
      </c>
      <c r="K811" s="4">
        <f>SUMPRODUCT(
  (TEXT(Dump!$A$2:$A994,"mmm-yy")=TEXT($Y811,"mmm-yy"))*
  (Dump!$B$2:$B994=$C811)*
  Dump!$D$2:$D994)</f>
        <v>0</v>
      </c>
      <c r="L811" s="4">
        <f>SUMPRODUCT(
  (TEXT(Dump!$A$2:$A994,"mmm-yy")=TEXT($Y811,"mmm-yy"))*
  (Dump!$B$2:$B994=$C811)*
  Dump!$E$2:$E994
)</f>
        <v>0</v>
      </c>
      <c r="M811" s="4">
        <f>SUMPRODUCT(
  (TEXT(Dump!$A$2:$A994,"mmm-yy")=TEXT($Y811,"mmm-yy"))*
  (Dump!$B$2:$B994=$C811)*
  Dump!$P$2:$P994
)</f>
        <v>0</v>
      </c>
      <c r="N811" s="32"/>
      <c r="O811" s="33">
        <f>SUMIFS(Dump!$D:$D,Dump!$B:$B,$C811,Dump!$A:$A,$Y811)</f>
        <v>0</v>
      </c>
      <c r="P811" s="33">
        <f>SUMIFS(Dump!R:R,Dump!B:B,C811,Dump!A:A,Y811)</f>
        <v>0</v>
      </c>
      <c r="Q811" s="34">
        <f t="shared" si="21"/>
        <v>0</v>
      </c>
      <c r="S811" s="4">
        <f>SUMIFS(Dump!E:E,Dump!B:B,C811,Dump!A:A,Y811)</f>
        <v>0</v>
      </c>
      <c r="T811" s="35">
        <f t="shared" si="22"/>
        <v>0</v>
      </c>
      <c r="V811" s="4">
        <f>SUMIFS(Dump!P:P,Dump!B:B,C811,Dump!A:A,Y811)</f>
        <v>0</v>
      </c>
      <c r="W811" s="37">
        <f t="shared" si="23"/>
        <v>0</v>
      </c>
      <c r="X811" s="39"/>
      <c r="Y811" s="54"/>
    </row>
    <row r="812">
      <c r="C812" s="53"/>
      <c r="G812" s="2" t="str">
        <f t="shared" si="27"/>
        <v/>
      </c>
      <c r="I812" s="4">
        <f>SUMIFS(Dump!D:D,Dump!B:B,C812)</f>
        <v>0</v>
      </c>
      <c r="J812" s="5">
        <f>SUMIFS(Dump!AE:AE,Dump!B:B,C812)</f>
        <v>0</v>
      </c>
      <c r="K812" s="4">
        <f>SUMPRODUCT(
  (TEXT(Dump!$A$2:$A994,"mmm-yy")=TEXT($Y812,"mmm-yy"))*
  (Dump!$B$2:$B994=$C812)*
  Dump!$D$2:$D994)</f>
        <v>0</v>
      </c>
      <c r="L812" s="4">
        <f>SUMPRODUCT(
  (TEXT(Dump!$A$2:$A994,"mmm-yy")=TEXT($Y812,"mmm-yy"))*
  (Dump!$B$2:$B994=$C812)*
  Dump!$E$2:$E994
)</f>
        <v>0</v>
      </c>
      <c r="M812" s="4">
        <f>SUMPRODUCT(
  (TEXT(Dump!$A$2:$A994,"mmm-yy")=TEXT($Y812,"mmm-yy"))*
  (Dump!$B$2:$B994=$C812)*
  Dump!$P$2:$P994
)</f>
        <v>0</v>
      </c>
      <c r="N812" s="32"/>
      <c r="O812" s="33">
        <f>SUMIFS(Dump!$D:$D,Dump!$B:$B,$C812,Dump!$A:$A,$Y812)</f>
        <v>0</v>
      </c>
      <c r="P812" s="33">
        <f>SUMIFS(Dump!R:R,Dump!B:B,C812,Dump!A:A,Y812)</f>
        <v>0</v>
      </c>
      <c r="Q812" s="34">
        <f t="shared" si="21"/>
        <v>0</v>
      </c>
      <c r="S812" s="4">
        <f>SUMIFS(Dump!E:E,Dump!B:B,C812,Dump!A:A,Y812)</f>
        <v>0</v>
      </c>
      <c r="T812" s="35">
        <f t="shared" si="22"/>
        <v>0</v>
      </c>
      <c r="V812" s="4">
        <f>SUMIFS(Dump!P:P,Dump!B:B,C812,Dump!A:A,Y812)</f>
        <v>0</v>
      </c>
      <c r="W812" s="37">
        <f t="shared" si="23"/>
        <v>0</v>
      </c>
      <c r="X812" s="39"/>
      <c r="Y812" s="54"/>
    </row>
    <row r="813">
      <c r="C813" s="53"/>
      <c r="G813" s="2" t="str">
        <f t="shared" si="27"/>
        <v/>
      </c>
      <c r="I813" s="4">
        <f>SUMIFS(Dump!D:D,Dump!B:B,C813)</f>
        <v>0</v>
      </c>
      <c r="J813" s="5">
        <f>SUMIFS(Dump!AE:AE,Dump!B:B,C813)</f>
        <v>0</v>
      </c>
      <c r="K813" s="4">
        <f>SUMPRODUCT(
  (TEXT(Dump!$A$2:$A994,"mmm-yy")=TEXT($Y813,"mmm-yy"))*
  (Dump!$B$2:$B994=$C813)*
  Dump!$D$2:$D994)</f>
        <v>0</v>
      </c>
      <c r="L813" s="4">
        <f>SUMPRODUCT(
  (TEXT(Dump!$A$2:$A994,"mmm-yy")=TEXT($Y813,"mmm-yy"))*
  (Dump!$B$2:$B994=$C813)*
  Dump!$E$2:$E994
)</f>
        <v>0</v>
      </c>
      <c r="M813" s="4">
        <f>SUMPRODUCT(
  (TEXT(Dump!$A$2:$A994,"mmm-yy")=TEXT($Y813,"mmm-yy"))*
  (Dump!$B$2:$B994=$C813)*
  Dump!$P$2:$P994
)</f>
        <v>0</v>
      </c>
      <c r="N813" s="32"/>
      <c r="O813" s="33">
        <f>SUMIFS(Dump!$D:$D,Dump!$B:$B,$C813,Dump!$A:$A,$Y813)</f>
        <v>0</v>
      </c>
      <c r="P813" s="33">
        <f>SUMIFS(Dump!R:R,Dump!B:B,C813,Dump!A:A,Y813)</f>
        <v>0</v>
      </c>
      <c r="Q813" s="34">
        <f t="shared" si="21"/>
        <v>0</v>
      </c>
      <c r="S813" s="4">
        <f>SUMIFS(Dump!E:E,Dump!B:B,C813,Dump!A:A,Y813)</f>
        <v>0</v>
      </c>
      <c r="T813" s="35">
        <f t="shared" si="22"/>
        <v>0</v>
      </c>
      <c r="V813" s="4">
        <f>SUMIFS(Dump!P:P,Dump!B:B,C813,Dump!A:A,Y813)</f>
        <v>0</v>
      </c>
      <c r="W813" s="37">
        <f t="shared" si="23"/>
        <v>0</v>
      </c>
      <c r="X813" s="39"/>
      <c r="Y813" s="54"/>
    </row>
    <row r="814">
      <c r="C814" s="53"/>
      <c r="G814" s="2" t="str">
        <f t="shared" si="27"/>
        <v/>
      </c>
      <c r="I814" s="4">
        <f>SUMIFS(Dump!D:D,Dump!B:B,C814)</f>
        <v>0</v>
      </c>
      <c r="J814" s="5">
        <f>SUMIFS(Dump!AE:AE,Dump!B:B,C814)</f>
        <v>0</v>
      </c>
      <c r="K814" s="4">
        <f>SUMPRODUCT(
  (TEXT(Dump!$A$2:$A994,"mmm-yy")=TEXT($Y814,"mmm-yy"))*
  (Dump!$B$2:$B994=$C814)*
  Dump!$D$2:$D994)</f>
        <v>0</v>
      </c>
      <c r="L814" s="4">
        <f>SUMPRODUCT(
  (TEXT(Dump!$A$2:$A994,"mmm-yy")=TEXT($Y814,"mmm-yy"))*
  (Dump!$B$2:$B994=$C814)*
  Dump!$E$2:$E994
)</f>
        <v>0</v>
      </c>
      <c r="M814" s="4">
        <f>SUMPRODUCT(
  (TEXT(Dump!$A$2:$A994,"mmm-yy")=TEXT($Y814,"mmm-yy"))*
  (Dump!$B$2:$B994=$C814)*
  Dump!$P$2:$P994
)</f>
        <v>0</v>
      </c>
      <c r="N814" s="32"/>
      <c r="O814" s="33">
        <f>SUMIFS(Dump!$D:$D,Dump!$B:$B,$C814,Dump!$A:$A,$Y814)</f>
        <v>0</v>
      </c>
      <c r="P814" s="33">
        <f>SUMIFS(Dump!R:R,Dump!B:B,C814,Dump!A:A,Y814)</f>
        <v>0</v>
      </c>
      <c r="Q814" s="34">
        <f t="shared" si="21"/>
        <v>0</v>
      </c>
      <c r="S814" s="4">
        <f>SUMIFS(Dump!E:E,Dump!B:B,C814,Dump!A:A,Y814)</f>
        <v>0</v>
      </c>
      <c r="T814" s="35">
        <f t="shared" si="22"/>
        <v>0</v>
      </c>
      <c r="V814" s="4">
        <f>SUMIFS(Dump!P:P,Dump!B:B,C814,Dump!A:A,Y814)</f>
        <v>0</v>
      </c>
      <c r="W814" s="37">
        <f t="shared" si="23"/>
        <v>0</v>
      </c>
      <c r="X814" s="39"/>
      <c r="Y814" s="54"/>
    </row>
    <row r="815">
      <c r="C815" s="53"/>
      <c r="G815" s="2" t="str">
        <f t="shared" si="27"/>
        <v/>
      </c>
      <c r="I815" s="4">
        <f>SUMIFS(Dump!D:D,Dump!B:B,C815)</f>
        <v>0</v>
      </c>
      <c r="J815" s="5">
        <f>SUMIFS(Dump!AE:AE,Dump!B:B,C815)</f>
        <v>0</v>
      </c>
      <c r="K815" s="4">
        <f>SUMPRODUCT(
  (TEXT(Dump!$A$2:$A994,"mmm-yy")=TEXT($Y815,"mmm-yy"))*
  (Dump!$B$2:$B994=$C815)*
  Dump!$D$2:$D994)</f>
        <v>0</v>
      </c>
      <c r="L815" s="4">
        <f>SUMPRODUCT(
  (TEXT(Dump!$A$2:$A994,"mmm-yy")=TEXT($Y815,"mmm-yy"))*
  (Dump!$B$2:$B994=$C815)*
  Dump!$E$2:$E994
)</f>
        <v>0</v>
      </c>
      <c r="M815" s="4">
        <f>SUMPRODUCT(
  (TEXT(Dump!$A$2:$A994,"mmm-yy")=TEXT($Y815,"mmm-yy"))*
  (Dump!$B$2:$B994=$C815)*
  Dump!$P$2:$P994
)</f>
        <v>0</v>
      </c>
      <c r="N815" s="32"/>
      <c r="O815" s="33">
        <f>SUMIFS(Dump!$D:$D,Dump!$B:$B,$C815,Dump!$A:$A,$Y815)</f>
        <v>0</v>
      </c>
      <c r="P815" s="33">
        <f>SUMIFS(Dump!R:R,Dump!B:B,C815,Dump!A:A,Y815)</f>
        <v>0</v>
      </c>
      <c r="Q815" s="34">
        <f t="shared" si="21"/>
        <v>0</v>
      </c>
      <c r="S815" s="4">
        <f>SUMIFS(Dump!E:E,Dump!B:B,C815,Dump!A:A,Y815)</f>
        <v>0</v>
      </c>
      <c r="T815" s="35">
        <f t="shared" si="22"/>
        <v>0</v>
      </c>
      <c r="V815" s="4">
        <f>SUMIFS(Dump!P:P,Dump!B:B,C815,Dump!A:A,Y815)</f>
        <v>0</v>
      </c>
      <c r="W815" s="37">
        <f t="shared" si="23"/>
        <v>0</v>
      </c>
      <c r="X815" s="39"/>
      <c r="Y815" s="54"/>
    </row>
    <row r="816">
      <c r="C816" s="53"/>
      <c r="G816" s="2" t="str">
        <f t="shared" si="27"/>
        <v/>
      </c>
      <c r="I816" s="4">
        <f>SUMIFS(Dump!D:D,Dump!B:B,C816)</f>
        <v>0</v>
      </c>
      <c r="J816" s="5">
        <f>SUMIFS(Dump!AE:AE,Dump!B:B,C816)</f>
        <v>0</v>
      </c>
      <c r="K816" s="4">
        <f>SUMPRODUCT(
  (TEXT(Dump!$A$2:$A994,"mmm-yy")=TEXT($Y816,"mmm-yy"))*
  (Dump!$B$2:$B994=$C816)*
  Dump!$D$2:$D994)</f>
        <v>0</v>
      </c>
      <c r="L816" s="4">
        <f>SUMPRODUCT(
  (TEXT(Dump!$A$2:$A994,"mmm-yy")=TEXT($Y816,"mmm-yy"))*
  (Dump!$B$2:$B994=$C816)*
  Dump!$E$2:$E994
)</f>
        <v>0</v>
      </c>
      <c r="M816" s="4">
        <f>SUMPRODUCT(
  (TEXT(Dump!$A$2:$A994,"mmm-yy")=TEXT($Y816,"mmm-yy"))*
  (Dump!$B$2:$B994=$C816)*
  Dump!$P$2:$P994
)</f>
        <v>0</v>
      </c>
      <c r="N816" s="32"/>
      <c r="O816" s="33">
        <f>SUMIFS(Dump!$D:$D,Dump!$B:$B,$C816,Dump!$A:$A,$Y816)</f>
        <v>0</v>
      </c>
      <c r="P816" s="33">
        <f>SUMIFS(Dump!R:R,Dump!B:B,C816,Dump!A:A,Y816)</f>
        <v>0</v>
      </c>
      <c r="Q816" s="34">
        <f t="shared" si="21"/>
        <v>0</v>
      </c>
      <c r="S816" s="4">
        <f>SUMIFS(Dump!E:E,Dump!B:B,C816,Dump!A:A,Y816)</f>
        <v>0</v>
      </c>
      <c r="T816" s="35">
        <f t="shared" si="22"/>
        <v>0</v>
      </c>
      <c r="V816" s="4">
        <f>SUMIFS(Dump!P:P,Dump!B:B,C816,Dump!A:A,Y816)</f>
        <v>0</v>
      </c>
      <c r="W816" s="37">
        <f t="shared" si="23"/>
        <v>0</v>
      </c>
      <c r="X816" s="39"/>
      <c r="Y816" s="54"/>
    </row>
    <row r="817">
      <c r="C817" s="53"/>
      <c r="G817" s="2" t="str">
        <f t="shared" si="27"/>
        <v/>
      </c>
      <c r="I817" s="4">
        <f>SUMIFS(Dump!D:D,Dump!B:B,C817)</f>
        <v>0</v>
      </c>
      <c r="J817" s="5">
        <f>SUMIFS(Dump!AE:AE,Dump!B:B,C817)</f>
        <v>0</v>
      </c>
      <c r="K817" s="4">
        <f>SUMPRODUCT(
  (TEXT(Dump!$A$2:$A994,"mmm-yy")=TEXT($Y817,"mmm-yy"))*
  (Dump!$B$2:$B994=$C817)*
  Dump!$D$2:$D994)</f>
        <v>0</v>
      </c>
      <c r="L817" s="4">
        <f>SUMPRODUCT(
  (TEXT(Dump!$A$2:$A994,"mmm-yy")=TEXT($Y817,"mmm-yy"))*
  (Dump!$B$2:$B994=$C817)*
  Dump!$E$2:$E994
)</f>
        <v>0</v>
      </c>
      <c r="M817" s="4">
        <f>SUMPRODUCT(
  (TEXT(Dump!$A$2:$A994,"mmm-yy")=TEXT($Y817,"mmm-yy"))*
  (Dump!$B$2:$B994=$C817)*
  Dump!$P$2:$P994
)</f>
        <v>0</v>
      </c>
      <c r="N817" s="32"/>
      <c r="O817" s="33">
        <f>SUMIFS(Dump!$D:$D,Dump!$B:$B,$C817,Dump!$A:$A,$Y817)</f>
        <v>0</v>
      </c>
      <c r="P817" s="33">
        <f>SUMIFS(Dump!R:R,Dump!B:B,C817,Dump!A:A,Y817)</f>
        <v>0</v>
      </c>
      <c r="Q817" s="34">
        <f t="shared" si="21"/>
        <v>0</v>
      </c>
      <c r="S817" s="4">
        <f>SUMIFS(Dump!E:E,Dump!B:B,C817,Dump!A:A,Y817)</f>
        <v>0</v>
      </c>
      <c r="T817" s="35">
        <f t="shared" si="22"/>
        <v>0</v>
      </c>
      <c r="V817" s="4">
        <f>SUMIFS(Dump!P:P,Dump!B:B,C817,Dump!A:A,Y817)</f>
        <v>0</v>
      </c>
      <c r="W817" s="37">
        <f t="shared" si="23"/>
        <v>0</v>
      </c>
      <c r="X817" s="39"/>
      <c r="Y817" s="54"/>
    </row>
    <row r="818">
      <c r="C818" s="53"/>
      <c r="G818" s="2" t="str">
        <f t="shared" si="27"/>
        <v/>
      </c>
      <c r="I818" s="4">
        <f>SUMIFS(Dump!D:D,Dump!B:B,C818)</f>
        <v>0</v>
      </c>
      <c r="J818" s="5">
        <f>SUMIFS(Dump!AE:AE,Dump!B:B,C818)</f>
        <v>0</v>
      </c>
      <c r="K818" s="4">
        <f>SUMPRODUCT(
  (TEXT(Dump!$A$2:$A994,"mmm-yy")=TEXT($Y818,"mmm-yy"))*
  (Dump!$B$2:$B994=$C818)*
  Dump!$D$2:$D994)</f>
        <v>0</v>
      </c>
      <c r="L818" s="4">
        <f>SUMPRODUCT(
  (TEXT(Dump!$A$2:$A994,"mmm-yy")=TEXT($Y818,"mmm-yy"))*
  (Dump!$B$2:$B994=$C818)*
  Dump!$E$2:$E994
)</f>
        <v>0</v>
      </c>
      <c r="M818" s="4">
        <f>SUMPRODUCT(
  (TEXT(Dump!$A$2:$A994,"mmm-yy")=TEXT($Y818,"mmm-yy"))*
  (Dump!$B$2:$B994=$C818)*
  Dump!$P$2:$P994
)</f>
        <v>0</v>
      </c>
      <c r="N818" s="32"/>
      <c r="O818" s="33">
        <f>SUMIFS(Dump!$D:$D,Dump!$B:$B,$C818,Dump!$A:$A,$Y818)</f>
        <v>0</v>
      </c>
      <c r="P818" s="33">
        <f>SUMIFS(Dump!R:R,Dump!B:B,C818,Dump!A:A,Y818)</f>
        <v>0</v>
      </c>
      <c r="Q818" s="34">
        <f t="shared" si="21"/>
        <v>0</v>
      </c>
      <c r="S818" s="4">
        <f>SUMIFS(Dump!E:E,Dump!B:B,C818,Dump!A:A,Y818)</f>
        <v>0</v>
      </c>
      <c r="T818" s="35">
        <f t="shared" si="22"/>
        <v>0</v>
      </c>
      <c r="V818" s="4">
        <f>SUMIFS(Dump!P:P,Dump!B:B,C818,Dump!A:A,Y818)</f>
        <v>0</v>
      </c>
      <c r="W818" s="37">
        <f t="shared" si="23"/>
        <v>0</v>
      </c>
      <c r="X818" s="39"/>
      <c r="Y818" s="54"/>
    </row>
    <row r="819">
      <c r="C819" s="53"/>
      <c r="G819" s="2" t="str">
        <f t="shared" si="27"/>
        <v/>
      </c>
      <c r="I819" s="4">
        <f>SUMIFS(Dump!D:D,Dump!B:B,C819)</f>
        <v>0</v>
      </c>
      <c r="J819" s="5">
        <f>SUMIFS(Dump!AE:AE,Dump!B:B,C819)</f>
        <v>0</v>
      </c>
      <c r="K819" s="4">
        <f>SUMPRODUCT(
  (TEXT(Dump!$A$2:$A994,"mmm-yy")=TEXT($Y819,"mmm-yy"))*
  (Dump!$B$2:$B994=$C819)*
  Dump!$D$2:$D994)</f>
        <v>0</v>
      </c>
      <c r="L819" s="4">
        <f>SUMPRODUCT(
  (TEXT(Dump!$A$2:$A994,"mmm-yy")=TEXT($Y819,"mmm-yy"))*
  (Dump!$B$2:$B994=$C819)*
  Dump!$E$2:$E994
)</f>
        <v>0</v>
      </c>
      <c r="M819" s="4">
        <f>SUMPRODUCT(
  (TEXT(Dump!$A$2:$A994,"mmm-yy")=TEXT($Y819,"mmm-yy"))*
  (Dump!$B$2:$B994=$C819)*
  Dump!$P$2:$P994
)</f>
        <v>0</v>
      </c>
      <c r="N819" s="32"/>
      <c r="O819" s="33">
        <f>SUMIFS(Dump!$D:$D,Dump!$B:$B,$C819,Dump!$A:$A,$Y819)</f>
        <v>0</v>
      </c>
      <c r="P819" s="33">
        <f>SUMIFS(Dump!R:R,Dump!B:B,C819,Dump!A:A,Y819)</f>
        <v>0</v>
      </c>
      <c r="Q819" s="34">
        <f t="shared" si="21"/>
        <v>0</v>
      </c>
      <c r="S819" s="4">
        <f>SUMIFS(Dump!E:E,Dump!B:B,C819,Dump!A:A,Y819)</f>
        <v>0</v>
      </c>
      <c r="T819" s="35">
        <f t="shared" si="22"/>
        <v>0</v>
      </c>
      <c r="V819" s="4">
        <f>SUMIFS(Dump!P:P,Dump!B:B,C819,Dump!A:A,Y819)</f>
        <v>0</v>
      </c>
      <c r="W819" s="37">
        <f t="shared" si="23"/>
        <v>0</v>
      </c>
      <c r="X819" s="39"/>
      <c r="Y819" s="54"/>
    </row>
    <row r="820">
      <c r="C820" s="53"/>
      <c r="G820" s="2" t="str">
        <f t="shared" si="27"/>
        <v/>
      </c>
      <c r="I820" s="4">
        <f>SUMIFS(Dump!D:D,Dump!B:B,C820)</f>
        <v>0</v>
      </c>
      <c r="J820" s="5">
        <f>SUMIFS(Dump!AE:AE,Dump!B:B,C820)</f>
        <v>0</v>
      </c>
      <c r="K820" s="4">
        <f>SUMPRODUCT(
  (TEXT(Dump!$A$2:$A994,"mmm-yy")=TEXT($Y820,"mmm-yy"))*
  (Dump!$B$2:$B994=$C820)*
  Dump!$D$2:$D994)</f>
        <v>0</v>
      </c>
      <c r="L820" s="4">
        <f>SUMPRODUCT(
  (TEXT(Dump!$A$2:$A994,"mmm-yy")=TEXT($Y820,"mmm-yy"))*
  (Dump!$B$2:$B994=$C820)*
  Dump!$E$2:$E994
)</f>
        <v>0</v>
      </c>
      <c r="M820" s="4">
        <f>SUMPRODUCT(
  (TEXT(Dump!$A$2:$A994,"mmm-yy")=TEXT($Y820,"mmm-yy"))*
  (Dump!$B$2:$B994=$C820)*
  Dump!$P$2:$P994
)</f>
        <v>0</v>
      </c>
      <c r="N820" s="32"/>
      <c r="O820" s="33">
        <f>SUMIFS(Dump!$D:$D,Dump!$B:$B,$C820,Dump!$A:$A,$Y820)</f>
        <v>0</v>
      </c>
      <c r="P820" s="33">
        <f>SUMIFS(Dump!R:R,Dump!B:B,C820,Dump!A:A,Y820)</f>
        <v>0</v>
      </c>
      <c r="Q820" s="34">
        <f t="shared" si="21"/>
        <v>0</v>
      </c>
      <c r="S820" s="4">
        <f>SUMIFS(Dump!E:E,Dump!B:B,C820,Dump!A:A,Y820)</f>
        <v>0</v>
      </c>
      <c r="T820" s="35">
        <f t="shared" si="22"/>
        <v>0</v>
      </c>
      <c r="V820" s="4">
        <f>SUMIFS(Dump!P:P,Dump!B:B,C820,Dump!A:A,Y820)</f>
        <v>0</v>
      </c>
      <c r="W820" s="37">
        <f t="shared" si="23"/>
        <v>0</v>
      </c>
      <c r="X820" s="39"/>
      <c r="Y820" s="54"/>
    </row>
    <row r="821">
      <c r="C821" s="53"/>
      <c r="G821" s="2" t="str">
        <f t="shared" si="27"/>
        <v/>
      </c>
      <c r="I821" s="4">
        <f>SUMIFS(Dump!D:D,Dump!B:B,C821)</f>
        <v>0</v>
      </c>
      <c r="J821" s="5">
        <f>SUMIFS(Dump!AE:AE,Dump!B:B,C821)</f>
        <v>0</v>
      </c>
      <c r="K821" s="4">
        <f>SUMPRODUCT(
  (TEXT(Dump!$A$2:$A994,"mmm-yy")=TEXT($Y821,"mmm-yy"))*
  (Dump!$B$2:$B994=$C821)*
  Dump!$D$2:$D994)</f>
        <v>0</v>
      </c>
      <c r="L821" s="4">
        <f>SUMPRODUCT(
  (TEXT(Dump!$A$2:$A994,"mmm-yy")=TEXT($Y821,"mmm-yy"))*
  (Dump!$B$2:$B994=$C821)*
  Dump!$E$2:$E994
)</f>
        <v>0</v>
      </c>
      <c r="M821" s="4">
        <f>SUMPRODUCT(
  (TEXT(Dump!$A$2:$A994,"mmm-yy")=TEXT($Y821,"mmm-yy"))*
  (Dump!$B$2:$B994=$C821)*
  Dump!$P$2:$P994
)</f>
        <v>0</v>
      </c>
      <c r="N821" s="32"/>
      <c r="O821" s="33">
        <f>SUMIFS(Dump!$D:$D,Dump!$B:$B,$C821,Dump!$A:$A,$Y821)</f>
        <v>0</v>
      </c>
      <c r="P821" s="33">
        <f>SUMIFS(Dump!R:R,Dump!B:B,C821,Dump!A:A,Y821)</f>
        <v>0</v>
      </c>
      <c r="Q821" s="34">
        <f t="shared" si="21"/>
        <v>0</v>
      </c>
      <c r="S821" s="4">
        <f>SUMIFS(Dump!E:E,Dump!B:B,C821,Dump!A:A,Y821)</f>
        <v>0</v>
      </c>
      <c r="T821" s="35">
        <f t="shared" si="22"/>
        <v>0</v>
      </c>
      <c r="V821" s="4">
        <f>SUMIFS(Dump!P:P,Dump!B:B,C821,Dump!A:A,Y821)</f>
        <v>0</v>
      </c>
      <c r="W821" s="37">
        <f t="shared" si="23"/>
        <v>0</v>
      </c>
      <c r="X821" s="39"/>
      <c r="Y821" s="54"/>
    </row>
    <row r="822">
      <c r="C822" s="53"/>
      <c r="G822" s="2" t="str">
        <f t="shared" si="27"/>
        <v/>
      </c>
      <c r="I822" s="4">
        <f>SUMIFS(Dump!D:D,Dump!B:B,C822)</f>
        <v>0</v>
      </c>
      <c r="J822" s="5">
        <f>SUMIFS(Dump!AE:AE,Dump!B:B,C822)</f>
        <v>0</v>
      </c>
      <c r="K822" s="4">
        <f>SUMPRODUCT(
  (TEXT(Dump!$A$2:$A994,"mmm-yy")=TEXT($Y822,"mmm-yy"))*
  (Dump!$B$2:$B994=$C822)*
  Dump!$D$2:$D994)</f>
        <v>0</v>
      </c>
      <c r="L822" s="4">
        <f>SUMPRODUCT(
  (TEXT(Dump!$A$2:$A994,"mmm-yy")=TEXT($Y822,"mmm-yy"))*
  (Dump!$B$2:$B994=$C822)*
  Dump!$E$2:$E994
)</f>
        <v>0</v>
      </c>
      <c r="M822" s="4">
        <f>SUMPRODUCT(
  (TEXT(Dump!$A$2:$A994,"mmm-yy")=TEXT($Y822,"mmm-yy"))*
  (Dump!$B$2:$B994=$C822)*
  Dump!$P$2:$P994
)</f>
        <v>0</v>
      </c>
      <c r="N822" s="32"/>
      <c r="O822" s="33">
        <f>SUMIFS(Dump!$D:$D,Dump!$B:$B,$C822,Dump!$A:$A,$Y822)</f>
        <v>0</v>
      </c>
      <c r="P822" s="33">
        <f>SUMIFS(Dump!R:R,Dump!B:B,C822,Dump!A:A,Y822)</f>
        <v>0</v>
      </c>
      <c r="Q822" s="34">
        <f t="shared" si="21"/>
        <v>0</v>
      </c>
      <c r="S822" s="4">
        <f>SUMIFS(Dump!E:E,Dump!B:B,C822,Dump!A:A,Y822)</f>
        <v>0</v>
      </c>
      <c r="T822" s="35">
        <f t="shared" si="22"/>
        <v>0</v>
      </c>
      <c r="V822" s="4">
        <f>SUMIFS(Dump!P:P,Dump!B:B,C822,Dump!A:A,Y822)</f>
        <v>0</v>
      </c>
      <c r="W822" s="37">
        <f t="shared" si="23"/>
        <v>0</v>
      </c>
      <c r="X822" s="39"/>
      <c r="Y822" s="54"/>
    </row>
    <row r="823">
      <c r="C823" s="53"/>
      <c r="G823" s="2" t="str">
        <f t="shared" si="27"/>
        <v/>
      </c>
      <c r="I823" s="4">
        <f>SUMIFS(Dump!D:D,Dump!B:B,C823)</f>
        <v>0</v>
      </c>
      <c r="J823" s="5">
        <f>SUMIFS(Dump!AE:AE,Dump!B:B,C823)</f>
        <v>0</v>
      </c>
      <c r="K823" s="4">
        <f>SUMPRODUCT(
  (TEXT(Dump!$A$2:$A994,"mmm-yy")=TEXT($Y823,"mmm-yy"))*
  (Dump!$B$2:$B994=$C823)*
  Dump!$D$2:$D994)</f>
        <v>0</v>
      </c>
      <c r="L823" s="4">
        <f>SUMPRODUCT(
  (TEXT(Dump!$A$2:$A994,"mmm-yy")=TEXT($Y823,"mmm-yy"))*
  (Dump!$B$2:$B994=$C823)*
  Dump!$E$2:$E994
)</f>
        <v>0</v>
      </c>
      <c r="M823" s="4">
        <f>SUMPRODUCT(
  (TEXT(Dump!$A$2:$A994,"mmm-yy")=TEXT($Y823,"mmm-yy"))*
  (Dump!$B$2:$B994=$C823)*
  Dump!$P$2:$P994
)</f>
        <v>0</v>
      </c>
      <c r="N823" s="32"/>
      <c r="O823" s="33">
        <f>SUMIFS(Dump!$D:$D,Dump!$B:$B,$C823,Dump!$A:$A,$Y823)</f>
        <v>0</v>
      </c>
      <c r="P823" s="33">
        <f>SUMIFS(Dump!R:R,Dump!B:B,C823,Dump!A:A,Y823)</f>
        <v>0</v>
      </c>
      <c r="Q823" s="34">
        <f t="shared" si="21"/>
        <v>0</v>
      </c>
      <c r="S823" s="4">
        <f>SUMIFS(Dump!E:E,Dump!B:B,C823,Dump!A:A,Y823)</f>
        <v>0</v>
      </c>
      <c r="T823" s="35">
        <f t="shared" si="22"/>
        <v>0</v>
      </c>
      <c r="V823" s="4">
        <f>SUMIFS(Dump!P:P,Dump!B:B,C823,Dump!A:A,Y823)</f>
        <v>0</v>
      </c>
      <c r="W823" s="37">
        <f t="shared" si="23"/>
        <v>0</v>
      </c>
      <c r="X823" s="39"/>
      <c r="Y823" s="54"/>
    </row>
    <row r="824">
      <c r="C824" s="53"/>
      <c r="G824" s="2" t="str">
        <f t="shared" si="27"/>
        <v/>
      </c>
      <c r="I824" s="4">
        <f>SUMIFS(Dump!D:D,Dump!B:B,C824)</f>
        <v>0</v>
      </c>
      <c r="J824" s="5">
        <f>SUMIFS(Dump!AE:AE,Dump!B:B,C824)</f>
        <v>0</v>
      </c>
      <c r="K824" s="4">
        <f>SUMPRODUCT(
  (TEXT(Dump!$A$2:$A994,"mmm-yy")=TEXT($Y824,"mmm-yy"))*
  (Dump!$B$2:$B994=$C824)*
  Dump!$D$2:$D994)</f>
        <v>0</v>
      </c>
      <c r="L824" s="4">
        <f>SUMPRODUCT(
  (TEXT(Dump!$A$2:$A994,"mmm-yy")=TEXT($Y824,"mmm-yy"))*
  (Dump!$B$2:$B994=$C824)*
  Dump!$E$2:$E994
)</f>
        <v>0</v>
      </c>
      <c r="M824" s="4">
        <f>SUMPRODUCT(
  (TEXT(Dump!$A$2:$A994,"mmm-yy")=TEXT($Y824,"mmm-yy"))*
  (Dump!$B$2:$B994=$C824)*
  Dump!$P$2:$P994
)</f>
        <v>0</v>
      </c>
      <c r="N824" s="32"/>
      <c r="O824" s="33">
        <f>SUMIFS(Dump!$D:$D,Dump!$B:$B,$C824,Dump!$A:$A,$Y824)</f>
        <v>0</v>
      </c>
      <c r="P824" s="33">
        <f>SUMIFS(Dump!R:R,Dump!B:B,C824,Dump!A:A,Y824)</f>
        <v>0</v>
      </c>
      <c r="Q824" s="34">
        <f t="shared" si="21"/>
        <v>0</v>
      </c>
      <c r="S824" s="4">
        <f>SUMIFS(Dump!E:E,Dump!B:B,C824,Dump!A:A,Y824)</f>
        <v>0</v>
      </c>
      <c r="T824" s="35">
        <f t="shared" si="22"/>
        <v>0</v>
      </c>
      <c r="V824" s="4">
        <f>SUMIFS(Dump!P:P,Dump!B:B,C824,Dump!A:A,Y824)</f>
        <v>0</v>
      </c>
      <c r="W824" s="37">
        <f t="shared" si="23"/>
        <v>0</v>
      </c>
      <c r="X824" s="39"/>
      <c r="Y824" s="54"/>
    </row>
    <row r="825">
      <c r="C825" s="53"/>
      <c r="G825" s="2" t="str">
        <f t="shared" si="27"/>
        <v/>
      </c>
      <c r="I825" s="4">
        <f>SUMIFS(Dump!D:D,Dump!B:B,C825)</f>
        <v>0</v>
      </c>
      <c r="J825" s="5">
        <f>SUMIFS(Dump!AE:AE,Dump!B:B,C825)</f>
        <v>0</v>
      </c>
      <c r="K825" s="4">
        <f>SUMPRODUCT(
  (TEXT(Dump!$A$2:$A994,"mmm-yy")=TEXT($Y825,"mmm-yy"))*
  (Dump!$B$2:$B994=$C825)*
  Dump!$D$2:$D994)</f>
        <v>0</v>
      </c>
      <c r="L825" s="4">
        <f>SUMPRODUCT(
  (TEXT(Dump!$A$2:$A994,"mmm-yy")=TEXT($Y825,"mmm-yy"))*
  (Dump!$B$2:$B994=$C825)*
  Dump!$E$2:$E994
)</f>
        <v>0</v>
      </c>
      <c r="M825" s="4">
        <f>SUMPRODUCT(
  (TEXT(Dump!$A$2:$A994,"mmm-yy")=TEXT($Y825,"mmm-yy"))*
  (Dump!$B$2:$B994=$C825)*
  Dump!$P$2:$P994
)</f>
        <v>0</v>
      </c>
      <c r="N825" s="32"/>
      <c r="O825" s="33">
        <f>SUMIFS(Dump!$D:$D,Dump!$B:$B,$C825,Dump!$A:$A,$Y825)</f>
        <v>0</v>
      </c>
      <c r="P825" s="33">
        <f>SUMIFS(Dump!R:R,Dump!B:B,C825,Dump!A:A,Y825)</f>
        <v>0</v>
      </c>
      <c r="Q825" s="34">
        <f t="shared" si="21"/>
        <v>0</v>
      </c>
      <c r="S825" s="4">
        <f>SUMIFS(Dump!E:E,Dump!B:B,C825,Dump!A:A,Y825)</f>
        <v>0</v>
      </c>
      <c r="T825" s="35">
        <f t="shared" si="22"/>
        <v>0</v>
      </c>
      <c r="V825" s="4">
        <f>SUMIFS(Dump!P:P,Dump!B:B,C825,Dump!A:A,Y825)</f>
        <v>0</v>
      </c>
      <c r="W825" s="37">
        <f t="shared" si="23"/>
        <v>0</v>
      </c>
      <c r="X825" s="39"/>
      <c r="Y825" s="54"/>
    </row>
    <row r="826">
      <c r="C826" s="53"/>
      <c r="G826" s="2" t="str">
        <f t="shared" si="27"/>
        <v/>
      </c>
      <c r="I826" s="4">
        <f>SUMIFS(Dump!D:D,Dump!B:B,C826)</f>
        <v>0</v>
      </c>
      <c r="J826" s="5">
        <f>SUMIFS(Dump!AE:AE,Dump!B:B,C826)</f>
        <v>0</v>
      </c>
      <c r="K826" s="4">
        <f>SUMPRODUCT(
  (TEXT(Dump!$A$2:$A994,"mmm-yy")=TEXT($Y826,"mmm-yy"))*
  (Dump!$B$2:$B994=$C826)*
  Dump!$D$2:$D994)</f>
        <v>0</v>
      </c>
      <c r="L826" s="4">
        <f>SUMPRODUCT(
  (TEXT(Dump!$A$2:$A994,"mmm-yy")=TEXT($Y826,"mmm-yy"))*
  (Dump!$B$2:$B994=$C826)*
  Dump!$E$2:$E994
)</f>
        <v>0</v>
      </c>
      <c r="M826" s="4">
        <f>SUMPRODUCT(
  (TEXT(Dump!$A$2:$A994,"mmm-yy")=TEXT($Y826,"mmm-yy"))*
  (Dump!$B$2:$B994=$C826)*
  Dump!$P$2:$P994
)</f>
        <v>0</v>
      </c>
      <c r="N826" s="32"/>
      <c r="O826" s="33">
        <f>SUMIFS(Dump!$D:$D,Dump!$B:$B,$C826,Dump!$A:$A,$Y826)</f>
        <v>0</v>
      </c>
      <c r="P826" s="33">
        <f>SUMIFS(Dump!R:R,Dump!B:B,C826,Dump!A:A,Y826)</f>
        <v>0</v>
      </c>
      <c r="Q826" s="34">
        <f t="shared" si="21"/>
        <v>0</v>
      </c>
      <c r="S826" s="4">
        <f>SUMIFS(Dump!E:E,Dump!B:B,C826,Dump!A:A,Y826)</f>
        <v>0</v>
      </c>
      <c r="T826" s="35">
        <f t="shared" si="22"/>
        <v>0</v>
      </c>
      <c r="V826" s="4">
        <f>SUMIFS(Dump!P:P,Dump!B:B,C826,Dump!A:A,Y826)</f>
        <v>0</v>
      </c>
      <c r="W826" s="37">
        <f t="shared" si="23"/>
        <v>0</v>
      </c>
      <c r="X826" s="39"/>
      <c r="Y826" s="54"/>
    </row>
    <row r="827">
      <c r="C827" s="53"/>
      <c r="G827" s="2" t="str">
        <f t="shared" si="27"/>
        <v/>
      </c>
      <c r="I827" s="4">
        <f>SUMIFS(Dump!D:D,Dump!B:B,C827)</f>
        <v>0</v>
      </c>
      <c r="J827" s="5">
        <f>SUMIFS(Dump!AE:AE,Dump!B:B,C827)</f>
        <v>0</v>
      </c>
      <c r="K827" s="4">
        <f>SUMPRODUCT(
  (TEXT(Dump!$A$2:$A994,"mmm-yy")=TEXT($Y827,"mmm-yy"))*
  (Dump!$B$2:$B994=$C827)*
  Dump!$D$2:$D994)</f>
        <v>0</v>
      </c>
      <c r="L827" s="4">
        <f>SUMPRODUCT(
  (TEXT(Dump!$A$2:$A994,"mmm-yy")=TEXT($Y827,"mmm-yy"))*
  (Dump!$B$2:$B994=$C827)*
  Dump!$E$2:$E994
)</f>
        <v>0</v>
      </c>
      <c r="M827" s="4">
        <f>SUMPRODUCT(
  (TEXT(Dump!$A$2:$A994,"mmm-yy")=TEXT($Y827,"mmm-yy"))*
  (Dump!$B$2:$B994=$C827)*
  Dump!$P$2:$P994
)</f>
        <v>0</v>
      </c>
      <c r="N827" s="32"/>
      <c r="O827" s="33">
        <f>SUMIFS(Dump!$D:$D,Dump!$B:$B,$C827,Dump!$A:$A,$Y827)</f>
        <v>0</v>
      </c>
      <c r="P827" s="33">
        <f>SUMIFS(Dump!R:R,Dump!B:B,C827,Dump!A:A,Y827)</f>
        <v>0</v>
      </c>
      <c r="Q827" s="34">
        <f t="shared" si="21"/>
        <v>0</v>
      </c>
      <c r="S827" s="4">
        <f>SUMIFS(Dump!E:E,Dump!B:B,C827,Dump!A:A,Y827)</f>
        <v>0</v>
      </c>
      <c r="T827" s="35">
        <f t="shared" si="22"/>
        <v>0</v>
      </c>
      <c r="V827" s="4">
        <f>SUMIFS(Dump!P:P,Dump!B:B,C827,Dump!A:A,Y827)</f>
        <v>0</v>
      </c>
      <c r="W827" s="37">
        <f t="shared" si="23"/>
        <v>0</v>
      </c>
      <c r="X827" s="39"/>
      <c r="Y827" s="54"/>
    </row>
    <row r="828">
      <c r="C828" s="53"/>
      <c r="G828" s="2" t="str">
        <f t="shared" si="27"/>
        <v/>
      </c>
      <c r="I828" s="4">
        <f>SUMIFS(Dump!D:D,Dump!B:B,C828)</f>
        <v>0</v>
      </c>
      <c r="J828" s="5">
        <f>SUMIFS(Dump!AE:AE,Dump!B:B,C828)</f>
        <v>0</v>
      </c>
      <c r="K828" s="4">
        <f>SUMPRODUCT(
  (TEXT(Dump!$A$2:$A994,"mmm-yy")=TEXT($Y828,"mmm-yy"))*
  (Dump!$B$2:$B994=$C828)*
  Dump!$D$2:$D994)</f>
        <v>0</v>
      </c>
      <c r="L828" s="4">
        <f>SUMPRODUCT(
  (TEXT(Dump!$A$2:$A994,"mmm-yy")=TEXT($Y828,"mmm-yy"))*
  (Dump!$B$2:$B994=$C828)*
  Dump!$E$2:$E994
)</f>
        <v>0</v>
      </c>
      <c r="M828" s="4">
        <f>SUMPRODUCT(
  (TEXT(Dump!$A$2:$A994,"mmm-yy")=TEXT($Y828,"mmm-yy"))*
  (Dump!$B$2:$B994=$C828)*
  Dump!$P$2:$P994
)</f>
        <v>0</v>
      </c>
      <c r="N828" s="32"/>
      <c r="O828" s="33">
        <f>SUMIFS(Dump!$D:$D,Dump!$B:$B,$C828,Dump!$A:$A,$Y828)</f>
        <v>0</v>
      </c>
      <c r="P828" s="33">
        <f>SUMIFS(Dump!R:R,Dump!B:B,C828,Dump!A:A,Y828)</f>
        <v>0</v>
      </c>
      <c r="Q828" s="34">
        <f t="shared" si="21"/>
        <v>0</v>
      </c>
      <c r="S828" s="4">
        <f>SUMIFS(Dump!E:E,Dump!B:B,C828,Dump!A:A,Y828)</f>
        <v>0</v>
      </c>
      <c r="T828" s="35">
        <f t="shared" si="22"/>
        <v>0</v>
      </c>
      <c r="V828" s="4">
        <f>SUMIFS(Dump!P:P,Dump!B:B,C828,Dump!A:A,Y828)</f>
        <v>0</v>
      </c>
      <c r="W828" s="37">
        <f t="shared" si="23"/>
        <v>0</v>
      </c>
      <c r="X828" s="39"/>
      <c r="Y828" s="54"/>
    </row>
    <row r="829">
      <c r="C829" s="53"/>
      <c r="G829" s="2" t="str">
        <f t="shared" si="27"/>
        <v/>
      </c>
      <c r="I829" s="4">
        <f>SUMIFS(Dump!D:D,Dump!B:B,C829)</f>
        <v>0</v>
      </c>
      <c r="J829" s="5">
        <f>SUMIFS(Dump!AE:AE,Dump!B:B,C829)</f>
        <v>0</v>
      </c>
      <c r="K829" s="4">
        <f>SUMPRODUCT(
  (TEXT(Dump!$A$2:$A994,"mmm-yy")=TEXT($Y829,"mmm-yy"))*
  (Dump!$B$2:$B994=$C829)*
  Dump!$D$2:$D994)</f>
        <v>0</v>
      </c>
      <c r="L829" s="4">
        <f>SUMPRODUCT(
  (TEXT(Dump!$A$2:$A994,"mmm-yy")=TEXT($Y829,"mmm-yy"))*
  (Dump!$B$2:$B994=$C829)*
  Dump!$E$2:$E994
)</f>
        <v>0</v>
      </c>
      <c r="M829" s="4">
        <f>SUMPRODUCT(
  (TEXT(Dump!$A$2:$A994,"mmm-yy")=TEXT($Y829,"mmm-yy"))*
  (Dump!$B$2:$B994=$C829)*
  Dump!$P$2:$P994
)</f>
        <v>0</v>
      </c>
      <c r="N829" s="32"/>
      <c r="O829" s="33">
        <f>SUMIFS(Dump!$D:$D,Dump!$B:$B,$C829,Dump!$A:$A,$Y829)</f>
        <v>0</v>
      </c>
      <c r="P829" s="33">
        <f>SUMIFS(Dump!R:R,Dump!B:B,C829,Dump!A:A,Y829)</f>
        <v>0</v>
      </c>
      <c r="Q829" s="34">
        <f t="shared" si="21"/>
        <v>0</v>
      </c>
      <c r="S829" s="4">
        <f>SUMIFS(Dump!E:E,Dump!B:B,C829,Dump!A:A,Y829)</f>
        <v>0</v>
      </c>
      <c r="T829" s="35">
        <f t="shared" si="22"/>
        <v>0</v>
      </c>
      <c r="V829" s="4">
        <f>SUMIFS(Dump!P:P,Dump!B:B,C829,Dump!A:A,Y829)</f>
        <v>0</v>
      </c>
      <c r="W829" s="37">
        <f t="shared" si="23"/>
        <v>0</v>
      </c>
      <c r="X829" s="39"/>
      <c r="Y829" s="54"/>
    </row>
    <row r="830">
      <c r="C830" s="53"/>
      <c r="G830" s="2" t="str">
        <f t="shared" si="27"/>
        <v/>
      </c>
      <c r="I830" s="4">
        <f>SUMIFS(Dump!D:D,Dump!B:B,C830)</f>
        <v>0</v>
      </c>
      <c r="J830" s="5">
        <f>SUMIFS(Dump!AE:AE,Dump!B:B,C830)</f>
        <v>0</v>
      </c>
      <c r="K830" s="4">
        <f>SUMPRODUCT(
  (TEXT(Dump!$A$2:$A994,"mmm-yy")=TEXT($Y830,"mmm-yy"))*
  (Dump!$B$2:$B994=$C830)*
  Dump!$D$2:$D994)</f>
        <v>0</v>
      </c>
      <c r="L830" s="4">
        <f>SUMPRODUCT(
  (TEXT(Dump!$A$2:$A994,"mmm-yy")=TEXT($Y830,"mmm-yy"))*
  (Dump!$B$2:$B994=$C830)*
  Dump!$E$2:$E994
)</f>
        <v>0</v>
      </c>
      <c r="M830" s="4">
        <f>SUMPRODUCT(
  (TEXT(Dump!$A$2:$A994,"mmm-yy")=TEXT($Y830,"mmm-yy"))*
  (Dump!$B$2:$B994=$C830)*
  Dump!$P$2:$P994
)</f>
        <v>0</v>
      </c>
      <c r="N830" s="32"/>
      <c r="O830" s="33">
        <f>SUMIFS(Dump!$D:$D,Dump!$B:$B,$C830,Dump!$A:$A,$Y830)</f>
        <v>0</v>
      </c>
      <c r="P830" s="33">
        <f>SUMIFS(Dump!R:R,Dump!B:B,C830,Dump!A:A,Y830)</f>
        <v>0</v>
      </c>
      <c r="Q830" s="34">
        <f t="shared" si="21"/>
        <v>0</v>
      </c>
      <c r="S830" s="4">
        <f>SUMIFS(Dump!E:E,Dump!B:B,C830,Dump!A:A,Y830)</f>
        <v>0</v>
      </c>
      <c r="T830" s="35">
        <f t="shared" si="22"/>
        <v>0</v>
      </c>
      <c r="V830" s="4">
        <f>SUMIFS(Dump!P:P,Dump!B:B,C830,Dump!A:A,Y830)</f>
        <v>0</v>
      </c>
      <c r="W830" s="37">
        <f t="shared" si="23"/>
        <v>0</v>
      </c>
      <c r="X830" s="39"/>
      <c r="Y830" s="54"/>
    </row>
    <row r="831">
      <c r="C831" s="53"/>
      <c r="G831" s="2" t="str">
        <f t="shared" si="27"/>
        <v/>
      </c>
      <c r="I831" s="4">
        <f>SUMIFS(Dump!D:D,Dump!B:B,C831)</f>
        <v>0</v>
      </c>
      <c r="J831" s="5">
        <f>SUMIFS(Dump!AE:AE,Dump!B:B,C831)</f>
        <v>0</v>
      </c>
      <c r="K831" s="4">
        <f>SUMPRODUCT(
  (TEXT(Dump!$A$2:$A994,"mmm-yy")=TEXT($Y831,"mmm-yy"))*
  (Dump!$B$2:$B994=$C831)*
  Dump!$D$2:$D994)</f>
        <v>0</v>
      </c>
      <c r="L831" s="4">
        <f>SUMPRODUCT(
  (TEXT(Dump!$A$2:$A994,"mmm-yy")=TEXT($Y831,"mmm-yy"))*
  (Dump!$B$2:$B994=$C831)*
  Dump!$E$2:$E994
)</f>
        <v>0</v>
      </c>
      <c r="M831" s="4">
        <f>SUMPRODUCT(
  (TEXT(Dump!$A$2:$A994,"mmm-yy")=TEXT($Y831,"mmm-yy"))*
  (Dump!$B$2:$B994=$C831)*
  Dump!$P$2:$P994
)</f>
        <v>0</v>
      </c>
      <c r="N831" s="32"/>
      <c r="O831" s="33">
        <f>SUMIFS(Dump!$D:$D,Dump!$B:$B,$C831,Dump!$A:$A,$Y831)</f>
        <v>0</v>
      </c>
      <c r="P831" s="33">
        <f>SUMIFS(Dump!R:R,Dump!B:B,C831,Dump!A:A,Y831)</f>
        <v>0</v>
      </c>
      <c r="Q831" s="34">
        <f t="shared" si="21"/>
        <v>0</v>
      </c>
      <c r="S831" s="4">
        <f>SUMIFS(Dump!E:E,Dump!B:B,C831,Dump!A:A,Y831)</f>
        <v>0</v>
      </c>
      <c r="T831" s="35">
        <f t="shared" si="22"/>
        <v>0</v>
      </c>
      <c r="V831" s="4">
        <f>SUMIFS(Dump!P:P,Dump!B:B,C831,Dump!A:A,Y831)</f>
        <v>0</v>
      </c>
      <c r="W831" s="37">
        <f t="shared" si="23"/>
        <v>0</v>
      </c>
      <c r="X831" s="39"/>
      <c r="Y831" s="54"/>
    </row>
    <row r="832">
      <c r="C832" s="53"/>
      <c r="G832" s="2" t="str">
        <f t="shared" si="27"/>
        <v/>
      </c>
      <c r="I832" s="4">
        <f>SUMIFS(Dump!D:D,Dump!B:B,C832)</f>
        <v>0</v>
      </c>
      <c r="J832" s="5">
        <f>SUMIFS(Dump!AE:AE,Dump!B:B,C832)</f>
        <v>0</v>
      </c>
      <c r="K832" s="4">
        <f>SUMPRODUCT(
  (TEXT(Dump!$A$2:$A994,"mmm-yy")=TEXT($Y832,"mmm-yy"))*
  (Dump!$B$2:$B994=$C832)*
  Dump!$D$2:$D994)</f>
        <v>0</v>
      </c>
      <c r="L832" s="4">
        <f>SUMPRODUCT(
  (TEXT(Dump!$A$2:$A994,"mmm-yy")=TEXT($Y832,"mmm-yy"))*
  (Dump!$B$2:$B994=$C832)*
  Dump!$E$2:$E994
)</f>
        <v>0</v>
      </c>
      <c r="M832" s="4">
        <f>SUMPRODUCT(
  (TEXT(Dump!$A$2:$A994,"mmm-yy")=TEXT($Y832,"mmm-yy"))*
  (Dump!$B$2:$B994=$C832)*
  Dump!$P$2:$P994
)</f>
        <v>0</v>
      </c>
      <c r="N832" s="32"/>
      <c r="O832" s="33">
        <f>SUMIFS(Dump!$D:$D,Dump!$B:$B,$C832,Dump!$A:$A,$Y832)</f>
        <v>0</v>
      </c>
      <c r="P832" s="33">
        <f>SUMIFS(Dump!R:R,Dump!B:B,C832,Dump!A:A,Y832)</f>
        <v>0</v>
      </c>
      <c r="Q832" s="34">
        <f t="shared" si="21"/>
        <v>0</v>
      </c>
      <c r="S832" s="4">
        <f>SUMIFS(Dump!E:E,Dump!B:B,C832,Dump!A:A,Y832)</f>
        <v>0</v>
      </c>
      <c r="T832" s="35">
        <f t="shared" si="22"/>
        <v>0</v>
      </c>
      <c r="V832" s="4">
        <f>SUMIFS(Dump!P:P,Dump!B:B,C832,Dump!A:A,Y832)</f>
        <v>0</v>
      </c>
      <c r="W832" s="37">
        <f t="shared" si="23"/>
        <v>0</v>
      </c>
      <c r="X832" s="39"/>
      <c r="Y832" s="54"/>
    </row>
    <row r="833">
      <c r="C833" s="53"/>
      <c r="G833" s="2" t="str">
        <f t="shared" si="27"/>
        <v/>
      </c>
      <c r="I833" s="4">
        <f>SUMIFS(Dump!D:D,Dump!B:B,C833)</f>
        <v>0</v>
      </c>
      <c r="J833" s="5">
        <f>SUMIFS(Dump!AE:AE,Dump!B:B,C833)</f>
        <v>0</v>
      </c>
      <c r="K833" s="4">
        <f>SUMPRODUCT(
  (TEXT(Dump!$A$2:$A994,"mmm-yy")=TEXT($Y833,"mmm-yy"))*
  (Dump!$B$2:$B994=$C833)*
  Dump!$D$2:$D994)</f>
        <v>0</v>
      </c>
      <c r="L833" s="4">
        <f>SUMPRODUCT(
  (TEXT(Dump!$A$2:$A994,"mmm-yy")=TEXT($Y833,"mmm-yy"))*
  (Dump!$B$2:$B994=$C833)*
  Dump!$E$2:$E994
)</f>
        <v>0</v>
      </c>
      <c r="M833" s="4">
        <f>SUMPRODUCT(
  (TEXT(Dump!$A$2:$A994,"mmm-yy")=TEXT($Y833,"mmm-yy"))*
  (Dump!$B$2:$B994=$C833)*
  Dump!$P$2:$P994
)</f>
        <v>0</v>
      </c>
      <c r="N833" s="32"/>
      <c r="O833" s="33">
        <f>SUMIFS(Dump!$D:$D,Dump!$B:$B,$C833,Dump!$A:$A,$Y833)</f>
        <v>0</v>
      </c>
      <c r="P833" s="33">
        <f>SUMIFS(Dump!R:R,Dump!B:B,C833,Dump!A:A,Y833)</f>
        <v>0</v>
      </c>
      <c r="Q833" s="34">
        <f t="shared" si="21"/>
        <v>0</v>
      </c>
      <c r="S833" s="4">
        <f>SUMIFS(Dump!E:E,Dump!B:B,C833,Dump!A:A,Y833)</f>
        <v>0</v>
      </c>
      <c r="T833" s="35">
        <f t="shared" si="22"/>
        <v>0</v>
      </c>
      <c r="V833" s="4">
        <f>SUMIFS(Dump!P:P,Dump!B:B,C833,Dump!A:A,Y833)</f>
        <v>0</v>
      </c>
      <c r="W833" s="37">
        <f t="shared" si="23"/>
        <v>0</v>
      </c>
      <c r="X833" s="39"/>
      <c r="Y833" s="54"/>
    </row>
    <row r="834">
      <c r="C834" s="53"/>
      <c r="G834" s="2" t="str">
        <f t="shared" si="27"/>
        <v/>
      </c>
      <c r="I834" s="4">
        <f>SUMIFS(Dump!D:D,Dump!B:B,C834)</f>
        <v>0</v>
      </c>
      <c r="J834" s="5">
        <f>SUMIFS(Dump!AE:AE,Dump!B:B,C834)</f>
        <v>0</v>
      </c>
      <c r="K834" s="4">
        <f>SUMPRODUCT(
  (TEXT(Dump!$A$2:$A994,"mmm-yy")=TEXT($Y834,"mmm-yy"))*
  (Dump!$B$2:$B994=$C834)*
  Dump!$D$2:$D994)</f>
        <v>0</v>
      </c>
      <c r="L834" s="4">
        <f>SUMPRODUCT(
  (TEXT(Dump!$A$2:$A994,"mmm-yy")=TEXT($Y834,"mmm-yy"))*
  (Dump!$B$2:$B994=$C834)*
  Dump!$E$2:$E994
)</f>
        <v>0</v>
      </c>
      <c r="M834" s="4">
        <f>SUMPRODUCT(
  (TEXT(Dump!$A$2:$A994,"mmm-yy")=TEXT($Y834,"mmm-yy"))*
  (Dump!$B$2:$B994=$C834)*
  Dump!$P$2:$P994
)</f>
        <v>0</v>
      </c>
      <c r="N834" s="32"/>
      <c r="O834" s="33">
        <f>SUMIFS(Dump!$D:$D,Dump!$B:$B,$C834,Dump!$A:$A,$Y834)</f>
        <v>0</v>
      </c>
      <c r="P834" s="33">
        <f>SUMIFS(Dump!R:R,Dump!B:B,C834,Dump!A:A,Y834)</f>
        <v>0</v>
      </c>
      <c r="Q834" s="34">
        <f t="shared" si="21"/>
        <v>0</v>
      </c>
      <c r="S834" s="4">
        <f>SUMIFS(Dump!E:E,Dump!B:B,C834,Dump!A:A,Y834)</f>
        <v>0</v>
      </c>
      <c r="T834" s="35">
        <f t="shared" si="22"/>
        <v>0</v>
      </c>
      <c r="V834" s="4">
        <f>SUMIFS(Dump!P:P,Dump!B:B,C834,Dump!A:A,Y834)</f>
        <v>0</v>
      </c>
      <c r="W834" s="37">
        <f t="shared" si="23"/>
        <v>0</v>
      </c>
      <c r="X834" s="39"/>
      <c r="Y834" s="54"/>
    </row>
    <row r="835">
      <c r="C835" s="53"/>
      <c r="G835" s="2" t="str">
        <f t="shared" si="27"/>
        <v/>
      </c>
      <c r="I835" s="4">
        <f>SUMIFS(Dump!D:D,Dump!B:B,C835)</f>
        <v>0</v>
      </c>
      <c r="J835" s="5">
        <f>SUMIFS(Dump!AE:AE,Dump!B:B,C835)</f>
        <v>0</v>
      </c>
      <c r="K835" s="4">
        <f>SUMPRODUCT(
  (TEXT(Dump!$A$2:$A994,"mmm-yy")=TEXT($Y835,"mmm-yy"))*
  (Dump!$B$2:$B994=$C835)*
  Dump!$D$2:$D994)</f>
        <v>0</v>
      </c>
      <c r="L835" s="4">
        <f>SUMPRODUCT(
  (TEXT(Dump!$A$2:$A994,"mmm-yy")=TEXT($Y835,"mmm-yy"))*
  (Dump!$B$2:$B994=$C835)*
  Dump!$E$2:$E994
)</f>
        <v>0</v>
      </c>
      <c r="M835" s="4">
        <f>SUMPRODUCT(
  (TEXT(Dump!$A$2:$A994,"mmm-yy")=TEXT($Y835,"mmm-yy"))*
  (Dump!$B$2:$B994=$C835)*
  Dump!$P$2:$P994
)</f>
        <v>0</v>
      </c>
      <c r="N835" s="32"/>
      <c r="O835" s="33">
        <f>SUMIFS(Dump!$D:$D,Dump!$B:$B,$C835,Dump!$A:$A,$Y835)</f>
        <v>0</v>
      </c>
      <c r="P835" s="33">
        <f>SUMIFS(Dump!R:R,Dump!B:B,C835,Dump!A:A,Y835)</f>
        <v>0</v>
      </c>
      <c r="Q835" s="34">
        <f t="shared" si="21"/>
        <v>0</v>
      </c>
      <c r="S835" s="4">
        <f>SUMIFS(Dump!E:E,Dump!B:B,C835,Dump!A:A,Y835)</f>
        <v>0</v>
      </c>
      <c r="T835" s="35">
        <f t="shared" si="22"/>
        <v>0</v>
      </c>
      <c r="V835" s="4">
        <f>SUMIFS(Dump!P:P,Dump!B:B,C835,Dump!A:A,Y835)</f>
        <v>0</v>
      </c>
      <c r="W835" s="37">
        <f t="shared" si="23"/>
        <v>0</v>
      </c>
      <c r="X835" s="39"/>
      <c r="Y835" s="54"/>
    </row>
    <row r="836">
      <c r="C836" s="53"/>
      <c r="G836" s="2" t="str">
        <f t="shared" si="27"/>
        <v/>
      </c>
      <c r="I836" s="4">
        <f>SUMIFS(Dump!D:D,Dump!B:B,C836)</f>
        <v>0</v>
      </c>
      <c r="J836" s="5">
        <f>SUMIFS(Dump!AE:AE,Dump!B:B,C836)</f>
        <v>0</v>
      </c>
      <c r="K836" s="4">
        <f>SUMPRODUCT(
  (TEXT(Dump!$A$2:$A994,"mmm-yy")=TEXT($Y836,"mmm-yy"))*
  (Dump!$B$2:$B994=$C836)*
  Dump!$D$2:$D994)</f>
        <v>0</v>
      </c>
      <c r="L836" s="4">
        <f>SUMPRODUCT(
  (TEXT(Dump!$A$2:$A994,"mmm-yy")=TEXT($Y836,"mmm-yy"))*
  (Dump!$B$2:$B994=$C836)*
  Dump!$E$2:$E994
)</f>
        <v>0</v>
      </c>
      <c r="M836" s="4">
        <f>SUMPRODUCT(
  (TEXT(Dump!$A$2:$A994,"mmm-yy")=TEXT($Y836,"mmm-yy"))*
  (Dump!$B$2:$B994=$C836)*
  Dump!$P$2:$P994
)</f>
        <v>0</v>
      </c>
      <c r="N836" s="32"/>
      <c r="O836" s="33">
        <f>SUMIFS(Dump!$D:$D,Dump!$B:$B,$C836,Dump!$A:$A,$Y836)</f>
        <v>0</v>
      </c>
      <c r="P836" s="33">
        <f>SUMIFS(Dump!R:R,Dump!B:B,C836,Dump!A:A,Y836)</f>
        <v>0</v>
      </c>
      <c r="Q836" s="34">
        <f t="shared" si="21"/>
        <v>0</v>
      </c>
      <c r="S836" s="4">
        <f>SUMIFS(Dump!E:E,Dump!B:B,C836,Dump!A:A,Y836)</f>
        <v>0</v>
      </c>
      <c r="T836" s="35">
        <f t="shared" si="22"/>
        <v>0</v>
      </c>
      <c r="V836" s="4">
        <f>SUMIFS(Dump!P:P,Dump!B:B,C836,Dump!A:A,Y836)</f>
        <v>0</v>
      </c>
      <c r="W836" s="37">
        <f t="shared" si="23"/>
        <v>0</v>
      </c>
      <c r="X836" s="39"/>
      <c r="Y836" s="54"/>
    </row>
    <row r="837">
      <c r="C837" s="53"/>
      <c r="G837" s="2" t="str">
        <f t="shared" si="27"/>
        <v/>
      </c>
      <c r="I837" s="4">
        <f>SUMIFS(Dump!D:D,Dump!B:B,C837)</f>
        <v>0</v>
      </c>
      <c r="J837" s="5">
        <f>SUMIFS(Dump!AE:AE,Dump!B:B,C837)</f>
        <v>0</v>
      </c>
      <c r="K837" s="4">
        <f>SUMPRODUCT(
  (TEXT(Dump!$A$2:$A994,"mmm-yy")=TEXT($Y837,"mmm-yy"))*
  (Dump!$B$2:$B994=$C837)*
  Dump!$D$2:$D994)</f>
        <v>0</v>
      </c>
      <c r="L837" s="4">
        <f>SUMPRODUCT(
  (TEXT(Dump!$A$2:$A994,"mmm-yy")=TEXT($Y837,"mmm-yy"))*
  (Dump!$B$2:$B994=$C837)*
  Dump!$E$2:$E994
)</f>
        <v>0</v>
      </c>
      <c r="M837" s="4">
        <f>SUMPRODUCT(
  (TEXT(Dump!$A$2:$A994,"mmm-yy")=TEXT($Y837,"mmm-yy"))*
  (Dump!$B$2:$B994=$C837)*
  Dump!$P$2:$P994
)</f>
        <v>0</v>
      </c>
      <c r="N837" s="32"/>
      <c r="O837" s="33">
        <f>SUMIFS(Dump!$D:$D,Dump!$B:$B,$C837,Dump!$A:$A,$Y837)</f>
        <v>0</v>
      </c>
      <c r="P837" s="33">
        <f>SUMIFS(Dump!R:R,Dump!B:B,C837,Dump!A:A,Y837)</f>
        <v>0</v>
      </c>
      <c r="Q837" s="34">
        <f t="shared" si="21"/>
        <v>0</v>
      </c>
      <c r="S837" s="4">
        <f>SUMIFS(Dump!E:E,Dump!B:B,C837,Dump!A:A,Y837)</f>
        <v>0</v>
      </c>
      <c r="T837" s="35">
        <f t="shared" si="22"/>
        <v>0</v>
      </c>
      <c r="V837" s="4">
        <f>SUMIFS(Dump!P:P,Dump!B:B,C837,Dump!A:A,Y837)</f>
        <v>0</v>
      </c>
      <c r="W837" s="37">
        <f t="shared" si="23"/>
        <v>0</v>
      </c>
      <c r="X837" s="39"/>
      <c r="Y837" s="54"/>
    </row>
    <row r="838">
      <c r="C838" s="53"/>
      <c r="G838" s="2" t="str">
        <f t="shared" si="27"/>
        <v/>
      </c>
      <c r="I838" s="4">
        <f>SUMIFS(Dump!D:D,Dump!B:B,C838)</f>
        <v>0</v>
      </c>
      <c r="J838" s="5">
        <f>SUMIFS(Dump!AE:AE,Dump!B:B,C838)</f>
        <v>0</v>
      </c>
      <c r="K838" s="4">
        <f>SUMPRODUCT(
  (TEXT(Dump!$A$2:$A994,"mmm-yy")=TEXT($Y838,"mmm-yy"))*
  (Dump!$B$2:$B994=$C838)*
  Dump!$D$2:$D994)</f>
        <v>0</v>
      </c>
      <c r="L838" s="4">
        <f>SUMPRODUCT(
  (TEXT(Dump!$A$2:$A994,"mmm-yy")=TEXT($Y838,"mmm-yy"))*
  (Dump!$B$2:$B994=$C838)*
  Dump!$E$2:$E994
)</f>
        <v>0</v>
      </c>
      <c r="M838" s="4">
        <f>SUMPRODUCT(
  (TEXT(Dump!$A$2:$A994,"mmm-yy")=TEXT($Y838,"mmm-yy"))*
  (Dump!$B$2:$B994=$C838)*
  Dump!$P$2:$P994
)</f>
        <v>0</v>
      </c>
      <c r="N838" s="32"/>
      <c r="O838" s="33">
        <f>SUMIFS(Dump!$D:$D,Dump!$B:$B,$C838,Dump!$A:$A,$Y838)</f>
        <v>0</v>
      </c>
      <c r="P838" s="33">
        <f>SUMIFS(Dump!R:R,Dump!B:B,C838,Dump!A:A,Y838)</f>
        <v>0</v>
      </c>
      <c r="Q838" s="34">
        <f t="shared" si="21"/>
        <v>0</v>
      </c>
      <c r="S838" s="4">
        <f>SUMIFS(Dump!E:E,Dump!B:B,C838,Dump!A:A,Y838)</f>
        <v>0</v>
      </c>
      <c r="T838" s="35">
        <f t="shared" si="22"/>
        <v>0</v>
      </c>
      <c r="V838" s="4">
        <f>SUMIFS(Dump!P:P,Dump!B:B,C838,Dump!A:A,Y838)</f>
        <v>0</v>
      </c>
      <c r="W838" s="37">
        <f t="shared" si="23"/>
        <v>0</v>
      </c>
      <c r="X838" s="39"/>
      <c r="Y838" s="54"/>
    </row>
    <row r="839">
      <c r="C839" s="53"/>
      <c r="G839" s="2" t="str">
        <f t="shared" si="27"/>
        <v/>
      </c>
      <c r="I839" s="4">
        <f>SUMIFS(Dump!D:D,Dump!B:B,C839)</f>
        <v>0</v>
      </c>
      <c r="J839" s="5">
        <f>SUMIFS(Dump!AE:AE,Dump!B:B,C839)</f>
        <v>0</v>
      </c>
      <c r="K839" s="4">
        <f>SUMPRODUCT(
  (TEXT(Dump!$A$2:$A994,"mmm-yy")=TEXT($Y839,"mmm-yy"))*
  (Dump!$B$2:$B994=$C839)*
  Dump!$D$2:$D994)</f>
        <v>0</v>
      </c>
      <c r="L839" s="4">
        <f>SUMPRODUCT(
  (TEXT(Dump!$A$2:$A994,"mmm-yy")=TEXT($Y839,"mmm-yy"))*
  (Dump!$B$2:$B994=$C839)*
  Dump!$E$2:$E994
)</f>
        <v>0</v>
      </c>
      <c r="M839" s="4">
        <f>SUMPRODUCT(
  (TEXT(Dump!$A$2:$A994,"mmm-yy")=TEXT($Y839,"mmm-yy"))*
  (Dump!$B$2:$B994=$C839)*
  Dump!$P$2:$P994
)</f>
        <v>0</v>
      </c>
      <c r="N839" s="32"/>
      <c r="O839" s="33">
        <f>SUMIFS(Dump!$D:$D,Dump!$B:$B,$C839,Dump!$A:$A,$Y839)</f>
        <v>0</v>
      </c>
      <c r="P839" s="33">
        <f>SUMIFS(Dump!R:R,Dump!B:B,C839,Dump!A:A,Y839)</f>
        <v>0</v>
      </c>
      <c r="Q839" s="34">
        <f t="shared" si="21"/>
        <v>0</v>
      </c>
      <c r="S839" s="4">
        <f>SUMIFS(Dump!E:E,Dump!B:B,C839,Dump!A:A,Y839)</f>
        <v>0</v>
      </c>
      <c r="T839" s="35">
        <f t="shared" si="22"/>
        <v>0</v>
      </c>
      <c r="V839" s="4">
        <f>SUMIFS(Dump!P:P,Dump!B:B,C839,Dump!A:A,Y839)</f>
        <v>0</v>
      </c>
      <c r="W839" s="37">
        <f t="shared" si="23"/>
        <v>0</v>
      </c>
      <c r="X839" s="39"/>
      <c r="Y839" s="54"/>
    </row>
    <row r="840">
      <c r="C840" s="53"/>
      <c r="G840" s="2" t="str">
        <f t="shared" si="27"/>
        <v/>
      </c>
      <c r="I840" s="4">
        <f>SUMIFS(Dump!D:D,Dump!B:B,C840)</f>
        <v>0</v>
      </c>
      <c r="J840" s="5">
        <f>SUMIFS(Dump!AE:AE,Dump!B:B,C840)</f>
        <v>0</v>
      </c>
      <c r="K840" s="4">
        <f>SUMPRODUCT(
  (TEXT(Dump!$A$2:$A994,"mmm-yy")=TEXT($Y840,"mmm-yy"))*
  (Dump!$B$2:$B994=$C840)*
  Dump!$D$2:$D994)</f>
        <v>0</v>
      </c>
      <c r="L840" s="4">
        <f>SUMPRODUCT(
  (TEXT(Dump!$A$2:$A994,"mmm-yy")=TEXT($Y840,"mmm-yy"))*
  (Dump!$B$2:$B994=$C840)*
  Dump!$E$2:$E994
)</f>
        <v>0</v>
      </c>
      <c r="M840" s="4">
        <f>SUMPRODUCT(
  (TEXT(Dump!$A$2:$A994,"mmm-yy")=TEXT($Y840,"mmm-yy"))*
  (Dump!$B$2:$B994=$C840)*
  Dump!$P$2:$P994
)</f>
        <v>0</v>
      </c>
      <c r="N840" s="32"/>
      <c r="O840" s="33">
        <f>SUMIFS(Dump!$D:$D,Dump!$B:$B,$C840,Dump!$A:$A,$Y840)</f>
        <v>0</v>
      </c>
      <c r="P840" s="33">
        <f>SUMIFS(Dump!R:R,Dump!B:B,C840,Dump!A:A,Y840)</f>
        <v>0</v>
      </c>
      <c r="Q840" s="34">
        <f t="shared" si="21"/>
        <v>0</v>
      </c>
      <c r="S840" s="4">
        <f>SUMIFS(Dump!E:E,Dump!B:B,C840,Dump!A:A,Y840)</f>
        <v>0</v>
      </c>
      <c r="T840" s="35">
        <f t="shared" si="22"/>
        <v>0</v>
      </c>
      <c r="V840" s="4">
        <f>SUMIFS(Dump!P:P,Dump!B:B,C840,Dump!A:A,Y840)</f>
        <v>0</v>
      </c>
      <c r="W840" s="37">
        <f t="shared" si="23"/>
        <v>0</v>
      </c>
      <c r="X840" s="39"/>
      <c r="Y840" s="54"/>
    </row>
    <row r="841">
      <c r="C841" s="53"/>
      <c r="G841" s="2" t="str">
        <f t="shared" si="27"/>
        <v/>
      </c>
      <c r="I841" s="4">
        <f>SUMIFS(Dump!D:D,Dump!B:B,C841)</f>
        <v>0</v>
      </c>
      <c r="J841" s="5">
        <f>SUMIFS(Dump!AE:AE,Dump!B:B,C841)</f>
        <v>0</v>
      </c>
      <c r="K841" s="4">
        <f>SUMPRODUCT(
  (TEXT(Dump!$A$2:$A994,"mmm-yy")=TEXT($Y841,"mmm-yy"))*
  (Dump!$B$2:$B994=$C841)*
  Dump!$D$2:$D994)</f>
        <v>0</v>
      </c>
      <c r="L841" s="4">
        <f>SUMPRODUCT(
  (TEXT(Dump!$A$2:$A994,"mmm-yy")=TEXT($Y841,"mmm-yy"))*
  (Dump!$B$2:$B994=$C841)*
  Dump!$E$2:$E994
)</f>
        <v>0</v>
      </c>
      <c r="M841" s="4">
        <f>SUMPRODUCT(
  (TEXT(Dump!$A$2:$A994,"mmm-yy")=TEXT($Y841,"mmm-yy"))*
  (Dump!$B$2:$B994=$C841)*
  Dump!$P$2:$P994
)</f>
        <v>0</v>
      </c>
      <c r="N841" s="32"/>
      <c r="O841" s="33">
        <f>SUMIFS(Dump!$D:$D,Dump!$B:$B,$C841,Dump!$A:$A,$Y841)</f>
        <v>0</v>
      </c>
      <c r="P841" s="33">
        <f>SUMIFS(Dump!R:R,Dump!B:B,C841,Dump!A:A,Y841)</f>
        <v>0</v>
      </c>
      <c r="Q841" s="34">
        <f t="shared" si="21"/>
        <v>0</v>
      </c>
      <c r="S841" s="4">
        <f>SUMIFS(Dump!E:E,Dump!B:B,C841,Dump!A:A,Y841)</f>
        <v>0</v>
      </c>
      <c r="T841" s="35">
        <f t="shared" si="22"/>
        <v>0</v>
      </c>
      <c r="V841" s="4">
        <f>SUMIFS(Dump!P:P,Dump!B:B,C841,Dump!A:A,Y841)</f>
        <v>0</v>
      </c>
      <c r="W841" s="37">
        <f t="shared" si="23"/>
        <v>0</v>
      </c>
      <c r="X841" s="39"/>
      <c r="Y841" s="54"/>
    </row>
    <row r="842">
      <c r="C842" s="53"/>
      <c r="G842" s="2" t="str">
        <f t="shared" si="27"/>
        <v/>
      </c>
      <c r="I842" s="4">
        <f>SUMIFS(Dump!D:D,Dump!B:B,C842)</f>
        <v>0</v>
      </c>
      <c r="J842" s="5">
        <f>SUMIFS(Dump!AE:AE,Dump!B:B,C842)</f>
        <v>0</v>
      </c>
      <c r="K842" s="4">
        <f>SUMPRODUCT(
  (TEXT(Dump!$A$2:$A994,"mmm-yy")=TEXT($Y842,"mmm-yy"))*
  (Dump!$B$2:$B994=$C842)*
  Dump!$D$2:$D994)</f>
        <v>0</v>
      </c>
      <c r="L842" s="4">
        <f>SUMPRODUCT(
  (TEXT(Dump!$A$2:$A994,"mmm-yy")=TEXT($Y842,"mmm-yy"))*
  (Dump!$B$2:$B994=$C842)*
  Dump!$E$2:$E994
)</f>
        <v>0</v>
      </c>
      <c r="M842" s="4">
        <f>SUMPRODUCT(
  (TEXT(Dump!$A$2:$A994,"mmm-yy")=TEXT($Y842,"mmm-yy"))*
  (Dump!$B$2:$B994=$C842)*
  Dump!$P$2:$P994
)</f>
        <v>0</v>
      </c>
      <c r="N842" s="32"/>
      <c r="O842" s="33">
        <f>SUMIFS(Dump!$D:$D,Dump!$B:$B,$C842,Dump!$A:$A,$Y842)</f>
        <v>0</v>
      </c>
      <c r="P842" s="33">
        <f>SUMIFS(Dump!R:R,Dump!B:B,C842,Dump!A:A,Y842)</f>
        <v>0</v>
      </c>
      <c r="Q842" s="34">
        <f t="shared" si="21"/>
        <v>0</v>
      </c>
      <c r="S842" s="4">
        <f>SUMIFS(Dump!E:E,Dump!B:B,C842,Dump!A:A,Y842)</f>
        <v>0</v>
      </c>
      <c r="T842" s="35">
        <f t="shared" si="22"/>
        <v>0</v>
      </c>
      <c r="V842" s="4">
        <f>SUMIFS(Dump!P:P,Dump!B:B,C842,Dump!A:A,Y842)</f>
        <v>0</v>
      </c>
      <c r="W842" s="37">
        <f t="shared" si="23"/>
        <v>0</v>
      </c>
      <c r="X842" s="39"/>
      <c r="Y842" s="54"/>
    </row>
    <row r="843">
      <c r="C843" s="53"/>
      <c r="G843" s="2" t="str">
        <f t="shared" si="27"/>
        <v/>
      </c>
      <c r="I843" s="4">
        <f>SUMIFS(Dump!D:D,Dump!B:B,C843)</f>
        <v>0</v>
      </c>
      <c r="J843" s="5">
        <f>SUMIFS(Dump!AE:AE,Dump!B:B,C843)</f>
        <v>0</v>
      </c>
      <c r="K843" s="4">
        <f>SUMPRODUCT(
  (TEXT(Dump!$A$2:$A994,"mmm-yy")=TEXT($Y843,"mmm-yy"))*
  (Dump!$B$2:$B994=$C843)*
  Dump!$D$2:$D994)</f>
        <v>0</v>
      </c>
      <c r="L843" s="4">
        <f>SUMPRODUCT(
  (TEXT(Dump!$A$2:$A994,"mmm-yy")=TEXT($Y843,"mmm-yy"))*
  (Dump!$B$2:$B994=$C843)*
  Dump!$E$2:$E994
)</f>
        <v>0</v>
      </c>
      <c r="M843" s="4">
        <f>SUMPRODUCT(
  (TEXT(Dump!$A$2:$A994,"mmm-yy")=TEXT($Y843,"mmm-yy"))*
  (Dump!$B$2:$B994=$C843)*
  Dump!$P$2:$P994
)</f>
        <v>0</v>
      </c>
      <c r="N843" s="32"/>
      <c r="O843" s="33">
        <f>SUMIFS(Dump!$D:$D,Dump!$B:$B,$C843,Dump!$A:$A,$Y843)</f>
        <v>0</v>
      </c>
      <c r="P843" s="33">
        <f>SUMIFS(Dump!R:R,Dump!B:B,C843,Dump!A:A,Y843)</f>
        <v>0</v>
      </c>
      <c r="Q843" s="34">
        <f t="shared" si="21"/>
        <v>0</v>
      </c>
      <c r="S843" s="4">
        <f>SUMIFS(Dump!E:E,Dump!B:B,C843,Dump!A:A,Y843)</f>
        <v>0</v>
      </c>
      <c r="T843" s="35">
        <f t="shared" si="22"/>
        <v>0</v>
      </c>
      <c r="V843" s="4">
        <f>SUMIFS(Dump!P:P,Dump!B:B,C843,Dump!A:A,Y843)</f>
        <v>0</v>
      </c>
      <c r="W843" s="37">
        <f t="shared" si="23"/>
        <v>0</v>
      </c>
      <c r="X843" s="39"/>
      <c r="Y843" s="54"/>
    </row>
    <row r="844">
      <c r="C844" s="53"/>
      <c r="G844" s="2" t="str">
        <f t="shared" si="27"/>
        <v/>
      </c>
      <c r="I844" s="4">
        <f>SUMIFS(Dump!D:D,Dump!B:B,C844)</f>
        <v>0</v>
      </c>
      <c r="J844" s="5">
        <f>SUMIFS(Dump!AE:AE,Dump!B:B,C844)</f>
        <v>0</v>
      </c>
      <c r="K844" s="4">
        <f>SUMPRODUCT(
  (TEXT(Dump!$A$2:$A994,"mmm-yy")=TEXT($Y844,"mmm-yy"))*
  (Dump!$B$2:$B994=$C844)*
  Dump!$D$2:$D994)</f>
        <v>0</v>
      </c>
      <c r="L844" s="4">
        <f>SUMPRODUCT(
  (TEXT(Dump!$A$2:$A994,"mmm-yy")=TEXT($Y844,"mmm-yy"))*
  (Dump!$B$2:$B994=$C844)*
  Dump!$E$2:$E994
)</f>
        <v>0</v>
      </c>
      <c r="M844" s="4">
        <f>SUMPRODUCT(
  (TEXT(Dump!$A$2:$A994,"mmm-yy")=TEXT($Y844,"mmm-yy"))*
  (Dump!$B$2:$B994=$C844)*
  Dump!$P$2:$P994
)</f>
        <v>0</v>
      </c>
      <c r="N844" s="32"/>
      <c r="O844" s="33">
        <f>SUMIFS(Dump!$D:$D,Dump!$B:$B,$C844,Dump!$A:$A,$Y844)</f>
        <v>0</v>
      </c>
      <c r="P844" s="33">
        <f>SUMIFS(Dump!R:R,Dump!B:B,C844,Dump!A:A,Y844)</f>
        <v>0</v>
      </c>
      <c r="Q844" s="34">
        <f t="shared" si="21"/>
        <v>0</v>
      </c>
      <c r="S844" s="4">
        <f>SUMIFS(Dump!E:E,Dump!B:B,C844,Dump!A:A,Y844)</f>
        <v>0</v>
      </c>
      <c r="T844" s="35">
        <f t="shared" si="22"/>
        <v>0</v>
      </c>
      <c r="V844" s="4">
        <f>SUMIFS(Dump!P:P,Dump!B:B,C844,Dump!A:A,Y844)</f>
        <v>0</v>
      </c>
      <c r="W844" s="37">
        <f t="shared" si="23"/>
        <v>0</v>
      </c>
      <c r="X844" s="39"/>
      <c r="Y844" s="54"/>
    </row>
    <row r="845">
      <c r="C845" s="53"/>
      <c r="G845" s="2" t="str">
        <f t="shared" si="27"/>
        <v/>
      </c>
      <c r="I845" s="4">
        <f>SUMIFS(Dump!D:D,Dump!B:B,C845)</f>
        <v>0</v>
      </c>
      <c r="J845" s="5">
        <f>SUMIFS(Dump!AE:AE,Dump!B:B,C845)</f>
        <v>0</v>
      </c>
      <c r="K845" s="4">
        <f>SUMPRODUCT(
  (TEXT(Dump!$A$2:$A994,"mmm-yy")=TEXT($Y845,"mmm-yy"))*
  (Dump!$B$2:$B994=$C845)*
  Dump!$D$2:$D994)</f>
        <v>0</v>
      </c>
      <c r="L845" s="4">
        <f>SUMPRODUCT(
  (TEXT(Dump!$A$2:$A994,"mmm-yy")=TEXT($Y845,"mmm-yy"))*
  (Dump!$B$2:$B994=$C845)*
  Dump!$E$2:$E994
)</f>
        <v>0</v>
      </c>
      <c r="M845" s="4">
        <f>SUMPRODUCT(
  (TEXT(Dump!$A$2:$A994,"mmm-yy")=TEXT($Y845,"mmm-yy"))*
  (Dump!$B$2:$B994=$C845)*
  Dump!$P$2:$P994
)</f>
        <v>0</v>
      </c>
      <c r="N845" s="32"/>
      <c r="O845" s="33">
        <f>SUMIFS(Dump!$D:$D,Dump!$B:$B,$C845,Dump!$A:$A,$Y845)</f>
        <v>0</v>
      </c>
      <c r="P845" s="33">
        <f>SUMIFS(Dump!R:R,Dump!B:B,C845,Dump!A:A,Y845)</f>
        <v>0</v>
      </c>
      <c r="Q845" s="34">
        <f t="shared" si="21"/>
        <v>0</v>
      </c>
      <c r="S845" s="4">
        <f>SUMIFS(Dump!E:E,Dump!B:B,C845,Dump!A:A,Y845)</f>
        <v>0</v>
      </c>
      <c r="T845" s="35">
        <f t="shared" si="22"/>
        <v>0</v>
      </c>
      <c r="V845" s="4">
        <f>SUMIFS(Dump!P:P,Dump!B:B,C845,Dump!A:A,Y845)</f>
        <v>0</v>
      </c>
      <c r="W845" s="37">
        <f t="shared" si="23"/>
        <v>0</v>
      </c>
      <c r="X845" s="39"/>
      <c r="Y845" s="54"/>
    </row>
    <row r="846">
      <c r="C846" s="53"/>
      <c r="G846" s="2" t="str">
        <f t="shared" si="27"/>
        <v/>
      </c>
      <c r="I846" s="4">
        <f>SUMIFS(Dump!D:D,Dump!B:B,C846)</f>
        <v>0</v>
      </c>
      <c r="J846" s="5">
        <f>SUMIFS(Dump!AE:AE,Dump!B:B,C846)</f>
        <v>0</v>
      </c>
      <c r="K846" s="4">
        <f>SUMPRODUCT(
  (TEXT(Dump!$A$2:$A994,"mmm-yy")=TEXT($Y846,"mmm-yy"))*
  (Dump!$B$2:$B994=$C846)*
  Dump!$D$2:$D994)</f>
        <v>0</v>
      </c>
      <c r="L846" s="4">
        <f>SUMPRODUCT(
  (TEXT(Dump!$A$2:$A994,"mmm-yy")=TEXT($Y846,"mmm-yy"))*
  (Dump!$B$2:$B994=$C846)*
  Dump!$E$2:$E994
)</f>
        <v>0</v>
      </c>
      <c r="M846" s="4">
        <f>SUMPRODUCT(
  (TEXT(Dump!$A$2:$A994,"mmm-yy")=TEXT($Y846,"mmm-yy"))*
  (Dump!$B$2:$B994=$C846)*
  Dump!$P$2:$P994
)</f>
        <v>0</v>
      </c>
      <c r="N846" s="32"/>
      <c r="O846" s="33">
        <f>SUMIFS(Dump!$D:$D,Dump!$B:$B,$C846,Dump!$A:$A,$Y846)</f>
        <v>0</v>
      </c>
      <c r="P846" s="33">
        <f>SUMIFS(Dump!R:R,Dump!B:B,C846,Dump!A:A,Y846)</f>
        <v>0</v>
      </c>
      <c r="Q846" s="34">
        <f t="shared" si="21"/>
        <v>0</v>
      </c>
      <c r="S846" s="4">
        <f>SUMIFS(Dump!E:E,Dump!B:B,C846,Dump!A:A,Y846)</f>
        <v>0</v>
      </c>
      <c r="T846" s="35">
        <f t="shared" si="22"/>
        <v>0</v>
      </c>
      <c r="V846" s="4">
        <f>SUMIFS(Dump!P:P,Dump!B:B,C846,Dump!A:A,Y846)</f>
        <v>0</v>
      </c>
      <c r="W846" s="37">
        <f t="shared" si="23"/>
        <v>0</v>
      </c>
      <c r="X846" s="39"/>
      <c r="Y846" s="54"/>
    </row>
    <row r="847">
      <c r="C847" s="53"/>
      <c r="G847" s="2" t="str">
        <f t="shared" si="27"/>
        <v/>
      </c>
      <c r="I847" s="4">
        <f>SUMIFS(Dump!D:D,Dump!B:B,C847)</f>
        <v>0</v>
      </c>
      <c r="J847" s="5">
        <f>SUMIFS(Dump!AE:AE,Dump!B:B,C847)</f>
        <v>0</v>
      </c>
      <c r="K847" s="4">
        <f>SUMPRODUCT(
  (TEXT(Dump!$A$2:$A994,"mmm-yy")=TEXT($Y847,"mmm-yy"))*
  (Dump!$B$2:$B994=$C847)*
  Dump!$D$2:$D994)</f>
        <v>0</v>
      </c>
      <c r="L847" s="4">
        <f>SUMPRODUCT(
  (TEXT(Dump!$A$2:$A994,"mmm-yy")=TEXT($Y847,"mmm-yy"))*
  (Dump!$B$2:$B994=$C847)*
  Dump!$E$2:$E994
)</f>
        <v>0</v>
      </c>
      <c r="M847" s="4">
        <f>SUMPRODUCT(
  (TEXT(Dump!$A$2:$A994,"mmm-yy")=TEXT($Y847,"mmm-yy"))*
  (Dump!$B$2:$B994=$C847)*
  Dump!$P$2:$P994
)</f>
        <v>0</v>
      </c>
      <c r="N847" s="32"/>
      <c r="O847" s="33">
        <f>SUMIFS(Dump!$D:$D,Dump!$B:$B,$C847,Dump!$A:$A,$Y847)</f>
        <v>0</v>
      </c>
      <c r="P847" s="33">
        <f>SUMIFS(Dump!R:R,Dump!B:B,C847,Dump!A:A,Y847)</f>
        <v>0</v>
      </c>
      <c r="Q847" s="34">
        <f t="shared" si="21"/>
        <v>0</v>
      </c>
      <c r="S847" s="4">
        <f>SUMIFS(Dump!E:E,Dump!B:B,C847,Dump!A:A,Y847)</f>
        <v>0</v>
      </c>
      <c r="T847" s="35">
        <f t="shared" si="22"/>
        <v>0</v>
      </c>
      <c r="V847" s="4">
        <f>SUMIFS(Dump!P:P,Dump!B:B,C847,Dump!A:A,Y847)</f>
        <v>0</v>
      </c>
      <c r="W847" s="37">
        <f t="shared" si="23"/>
        <v>0</v>
      </c>
      <c r="X847" s="39"/>
      <c r="Y847" s="54"/>
    </row>
    <row r="848">
      <c r="C848" s="53"/>
      <c r="G848" s="2" t="str">
        <f t="shared" si="27"/>
        <v/>
      </c>
      <c r="I848" s="4">
        <f>SUMIFS(Dump!D:D,Dump!B:B,C848)</f>
        <v>0</v>
      </c>
      <c r="J848" s="5">
        <f>SUMIFS(Dump!AE:AE,Dump!B:B,C848)</f>
        <v>0</v>
      </c>
      <c r="K848" s="4">
        <f>SUMPRODUCT(
  (TEXT(Dump!$A$2:$A994,"mmm-yy")=TEXT($Y848,"mmm-yy"))*
  (Dump!$B$2:$B994=$C848)*
  Dump!$D$2:$D994)</f>
        <v>0</v>
      </c>
      <c r="L848" s="4">
        <f>SUMPRODUCT(
  (TEXT(Dump!$A$2:$A994,"mmm-yy")=TEXT($Y848,"mmm-yy"))*
  (Dump!$B$2:$B994=$C848)*
  Dump!$E$2:$E994
)</f>
        <v>0</v>
      </c>
      <c r="M848" s="4">
        <f>SUMPRODUCT(
  (TEXT(Dump!$A$2:$A994,"mmm-yy")=TEXT($Y848,"mmm-yy"))*
  (Dump!$B$2:$B994=$C848)*
  Dump!$P$2:$P994
)</f>
        <v>0</v>
      </c>
      <c r="N848" s="32"/>
      <c r="O848" s="33">
        <f>SUMIFS(Dump!$D:$D,Dump!$B:$B,$C848,Dump!$A:$A,$Y848)</f>
        <v>0</v>
      </c>
      <c r="P848" s="33">
        <f>SUMIFS(Dump!R:R,Dump!B:B,C848,Dump!A:A,Y848)</f>
        <v>0</v>
      </c>
      <c r="Q848" s="34">
        <f t="shared" si="21"/>
        <v>0</v>
      </c>
      <c r="S848" s="4">
        <f>SUMIFS(Dump!E:E,Dump!B:B,C848,Dump!A:A,Y848)</f>
        <v>0</v>
      </c>
      <c r="T848" s="35">
        <f t="shared" si="22"/>
        <v>0</v>
      </c>
      <c r="V848" s="4">
        <f>SUMIFS(Dump!P:P,Dump!B:B,C848,Dump!A:A,Y848)</f>
        <v>0</v>
      </c>
      <c r="W848" s="37">
        <f t="shared" si="23"/>
        <v>0</v>
      </c>
      <c r="X848" s="39"/>
      <c r="Y848" s="54"/>
    </row>
    <row r="849">
      <c r="C849" s="53"/>
      <c r="G849" s="2" t="str">
        <f t="shared" si="27"/>
        <v/>
      </c>
      <c r="I849" s="4">
        <f>SUMIFS(Dump!D:D,Dump!B:B,C849)</f>
        <v>0</v>
      </c>
      <c r="J849" s="5">
        <f>SUMIFS(Dump!AE:AE,Dump!B:B,C849)</f>
        <v>0</v>
      </c>
      <c r="K849" s="4">
        <f>SUMPRODUCT(
  (TEXT(Dump!$A$2:$A994,"mmm-yy")=TEXT($Y849,"mmm-yy"))*
  (Dump!$B$2:$B994=$C849)*
  Dump!$D$2:$D994)</f>
        <v>0</v>
      </c>
      <c r="L849" s="4">
        <f>SUMPRODUCT(
  (TEXT(Dump!$A$2:$A994,"mmm-yy")=TEXT($Y849,"mmm-yy"))*
  (Dump!$B$2:$B994=$C849)*
  Dump!$E$2:$E994
)</f>
        <v>0</v>
      </c>
      <c r="M849" s="4">
        <f>SUMPRODUCT(
  (TEXT(Dump!$A$2:$A994,"mmm-yy")=TEXT($Y849,"mmm-yy"))*
  (Dump!$B$2:$B994=$C849)*
  Dump!$P$2:$P994
)</f>
        <v>0</v>
      </c>
      <c r="N849" s="32"/>
      <c r="O849" s="33">
        <f>SUMIFS(Dump!$D:$D,Dump!$B:$B,$C849,Dump!$A:$A,$Y849)</f>
        <v>0</v>
      </c>
      <c r="P849" s="33">
        <f>SUMIFS(Dump!R:R,Dump!B:B,C849,Dump!A:A,Y849)</f>
        <v>0</v>
      </c>
      <c r="Q849" s="34">
        <f t="shared" si="21"/>
        <v>0</v>
      </c>
      <c r="S849" s="4">
        <f>SUMIFS(Dump!E:E,Dump!B:B,C849,Dump!A:A,Y849)</f>
        <v>0</v>
      </c>
      <c r="T849" s="35">
        <f t="shared" si="22"/>
        <v>0</v>
      </c>
      <c r="V849" s="4">
        <f>SUMIFS(Dump!P:P,Dump!B:B,C849,Dump!A:A,Y849)</f>
        <v>0</v>
      </c>
      <c r="W849" s="37">
        <f t="shared" si="23"/>
        <v>0</v>
      </c>
      <c r="X849" s="39"/>
      <c r="Y849" s="54"/>
    </row>
    <row r="850">
      <c r="C850" s="53"/>
      <c r="G850" s="2" t="str">
        <f t="shared" si="27"/>
        <v/>
      </c>
      <c r="I850" s="4">
        <f>SUMIFS(Dump!D:D,Dump!B:B,C850)</f>
        <v>0</v>
      </c>
      <c r="J850" s="5">
        <f>SUMIFS(Dump!AE:AE,Dump!B:B,C850)</f>
        <v>0</v>
      </c>
      <c r="K850" s="4">
        <f>SUMPRODUCT(
  (TEXT(Dump!$A$2:$A994,"mmm-yy")=TEXT($Y850,"mmm-yy"))*
  (Dump!$B$2:$B994=$C850)*
  Dump!$D$2:$D994)</f>
        <v>0</v>
      </c>
      <c r="L850" s="4">
        <f>SUMPRODUCT(
  (TEXT(Dump!$A$2:$A994,"mmm-yy")=TEXT($Y850,"mmm-yy"))*
  (Dump!$B$2:$B994=$C850)*
  Dump!$E$2:$E994
)</f>
        <v>0</v>
      </c>
      <c r="M850" s="4">
        <f>SUMPRODUCT(
  (TEXT(Dump!$A$2:$A994,"mmm-yy")=TEXT($Y850,"mmm-yy"))*
  (Dump!$B$2:$B994=$C850)*
  Dump!$P$2:$P994
)</f>
        <v>0</v>
      </c>
      <c r="N850" s="32"/>
      <c r="O850" s="33">
        <f>SUMIFS(Dump!$D:$D,Dump!$B:$B,$C850,Dump!$A:$A,$Y850)</f>
        <v>0</v>
      </c>
      <c r="P850" s="33">
        <f>SUMIFS(Dump!R:R,Dump!B:B,C850,Dump!A:A,Y850)</f>
        <v>0</v>
      </c>
      <c r="Q850" s="34">
        <f t="shared" si="21"/>
        <v>0</v>
      </c>
      <c r="S850" s="4">
        <f>SUMIFS(Dump!E:E,Dump!B:B,C850,Dump!A:A,Y850)</f>
        <v>0</v>
      </c>
      <c r="T850" s="35">
        <f t="shared" si="22"/>
        <v>0</v>
      </c>
      <c r="V850" s="4">
        <f>SUMIFS(Dump!P:P,Dump!B:B,C850,Dump!A:A,Y850)</f>
        <v>0</v>
      </c>
      <c r="W850" s="37">
        <f t="shared" si="23"/>
        <v>0</v>
      </c>
      <c r="X850" s="39"/>
      <c r="Y850" s="54"/>
    </row>
    <row r="851">
      <c r="C851" s="53"/>
      <c r="G851" s="2" t="str">
        <f t="shared" si="27"/>
        <v/>
      </c>
      <c r="I851" s="4">
        <f>SUMIFS(Dump!D:D,Dump!B:B,C851)</f>
        <v>0</v>
      </c>
      <c r="J851" s="5">
        <f>SUMIFS(Dump!AE:AE,Dump!B:B,C851)</f>
        <v>0</v>
      </c>
      <c r="K851" s="4">
        <f>SUMPRODUCT(
  (TEXT(Dump!$A$2:$A994,"mmm-yy")=TEXT($Y851,"mmm-yy"))*
  (Dump!$B$2:$B994=$C851)*
  Dump!$D$2:$D994)</f>
        <v>0</v>
      </c>
      <c r="L851" s="4">
        <f>SUMPRODUCT(
  (TEXT(Dump!$A$2:$A994,"mmm-yy")=TEXT($Y851,"mmm-yy"))*
  (Dump!$B$2:$B994=$C851)*
  Dump!$E$2:$E994
)</f>
        <v>0</v>
      </c>
      <c r="M851" s="4">
        <f>SUMPRODUCT(
  (TEXT(Dump!$A$2:$A994,"mmm-yy")=TEXT($Y851,"mmm-yy"))*
  (Dump!$B$2:$B994=$C851)*
  Dump!$P$2:$P994
)</f>
        <v>0</v>
      </c>
      <c r="N851" s="32"/>
      <c r="O851" s="33">
        <f>SUMIFS(Dump!$D:$D,Dump!$B:$B,$C851,Dump!$A:$A,$Y851)</f>
        <v>0</v>
      </c>
      <c r="P851" s="33">
        <f>SUMIFS(Dump!R:R,Dump!B:B,C851,Dump!A:A,Y851)</f>
        <v>0</v>
      </c>
      <c r="Q851" s="34">
        <f t="shared" si="21"/>
        <v>0</v>
      </c>
      <c r="S851" s="4">
        <f>SUMIFS(Dump!E:E,Dump!B:B,C851,Dump!A:A,Y851)</f>
        <v>0</v>
      </c>
      <c r="T851" s="35">
        <f t="shared" si="22"/>
        <v>0</v>
      </c>
      <c r="V851" s="4">
        <f>SUMIFS(Dump!P:P,Dump!B:B,C851,Dump!A:A,Y851)</f>
        <v>0</v>
      </c>
      <c r="W851" s="37">
        <f t="shared" si="23"/>
        <v>0</v>
      </c>
      <c r="X851" s="39"/>
      <c r="Y851" s="54"/>
    </row>
    <row r="852">
      <c r="C852" s="53"/>
      <c r="G852" s="2" t="str">
        <f t="shared" si="27"/>
        <v/>
      </c>
      <c r="I852" s="4">
        <f>SUMIFS(Dump!D:D,Dump!B:B,C852)</f>
        <v>0</v>
      </c>
      <c r="J852" s="5">
        <f>SUMIFS(Dump!AE:AE,Dump!B:B,C852)</f>
        <v>0</v>
      </c>
      <c r="K852" s="4">
        <f>SUMPRODUCT(
  (TEXT(Dump!$A$2:$A994,"mmm-yy")=TEXT($Y852,"mmm-yy"))*
  (Dump!$B$2:$B994=$C852)*
  Dump!$D$2:$D994)</f>
        <v>0</v>
      </c>
      <c r="L852" s="4">
        <f>SUMPRODUCT(
  (TEXT(Dump!$A$2:$A994,"mmm-yy")=TEXT($Y852,"mmm-yy"))*
  (Dump!$B$2:$B994=$C852)*
  Dump!$E$2:$E994
)</f>
        <v>0</v>
      </c>
      <c r="M852" s="4">
        <f>SUMPRODUCT(
  (TEXT(Dump!$A$2:$A994,"mmm-yy")=TEXT($Y852,"mmm-yy"))*
  (Dump!$B$2:$B994=$C852)*
  Dump!$P$2:$P994
)</f>
        <v>0</v>
      </c>
      <c r="N852" s="32"/>
      <c r="O852" s="33">
        <f>SUMIFS(Dump!$D:$D,Dump!$B:$B,$C852,Dump!$A:$A,$Y852)</f>
        <v>0</v>
      </c>
      <c r="P852" s="33">
        <f>SUMIFS(Dump!R:R,Dump!B:B,C852,Dump!A:A,Y852)</f>
        <v>0</v>
      </c>
      <c r="Q852" s="34">
        <f t="shared" si="21"/>
        <v>0</v>
      </c>
      <c r="S852" s="4">
        <f>SUMIFS(Dump!E:E,Dump!B:B,C852,Dump!A:A,Y852)</f>
        <v>0</v>
      </c>
      <c r="T852" s="35">
        <f t="shared" si="22"/>
        <v>0</v>
      </c>
      <c r="V852" s="4">
        <f>SUMIFS(Dump!P:P,Dump!B:B,C852,Dump!A:A,Y852)</f>
        <v>0</v>
      </c>
      <c r="W852" s="37">
        <f t="shared" si="23"/>
        <v>0</v>
      </c>
      <c r="X852" s="39"/>
      <c r="Y852" s="54"/>
    </row>
    <row r="853">
      <c r="C853" s="53"/>
      <c r="G853" s="2" t="str">
        <f t="shared" si="27"/>
        <v/>
      </c>
      <c r="I853" s="4">
        <f>SUMIFS(Dump!D:D,Dump!B:B,C853)</f>
        <v>0</v>
      </c>
      <c r="J853" s="5">
        <f>SUMIFS(Dump!AE:AE,Dump!B:B,C853)</f>
        <v>0</v>
      </c>
      <c r="K853" s="4">
        <f>SUMPRODUCT(
  (TEXT(Dump!$A$2:$A994,"mmm-yy")=TEXT($Y853,"mmm-yy"))*
  (Dump!$B$2:$B994=$C853)*
  Dump!$D$2:$D994)</f>
        <v>0</v>
      </c>
      <c r="L853" s="4">
        <f>SUMPRODUCT(
  (TEXT(Dump!$A$2:$A994,"mmm-yy")=TEXT($Y853,"mmm-yy"))*
  (Dump!$B$2:$B994=$C853)*
  Dump!$E$2:$E994
)</f>
        <v>0</v>
      </c>
      <c r="M853" s="4">
        <f>SUMPRODUCT(
  (TEXT(Dump!$A$2:$A994,"mmm-yy")=TEXT($Y853,"mmm-yy"))*
  (Dump!$B$2:$B994=$C853)*
  Dump!$P$2:$P994
)</f>
        <v>0</v>
      </c>
      <c r="N853" s="32"/>
      <c r="O853" s="33">
        <f>SUMIFS(Dump!$D:$D,Dump!$B:$B,$C853,Dump!$A:$A,$Y853)</f>
        <v>0</v>
      </c>
      <c r="P853" s="33">
        <f>SUMIFS(Dump!R:R,Dump!B:B,C853,Dump!A:A,Y853)</f>
        <v>0</v>
      </c>
      <c r="Q853" s="34">
        <f t="shared" si="21"/>
        <v>0</v>
      </c>
      <c r="S853" s="4">
        <f>SUMIFS(Dump!E:E,Dump!B:B,C853,Dump!A:A,Y853)</f>
        <v>0</v>
      </c>
      <c r="T853" s="35">
        <f t="shared" si="22"/>
        <v>0</v>
      </c>
      <c r="V853" s="4">
        <f>SUMIFS(Dump!P:P,Dump!B:B,C853,Dump!A:A,Y853)</f>
        <v>0</v>
      </c>
      <c r="W853" s="37">
        <f t="shared" si="23"/>
        <v>0</v>
      </c>
      <c r="X853" s="39"/>
      <c r="Y853" s="54"/>
    </row>
    <row r="854">
      <c r="C854" s="53"/>
      <c r="G854" s="2" t="str">
        <f t="shared" si="27"/>
        <v/>
      </c>
      <c r="I854" s="4">
        <f>SUMIFS(Dump!D:D,Dump!B:B,C854)</f>
        <v>0</v>
      </c>
      <c r="J854" s="5">
        <f>SUMIFS(Dump!AE:AE,Dump!B:B,C854)</f>
        <v>0</v>
      </c>
      <c r="K854" s="4">
        <f>SUMPRODUCT(
  (TEXT(Dump!$A$2:$A994,"mmm-yy")=TEXT($Y854,"mmm-yy"))*
  (Dump!$B$2:$B994=$C854)*
  Dump!$D$2:$D994)</f>
        <v>0</v>
      </c>
      <c r="L854" s="4">
        <f>SUMPRODUCT(
  (TEXT(Dump!$A$2:$A994,"mmm-yy")=TEXT($Y854,"mmm-yy"))*
  (Dump!$B$2:$B994=$C854)*
  Dump!$E$2:$E994
)</f>
        <v>0</v>
      </c>
      <c r="M854" s="4">
        <f>SUMPRODUCT(
  (TEXT(Dump!$A$2:$A994,"mmm-yy")=TEXT($Y854,"mmm-yy"))*
  (Dump!$B$2:$B994=$C854)*
  Dump!$P$2:$P994
)</f>
        <v>0</v>
      </c>
      <c r="N854" s="32"/>
      <c r="O854" s="33">
        <f>SUMIFS(Dump!$D:$D,Dump!$B:$B,$C854,Dump!$A:$A,$Y854)</f>
        <v>0</v>
      </c>
      <c r="P854" s="33">
        <f>SUMIFS(Dump!R:R,Dump!B:B,C854,Dump!A:A,Y854)</f>
        <v>0</v>
      </c>
      <c r="Q854" s="34">
        <f t="shared" si="21"/>
        <v>0</v>
      </c>
      <c r="S854" s="4">
        <f>SUMIFS(Dump!E:E,Dump!B:B,C854,Dump!A:A,Y854)</f>
        <v>0</v>
      </c>
      <c r="T854" s="35">
        <f t="shared" si="22"/>
        <v>0</v>
      </c>
      <c r="V854" s="4">
        <f>SUMIFS(Dump!P:P,Dump!B:B,C854,Dump!A:A,Y854)</f>
        <v>0</v>
      </c>
      <c r="W854" s="37">
        <f t="shared" si="23"/>
        <v>0</v>
      </c>
      <c r="X854" s="39"/>
      <c r="Y854" s="54"/>
    </row>
    <row r="855">
      <c r="C855" s="53"/>
      <c r="G855" s="2" t="str">
        <f t="shared" si="27"/>
        <v/>
      </c>
      <c r="I855" s="4">
        <f>SUMIFS(Dump!D:D,Dump!B:B,C855)</f>
        <v>0</v>
      </c>
      <c r="J855" s="5">
        <f>SUMIFS(Dump!AE:AE,Dump!B:B,C855)</f>
        <v>0</v>
      </c>
      <c r="K855" s="4">
        <f>SUMPRODUCT(
  (TEXT(Dump!$A$2:$A994,"mmm-yy")=TEXT($Y855,"mmm-yy"))*
  (Dump!$B$2:$B994=$C855)*
  Dump!$D$2:$D994)</f>
        <v>0</v>
      </c>
      <c r="L855" s="4">
        <f>SUMPRODUCT(
  (TEXT(Dump!$A$2:$A994,"mmm-yy")=TEXT($Y855,"mmm-yy"))*
  (Dump!$B$2:$B994=$C855)*
  Dump!$E$2:$E994
)</f>
        <v>0</v>
      </c>
      <c r="M855" s="4">
        <f>SUMPRODUCT(
  (TEXT(Dump!$A$2:$A994,"mmm-yy")=TEXT($Y855,"mmm-yy"))*
  (Dump!$B$2:$B994=$C855)*
  Dump!$P$2:$P994
)</f>
        <v>0</v>
      </c>
      <c r="N855" s="32"/>
      <c r="O855" s="33">
        <f>SUMIFS(Dump!$D:$D,Dump!$B:$B,$C855,Dump!$A:$A,$Y855)</f>
        <v>0</v>
      </c>
      <c r="P855" s="33">
        <f>SUMIFS(Dump!R:R,Dump!B:B,C855,Dump!A:A,Y855)</f>
        <v>0</v>
      </c>
      <c r="Q855" s="34">
        <f t="shared" si="21"/>
        <v>0</v>
      </c>
      <c r="S855" s="4">
        <f>SUMIFS(Dump!E:E,Dump!B:B,C855,Dump!A:A,Y855)</f>
        <v>0</v>
      </c>
      <c r="T855" s="35">
        <f t="shared" si="22"/>
        <v>0</v>
      </c>
      <c r="V855" s="4">
        <f>SUMIFS(Dump!P:P,Dump!B:B,C855,Dump!A:A,Y855)</f>
        <v>0</v>
      </c>
      <c r="W855" s="37">
        <f t="shared" si="23"/>
        <v>0</v>
      </c>
      <c r="X855" s="39"/>
      <c r="Y855" s="54"/>
    </row>
    <row r="856">
      <c r="C856" s="53"/>
      <c r="G856" s="2" t="str">
        <f t="shared" si="27"/>
        <v/>
      </c>
      <c r="I856" s="4">
        <f>SUMIFS(Dump!D:D,Dump!B:B,C856)</f>
        <v>0</v>
      </c>
      <c r="J856" s="5">
        <f>SUMIFS(Dump!AE:AE,Dump!B:B,C856)</f>
        <v>0</v>
      </c>
      <c r="K856" s="4">
        <f>SUMPRODUCT(
  (TEXT(Dump!$A$2:$A994,"mmm-yy")=TEXT($Y856,"mmm-yy"))*
  (Dump!$B$2:$B994=$C856)*
  Dump!$D$2:$D994)</f>
        <v>0</v>
      </c>
      <c r="L856" s="4">
        <f>SUMPRODUCT(
  (TEXT(Dump!$A$2:$A994,"mmm-yy")=TEXT($Y856,"mmm-yy"))*
  (Dump!$B$2:$B994=$C856)*
  Dump!$E$2:$E994
)</f>
        <v>0</v>
      </c>
      <c r="M856" s="4">
        <f>SUMPRODUCT(
  (TEXT(Dump!$A$2:$A994,"mmm-yy")=TEXT($Y856,"mmm-yy"))*
  (Dump!$B$2:$B994=$C856)*
  Dump!$P$2:$P994
)</f>
        <v>0</v>
      </c>
      <c r="N856" s="32"/>
      <c r="O856" s="33">
        <f>SUMIFS(Dump!$D:$D,Dump!$B:$B,$C856,Dump!$A:$A,$Y856)</f>
        <v>0</v>
      </c>
      <c r="P856" s="33">
        <f>SUMIFS(Dump!R:R,Dump!B:B,C856,Dump!A:A,Y856)</f>
        <v>0</v>
      </c>
      <c r="Q856" s="34">
        <f t="shared" si="21"/>
        <v>0</v>
      </c>
      <c r="S856" s="4">
        <f>SUMIFS(Dump!E:E,Dump!B:B,C856,Dump!A:A,Y856)</f>
        <v>0</v>
      </c>
      <c r="T856" s="35">
        <f t="shared" si="22"/>
        <v>0</v>
      </c>
      <c r="V856" s="4">
        <f>SUMIFS(Dump!P:P,Dump!B:B,C856,Dump!A:A,Y856)</f>
        <v>0</v>
      </c>
      <c r="W856" s="37">
        <f t="shared" si="23"/>
        <v>0</v>
      </c>
      <c r="X856" s="39"/>
      <c r="Y856" s="54"/>
    </row>
    <row r="857">
      <c r="C857" s="53"/>
      <c r="G857" s="2" t="str">
        <f t="shared" si="27"/>
        <v/>
      </c>
      <c r="I857" s="4">
        <f>SUMIFS(Dump!D:D,Dump!B:B,C857)</f>
        <v>0</v>
      </c>
      <c r="J857" s="5">
        <f>SUMIFS(Dump!AE:AE,Dump!B:B,C857)</f>
        <v>0</v>
      </c>
      <c r="K857" s="4">
        <f>SUMPRODUCT(
  (TEXT(Dump!$A$2:$A994,"mmm-yy")=TEXT($Y857,"mmm-yy"))*
  (Dump!$B$2:$B994=$C857)*
  Dump!$D$2:$D994)</f>
        <v>0</v>
      </c>
      <c r="L857" s="4">
        <f>SUMPRODUCT(
  (TEXT(Dump!$A$2:$A994,"mmm-yy")=TEXT($Y857,"mmm-yy"))*
  (Dump!$B$2:$B994=$C857)*
  Dump!$E$2:$E994
)</f>
        <v>0</v>
      </c>
      <c r="M857" s="4">
        <f>SUMPRODUCT(
  (TEXT(Dump!$A$2:$A994,"mmm-yy")=TEXT($Y857,"mmm-yy"))*
  (Dump!$B$2:$B994=$C857)*
  Dump!$P$2:$P994
)</f>
        <v>0</v>
      </c>
      <c r="N857" s="32"/>
      <c r="O857" s="33">
        <f>SUMIFS(Dump!$D:$D,Dump!$B:$B,$C857,Dump!$A:$A,$Y857)</f>
        <v>0</v>
      </c>
      <c r="P857" s="33">
        <f>SUMIFS(Dump!R:R,Dump!B:B,C857,Dump!A:A,Y857)</f>
        <v>0</v>
      </c>
      <c r="Q857" s="34">
        <f t="shared" si="21"/>
        <v>0</v>
      </c>
      <c r="S857" s="4">
        <f>SUMIFS(Dump!E:E,Dump!B:B,C857,Dump!A:A,Y857)</f>
        <v>0</v>
      </c>
      <c r="T857" s="35">
        <f t="shared" si="22"/>
        <v>0</v>
      </c>
      <c r="V857" s="4">
        <f>SUMIFS(Dump!P:P,Dump!B:B,C857,Dump!A:A,Y857)</f>
        <v>0</v>
      </c>
      <c r="W857" s="37">
        <f t="shared" si="23"/>
        <v>0</v>
      </c>
      <c r="X857" s="39"/>
      <c r="Y857" s="54"/>
    </row>
    <row r="858">
      <c r="C858" s="53"/>
      <c r="G858" s="2" t="str">
        <f t="shared" si="27"/>
        <v/>
      </c>
      <c r="I858" s="4">
        <f>SUMIFS(Dump!D:D,Dump!B:B,C858)</f>
        <v>0</v>
      </c>
      <c r="J858" s="5">
        <f>SUMIFS(Dump!AE:AE,Dump!B:B,C858)</f>
        <v>0</v>
      </c>
      <c r="K858" s="4">
        <f>SUMPRODUCT(
  (TEXT(Dump!$A$2:$A994,"mmm-yy")=TEXT($Y858,"mmm-yy"))*
  (Dump!$B$2:$B994=$C858)*
  Dump!$D$2:$D994)</f>
        <v>0</v>
      </c>
      <c r="L858" s="4">
        <f>SUMPRODUCT(
  (TEXT(Dump!$A$2:$A994,"mmm-yy")=TEXT($Y858,"mmm-yy"))*
  (Dump!$B$2:$B994=$C858)*
  Dump!$E$2:$E994
)</f>
        <v>0</v>
      </c>
      <c r="M858" s="4">
        <f>SUMPRODUCT(
  (TEXT(Dump!$A$2:$A994,"mmm-yy")=TEXT($Y858,"mmm-yy"))*
  (Dump!$B$2:$B994=$C858)*
  Dump!$P$2:$P994
)</f>
        <v>0</v>
      </c>
      <c r="N858" s="32"/>
      <c r="O858" s="33">
        <f>SUMIFS(Dump!$D:$D,Dump!$B:$B,$C858,Dump!$A:$A,$Y858)</f>
        <v>0</v>
      </c>
      <c r="P858" s="33">
        <f>SUMIFS(Dump!R:R,Dump!B:B,C858,Dump!A:A,Y858)</f>
        <v>0</v>
      </c>
      <c r="Q858" s="34">
        <f t="shared" si="21"/>
        <v>0</v>
      </c>
      <c r="S858" s="4">
        <f>SUMIFS(Dump!E:E,Dump!B:B,C858,Dump!A:A,Y858)</f>
        <v>0</v>
      </c>
      <c r="T858" s="35">
        <f t="shared" si="22"/>
        <v>0</v>
      </c>
      <c r="V858" s="4">
        <f>SUMIFS(Dump!P:P,Dump!B:B,C858,Dump!A:A,Y858)</f>
        <v>0</v>
      </c>
      <c r="W858" s="37">
        <f t="shared" si="23"/>
        <v>0</v>
      </c>
      <c r="X858" s="39"/>
      <c r="Y858" s="54"/>
    </row>
    <row r="859">
      <c r="C859" s="53"/>
      <c r="G859" s="2" t="str">
        <f t="shared" si="27"/>
        <v/>
      </c>
      <c r="I859" s="4">
        <f>SUMIFS(Dump!D:D,Dump!B:B,C859)</f>
        <v>0</v>
      </c>
      <c r="J859" s="5">
        <f>SUMIFS(Dump!AE:AE,Dump!B:B,C859)</f>
        <v>0</v>
      </c>
      <c r="K859" s="4">
        <f>SUMPRODUCT(
  (TEXT(Dump!$A$2:$A994,"mmm-yy")=TEXT($Y859,"mmm-yy"))*
  (Dump!$B$2:$B994=$C859)*
  Dump!$D$2:$D994)</f>
        <v>0</v>
      </c>
      <c r="L859" s="4">
        <f>SUMPRODUCT(
  (TEXT(Dump!$A$2:$A994,"mmm-yy")=TEXT($Y859,"mmm-yy"))*
  (Dump!$B$2:$B994=$C859)*
  Dump!$E$2:$E994
)</f>
        <v>0</v>
      </c>
      <c r="M859" s="4">
        <f>SUMPRODUCT(
  (TEXT(Dump!$A$2:$A994,"mmm-yy")=TEXT($Y859,"mmm-yy"))*
  (Dump!$B$2:$B994=$C859)*
  Dump!$P$2:$P994
)</f>
        <v>0</v>
      </c>
      <c r="N859" s="32"/>
      <c r="O859" s="33">
        <f>SUMIFS(Dump!$D:$D,Dump!$B:$B,$C859,Dump!$A:$A,$Y859)</f>
        <v>0</v>
      </c>
      <c r="P859" s="33">
        <f>SUMIFS(Dump!R:R,Dump!B:B,C859,Dump!A:A,Y859)</f>
        <v>0</v>
      </c>
      <c r="Q859" s="34">
        <f t="shared" si="21"/>
        <v>0</v>
      </c>
      <c r="S859" s="4">
        <f>SUMIFS(Dump!E:E,Dump!B:B,C859,Dump!A:A,Y859)</f>
        <v>0</v>
      </c>
      <c r="T859" s="35">
        <f t="shared" si="22"/>
        <v>0</v>
      </c>
      <c r="V859" s="4">
        <f>SUMIFS(Dump!P:P,Dump!B:B,C859,Dump!A:A,Y859)</f>
        <v>0</v>
      </c>
      <c r="W859" s="37">
        <f t="shared" si="23"/>
        <v>0</v>
      </c>
      <c r="X859" s="39"/>
      <c r="Y859" s="54"/>
    </row>
    <row r="860">
      <c r="C860" s="53"/>
      <c r="G860" s="2" t="str">
        <f t="shared" si="27"/>
        <v/>
      </c>
      <c r="I860" s="4">
        <f>SUMIFS(Dump!D:D,Dump!B:B,C860)</f>
        <v>0</v>
      </c>
      <c r="J860" s="5">
        <f>SUMIFS(Dump!AE:AE,Dump!B:B,C860)</f>
        <v>0</v>
      </c>
      <c r="K860" s="4">
        <f>SUMPRODUCT(
  (TEXT(Dump!$A$2:$A994,"mmm-yy")=TEXT($Y860,"mmm-yy"))*
  (Dump!$B$2:$B994=$C860)*
  Dump!$D$2:$D994)</f>
        <v>0</v>
      </c>
      <c r="L860" s="4">
        <f>SUMPRODUCT(
  (TEXT(Dump!$A$2:$A994,"mmm-yy")=TEXT($Y860,"mmm-yy"))*
  (Dump!$B$2:$B994=$C860)*
  Dump!$E$2:$E994
)</f>
        <v>0</v>
      </c>
      <c r="M860" s="4">
        <f>SUMPRODUCT(
  (TEXT(Dump!$A$2:$A994,"mmm-yy")=TEXT($Y860,"mmm-yy"))*
  (Dump!$B$2:$B994=$C860)*
  Dump!$P$2:$P994
)</f>
        <v>0</v>
      </c>
      <c r="N860" s="32"/>
      <c r="O860" s="33">
        <f>SUMIFS(Dump!$D:$D,Dump!$B:$B,$C860,Dump!$A:$A,$Y860)</f>
        <v>0</v>
      </c>
      <c r="P860" s="33">
        <f>SUMIFS(Dump!R:R,Dump!B:B,C860,Dump!A:A,Y860)</f>
        <v>0</v>
      </c>
      <c r="Q860" s="34">
        <f t="shared" si="21"/>
        <v>0</v>
      </c>
      <c r="S860" s="4">
        <f>SUMIFS(Dump!E:E,Dump!B:B,C860,Dump!A:A,Y860)</f>
        <v>0</v>
      </c>
      <c r="T860" s="35">
        <f t="shared" si="22"/>
        <v>0</v>
      </c>
      <c r="V860" s="4">
        <f>SUMIFS(Dump!P:P,Dump!B:B,C860,Dump!A:A,Y860)</f>
        <v>0</v>
      </c>
      <c r="W860" s="37">
        <f t="shared" si="23"/>
        <v>0</v>
      </c>
      <c r="X860" s="39"/>
      <c r="Y860" s="54"/>
    </row>
    <row r="861">
      <c r="C861" s="53"/>
      <c r="G861" s="2" t="str">
        <f t="shared" si="27"/>
        <v/>
      </c>
      <c r="I861" s="4">
        <f>SUMIFS(Dump!D:D,Dump!B:B,C861)</f>
        <v>0</v>
      </c>
      <c r="J861" s="5">
        <f>SUMIFS(Dump!AE:AE,Dump!B:B,C861)</f>
        <v>0</v>
      </c>
      <c r="K861" s="4">
        <f>SUMPRODUCT(
  (TEXT(Dump!$A$2:$A994,"mmm-yy")=TEXT($Y861,"mmm-yy"))*
  (Dump!$B$2:$B994=$C861)*
  Dump!$D$2:$D994)</f>
        <v>0</v>
      </c>
      <c r="L861" s="4">
        <f>SUMPRODUCT(
  (TEXT(Dump!$A$2:$A994,"mmm-yy")=TEXT($Y861,"mmm-yy"))*
  (Dump!$B$2:$B994=$C861)*
  Dump!$E$2:$E994
)</f>
        <v>0</v>
      </c>
      <c r="M861" s="4">
        <f>SUMPRODUCT(
  (TEXT(Dump!$A$2:$A994,"mmm-yy")=TEXT($Y861,"mmm-yy"))*
  (Dump!$B$2:$B994=$C861)*
  Dump!$P$2:$P994
)</f>
        <v>0</v>
      </c>
      <c r="N861" s="32"/>
      <c r="O861" s="33">
        <f>SUMIFS(Dump!$D:$D,Dump!$B:$B,$C861,Dump!$A:$A,$Y861)</f>
        <v>0</v>
      </c>
      <c r="P861" s="33">
        <f>SUMIFS(Dump!R:R,Dump!B:B,C861,Dump!A:A,Y861)</f>
        <v>0</v>
      </c>
      <c r="Q861" s="34">
        <f t="shared" si="21"/>
        <v>0</v>
      </c>
      <c r="S861" s="4">
        <f>SUMIFS(Dump!E:E,Dump!B:B,C861,Dump!A:A,Y861)</f>
        <v>0</v>
      </c>
      <c r="T861" s="35">
        <f t="shared" si="22"/>
        <v>0</v>
      </c>
      <c r="V861" s="4">
        <f>SUMIFS(Dump!P:P,Dump!B:B,C861,Dump!A:A,Y861)</f>
        <v>0</v>
      </c>
      <c r="W861" s="37">
        <f t="shared" si="23"/>
        <v>0</v>
      </c>
      <c r="X861" s="39"/>
      <c r="Y861" s="54"/>
    </row>
    <row r="862">
      <c r="C862" s="53"/>
      <c r="G862" s="2" t="str">
        <f t="shared" si="27"/>
        <v/>
      </c>
      <c r="I862" s="4">
        <f>SUMIFS(Dump!D:D,Dump!B:B,C862)</f>
        <v>0</v>
      </c>
      <c r="J862" s="5">
        <f>SUMIFS(Dump!AE:AE,Dump!B:B,C862)</f>
        <v>0</v>
      </c>
      <c r="K862" s="4">
        <f>SUMPRODUCT(
  (TEXT(Dump!$A$2:$A994,"mmm-yy")=TEXT($Y862,"mmm-yy"))*
  (Dump!$B$2:$B994=$C862)*
  Dump!$D$2:$D994)</f>
        <v>0</v>
      </c>
      <c r="L862" s="4">
        <f>SUMPRODUCT(
  (TEXT(Dump!$A$2:$A994,"mmm-yy")=TEXT($Y862,"mmm-yy"))*
  (Dump!$B$2:$B994=$C862)*
  Dump!$E$2:$E994
)</f>
        <v>0</v>
      </c>
      <c r="M862" s="4">
        <f>SUMPRODUCT(
  (TEXT(Dump!$A$2:$A994,"mmm-yy")=TEXT($Y862,"mmm-yy"))*
  (Dump!$B$2:$B994=$C862)*
  Dump!$P$2:$P994
)</f>
        <v>0</v>
      </c>
      <c r="N862" s="32"/>
      <c r="O862" s="33">
        <f>SUMIFS(Dump!$D:$D,Dump!$B:$B,$C862,Dump!$A:$A,$Y862)</f>
        <v>0</v>
      </c>
      <c r="P862" s="33">
        <f>SUMIFS(Dump!R:R,Dump!B:B,C862,Dump!A:A,Y862)</f>
        <v>0</v>
      </c>
      <c r="Q862" s="34">
        <f t="shared" si="21"/>
        <v>0</v>
      </c>
      <c r="S862" s="4">
        <f>SUMIFS(Dump!E:E,Dump!B:B,C862,Dump!A:A,Y862)</f>
        <v>0</v>
      </c>
      <c r="T862" s="35">
        <f t="shared" si="22"/>
        <v>0</v>
      </c>
      <c r="V862" s="4">
        <f>SUMIFS(Dump!P:P,Dump!B:B,C862,Dump!A:A,Y862)</f>
        <v>0</v>
      </c>
      <c r="W862" s="37">
        <f t="shared" si="23"/>
        <v>0</v>
      </c>
      <c r="X862" s="39"/>
      <c r="Y862" s="54"/>
    </row>
    <row r="863">
      <c r="C863" s="53"/>
      <c r="G863" s="2" t="str">
        <f t="shared" si="27"/>
        <v/>
      </c>
      <c r="I863" s="4">
        <f>SUMIFS(Dump!D:D,Dump!B:B,C863)</f>
        <v>0</v>
      </c>
      <c r="J863" s="5">
        <f>SUMIFS(Dump!AE:AE,Dump!B:B,C863)</f>
        <v>0</v>
      </c>
      <c r="K863" s="4">
        <f>SUMPRODUCT(
  (TEXT(Dump!$A$2:$A994,"mmm-yy")=TEXT($Y863,"mmm-yy"))*
  (Dump!$B$2:$B994=$C863)*
  Dump!$D$2:$D994)</f>
        <v>0</v>
      </c>
      <c r="L863" s="4">
        <f>SUMPRODUCT(
  (TEXT(Dump!$A$2:$A994,"mmm-yy")=TEXT($Y863,"mmm-yy"))*
  (Dump!$B$2:$B994=$C863)*
  Dump!$E$2:$E994
)</f>
        <v>0</v>
      </c>
      <c r="M863" s="4">
        <f>SUMPRODUCT(
  (TEXT(Dump!$A$2:$A994,"mmm-yy")=TEXT($Y863,"mmm-yy"))*
  (Dump!$B$2:$B994=$C863)*
  Dump!$P$2:$P994
)</f>
        <v>0</v>
      </c>
      <c r="N863" s="32"/>
      <c r="O863" s="33">
        <f>SUMIFS(Dump!$D:$D,Dump!$B:$B,$C863,Dump!$A:$A,$Y863)</f>
        <v>0</v>
      </c>
      <c r="P863" s="33">
        <f>SUMIFS(Dump!R:R,Dump!B:B,C863,Dump!A:A,Y863)</f>
        <v>0</v>
      </c>
      <c r="Q863" s="34">
        <f t="shared" si="21"/>
        <v>0</v>
      </c>
      <c r="S863" s="4">
        <f>SUMIFS(Dump!E:E,Dump!B:B,C863,Dump!A:A,Y863)</f>
        <v>0</v>
      </c>
      <c r="T863" s="35">
        <f t="shared" si="22"/>
        <v>0</v>
      </c>
      <c r="V863" s="4">
        <f>SUMIFS(Dump!P:P,Dump!B:B,C863,Dump!A:A,Y863)</f>
        <v>0</v>
      </c>
      <c r="W863" s="37">
        <f t="shared" si="23"/>
        <v>0</v>
      </c>
      <c r="X863" s="39"/>
      <c r="Y863" s="54"/>
    </row>
    <row r="864">
      <c r="C864" s="53"/>
      <c r="G864" s="2" t="str">
        <f t="shared" si="27"/>
        <v/>
      </c>
      <c r="I864" s="4">
        <f>SUMIFS(Dump!D:D,Dump!B:B,C864)</f>
        <v>0</v>
      </c>
      <c r="J864" s="5">
        <f>SUMIFS(Dump!AE:AE,Dump!B:B,C864)</f>
        <v>0</v>
      </c>
      <c r="K864" s="4">
        <f>SUMPRODUCT(
  (TEXT(Dump!$A$2:$A994,"mmm-yy")=TEXT($Y864,"mmm-yy"))*
  (Dump!$B$2:$B994=$C864)*
  Dump!$D$2:$D994)</f>
        <v>0</v>
      </c>
      <c r="L864" s="4">
        <f>SUMPRODUCT(
  (TEXT(Dump!$A$2:$A994,"mmm-yy")=TEXT($Y864,"mmm-yy"))*
  (Dump!$B$2:$B994=$C864)*
  Dump!$E$2:$E994
)</f>
        <v>0</v>
      </c>
      <c r="M864" s="4">
        <f>SUMPRODUCT(
  (TEXT(Dump!$A$2:$A994,"mmm-yy")=TEXT($Y864,"mmm-yy"))*
  (Dump!$B$2:$B994=$C864)*
  Dump!$P$2:$P994
)</f>
        <v>0</v>
      </c>
      <c r="N864" s="32"/>
      <c r="O864" s="33">
        <f>SUMIFS(Dump!$D:$D,Dump!$B:$B,$C864,Dump!$A:$A,$Y864)</f>
        <v>0</v>
      </c>
      <c r="P864" s="33">
        <f>SUMIFS(Dump!R:R,Dump!B:B,C864,Dump!A:A,Y864)</f>
        <v>0</v>
      </c>
      <c r="Q864" s="34">
        <f t="shared" si="21"/>
        <v>0</v>
      </c>
      <c r="S864" s="4">
        <f>SUMIFS(Dump!E:E,Dump!B:B,C864,Dump!A:A,Y864)</f>
        <v>0</v>
      </c>
      <c r="T864" s="35">
        <f t="shared" si="22"/>
        <v>0</v>
      </c>
      <c r="V864" s="4">
        <f>SUMIFS(Dump!P:P,Dump!B:B,C864,Dump!A:A,Y864)</f>
        <v>0</v>
      </c>
      <c r="W864" s="37">
        <f t="shared" si="23"/>
        <v>0</v>
      </c>
      <c r="X864" s="39"/>
      <c r="Y864" s="54"/>
    </row>
    <row r="865">
      <c r="C865" s="53"/>
      <c r="G865" s="2" t="str">
        <f t="shared" si="27"/>
        <v/>
      </c>
      <c r="I865" s="4">
        <f>SUMIFS(Dump!D:D,Dump!B:B,C865)</f>
        <v>0</v>
      </c>
      <c r="J865" s="5">
        <f>SUMIFS(Dump!AE:AE,Dump!B:B,C865)</f>
        <v>0</v>
      </c>
      <c r="K865" s="4">
        <f>SUMPRODUCT(
  (TEXT(Dump!$A$2:$A994,"mmm-yy")=TEXT($Y865,"mmm-yy"))*
  (Dump!$B$2:$B994=$C865)*
  Dump!$D$2:$D994)</f>
        <v>0</v>
      </c>
      <c r="L865" s="4">
        <f>SUMPRODUCT(
  (TEXT(Dump!$A$2:$A994,"mmm-yy")=TEXT($Y865,"mmm-yy"))*
  (Dump!$B$2:$B994=$C865)*
  Dump!$E$2:$E994
)</f>
        <v>0</v>
      </c>
      <c r="M865" s="4">
        <f>SUMPRODUCT(
  (TEXT(Dump!$A$2:$A994,"mmm-yy")=TEXT($Y865,"mmm-yy"))*
  (Dump!$B$2:$B994=$C865)*
  Dump!$P$2:$P994
)</f>
        <v>0</v>
      </c>
      <c r="N865" s="32"/>
      <c r="O865" s="33">
        <f>SUMIFS(Dump!$D:$D,Dump!$B:$B,$C865,Dump!$A:$A,$Y865)</f>
        <v>0</v>
      </c>
      <c r="P865" s="33">
        <f>SUMIFS(Dump!R:R,Dump!B:B,C865,Dump!A:A,Y865)</f>
        <v>0</v>
      </c>
      <c r="Q865" s="34">
        <f t="shared" si="21"/>
        <v>0</v>
      </c>
      <c r="S865" s="4">
        <f>SUMIFS(Dump!E:E,Dump!B:B,C865,Dump!A:A,Y865)</f>
        <v>0</v>
      </c>
      <c r="T865" s="35">
        <f t="shared" si="22"/>
        <v>0</v>
      </c>
      <c r="V865" s="4">
        <f>SUMIFS(Dump!P:P,Dump!B:B,C865,Dump!A:A,Y865)</f>
        <v>0</v>
      </c>
      <c r="W865" s="37">
        <f t="shared" si="23"/>
        <v>0</v>
      </c>
      <c r="X865" s="39"/>
      <c r="Y865" s="54"/>
    </row>
    <row r="866">
      <c r="C866" s="53"/>
      <c r="G866" s="2" t="str">
        <f t="shared" si="27"/>
        <v/>
      </c>
      <c r="I866" s="4">
        <f>SUMIFS(Dump!D:D,Dump!B:B,C866)</f>
        <v>0</v>
      </c>
      <c r="J866" s="5">
        <f>SUMIFS(Dump!AE:AE,Dump!B:B,C866)</f>
        <v>0</v>
      </c>
      <c r="K866" s="4">
        <f>SUMPRODUCT(
  (TEXT(Dump!$A$2:$A994,"mmm-yy")=TEXT($Y866,"mmm-yy"))*
  (Dump!$B$2:$B994=$C866)*
  Dump!$D$2:$D994)</f>
        <v>0</v>
      </c>
      <c r="L866" s="4">
        <f>SUMPRODUCT(
  (TEXT(Dump!$A$2:$A994,"mmm-yy")=TEXT($Y866,"mmm-yy"))*
  (Dump!$B$2:$B994=$C866)*
  Dump!$E$2:$E994
)</f>
        <v>0</v>
      </c>
      <c r="M866" s="4">
        <f>SUMPRODUCT(
  (TEXT(Dump!$A$2:$A994,"mmm-yy")=TEXT($Y866,"mmm-yy"))*
  (Dump!$B$2:$B994=$C866)*
  Dump!$P$2:$P994
)</f>
        <v>0</v>
      </c>
      <c r="N866" s="32"/>
      <c r="O866" s="33">
        <f>SUMIFS(Dump!$D:$D,Dump!$B:$B,$C866,Dump!$A:$A,$Y866)</f>
        <v>0</v>
      </c>
      <c r="P866" s="33">
        <f>SUMIFS(Dump!R:R,Dump!B:B,C866,Dump!A:A,Y866)</f>
        <v>0</v>
      </c>
      <c r="Q866" s="34">
        <f t="shared" si="21"/>
        <v>0</v>
      </c>
      <c r="S866" s="4">
        <f>SUMIFS(Dump!E:E,Dump!B:B,C866,Dump!A:A,Y866)</f>
        <v>0</v>
      </c>
      <c r="T866" s="35">
        <f t="shared" si="22"/>
        <v>0</v>
      </c>
      <c r="V866" s="4">
        <f>SUMIFS(Dump!P:P,Dump!B:B,C866,Dump!A:A,Y866)</f>
        <v>0</v>
      </c>
      <c r="W866" s="37">
        <f t="shared" si="23"/>
        <v>0</v>
      </c>
      <c r="X866" s="39"/>
      <c r="Y866" s="54"/>
    </row>
    <row r="867">
      <c r="C867" s="53"/>
      <c r="G867" s="2" t="str">
        <f t="shared" si="27"/>
        <v/>
      </c>
      <c r="I867" s="4">
        <f>SUMIFS(Dump!D:D,Dump!B:B,C867)</f>
        <v>0</v>
      </c>
      <c r="J867" s="5">
        <f>SUMIFS(Dump!AE:AE,Dump!B:B,C867)</f>
        <v>0</v>
      </c>
      <c r="K867" s="4">
        <f>SUMPRODUCT(
  (TEXT(Dump!$A$2:$A994,"mmm-yy")=TEXT($Y867,"mmm-yy"))*
  (Dump!$B$2:$B994=$C867)*
  Dump!$D$2:$D994)</f>
        <v>0</v>
      </c>
      <c r="L867" s="4">
        <f>SUMPRODUCT(
  (TEXT(Dump!$A$2:$A994,"mmm-yy")=TEXT($Y867,"mmm-yy"))*
  (Dump!$B$2:$B994=$C867)*
  Dump!$E$2:$E994
)</f>
        <v>0</v>
      </c>
      <c r="M867" s="4">
        <f>SUMPRODUCT(
  (TEXT(Dump!$A$2:$A994,"mmm-yy")=TEXT($Y867,"mmm-yy"))*
  (Dump!$B$2:$B994=$C867)*
  Dump!$P$2:$P994
)</f>
        <v>0</v>
      </c>
      <c r="N867" s="32"/>
      <c r="O867" s="33">
        <f>SUMIFS(Dump!$D:$D,Dump!$B:$B,$C867,Dump!$A:$A,$Y867)</f>
        <v>0</v>
      </c>
      <c r="P867" s="33">
        <f>SUMIFS(Dump!R:R,Dump!B:B,C867,Dump!A:A,Y867)</f>
        <v>0</v>
      </c>
      <c r="Q867" s="34">
        <f t="shared" si="21"/>
        <v>0</v>
      </c>
      <c r="S867" s="4">
        <f>SUMIFS(Dump!E:E,Dump!B:B,C867,Dump!A:A,Y867)</f>
        <v>0</v>
      </c>
      <c r="T867" s="35">
        <f t="shared" si="22"/>
        <v>0</v>
      </c>
      <c r="V867" s="4">
        <f>SUMIFS(Dump!P:P,Dump!B:B,C867,Dump!A:A,Y867)</f>
        <v>0</v>
      </c>
      <c r="W867" s="37">
        <f t="shared" si="23"/>
        <v>0</v>
      </c>
      <c r="X867" s="39"/>
      <c r="Y867" s="54"/>
    </row>
    <row r="868">
      <c r="C868" s="53"/>
      <c r="G868" s="2" t="str">
        <f t="shared" si="27"/>
        <v/>
      </c>
      <c r="I868" s="4">
        <f>SUMIFS(Dump!D:D,Dump!B:B,C868)</f>
        <v>0</v>
      </c>
      <c r="J868" s="5">
        <f>SUMIFS(Dump!AE:AE,Dump!B:B,C868)</f>
        <v>0</v>
      </c>
      <c r="K868" s="4">
        <f>SUMPRODUCT(
  (TEXT(Dump!$A$2:$A994,"mmm-yy")=TEXT($Y868,"mmm-yy"))*
  (Dump!$B$2:$B994=$C868)*
  Dump!$D$2:$D994)</f>
        <v>0</v>
      </c>
      <c r="L868" s="4">
        <f>SUMPRODUCT(
  (TEXT(Dump!$A$2:$A994,"mmm-yy")=TEXT($Y868,"mmm-yy"))*
  (Dump!$B$2:$B994=$C868)*
  Dump!$E$2:$E994
)</f>
        <v>0</v>
      </c>
      <c r="M868" s="4">
        <f>SUMPRODUCT(
  (TEXT(Dump!$A$2:$A994,"mmm-yy")=TEXT($Y868,"mmm-yy"))*
  (Dump!$B$2:$B994=$C868)*
  Dump!$P$2:$P994
)</f>
        <v>0</v>
      </c>
      <c r="N868" s="32"/>
      <c r="O868" s="33">
        <f>SUMIFS(Dump!$D:$D,Dump!$B:$B,$C868,Dump!$A:$A,$Y868)</f>
        <v>0</v>
      </c>
      <c r="P868" s="33">
        <f>SUMIFS(Dump!R:R,Dump!B:B,C868,Dump!A:A,Y868)</f>
        <v>0</v>
      </c>
      <c r="Q868" s="34">
        <f t="shared" si="21"/>
        <v>0</v>
      </c>
      <c r="S868" s="4">
        <f>SUMIFS(Dump!E:E,Dump!B:B,C868,Dump!A:A,Y868)</f>
        <v>0</v>
      </c>
      <c r="T868" s="35">
        <f t="shared" si="22"/>
        <v>0</v>
      </c>
      <c r="V868" s="4">
        <f>SUMIFS(Dump!P:P,Dump!B:B,C868,Dump!A:A,Y868)</f>
        <v>0</v>
      </c>
      <c r="W868" s="37">
        <f t="shared" si="23"/>
        <v>0</v>
      </c>
      <c r="X868" s="39"/>
      <c r="Y868" s="54"/>
    </row>
    <row r="869">
      <c r="C869" s="53"/>
      <c r="G869" s="2" t="str">
        <f t="shared" si="27"/>
        <v/>
      </c>
      <c r="I869" s="4">
        <f>SUMIFS(Dump!D:D,Dump!B:B,C869)</f>
        <v>0</v>
      </c>
      <c r="J869" s="5">
        <f>SUMIFS(Dump!AE:AE,Dump!B:B,C869)</f>
        <v>0</v>
      </c>
      <c r="K869" s="4">
        <f>SUMPRODUCT(
  (TEXT(Dump!$A$2:$A994,"mmm-yy")=TEXT($Y869,"mmm-yy"))*
  (Dump!$B$2:$B994=$C869)*
  Dump!$D$2:$D994)</f>
        <v>0</v>
      </c>
      <c r="L869" s="4">
        <f>SUMPRODUCT(
  (TEXT(Dump!$A$2:$A994,"mmm-yy")=TEXT($Y869,"mmm-yy"))*
  (Dump!$B$2:$B994=$C869)*
  Dump!$E$2:$E994
)</f>
        <v>0</v>
      </c>
      <c r="M869" s="4">
        <f>SUMPRODUCT(
  (TEXT(Dump!$A$2:$A994,"mmm-yy")=TEXT($Y869,"mmm-yy"))*
  (Dump!$B$2:$B994=$C869)*
  Dump!$P$2:$P994
)</f>
        <v>0</v>
      </c>
      <c r="N869" s="32"/>
      <c r="O869" s="33">
        <f>SUMIFS(Dump!$D:$D,Dump!$B:$B,$C869,Dump!$A:$A,$Y869)</f>
        <v>0</v>
      </c>
      <c r="P869" s="33">
        <f>SUMIFS(Dump!R:R,Dump!B:B,C869,Dump!A:A,Y869)</f>
        <v>0</v>
      </c>
      <c r="Q869" s="34">
        <f t="shared" si="21"/>
        <v>0</v>
      </c>
      <c r="S869" s="4">
        <f>SUMIFS(Dump!E:E,Dump!B:B,C869,Dump!A:A,Y869)</f>
        <v>0</v>
      </c>
      <c r="T869" s="35">
        <f t="shared" si="22"/>
        <v>0</v>
      </c>
      <c r="V869" s="4">
        <f>SUMIFS(Dump!P:P,Dump!B:B,C869,Dump!A:A,Y869)</f>
        <v>0</v>
      </c>
      <c r="W869" s="37">
        <f t="shared" si="23"/>
        <v>0</v>
      </c>
      <c r="X869" s="39"/>
      <c r="Y869" s="54"/>
    </row>
    <row r="870">
      <c r="C870" s="53"/>
      <c r="G870" s="2" t="str">
        <f t="shared" si="27"/>
        <v/>
      </c>
      <c r="I870" s="4">
        <f>SUMIFS(Dump!D:D,Dump!B:B,C870)</f>
        <v>0</v>
      </c>
      <c r="J870" s="5">
        <f>SUMIFS(Dump!AE:AE,Dump!B:B,C870)</f>
        <v>0</v>
      </c>
      <c r="K870" s="4">
        <f>SUMPRODUCT(
  (TEXT(Dump!$A$2:$A994,"mmm-yy")=TEXT($Y870,"mmm-yy"))*
  (Dump!$B$2:$B994=$C870)*
  Dump!$D$2:$D994)</f>
        <v>0</v>
      </c>
      <c r="L870" s="4">
        <f>SUMPRODUCT(
  (TEXT(Dump!$A$2:$A994,"mmm-yy")=TEXT($Y870,"mmm-yy"))*
  (Dump!$B$2:$B994=$C870)*
  Dump!$E$2:$E994
)</f>
        <v>0</v>
      </c>
      <c r="M870" s="4">
        <f>SUMPRODUCT(
  (TEXT(Dump!$A$2:$A994,"mmm-yy")=TEXT($Y870,"mmm-yy"))*
  (Dump!$B$2:$B994=$C870)*
  Dump!$P$2:$P994
)</f>
        <v>0</v>
      </c>
      <c r="N870" s="32"/>
      <c r="O870" s="33">
        <f>SUMIFS(Dump!$D:$D,Dump!$B:$B,$C870,Dump!$A:$A,$Y870)</f>
        <v>0</v>
      </c>
      <c r="P870" s="33">
        <f>SUMIFS(Dump!R:R,Dump!B:B,C870,Dump!A:A,Y870)</f>
        <v>0</v>
      </c>
      <c r="Q870" s="34">
        <f t="shared" si="21"/>
        <v>0</v>
      </c>
      <c r="S870" s="4">
        <f>SUMIFS(Dump!E:E,Dump!B:B,C870,Dump!A:A,Y870)</f>
        <v>0</v>
      </c>
      <c r="T870" s="35">
        <f t="shared" si="22"/>
        <v>0</v>
      </c>
      <c r="V870" s="4">
        <f>SUMIFS(Dump!P:P,Dump!B:B,C870,Dump!A:A,Y870)</f>
        <v>0</v>
      </c>
      <c r="W870" s="37">
        <f t="shared" si="23"/>
        <v>0</v>
      </c>
      <c r="X870" s="39"/>
      <c r="Y870" s="54"/>
    </row>
    <row r="871">
      <c r="C871" s="53"/>
      <c r="G871" s="2" t="str">
        <f t="shared" si="27"/>
        <v/>
      </c>
      <c r="I871" s="4">
        <f>SUMIFS(Dump!D:D,Dump!B:B,C871)</f>
        <v>0</v>
      </c>
      <c r="J871" s="5">
        <f>SUMIFS(Dump!AE:AE,Dump!B:B,C871)</f>
        <v>0</v>
      </c>
      <c r="K871" s="4">
        <f>SUMPRODUCT(
  (TEXT(Dump!$A$2:$A994,"mmm-yy")=TEXT($Y871,"mmm-yy"))*
  (Dump!$B$2:$B994=$C871)*
  Dump!$D$2:$D994)</f>
        <v>0</v>
      </c>
      <c r="L871" s="4">
        <f>SUMPRODUCT(
  (TEXT(Dump!$A$2:$A994,"mmm-yy")=TEXT($Y871,"mmm-yy"))*
  (Dump!$B$2:$B994=$C871)*
  Dump!$E$2:$E994
)</f>
        <v>0</v>
      </c>
      <c r="M871" s="4">
        <f>SUMPRODUCT(
  (TEXT(Dump!$A$2:$A994,"mmm-yy")=TEXT($Y871,"mmm-yy"))*
  (Dump!$B$2:$B994=$C871)*
  Dump!$P$2:$P994
)</f>
        <v>0</v>
      </c>
      <c r="N871" s="32"/>
      <c r="O871" s="33">
        <f>SUMIFS(Dump!$D:$D,Dump!$B:$B,$C871,Dump!$A:$A,$Y871)</f>
        <v>0</v>
      </c>
      <c r="P871" s="33">
        <f>SUMIFS(Dump!R:R,Dump!B:B,C871,Dump!A:A,Y871)</f>
        <v>0</v>
      </c>
      <c r="Q871" s="34">
        <f t="shared" si="21"/>
        <v>0</v>
      </c>
      <c r="S871" s="4">
        <f>SUMIFS(Dump!E:E,Dump!B:B,C871,Dump!A:A,Y871)</f>
        <v>0</v>
      </c>
      <c r="T871" s="35">
        <f t="shared" si="22"/>
        <v>0</v>
      </c>
      <c r="V871" s="4">
        <f>SUMIFS(Dump!P:P,Dump!B:B,C871,Dump!A:A,Y871)</f>
        <v>0</v>
      </c>
      <c r="W871" s="37">
        <f t="shared" si="23"/>
        <v>0</v>
      </c>
      <c r="X871" s="39"/>
      <c r="Y871" s="54"/>
    </row>
    <row r="872">
      <c r="C872" s="53"/>
      <c r="G872" s="2" t="str">
        <f t="shared" si="27"/>
        <v/>
      </c>
      <c r="I872" s="4">
        <f>SUMIFS(Dump!D:D,Dump!B:B,C872)</f>
        <v>0</v>
      </c>
      <c r="J872" s="5">
        <f>SUMIFS(Dump!AE:AE,Dump!B:B,C872)</f>
        <v>0</v>
      </c>
      <c r="K872" s="4">
        <f>SUMPRODUCT(
  (TEXT(Dump!$A$2:$A994,"mmm-yy")=TEXT($Y872,"mmm-yy"))*
  (Dump!$B$2:$B994=$C872)*
  Dump!$D$2:$D994)</f>
        <v>0</v>
      </c>
      <c r="L872" s="4">
        <f>SUMPRODUCT(
  (TEXT(Dump!$A$2:$A994,"mmm-yy")=TEXT($Y872,"mmm-yy"))*
  (Dump!$B$2:$B994=$C872)*
  Dump!$E$2:$E994
)</f>
        <v>0</v>
      </c>
      <c r="M872" s="4">
        <f>SUMPRODUCT(
  (TEXT(Dump!$A$2:$A994,"mmm-yy")=TEXT($Y872,"mmm-yy"))*
  (Dump!$B$2:$B994=$C872)*
  Dump!$P$2:$P994
)</f>
        <v>0</v>
      </c>
      <c r="N872" s="32"/>
      <c r="O872" s="33">
        <f>SUMIFS(Dump!$D:$D,Dump!$B:$B,$C872,Dump!$A:$A,$Y872)</f>
        <v>0</v>
      </c>
      <c r="P872" s="33">
        <f>SUMIFS(Dump!R:R,Dump!B:B,C872,Dump!A:A,Y872)</f>
        <v>0</v>
      </c>
      <c r="Q872" s="34">
        <f t="shared" si="21"/>
        <v>0</v>
      </c>
      <c r="S872" s="4">
        <f>SUMIFS(Dump!E:E,Dump!B:B,C872,Dump!A:A,Y872)</f>
        <v>0</v>
      </c>
      <c r="T872" s="35">
        <f t="shared" si="22"/>
        <v>0</v>
      </c>
      <c r="V872" s="4">
        <f>SUMIFS(Dump!P:P,Dump!B:B,C872,Dump!A:A,Y872)</f>
        <v>0</v>
      </c>
      <c r="W872" s="37">
        <f t="shared" si="23"/>
        <v>0</v>
      </c>
      <c r="X872" s="39"/>
      <c r="Y872" s="54"/>
    </row>
    <row r="873">
      <c r="C873" s="53"/>
      <c r="G873" s="2" t="str">
        <f t="shared" si="27"/>
        <v/>
      </c>
      <c r="I873" s="4">
        <f>SUMIFS(Dump!D:D,Dump!B:B,C873)</f>
        <v>0</v>
      </c>
      <c r="J873" s="5">
        <f>SUMIFS(Dump!AE:AE,Dump!B:B,C873)</f>
        <v>0</v>
      </c>
      <c r="K873" s="4">
        <f>SUMPRODUCT(
  (TEXT(Dump!$A$2:$A994,"mmm-yy")=TEXT($Y873,"mmm-yy"))*
  (Dump!$B$2:$B994=$C873)*
  Dump!$D$2:$D994)</f>
        <v>0</v>
      </c>
      <c r="L873" s="4">
        <f>SUMPRODUCT(
  (TEXT(Dump!$A$2:$A994,"mmm-yy")=TEXT($Y873,"mmm-yy"))*
  (Dump!$B$2:$B994=$C873)*
  Dump!$E$2:$E994
)</f>
        <v>0</v>
      </c>
      <c r="M873" s="4">
        <f>SUMPRODUCT(
  (TEXT(Dump!$A$2:$A994,"mmm-yy")=TEXT($Y873,"mmm-yy"))*
  (Dump!$B$2:$B994=$C873)*
  Dump!$P$2:$P994
)</f>
        <v>0</v>
      </c>
      <c r="N873" s="32"/>
      <c r="O873" s="33">
        <f>SUMIFS(Dump!$D:$D,Dump!$B:$B,$C873,Dump!$A:$A,$Y873)</f>
        <v>0</v>
      </c>
      <c r="P873" s="33">
        <f>SUMIFS(Dump!R:R,Dump!B:B,C873,Dump!A:A,Y873)</f>
        <v>0</v>
      </c>
      <c r="Q873" s="34">
        <f t="shared" si="21"/>
        <v>0</v>
      </c>
      <c r="S873" s="4">
        <f>SUMIFS(Dump!E:E,Dump!B:B,C873,Dump!A:A,Y873)</f>
        <v>0</v>
      </c>
      <c r="T873" s="35">
        <f t="shared" si="22"/>
        <v>0</v>
      </c>
      <c r="V873" s="4">
        <f>SUMIFS(Dump!P:P,Dump!B:B,C873,Dump!A:A,Y873)</f>
        <v>0</v>
      </c>
      <c r="W873" s="37">
        <f t="shared" si="23"/>
        <v>0</v>
      </c>
      <c r="X873" s="39"/>
      <c r="Y873" s="54"/>
    </row>
    <row r="874">
      <c r="C874" s="53"/>
      <c r="G874" s="2" t="str">
        <f t="shared" si="27"/>
        <v/>
      </c>
      <c r="I874" s="4">
        <f>SUMIFS(Dump!D:D,Dump!B:B,C874)</f>
        <v>0</v>
      </c>
      <c r="J874" s="5">
        <f>SUMIFS(Dump!AE:AE,Dump!B:B,C874)</f>
        <v>0</v>
      </c>
      <c r="K874" s="4">
        <f>SUMPRODUCT(
  (TEXT(Dump!$A$2:$A994,"mmm-yy")=TEXT($Y874,"mmm-yy"))*
  (Dump!$B$2:$B994=$C874)*
  Dump!$D$2:$D994)</f>
        <v>0</v>
      </c>
      <c r="L874" s="4">
        <f>SUMPRODUCT(
  (TEXT(Dump!$A$2:$A994,"mmm-yy")=TEXT($Y874,"mmm-yy"))*
  (Dump!$B$2:$B994=$C874)*
  Dump!$E$2:$E994
)</f>
        <v>0</v>
      </c>
      <c r="M874" s="4">
        <f>SUMPRODUCT(
  (TEXT(Dump!$A$2:$A994,"mmm-yy")=TEXT($Y874,"mmm-yy"))*
  (Dump!$B$2:$B994=$C874)*
  Dump!$P$2:$P994
)</f>
        <v>0</v>
      </c>
      <c r="N874" s="32"/>
      <c r="O874" s="33">
        <f>SUMIFS(Dump!$D:$D,Dump!$B:$B,$C874,Dump!$A:$A,$Y874)</f>
        <v>0</v>
      </c>
      <c r="P874" s="33">
        <f>SUMIFS(Dump!R:R,Dump!B:B,C874,Dump!A:A,Y874)</f>
        <v>0</v>
      </c>
      <c r="Q874" s="34">
        <f t="shared" si="21"/>
        <v>0</v>
      </c>
      <c r="S874" s="4">
        <f>SUMIFS(Dump!E:E,Dump!B:B,C874,Dump!A:A,Y874)</f>
        <v>0</v>
      </c>
      <c r="T874" s="35">
        <f t="shared" si="22"/>
        <v>0</v>
      </c>
      <c r="V874" s="4">
        <f>SUMIFS(Dump!P:P,Dump!B:B,C874,Dump!A:A,Y874)</f>
        <v>0</v>
      </c>
      <c r="W874" s="37">
        <f t="shared" si="23"/>
        <v>0</v>
      </c>
      <c r="X874" s="39"/>
      <c r="Y874" s="54"/>
    </row>
    <row r="875">
      <c r="C875" s="53"/>
      <c r="G875" s="2" t="str">
        <f t="shared" si="27"/>
        <v/>
      </c>
      <c r="I875" s="4">
        <f>SUMIFS(Dump!D:D,Dump!B:B,C875)</f>
        <v>0</v>
      </c>
      <c r="J875" s="5">
        <f>SUMIFS(Dump!AE:AE,Dump!B:B,C875)</f>
        <v>0</v>
      </c>
      <c r="K875" s="4">
        <f>SUMPRODUCT(
  (TEXT(Dump!$A$2:$A994,"mmm-yy")=TEXT($Y875,"mmm-yy"))*
  (Dump!$B$2:$B994=$C875)*
  Dump!$D$2:$D994)</f>
        <v>0</v>
      </c>
      <c r="L875" s="4">
        <f>SUMPRODUCT(
  (TEXT(Dump!$A$2:$A994,"mmm-yy")=TEXT($Y875,"mmm-yy"))*
  (Dump!$B$2:$B994=$C875)*
  Dump!$E$2:$E994
)</f>
        <v>0</v>
      </c>
      <c r="M875" s="4">
        <f>SUMPRODUCT(
  (TEXT(Dump!$A$2:$A994,"mmm-yy")=TEXT($Y875,"mmm-yy"))*
  (Dump!$B$2:$B994=$C875)*
  Dump!$P$2:$P994
)</f>
        <v>0</v>
      </c>
      <c r="N875" s="32"/>
      <c r="O875" s="33">
        <f>SUMIFS(Dump!$D:$D,Dump!$B:$B,$C875,Dump!$A:$A,$Y875)</f>
        <v>0</v>
      </c>
      <c r="P875" s="33">
        <f>SUMIFS(Dump!R:R,Dump!B:B,C875,Dump!A:A,Y875)</f>
        <v>0</v>
      </c>
      <c r="Q875" s="34">
        <f t="shared" si="21"/>
        <v>0</v>
      </c>
      <c r="S875" s="4">
        <f>SUMIFS(Dump!E:E,Dump!B:B,C875,Dump!A:A,Y875)</f>
        <v>0</v>
      </c>
      <c r="T875" s="35">
        <f t="shared" si="22"/>
        <v>0</v>
      </c>
      <c r="V875" s="4">
        <f>SUMIFS(Dump!P:P,Dump!B:B,C875,Dump!A:A,Y875)</f>
        <v>0</v>
      </c>
      <c r="W875" s="37">
        <f t="shared" si="23"/>
        <v>0</v>
      </c>
      <c r="X875" s="39"/>
      <c r="Y875" s="54"/>
    </row>
    <row r="876">
      <c r="C876" s="53"/>
      <c r="G876" s="2" t="str">
        <f t="shared" si="27"/>
        <v/>
      </c>
      <c r="I876" s="4">
        <f>SUMIFS(Dump!D:D,Dump!B:B,C876)</f>
        <v>0</v>
      </c>
      <c r="J876" s="5">
        <f>SUMIFS(Dump!AE:AE,Dump!B:B,C876)</f>
        <v>0</v>
      </c>
      <c r="K876" s="4">
        <f>SUMPRODUCT(
  (TEXT(Dump!$A$2:$A994,"mmm-yy")=TEXT($Y876,"mmm-yy"))*
  (Dump!$B$2:$B994=$C876)*
  Dump!$D$2:$D994)</f>
        <v>0</v>
      </c>
      <c r="L876" s="4">
        <f>SUMPRODUCT(
  (TEXT(Dump!$A$2:$A994,"mmm-yy")=TEXT($Y876,"mmm-yy"))*
  (Dump!$B$2:$B994=$C876)*
  Dump!$E$2:$E994
)</f>
        <v>0</v>
      </c>
      <c r="M876" s="4">
        <f>SUMPRODUCT(
  (TEXT(Dump!$A$2:$A994,"mmm-yy")=TEXT($Y876,"mmm-yy"))*
  (Dump!$B$2:$B994=$C876)*
  Dump!$P$2:$P994
)</f>
        <v>0</v>
      </c>
      <c r="N876" s="32"/>
      <c r="O876" s="33">
        <f>SUMIFS(Dump!$D:$D,Dump!$B:$B,$C876,Dump!$A:$A,$Y876)</f>
        <v>0</v>
      </c>
      <c r="P876" s="33">
        <f>SUMIFS(Dump!R:R,Dump!B:B,C876,Dump!A:A,Y876)</f>
        <v>0</v>
      </c>
      <c r="Q876" s="34">
        <f t="shared" si="21"/>
        <v>0</v>
      </c>
      <c r="S876" s="4">
        <f>SUMIFS(Dump!E:E,Dump!B:B,C876,Dump!A:A,Y876)</f>
        <v>0</v>
      </c>
      <c r="T876" s="35">
        <f t="shared" si="22"/>
        <v>0</v>
      </c>
      <c r="V876" s="4">
        <f>SUMIFS(Dump!P:P,Dump!B:B,C876,Dump!A:A,Y876)</f>
        <v>0</v>
      </c>
      <c r="W876" s="37">
        <f t="shared" si="23"/>
        <v>0</v>
      </c>
      <c r="X876" s="39"/>
      <c r="Y876" s="54"/>
    </row>
    <row r="877">
      <c r="C877" s="53"/>
      <c r="G877" s="2" t="str">
        <f t="shared" si="27"/>
        <v/>
      </c>
      <c r="I877" s="4">
        <f>SUMIFS(Dump!D:D,Dump!B:B,C877)</f>
        <v>0</v>
      </c>
      <c r="J877" s="5">
        <f>SUMIFS(Dump!AE:AE,Dump!B:B,C877)</f>
        <v>0</v>
      </c>
      <c r="K877" s="4">
        <f>SUMPRODUCT(
  (TEXT(Dump!$A$2:$A994,"mmm-yy")=TEXT($Y877,"mmm-yy"))*
  (Dump!$B$2:$B994=$C877)*
  Dump!$D$2:$D994)</f>
        <v>0</v>
      </c>
      <c r="L877" s="4">
        <f>SUMPRODUCT(
  (TEXT(Dump!$A$2:$A994,"mmm-yy")=TEXT($Y877,"mmm-yy"))*
  (Dump!$B$2:$B994=$C877)*
  Dump!$E$2:$E994
)</f>
        <v>0</v>
      </c>
      <c r="M877" s="4">
        <f>SUMPRODUCT(
  (TEXT(Dump!$A$2:$A994,"mmm-yy")=TEXT($Y877,"mmm-yy"))*
  (Dump!$B$2:$B994=$C877)*
  Dump!$P$2:$P994
)</f>
        <v>0</v>
      </c>
      <c r="N877" s="32"/>
      <c r="O877" s="33">
        <f>SUMIFS(Dump!$D:$D,Dump!$B:$B,$C877,Dump!$A:$A,$Y877)</f>
        <v>0</v>
      </c>
      <c r="P877" s="33">
        <f>SUMIFS(Dump!R:R,Dump!B:B,C877,Dump!A:A,Y877)</f>
        <v>0</v>
      </c>
      <c r="Q877" s="34">
        <f t="shared" si="21"/>
        <v>0</v>
      </c>
      <c r="S877" s="4">
        <f>SUMIFS(Dump!E:E,Dump!B:B,C877,Dump!A:A,Y877)</f>
        <v>0</v>
      </c>
      <c r="T877" s="35">
        <f t="shared" si="22"/>
        <v>0</v>
      </c>
      <c r="V877" s="4">
        <f>SUMIFS(Dump!P:P,Dump!B:B,C877,Dump!A:A,Y877)</f>
        <v>0</v>
      </c>
      <c r="W877" s="37">
        <f t="shared" si="23"/>
        <v>0</v>
      </c>
      <c r="X877" s="39"/>
      <c r="Y877" s="54"/>
    </row>
    <row r="878">
      <c r="C878" s="53"/>
      <c r="G878" s="2" t="str">
        <f t="shared" si="27"/>
        <v/>
      </c>
      <c r="I878" s="4">
        <f>SUMIFS(Dump!D:D,Dump!B:B,C878)</f>
        <v>0</v>
      </c>
      <c r="J878" s="5">
        <f>SUMIFS(Dump!AE:AE,Dump!B:B,C878)</f>
        <v>0</v>
      </c>
      <c r="K878" s="4">
        <f>SUMPRODUCT(
  (TEXT(Dump!$A$2:$A994,"mmm-yy")=TEXT($Y878,"mmm-yy"))*
  (Dump!$B$2:$B994=$C878)*
  Dump!$D$2:$D994)</f>
        <v>0</v>
      </c>
      <c r="L878" s="4">
        <f>SUMPRODUCT(
  (TEXT(Dump!$A$2:$A994,"mmm-yy")=TEXT($Y878,"mmm-yy"))*
  (Dump!$B$2:$B994=$C878)*
  Dump!$E$2:$E994
)</f>
        <v>0</v>
      </c>
      <c r="M878" s="4">
        <f>SUMPRODUCT(
  (TEXT(Dump!$A$2:$A994,"mmm-yy")=TEXT($Y878,"mmm-yy"))*
  (Dump!$B$2:$B994=$C878)*
  Dump!$P$2:$P994
)</f>
        <v>0</v>
      </c>
      <c r="N878" s="32"/>
      <c r="O878" s="33">
        <f>SUMIFS(Dump!$D:$D,Dump!$B:$B,$C878,Dump!$A:$A,$Y878)</f>
        <v>0</v>
      </c>
      <c r="P878" s="33">
        <f>SUMIFS(Dump!R:R,Dump!B:B,C878,Dump!A:A,Y878)</f>
        <v>0</v>
      </c>
      <c r="Q878" s="34">
        <f t="shared" si="21"/>
        <v>0</v>
      </c>
      <c r="S878" s="4">
        <f>SUMIFS(Dump!E:E,Dump!B:B,C878,Dump!A:A,Y878)</f>
        <v>0</v>
      </c>
      <c r="T878" s="35">
        <f t="shared" si="22"/>
        <v>0</v>
      </c>
      <c r="V878" s="4">
        <f>SUMIFS(Dump!P:P,Dump!B:B,C878,Dump!A:A,Y878)</f>
        <v>0</v>
      </c>
      <c r="W878" s="37">
        <f t="shared" si="23"/>
        <v>0</v>
      </c>
      <c r="X878" s="39"/>
      <c r="Y878" s="54"/>
    </row>
    <row r="879">
      <c r="C879" s="53"/>
      <c r="G879" s="2" t="str">
        <f t="shared" si="27"/>
        <v/>
      </c>
      <c r="I879" s="4">
        <f>SUMIFS(Dump!D:D,Dump!B:B,C879)</f>
        <v>0</v>
      </c>
      <c r="J879" s="5">
        <f>SUMIFS(Dump!AE:AE,Dump!B:B,C879)</f>
        <v>0</v>
      </c>
      <c r="K879" s="4">
        <f>SUMPRODUCT(
  (TEXT(Dump!$A$2:$A994,"mmm-yy")=TEXT($Y879,"mmm-yy"))*
  (Dump!$B$2:$B994=$C879)*
  Dump!$D$2:$D994)</f>
        <v>0</v>
      </c>
      <c r="L879" s="4">
        <f>SUMPRODUCT(
  (TEXT(Dump!$A$2:$A994,"mmm-yy")=TEXT($Y879,"mmm-yy"))*
  (Dump!$B$2:$B994=$C879)*
  Dump!$E$2:$E994
)</f>
        <v>0</v>
      </c>
      <c r="M879" s="4">
        <f>SUMPRODUCT(
  (TEXT(Dump!$A$2:$A994,"mmm-yy")=TEXT($Y879,"mmm-yy"))*
  (Dump!$B$2:$B994=$C879)*
  Dump!$P$2:$P994
)</f>
        <v>0</v>
      </c>
      <c r="N879" s="32"/>
      <c r="O879" s="33">
        <f>SUMIFS(Dump!$D:$D,Dump!$B:$B,$C879,Dump!$A:$A,$Y879)</f>
        <v>0</v>
      </c>
      <c r="P879" s="33">
        <f>SUMIFS(Dump!R:R,Dump!B:B,C879,Dump!A:A,Y879)</f>
        <v>0</v>
      </c>
      <c r="Q879" s="34">
        <f t="shared" si="21"/>
        <v>0</v>
      </c>
      <c r="S879" s="4">
        <f>SUMIFS(Dump!E:E,Dump!B:B,C879,Dump!A:A,Y879)</f>
        <v>0</v>
      </c>
      <c r="T879" s="35">
        <f t="shared" si="22"/>
        <v>0</v>
      </c>
      <c r="V879" s="4">
        <f>SUMIFS(Dump!P:P,Dump!B:B,C879,Dump!A:A,Y879)</f>
        <v>0</v>
      </c>
      <c r="W879" s="37">
        <f t="shared" si="23"/>
        <v>0</v>
      </c>
      <c r="X879" s="39"/>
      <c r="Y879" s="54"/>
    </row>
    <row r="880">
      <c r="C880" s="53"/>
      <c r="G880" s="2" t="str">
        <f t="shared" si="27"/>
        <v/>
      </c>
      <c r="I880" s="4">
        <f>SUMIFS(Dump!D:D,Dump!B:B,C880)</f>
        <v>0</v>
      </c>
      <c r="J880" s="5">
        <f>SUMIFS(Dump!AE:AE,Dump!B:B,C880)</f>
        <v>0</v>
      </c>
      <c r="K880" s="4">
        <f>SUMPRODUCT(
  (TEXT(Dump!$A$2:$A994,"mmm-yy")=TEXT($Y880,"mmm-yy"))*
  (Dump!$B$2:$B994=$C880)*
  Dump!$D$2:$D994)</f>
        <v>0</v>
      </c>
      <c r="L880" s="4">
        <f>SUMPRODUCT(
  (TEXT(Dump!$A$2:$A994,"mmm-yy")=TEXT($Y880,"mmm-yy"))*
  (Dump!$B$2:$B994=$C880)*
  Dump!$E$2:$E994
)</f>
        <v>0</v>
      </c>
      <c r="M880" s="4">
        <f>SUMPRODUCT(
  (TEXT(Dump!$A$2:$A994,"mmm-yy")=TEXT($Y880,"mmm-yy"))*
  (Dump!$B$2:$B994=$C880)*
  Dump!$P$2:$P994
)</f>
        <v>0</v>
      </c>
      <c r="N880" s="32"/>
      <c r="O880" s="33">
        <f>SUMIFS(Dump!$D:$D,Dump!$B:$B,$C880,Dump!$A:$A,$Y880)</f>
        <v>0</v>
      </c>
      <c r="P880" s="33">
        <f>SUMIFS(Dump!R:R,Dump!B:B,C880,Dump!A:A,Y880)</f>
        <v>0</v>
      </c>
      <c r="Q880" s="34">
        <f t="shared" si="21"/>
        <v>0</v>
      </c>
      <c r="S880" s="4">
        <f>SUMIFS(Dump!E:E,Dump!B:B,C880,Dump!A:A,Y880)</f>
        <v>0</v>
      </c>
      <c r="T880" s="35">
        <f t="shared" si="22"/>
        <v>0</v>
      </c>
      <c r="V880" s="4">
        <f>SUMIFS(Dump!P:P,Dump!B:B,C880,Dump!A:A,Y880)</f>
        <v>0</v>
      </c>
      <c r="W880" s="37">
        <f t="shared" si="23"/>
        <v>0</v>
      </c>
      <c r="X880" s="39"/>
      <c r="Y880" s="54"/>
    </row>
    <row r="881">
      <c r="C881" s="53"/>
      <c r="G881" s="2" t="str">
        <f t="shared" si="27"/>
        <v/>
      </c>
      <c r="I881" s="4">
        <f>SUMIFS(Dump!D:D,Dump!B:B,C881)</f>
        <v>0</v>
      </c>
      <c r="J881" s="5">
        <f>SUMIFS(Dump!AE:AE,Dump!B:B,C881)</f>
        <v>0</v>
      </c>
      <c r="K881" s="4">
        <f>SUMPRODUCT(
  (TEXT(Dump!$A$2:$A994,"mmm-yy")=TEXT($Y881,"mmm-yy"))*
  (Dump!$B$2:$B994=$C881)*
  Dump!$D$2:$D994)</f>
        <v>0</v>
      </c>
      <c r="L881" s="4">
        <f>SUMPRODUCT(
  (TEXT(Dump!$A$2:$A994,"mmm-yy")=TEXT($Y881,"mmm-yy"))*
  (Dump!$B$2:$B994=$C881)*
  Dump!$E$2:$E994
)</f>
        <v>0</v>
      </c>
      <c r="M881" s="4">
        <f>SUMPRODUCT(
  (TEXT(Dump!$A$2:$A994,"mmm-yy")=TEXT($Y881,"mmm-yy"))*
  (Dump!$B$2:$B994=$C881)*
  Dump!$P$2:$P994
)</f>
        <v>0</v>
      </c>
      <c r="N881" s="32"/>
      <c r="O881" s="33">
        <f>SUMIFS(Dump!$D:$D,Dump!$B:$B,$C881,Dump!$A:$A,$Y881)</f>
        <v>0</v>
      </c>
      <c r="P881" s="33">
        <f>SUMIFS(Dump!R:R,Dump!B:B,C881,Dump!A:A,Y881)</f>
        <v>0</v>
      </c>
      <c r="Q881" s="34">
        <f t="shared" si="21"/>
        <v>0</v>
      </c>
      <c r="S881" s="4">
        <f>SUMIFS(Dump!E:E,Dump!B:B,C881,Dump!A:A,Y881)</f>
        <v>0</v>
      </c>
      <c r="T881" s="35">
        <f t="shared" si="22"/>
        <v>0</v>
      </c>
      <c r="V881" s="4">
        <f>SUMIFS(Dump!P:P,Dump!B:B,C881,Dump!A:A,Y881)</f>
        <v>0</v>
      </c>
      <c r="W881" s="37">
        <f t="shared" si="23"/>
        <v>0</v>
      </c>
      <c r="X881" s="39"/>
      <c r="Y881" s="54"/>
    </row>
    <row r="882">
      <c r="C882" s="53"/>
      <c r="G882" s="2" t="str">
        <f t="shared" si="27"/>
        <v/>
      </c>
      <c r="I882" s="4">
        <f>SUMIFS(Dump!D:D,Dump!B:B,C882)</f>
        <v>0</v>
      </c>
      <c r="J882" s="5">
        <f>SUMIFS(Dump!AE:AE,Dump!B:B,C882)</f>
        <v>0</v>
      </c>
      <c r="K882" s="4">
        <f>SUMPRODUCT(
  (TEXT(Dump!$A$2:$A994,"mmm-yy")=TEXT($Y882,"mmm-yy"))*
  (Dump!$B$2:$B994=$C882)*
  Dump!$D$2:$D994)</f>
        <v>0</v>
      </c>
      <c r="L882" s="4">
        <f>SUMPRODUCT(
  (TEXT(Dump!$A$2:$A994,"mmm-yy")=TEXT($Y882,"mmm-yy"))*
  (Dump!$B$2:$B994=$C882)*
  Dump!$E$2:$E994
)</f>
        <v>0</v>
      </c>
      <c r="M882" s="4">
        <f>SUMPRODUCT(
  (TEXT(Dump!$A$2:$A994,"mmm-yy")=TEXT($Y882,"mmm-yy"))*
  (Dump!$B$2:$B994=$C882)*
  Dump!$P$2:$P994
)</f>
        <v>0</v>
      </c>
      <c r="N882" s="32"/>
      <c r="O882" s="33">
        <f>SUMIFS(Dump!$D:$D,Dump!$B:$B,$C882,Dump!$A:$A,$Y882)</f>
        <v>0</v>
      </c>
      <c r="P882" s="33">
        <f>SUMIFS(Dump!R:R,Dump!B:B,C882,Dump!A:A,Y882)</f>
        <v>0</v>
      </c>
      <c r="Q882" s="34">
        <f t="shared" si="21"/>
        <v>0</v>
      </c>
      <c r="S882" s="4">
        <f>SUMIFS(Dump!E:E,Dump!B:B,C882,Dump!A:A,Y882)</f>
        <v>0</v>
      </c>
      <c r="T882" s="35">
        <f t="shared" si="22"/>
        <v>0</v>
      </c>
      <c r="V882" s="4">
        <f>SUMIFS(Dump!P:P,Dump!B:B,C882,Dump!A:A,Y882)</f>
        <v>0</v>
      </c>
      <c r="W882" s="37">
        <f t="shared" si="23"/>
        <v>0</v>
      </c>
      <c r="X882" s="39"/>
      <c r="Y882" s="54"/>
    </row>
    <row r="883">
      <c r="C883" s="53"/>
      <c r="G883" s="2" t="str">
        <f t="shared" si="27"/>
        <v/>
      </c>
      <c r="I883" s="4">
        <f>SUMIFS(Dump!D:D,Dump!B:B,C883)</f>
        <v>0</v>
      </c>
      <c r="J883" s="5">
        <f>SUMIFS(Dump!AE:AE,Dump!B:B,C883)</f>
        <v>0</v>
      </c>
      <c r="K883" s="4">
        <f>SUMPRODUCT(
  (TEXT(Dump!$A$2:$A994,"mmm-yy")=TEXT($Y883,"mmm-yy"))*
  (Dump!$B$2:$B994=$C883)*
  Dump!$D$2:$D994)</f>
        <v>0</v>
      </c>
      <c r="L883" s="4">
        <f>SUMPRODUCT(
  (TEXT(Dump!$A$2:$A994,"mmm-yy")=TEXT($Y883,"mmm-yy"))*
  (Dump!$B$2:$B994=$C883)*
  Dump!$E$2:$E994
)</f>
        <v>0</v>
      </c>
      <c r="M883" s="4">
        <f>SUMPRODUCT(
  (TEXT(Dump!$A$2:$A994,"mmm-yy")=TEXT($Y883,"mmm-yy"))*
  (Dump!$B$2:$B994=$C883)*
  Dump!$P$2:$P994
)</f>
        <v>0</v>
      </c>
      <c r="N883" s="32"/>
      <c r="O883" s="33">
        <f>SUMIFS(Dump!$D:$D,Dump!$B:$B,$C883,Dump!$A:$A,$Y883)</f>
        <v>0</v>
      </c>
      <c r="P883" s="33">
        <f>SUMIFS(Dump!R:R,Dump!B:B,C883,Dump!A:A,Y883)</f>
        <v>0</v>
      </c>
      <c r="Q883" s="34">
        <f t="shared" si="21"/>
        <v>0</v>
      </c>
      <c r="S883" s="4">
        <f>SUMIFS(Dump!E:E,Dump!B:B,C883,Dump!A:A,Y883)</f>
        <v>0</v>
      </c>
      <c r="T883" s="35">
        <f t="shared" si="22"/>
        <v>0</v>
      </c>
      <c r="V883" s="4">
        <f>SUMIFS(Dump!P:P,Dump!B:B,C883,Dump!A:A,Y883)</f>
        <v>0</v>
      </c>
      <c r="W883" s="37">
        <f t="shared" si="23"/>
        <v>0</v>
      </c>
      <c r="X883" s="39"/>
      <c r="Y883" s="54"/>
    </row>
    <row r="884">
      <c r="C884" s="53"/>
      <c r="G884" s="2" t="str">
        <f t="shared" si="27"/>
        <v/>
      </c>
      <c r="I884" s="4">
        <f>SUMIFS(Dump!D:D,Dump!B:B,C884)</f>
        <v>0</v>
      </c>
      <c r="J884" s="5">
        <f>SUMIFS(Dump!AE:AE,Dump!B:B,C884)</f>
        <v>0</v>
      </c>
      <c r="K884" s="4">
        <f>SUMPRODUCT(
  (TEXT(Dump!$A$2:$A994,"mmm-yy")=TEXT($Y884,"mmm-yy"))*
  (Dump!$B$2:$B994=$C884)*
  Dump!$D$2:$D994)</f>
        <v>0</v>
      </c>
      <c r="L884" s="4">
        <f>SUMPRODUCT(
  (TEXT(Dump!$A$2:$A994,"mmm-yy")=TEXT($Y884,"mmm-yy"))*
  (Dump!$B$2:$B994=$C884)*
  Dump!$E$2:$E994
)</f>
        <v>0</v>
      </c>
      <c r="M884" s="4">
        <f>SUMPRODUCT(
  (TEXT(Dump!$A$2:$A994,"mmm-yy")=TEXT($Y884,"mmm-yy"))*
  (Dump!$B$2:$B994=$C884)*
  Dump!$P$2:$P994
)</f>
        <v>0</v>
      </c>
      <c r="N884" s="32"/>
      <c r="O884" s="33">
        <f>SUMIFS(Dump!$D:$D,Dump!$B:$B,$C884,Dump!$A:$A,$Y884)</f>
        <v>0</v>
      </c>
      <c r="P884" s="33">
        <f>SUMIFS(Dump!R:R,Dump!B:B,C884,Dump!A:A,Y884)</f>
        <v>0</v>
      </c>
      <c r="Q884" s="34">
        <f t="shared" si="21"/>
        <v>0</v>
      </c>
      <c r="S884" s="4">
        <f>SUMIFS(Dump!E:E,Dump!B:B,C884,Dump!A:A,Y884)</f>
        <v>0</v>
      </c>
      <c r="T884" s="35">
        <f t="shared" si="22"/>
        <v>0</v>
      </c>
      <c r="V884" s="4">
        <f>SUMIFS(Dump!P:P,Dump!B:B,C884,Dump!A:A,Y884)</f>
        <v>0</v>
      </c>
      <c r="W884" s="37">
        <f t="shared" si="23"/>
        <v>0</v>
      </c>
      <c r="X884" s="39"/>
      <c r="Y884" s="54"/>
    </row>
    <row r="885">
      <c r="C885" s="53"/>
      <c r="G885" s="2" t="str">
        <f t="shared" si="27"/>
        <v/>
      </c>
      <c r="I885" s="4">
        <f>SUMIFS(Dump!D:D,Dump!B:B,C885)</f>
        <v>0</v>
      </c>
      <c r="J885" s="5">
        <f>SUMIFS(Dump!AE:AE,Dump!B:B,C885)</f>
        <v>0</v>
      </c>
      <c r="K885" s="4">
        <f>SUMPRODUCT(
  (TEXT(Dump!$A$2:$A994,"mmm-yy")=TEXT($Y885,"mmm-yy"))*
  (Dump!$B$2:$B994=$C885)*
  Dump!$D$2:$D994)</f>
        <v>0</v>
      </c>
      <c r="L885" s="4">
        <f>SUMPRODUCT(
  (TEXT(Dump!$A$2:$A994,"mmm-yy")=TEXT($Y885,"mmm-yy"))*
  (Dump!$B$2:$B994=$C885)*
  Dump!$E$2:$E994
)</f>
        <v>0</v>
      </c>
      <c r="M885" s="4">
        <f>SUMPRODUCT(
  (TEXT(Dump!$A$2:$A994,"mmm-yy")=TEXT($Y885,"mmm-yy"))*
  (Dump!$B$2:$B994=$C885)*
  Dump!$P$2:$P994
)</f>
        <v>0</v>
      </c>
      <c r="N885" s="32"/>
      <c r="O885" s="33">
        <f>SUMIFS(Dump!$D:$D,Dump!$B:$B,$C885,Dump!$A:$A,$Y885)</f>
        <v>0</v>
      </c>
      <c r="P885" s="33">
        <f>SUMIFS(Dump!R:R,Dump!B:B,C885,Dump!A:A,Y885)</f>
        <v>0</v>
      </c>
      <c r="Q885" s="34">
        <f t="shared" si="21"/>
        <v>0</v>
      </c>
      <c r="S885" s="4">
        <f>SUMIFS(Dump!E:E,Dump!B:B,C885,Dump!A:A,Y885)</f>
        <v>0</v>
      </c>
      <c r="T885" s="35">
        <f t="shared" si="22"/>
        <v>0</v>
      </c>
      <c r="V885" s="4">
        <f>SUMIFS(Dump!P:P,Dump!B:B,C885,Dump!A:A,Y885)</f>
        <v>0</v>
      </c>
      <c r="W885" s="37">
        <f t="shared" si="23"/>
        <v>0</v>
      </c>
      <c r="X885" s="39"/>
      <c r="Y885" s="54"/>
    </row>
    <row r="886">
      <c r="C886" s="53"/>
      <c r="G886" s="2" t="str">
        <f t="shared" si="27"/>
        <v/>
      </c>
      <c r="I886" s="4">
        <f>SUMIFS(Dump!D:D,Dump!B:B,C886)</f>
        <v>0</v>
      </c>
      <c r="J886" s="5">
        <f>SUMIFS(Dump!AE:AE,Dump!B:B,C886)</f>
        <v>0</v>
      </c>
      <c r="K886" s="4">
        <f>SUMPRODUCT(
  (TEXT(Dump!$A$2:$A994,"mmm-yy")=TEXT($Y886,"mmm-yy"))*
  (Dump!$B$2:$B994=$C886)*
  Dump!$D$2:$D994)</f>
        <v>0</v>
      </c>
      <c r="L886" s="4">
        <f>SUMPRODUCT(
  (TEXT(Dump!$A$2:$A994,"mmm-yy")=TEXT($Y886,"mmm-yy"))*
  (Dump!$B$2:$B994=$C886)*
  Dump!$E$2:$E994
)</f>
        <v>0</v>
      </c>
      <c r="M886" s="4">
        <f>SUMPRODUCT(
  (TEXT(Dump!$A$2:$A994,"mmm-yy")=TEXT($Y886,"mmm-yy"))*
  (Dump!$B$2:$B994=$C886)*
  Dump!$P$2:$P994
)</f>
        <v>0</v>
      </c>
      <c r="N886" s="32"/>
      <c r="O886" s="33">
        <f>SUMIFS(Dump!$D:$D,Dump!$B:$B,$C886,Dump!$A:$A,$Y886)</f>
        <v>0</v>
      </c>
      <c r="P886" s="33">
        <f>SUMIFS(Dump!R:R,Dump!B:B,C886,Dump!A:A,Y886)</f>
        <v>0</v>
      </c>
      <c r="Q886" s="34">
        <f t="shared" si="21"/>
        <v>0</v>
      </c>
      <c r="S886" s="4">
        <f>SUMIFS(Dump!E:E,Dump!B:B,C886,Dump!A:A,Y886)</f>
        <v>0</v>
      </c>
      <c r="T886" s="35">
        <f t="shared" si="22"/>
        <v>0</v>
      </c>
      <c r="V886" s="4">
        <f>SUMIFS(Dump!P:P,Dump!B:B,C886,Dump!A:A,Y886)</f>
        <v>0</v>
      </c>
      <c r="W886" s="37">
        <f t="shared" si="23"/>
        <v>0</v>
      </c>
      <c r="X886" s="39"/>
      <c r="Y886" s="54"/>
    </row>
    <row r="887">
      <c r="C887" s="53"/>
      <c r="G887" s="2" t="str">
        <f t="shared" si="27"/>
        <v/>
      </c>
      <c r="I887" s="4">
        <f>SUMIFS(Dump!D:D,Dump!B:B,C887)</f>
        <v>0</v>
      </c>
      <c r="J887" s="5">
        <f>SUMIFS(Dump!AE:AE,Dump!B:B,C887)</f>
        <v>0</v>
      </c>
      <c r="K887" s="4">
        <f>SUMPRODUCT(
  (TEXT(Dump!$A$2:$A994,"mmm-yy")=TEXT($Y887,"mmm-yy"))*
  (Dump!$B$2:$B994=$C887)*
  Dump!$D$2:$D994)</f>
        <v>0</v>
      </c>
      <c r="L887" s="4">
        <f>SUMPRODUCT(
  (TEXT(Dump!$A$2:$A994,"mmm-yy")=TEXT($Y887,"mmm-yy"))*
  (Dump!$B$2:$B994=$C887)*
  Dump!$E$2:$E994
)</f>
        <v>0</v>
      </c>
      <c r="M887" s="4">
        <f>SUMPRODUCT(
  (TEXT(Dump!$A$2:$A994,"mmm-yy")=TEXT($Y887,"mmm-yy"))*
  (Dump!$B$2:$B994=$C887)*
  Dump!$P$2:$P994
)</f>
        <v>0</v>
      </c>
      <c r="N887" s="32"/>
      <c r="O887" s="33">
        <f>SUMIFS(Dump!$D:$D,Dump!$B:$B,$C887,Dump!$A:$A,$Y887)</f>
        <v>0</v>
      </c>
      <c r="P887" s="33">
        <f>SUMIFS(Dump!R:R,Dump!B:B,C887,Dump!A:A,Y887)</f>
        <v>0</v>
      </c>
      <c r="Q887" s="34">
        <f t="shared" si="21"/>
        <v>0</v>
      </c>
      <c r="S887" s="4">
        <f>SUMIFS(Dump!E:E,Dump!B:B,C887,Dump!A:A,Y887)</f>
        <v>0</v>
      </c>
      <c r="T887" s="35">
        <f t="shared" si="22"/>
        <v>0</v>
      </c>
      <c r="V887" s="4">
        <f>SUMIFS(Dump!P:P,Dump!B:B,C887,Dump!A:A,Y887)</f>
        <v>0</v>
      </c>
      <c r="W887" s="37">
        <f t="shared" si="23"/>
        <v>0</v>
      </c>
      <c r="X887" s="39"/>
      <c r="Y887" s="54"/>
    </row>
    <row r="888">
      <c r="C888" s="53"/>
      <c r="G888" s="2" t="str">
        <f t="shared" si="27"/>
        <v/>
      </c>
      <c r="I888" s="4">
        <f>SUMIFS(Dump!D:D,Dump!B:B,C888)</f>
        <v>0</v>
      </c>
      <c r="J888" s="5">
        <f>SUMIFS(Dump!AE:AE,Dump!B:B,C888)</f>
        <v>0</v>
      </c>
      <c r="K888" s="4">
        <f>SUMPRODUCT(
  (TEXT(Dump!$A$2:$A994,"mmm-yy")=TEXT($Y888,"mmm-yy"))*
  (Dump!$B$2:$B994=$C888)*
  Dump!$D$2:$D994)</f>
        <v>0</v>
      </c>
      <c r="L888" s="4">
        <f>SUMPRODUCT(
  (TEXT(Dump!$A$2:$A994,"mmm-yy")=TEXT($Y888,"mmm-yy"))*
  (Dump!$B$2:$B994=$C888)*
  Dump!$E$2:$E994
)</f>
        <v>0</v>
      </c>
      <c r="M888" s="4">
        <f>SUMPRODUCT(
  (TEXT(Dump!$A$2:$A994,"mmm-yy")=TEXT($Y888,"mmm-yy"))*
  (Dump!$B$2:$B994=$C888)*
  Dump!$P$2:$P994
)</f>
        <v>0</v>
      </c>
      <c r="N888" s="32"/>
      <c r="O888" s="33">
        <f>SUMIFS(Dump!$D:$D,Dump!$B:$B,$C888,Dump!$A:$A,$Y888)</f>
        <v>0</v>
      </c>
      <c r="P888" s="33">
        <f>SUMIFS(Dump!R:R,Dump!B:B,C888,Dump!A:A,Y888)</f>
        <v>0</v>
      </c>
      <c r="Q888" s="34">
        <f t="shared" si="21"/>
        <v>0</v>
      </c>
      <c r="S888" s="4">
        <f>SUMIFS(Dump!E:E,Dump!B:B,C888,Dump!A:A,Y888)</f>
        <v>0</v>
      </c>
      <c r="T888" s="35">
        <f t="shared" si="22"/>
        <v>0</v>
      </c>
      <c r="V888" s="4">
        <f>SUMIFS(Dump!P:P,Dump!B:B,C888,Dump!A:A,Y888)</f>
        <v>0</v>
      </c>
      <c r="W888" s="37">
        <f t="shared" si="23"/>
        <v>0</v>
      </c>
      <c r="X888" s="39"/>
      <c r="Y888" s="54"/>
    </row>
    <row r="889">
      <c r="C889" s="53"/>
      <c r="G889" s="2" t="str">
        <f t="shared" si="27"/>
        <v/>
      </c>
      <c r="I889" s="4">
        <f>SUMIFS(Dump!D:D,Dump!B:B,C889)</f>
        <v>0</v>
      </c>
      <c r="J889" s="5">
        <f>SUMIFS(Dump!AE:AE,Dump!B:B,C889)</f>
        <v>0</v>
      </c>
      <c r="K889" s="4">
        <f>SUMPRODUCT(
  (TEXT(Dump!$A$2:$A994,"mmm-yy")=TEXT($Y889,"mmm-yy"))*
  (Dump!$B$2:$B994=$C889)*
  Dump!$D$2:$D994)</f>
        <v>0</v>
      </c>
      <c r="L889" s="4">
        <f>SUMPRODUCT(
  (TEXT(Dump!$A$2:$A994,"mmm-yy")=TEXT($Y889,"mmm-yy"))*
  (Dump!$B$2:$B994=$C889)*
  Dump!$E$2:$E994
)</f>
        <v>0</v>
      </c>
      <c r="M889" s="4">
        <f>SUMPRODUCT(
  (TEXT(Dump!$A$2:$A994,"mmm-yy")=TEXT($Y889,"mmm-yy"))*
  (Dump!$B$2:$B994=$C889)*
  Dump!$P$2:$P994
)</f>
        <v>0</v>
      </c>
      <c r="N889" s="32"/>
      <c r="O889" s="33">
        <f>SUMIFS(Dump!$D:$D,Dump!$B:$B,$C889,Dump!$A:$A,$Y889)</f>
        <v>0</v>
      </c>
      <c r="P889" s="33">
        <f>SUMIFS(Dump!R:R,Dump!B:B,C889,Dump!A:A,Y889)</f>
        <v>0</v>
      </c>
      <c r="Q889" s="34">
        <f t="shared" si="21"/>
        <v>0</v>
      </c>
      <c r="S889" s="4">
        <f>SUMIFS(Dump!E:E,Dump!B:B,C889,Dump!A:A,Y889)</f>
        <v>0</v>
      </c>
      <c r="T889" s="35">
        <f t="shared" si="22"/>
        <v>0</v>
      </c>
      <c r="V889" s="4">
        <f>SUMIFS(Dump!P:P,Dump!B:B,C889,Dump!A:A,Y889)</f>
        <v>0</v>
      </c>
      <c r="W889" s="37">
        <f t="shared" si="23"/>
        <v>0</v>
      </c>
      <c r="X889" s="39"/>
      <c r="Y889" s="54"/>
    </row>
    <row r="890">
      <c r="C890" s="53"/>
      <c r="G890" s="2" t="str">
        <f t="shared" si="27"/>
        <v/>
      </c>
      <c r="I890" s="4">
        <f>SUMIFS(Dump!D:D,Dump!B:B,C890)</f>
        <v>0</v>
      </c>
      <c r="J890" s="5">
        <f>SUMIFS(Dump!AE:AE,Dump!B:B,C890)</f>
        <v>0</v>
      </c>
      <c r="K890" s="4">
        <f>SUMPRODUCT(
  (TEXT(Dump!$A$2:$A994,"mmm-yy")=TEXT($Y890,"mmm-yy"))*
  (Dump!$B$2:$B994=$C890)*
  Dump!$D$2:$D994)</f>
        <v>0</v>
      </c>
      <c r="L890" s="4">
        <f>SUMPRODUCT(
  (TEXT(Dump!$A$2:$A994,"mmm-yy")=TEXT($Y890,"mmm-yy"))*
  (Dump!$B$2:$B994=$C890)*
  Dump!$E$2:$E994
)</f>
        <v>0</v>
      </c>
      <c r="M890" s="4">
        <f>SUMPRODUCT(
  (TEXT(Dump!$A$2:$A994,"mmm-yy")=TEXT($Y890,"mmm-yy"))*
  (Dump!$B$2:$B994=$C890)*
  Dump!$P$2:$P994
)</f>
        <v>0</v>
      </c>
      <c r="N890" s="32"/>
      <c r="O890" s="33">
        <f>SUMIFS(Dump!$D:$D,Dump!$B:$B,$C890,Dump!$A:$A,$Y890)</f>
        <v>0</v>
      </c>
      <c r="P890" s="33">
        <f>SUMIFS(Dump!R:R,Dump!B:B,C890,Dump!A:A,Y890)</f>
        <v>0</v>
      </c>
      <c r="Q890" s="34">
        <f t="shared" si="21"/>
        <v>0</v>
      </c>
      <c r="S890" s="4">
        <f>SUMIFS(Dump!E:E,Dump!B:B,C890,Dump!A:A,Y890)</f>
        <v>0</v>
      </c>
      <c r="T890" s="35">
        <f t="shared" si="22"/>
        <v>0</v>
      </c>
      <c r="V890" s="4">
        <f>SUMIFS(Dump!P:P,Dump!B:B,C890,Dump!A:A,Y890)</f>
        <v>0</v>
      </c>
      <c r="W890" s="37">
        <f t="shared" si="23"/>
        <v>0</v>
      </c>
      <c r="X890" s="39"/>
      <c r="Y890" s="54"/>
    </row>
    <row r="891">
      <c r="C891" s="53"/>
      <c r="G891" s="2" t="str">
        <f t="shared" si="27"/>
        <v/>
      </c>
      <c r="I891" s="4">
        <f>SUMIFS(Dump!D:D,Dump!B:B,C891)</f>
        <v>0</v>
      </c>
      <c r="J891" s="5">
        <f>SUMIFS(Dump!AE:AE,Dump!B:B,C891)</f>
        <v>0</v>
      </c>
      <c r="K891" s="4">
        <f>SUMPRODUCT(
  (TEXT(Dump!$A$2:$A994,"mmm-yy")=TEXT($Y891,"mmm-yy"))*
  (Dump!$B$2:$B994=$C891)*
  Dump!$D$2:$D994)</f>
        <v>0</v>
      </c>
      <c r="L891" s="4">
        <f>SUMPRODUCT(
  (TEXT(Dump!$A$2:$A994,"mmm-yy")=TEXT($Y891,"mmm-yy"))*
  (Dump!$B$2:$B994=$C891)*
  Dump!$E$2:$E994
)</f>
        <v>0</v>
      </c>
      <c r="M891" s="4">
        <f>SUMPRODUCT(
  (TEXT(Dump!$A$2:$A994,"mmm-yy")=TEXT($Y891,"mmm-yy"))*
  (Dump!$B$2:$B994=$C891)*
  Dump!$P$2:$P994
)</f>
        <v>0</v>
      </c>
      <c r="N891" s="32"/>
      <c r="O891" s="33">
        <f>SUMIFS(Dump!$D:$D,Dump!$B:$B,$C891,Dump!$A:$A,$Y891)</f>
        <v>0</v>
      </c>
      <c r="P891" s="33">
        <f>SUMIFS(Dump!R:R,Dump!B:B,C891,Dump!A:A,Y891)</f>
        <v>0</v>
      </c>
      <c r="Q891" s="34">
        <f t="shared" si="21"/>
        <v>0</v>
      </c>
      <c r="S891" s="4">
        <f>SUMIFS(Dump!E:E,Dump!B:B,C891,Dump!A:A,Y891)</f>
        <v>0</v>
      </c>
      <c r="T891" s="35">
        <f t="shared" si="22"/>
        <v>0</v>
      </c>
      <c r="V891" s="4">
        <f>SUMIFS(Dump!P:P,Dump!B:B,C891,Dump!A:A,Y891)</f>
        <v>0</v>
      </c>
      <c r="W891" s="37">
        <f t="shared" si="23"/>
        <v>0</v>
      </c>
      <c r="X891" s="39"/>
      <c r="Y891" s="54"/>
    </row>
    <row r="892">
      <c r="C892" s="53"/>
      <c r="G892" s="2" t="str">
        <f t="shared" si="27"/>
        <v/>
      </c>
      <c r="I892" s="4">
        <f>SUMIFS(Dump!D:D,Dump!B:B,C892)</f>
        <v>0</v>
      </c>
      <c r="J892" s="5">
        <f>SUMIFS(Dump!AE:AE,Dump!B:B,C892)</f>
        <v>0</v>
      </c>
      <c r="K892" s="4">
        <f>SUMPRODUCT(
  (TEXT(Dump!$A$2:$A994,"mmm-yy")=TEXT($Y892,"mmm-yy"))*
  (Dump!$B$2:$B994=$C892)*
  Dump!$D$2:$D994)</f>
        <v>0</v>
      </c>
      <c r="L892" s="4">
        <f>SUMPRODUCT(
  (TEXT(Dump!$A$2:$A994,"mmm-yy")=TEXT($Y892,"mmm-yy"))*
  (Dump!$B$2:$B994=$C892)*
  Dump!$E$2:$E994
)</f>
        <v>0</v>
      </c>
      <c r="M892" s="4">
        <f>SUMPRODUCT(
  (TEXT(Dump!$A$2:$A994,"mmm-yy")=TEXT($Y892,"mmm-yy"))*
  (Dump!$B$2:$B994=$C892)*
  Dump!$P$2:$P994
)</f>
        <v>0</v>
      </c>
      <c r="N892" s="32"/>
      <c r="O892" s="33">
        <f>SUMIFS(Dump!$D:$D,Dump!$B:$B,$C892,Dump!$A:$A,$Y892)</f>
        <v>0</v>
      </c>
      <c r="P892" s="33">
        <f>SUMIFS(Dump!R:R,Dump!B:B,C892,Dump!A:A,Y892)</f>
        <v>0</v>
      </c>
      <c r="Q892" s="34">
        <f t="shared" si="21"/>
        <v>0</v>
      </c>
      <c r="S892" s="4">
        <f>SUMIFS(Dump!E:E,Dump!B:B,C892,Dump!A:A,Y892)</f>
        <v>0</v>
      </c>
      <c r="T892" s="35">
        <f t="shared" si="22"/>
        <v>0</v>
      </c>
      <c r="V892" s="4">
        <f>SUMIFS(Dump!P:P,Dump!B:B,C892,Dump!A:A,Y892)</f>
        <v>0</v>
      </c>
      <c r="W892" s="37">
        <f t="shared" si="23"/>
        <v>0</v>
      </c>
      <c r="X892" s="39"/>
      <c r="Y892" s="54"/>
    </row>
    <row r="893">
      <c r="C893" s="53"/>
      <c r="G893" s="2" t="str">
        <f t="shared" si="27"/>
        <v/>
      </c>
      <c r="I893" s="4">
        <f>SUMIFS(Dump!D:D,Dump!B:B,C893)</f>
        <v>0</v>
      </c>
      <c r="J893" s="5">
        <f>SUMIFS(Dump!AE:AE,Dump!B:B,C893)</f>
        <v>0</v>
      </c>
      <c r="K893" s="4">
        <f>SUMPRODUCT(
  (TEXT(Dump!$A$2:$A994,"mmm-yy")=TEXT($Y893,"mmm-yy"))*
  (Dump!$B$2:$B994=$C893)*
  Dump!$D$2:$D994)</f>
        <v>0</v>
      </c>
      <c r="L893" s="4">
        <f>SUMPRODUCT(
  (TEXT(Dump!$A$2:$A994,"mmm-yy")=TEXT($Y893,"mmm-yy"))*
  (Dump!$B$2:$B994=$C893)*
  Dump!$E$2:$E994
)</f>
        <v>0</v>
      </c>
      <c r="M893" s="4">
        <f>SUMPRODUCT(
  (TEXT(Dump!$A$2:$A994,"mmm-yy")=TEXT($Y893,"mmm-yy"))*
  (Dump!$B$2:$B994=$C893)*
  Dump!$P$2:$P994
)</f>
        <v>0</v>
      </c>
      <c r="N893" s="32"/>
      <c r="O893" s="33">
        <f>SUMIFS(Dump!$D:$D,Dump!$B:$B,$C893,Dump!$A:$A,$Y893)</f>
        <v>0</v>
      </c>
      <c r="P893" s="33">
        <f>SUMIFS(Dump!R:R,Dump!B:B,C893,Dump!A:A,Y893)</f>
        <v>0</v>
      </c>
      <c r="Q893" s="34">
        <f t="shared" si="21"/>
        <v>0</v>
      </c>
      <c r="S893" s="4">
        <f>SUMIFS(Dump!E:E,Dump!B:B,C893,Dump!A:A,Y893)</f>
        <v>0</v>
      </c>
      <c r="T893" s="35">
        <f t="shared" si="22"/>
        <v>0</v>
      </c>
      <c r="V893" s="4">
        <f>SUMIFS(Dump!P:P,Dump!B:B,C893,Dump!A:A,Y893)</f>
        <v>0</v>
      </c>
      <c r="W893" s="37">
        <f t="shared" si="23"/>
        <v>0</v>
      </c>
      <c r="X893" s="39"/>
      <c r="Y893" s="54"/>
    </row>
    <row r="894">
      <c r="C894" s="53"/>
      <c r="G894" s="2" t="str">
        <f t="shared" si="27"/>
        <v/>
      </c>
      <c r="I894" s="4">
        <f>SUMIFS(Dump!D:D,Dump!B:B,C894)</f>
        <v>0</v>
      </c>
      <c r="J894" s="5">
        <f>SUMIFS(Dump!AE:AE,Dump!B:B,C894)</f>
        <v>0</v>
      </c>
      <c r="K894" s="4">
        <f>SUMPRODUCT(
  (TEXT(Dump!$A$2:$A994,"mmm-yy")=TEXT($Y894,"mmm-yy"))*
  (Dump!$B$2:$B994=$C894)*
  Dump!$D$2:$D994)</f>
        <v>0</v>
      </c>
      <c r="L894" s="4">
        <f>SUMPRODUCT(
  (TEXT(Dump!$A$2:$A994,"mmm-yy")=TEXT($Y894,"mmm-yy"))*
  (Dump!$B$2:$B994=$C894)*
  Dump!$E$2:$E994
)</f>
        <v>0</v>
      </c>
      <c r="M894" s="4">
        <f>SUMPRODUCT(
  (TEXT(Dump!$A$2:$A994,"mmm-yy")=TEXT($Y894,"mmm-yy"))*
  (Dump!$B$2:$B994=$C894)*
  Dump!$P$2:$P994
)</f>
        <v>0</v>
      </c>
      <c r="N894" s="32"/>
      <c r="O894" s="33">
        <f>SUMIFS(Dump!$D:$D,Dump!$B:$B,$C894,Dump!$A:$A,$Y894)</f>
        <v>0</v>
      </c>
      <c r="P894" s="33">
        <f>SUMIFS(Dump!R:R,Dump!B:B,C894,Dump!A:A,Y894)</f>
        <v>0</v>
      </c>
      <c r="Q894" s="34">
        <f t="shared" si="21"/>
        <v>0</v>
      </c>
      <c r="S894" s="4">
        <f>SUMIFS(Dump!E:E,Dump!B:B,C894,Dump!A:A,Y894)</f>
        <v>0</v>
      </c>
      <c r="T894" s="35">
        <f t="shared" si="22"/>
        <v>0</v>
      </c>
      <c r="V894" s="4">
        <f>SUMIFS(Dump!P:P,Dump!B:B,C894,Dump!A:A,Y894)</f>
        <v>0</v>
      </c>
      <c r="W894" s="37">
        <f t="shared" si="23"/>
        <v>0</v>
      </c>
      <c r="X894" s="39"/>
      <c r="Y894" s="54"/>
    </row>
    <row r="895">
      <c r="C895" s="53"/>
      <c r="G895" s="2" t="str">
        <f t="shared" si="27"/>
        <v/>
      </c>
      <c r="I895" s="4">
        <f>SUMIFS(Dump!D:D,Dump!B:B,C895)</f>
        <v>0</v>
      </c>
      <c r="J895" s="5">
        <f>SUMIFS(Dump!AE:AE,Dump!B:B,C895)</f>
        <v>0</v>
      </c>
      <c r="K895" s="4">
        <f>SUMPRODUCT(
  (TEXT(Dump!$A$2:$A994,"mmm-yy")=TEXT($Y895,"mmm-yy"))*
  (Dump!$B$2:$B994=$C895)*
  Dump!$D$2:$D994)</f>
        <v>0</v>
      </c>
      <c r="L895" s="4">
        <f>SUMPRODUCT(
  (TEXT(Dump!$A$2:$A994,"mmm-yy")=TEXT($Y895,"mmm-yy"))*
  (Dump!$B$2:$B994=$C895)*
  Dump!$E$2:$E994
)</f>
        <v>0</v>
      </c>
      <c r="M895" s="4">
        <f>SUMPRODUCT(
  (TEXT(Dump!$A$2:$A994,"mmm-yy")=TEXT($Y895,"mmm-yy"))*
  (Dump!$B$2:$B994=$C895)*
  Dump!$P$2:$P994
)</f>
        <v>0</v>
      </c>
      <c r="N895" s="32"/>
      <c r="O895" s="33">
        <f>SUMIFS(Dump!$D:$D,Dump!$B:$B,$C895,Dump!$A:$A,$Y895)</f>
        <v>0</v>
      </c>
      <c r="P895" s="33">
        <f>SUMIFS(Dump!R:R,Dump!B:B,C895,Dump!A:A,Y895)</f>
        <v>0</v>
      </c>
      <c r="Q895" s="34">
        <f t="shared" si="21"/>
        <v>0</v>
      </c>
      <c r="S895" s="4">
        <f>SUMIFS(Dump!E:E,Dump!B:B,C895,Dump!A:A,Y895)</f>
        <v>0</v>
      </c>
      <c r="T895" s="35">
        <f t="shared" si="22"/>
        <v>0</v>
      </c>
      <c r="V895" s="4">
        <f>SUMIFS(Dump!P:P,Dump!B:B,C895,Dump!A:A,Y895)</f>
        <v>0</v>
      </c>
      <c r="W895" s="37">
        <f t="shared" si="23"/>
        <v>0</v>
      </c>
      <c r="X895" s="39"/>
      <c r="Y895" s="54"/>
    </row>
    <row r="896">
      <c r="C896" s="53"/>
      <c r="G896" s="2" t="str">
        <f t="shared" si="27"/>
        <v/>
      </c>
      <c r="I896" s="4">
        <f>SUMIFS(Dump!D:D,Dump!B:B,C896)</f>
        <v>0</v>
      </c>
      <c r="J896" s="5">
        <f>SUMIFS(Dump!AE:AE,Dump!B:B,C896)</f>
        <v>0</v>
      </c>
      <c r="K896" s="4">
        <f>SUMPRODUCT(
  (TEXT(Dump!$A$2:$A994,"mmm-yy")=TEXT($Y896,"mmm-yy"))*
  (Dump!$B$2:$B994=$C896)*
  Dump!$D$2:$D994)</f>
        <v>0</v>
      </c>
      <c r="L896" s="4">
        <f>SUMPRODUCT(
  (TEXT(Dump!$A$2:$A994,"mmm-yy")=TEXT($Y896,"mmm-yy"))*
  (Dump!$B$2:$B994=$C896)*
  Dump!$E$2:$E994
)</f>
        <v>0</v>
      </c>
      <c r="M896" s="4">
        <f>SUMPRODUCT(
  (TEXT(Dump!$A$2:$A994,"mmm-yy")=TEXT($Y896,"mmm-yy"))*
  (Dump!$B$2:$B994=$C896)*
  Dump!$P$2:$P994
)</f>
        <v>0</v>
      </c>
      <c r="N896" s="32"/>
      <c r="O896" s="33">
        <f>SUMIFS(Dump!$D:$D,Dump!$B:$B,$C896,Dump!$A:$A,$Y896)</f>
        <v>0</v>
      </c>
      <c r="P896" s="33">
        <f>SUMIFS(Dump!R:R,Dump!B:B,C896,Dump!A:A,Y896)</f>
        <v>0</v>
      </c>
      <c r="Q896" s="34">
        <f t="shared" si="21"/>
        <v>0</v>
      </c>
      <c r="S896" s="4">
        <f>SUMIFS(Dump!E:E,Dump!B:B,C896,Dump!A:A,Y896)</f>
        <v>0</v>
      </c>
      <c r="T896" s="35">
        <f t="shared" si="22"/>
        <v>0</v>
      </c>
      <c r="V896" s="4">
        <f>SUMIFS(Dump!P:P,Dump!B:B,C896,Dump!A:A,Y896)</f>
        <v>0</v>
      </c>
      <c r="W896" s="37">
        <f t="shared" si="23"/>
        <v>0</v>
      </c>
      <c r="X896" s="39"/>
      <c r="Y896" s="54"/>
    </row>
    <row r="897">
      <c r="C897" s="53"/>
      <c r="G897" s="2" t="str">
        <f t="shared" si="27"/>
        <v/>
      </c>
      <c r="I897" s="4">
        <f>SUMIFS(Dump!D:D,Dump!B:B,C897)</f>
        <v>0</v>
      </c>
      <c r="J897" s="5">
        <f>SUMIFS(Dump!AE:AE,Dump!B:B,C897)</f>
        <v>0</v>
      </c>
      <c r="K897" s="4">
        <f>SUMPRODUCT(
  (TEXT(Dump!$A$2:$A994,"mmm-yy")=TEXT($Y897,"mmm-yy"))*
  (Dump!$B$2:$B994=$C897)*
  Dump!$D$2:$D994)</f>
        <v>0</v>
      </c>
      <c r="L897" s="4">
        <f>SUMPRODUCT(
  (TEXT(Dump!$A$2:$A994,"mmm-yy")=TEXT($Y897,"mmm-yy"))*
  (Dump!$B$2:$B994=$C897)*
  Dump!$E$2:$E994
)</f>
        <v>0</v>
      </c>
      <c r="M897" s="4">
        <f>SUMPRODUCT(
  (TEXT(Dump!$A$2:$A994,"mmm-yy")=TEXT($Y897,"mmm-yy"))*
  (Dump!$B$2:$B994=$C897)*
  Dump!$P$2:$P994
)</f>
        <v>0</v>
      </c>
      <c r="N897" s="32"/>
      <c r="O897" s="33">
        <f>SUMIFS(Dump!$D:$D,Dump!$B:$B,$C897,Dump!$A:$A,$Y897)</f>
        <v>0</v>
      </c>
      <c r="P897" s="33">
        <f>SUMIFS(Dump!R:R,Dump!B:B,C897,Dump!A:A,Y897)</f>
        <v>0</v>
      </c>
      <c r="Q897" s="34">
        <f t="shared" si="21"/>
        <v>0</v>
      </c>
      <c r="S897" s="4">
        <f>SUMIFS(Dump!E:E,Dump!B:B,C897,Dump!A:A,Y897)</f>
        <v>0</v>
      </c>
      <c r="T897" s="35">
        <f t="shared" si="22"/>
        <v>0</v>
      </c>
      <c r="V897" s="4">
        <f>SUMIFS(Dump!P:P,Dump!B:B,C897,Dump!A:A,Y897)</f>
        <v>0</v>
      </c>
      <c r="W897" s="37">
        <f t="shared" si="23"/>
        <v>0</v>
      </c>
      <c r="X897" s="39"/>
      <c r="Y897" s="54"/>
    </row>
    <row r="898">
      <c r="C898" s="53"/>
      <c r="G898" s="2" t="str">
        <f t="shared" si="27"/>
        <v/>
      </c>
      <c r="I898" s="4">
        <f>SUMIFS(Dump!D:D,Dump!B:B,C898)</f>
        <v>0</v>
      </c>
      <c r="J898" s="5">
        <f>SUMIFS(Dump!AE:AE,Dump!B:B,C898)</f>
        <v>0</v>
      </c>
      <c r="K898" s="4">
        <f>SUMPRODUCT(
  (TEXT(Dump!$A$2:$A994,"mmm-yy")=TEXT($Y898,"mmm-yy"))*
  (Dump!$B$2:$B994=$C898)*
  Dump!$D$2:$D994)</f>
        <v>0</v>
      </c>
      <c r="L898" s="4">
        <f>SUMPRODUCT(
  (TEXT(Dump!$A$2:$A994,"mmm-yy")=TEXT($Y898,"mmm-yy"))*
  (Dump!$B$2:$B994=$C898)*
  Dump!$E$2:$E994
)</f>
        <v>0</v>
      </c>
      <c r="M898" s="4">
        <f>SUMPRODUCT(
  (TEXT(Dump!$A$2:$A994,"mmm-yy")=TEXT($Y898,"mmm-yy"))*
  (Dump!$B$2:$B994=$C898)*
  Dump!$P$2:$P994
)</f>
        <v>0</v>
      </c>
      <c r="N898" s="32"/>
      <c r="O898" s="33">
        <f>SUMIFS(Dump!$D:$D,Dump!$B:$B,$C898,Dump!$A:$A,$Y898)</f>
        <v>0</v>
      </c>
      <c r="P898" s="33">
        <f>SUMIFS(Dump!R:R,Dump!B:B,C898,Dump!A:A,Y898)</f>
        <v>0</v>
      </c>
      <c r="Q898" s="34">
        <f t="shared" si="21"/>
        <v>0</v>
      </c>
      <c r="S898" s="4">
        <f>SUMIFS(Dump!E:E,Dump!B:B,C898,Dump!A:A,Y898)</f>
        <v>0</v>
      </c>
      <c r="T898" s="35">
        <f t="shared" si="22"/>
        <v>0</v>
      </c>
      <c r="V898" s="4">
        <f>SUMIFS(Dump!P:P,Dump!B:B,C898,Dump!A:A,Y898)</f>
        <v>0</v>
      </c>
      <c r="W898" s="37">
        <f t="shared" si="23"/>
        <v>0</v>
      </c>
      <c r="X898" s="39"/>
      <c r="Y898" s="54"/>
    </row>
    <row r="899">
      <c r="C899" s="53"/>
      <c r="G899" s="2" t="str">
        <f t="shared" si="27"/>
        <v/>
      </c>
      <c r="I899" s="4">
        <f>SUMIFS(Dump!D:D,Dump!B:B,C899)</f>
        <v>0</v>
      </c>
      <c r="J899" s="5">
        <f>SUMIFS(Dump!AE:AE,Dump!B:B,C899)</f>
        <v>0</v>
      </c>
      <c r="K899" s="4">
        <f>SUMPRODUCT(
  (TEXT(Dump!$A$2:$A994,"mmm-yy")=TEXT($Y899,"mmm-yy"))*
  (Dump!$B$2:$B994=$C899)*
  Dump!$D$2:$D994)</f>
        <v>0</v>
      </c>
      <c r="L899" s="4">
        <f>SUMPRODUCT(
  (TEXT(Dump!$A$2:$A994,"mmm-yy")=TEXT($Y899,"mmm-yy"))*
  (Dump!$B$2:$B994=$C899)*
  Dump!$E$2:$E994
)</f>
        <v>0</v>
      </c>
      <c r="M899" s="4">
        <f>SUMPRODUCT(
  (TEXT(Dump!$A$2:$A994,"mmm-yy")=TEXT($Y899,"mmm-yy"))*
  (Dump!$B$2:$B994=$C899)*
  Dump!$P$2:$P994
)</f>
        <v>0</v>
      </c>
      <c r="N899" s="32"/>
      <c r="O899" s="33">
        <f>SUMIFS(Dump!$D:$D,Dump!$B:$B,$C899,Dump!$A:$A,$Y899)</f>
        <v>0</v>
      </c>
      <c r="P899" s="33">
        <f>SUMIFS(Dump!R:R,Dump!B:B,C899,Dump!A:A,Y899)</f>
        <v>0</v>
      </c>
      <c r="Q899" s="34">
        <f t="shared" si="21"/>
        <v>0</v>
      </c>
      <c r="S899" s="4">
        <f>SUMIFS(Dump!E:E,Dump!B:B,C899,Dump!A:A,Y899)</f>
        <v>0</v>
      </c>
      <c r="T899" s="35">
        <f t="shared" si="22"/>
        <v>0</v>
      </c>
      <c r="V899" s="4">
        <f>SUMIFS(Dump!P:P,Dump!B:B,C899,Dump!A:A,Y899)</f>
        <v>0</v>
      </c>
      <c r="W899" s="37">
        <f t="shared" si="23"/>
        <v>0</v>
      </c>
      <c r="X899" s="39"/>
      <c r="Y899" s="54"/>
    </row>
    <row r="900">
      <c r="C900" s="53"/>
      <c r="G900" s="2" t="str">
        <f t="shared" si="27"/>
        <v/>
      </c>
      <c r="I900" s="4">
        <f>SUMIFS(Dump!D:D,Dump!B:B,C900)</f>
        <v>0</v>
      </c>
      <c r="J900" s="5">
        <f>SUMIFS(Dump!AE:AE,Dump!B:B,C900)</f>
        <v>0</v>
      </c>
      <c r="K900" s="4">
        <f>SUMPRODUCT(
  (TEXT(Dump!$A$2:$A994,"mmm-yy")=TEXT($Y900,"mmm-yy"))*
  (Dump!$B$2:$B994=$C900)*
  Dump!$D$2:$D994)</f>
        <v>0</v>
      </c>
      <c r="L900" s="4">
        <f>SUMPRODUCT(
  (TEXT(Dump!$A$2:$A994,"mmm-yy")=TEXT($Y900,"mmm-yy"))*
  (Dump!$B$2:$B994=$C900)*
  Dump!$E$2:$E994
)</f>
        <v>0</v>
      </c>
      <c r="M900" s="4">
        <f>SUMPRODUCT(
  (TEXT(Dump!$A$2:$A994,"mmm-yy")=TEXT($Y900,"mmm-yy"))*
  (Dump!$B$2:$B994=$C900)*
  Dump!$P$2:$P994
)</f>
        <v>0</v>
      </c>
      <c r="N900" s="32"/>
      <c r="O900" s="33">
        <f>SUMIFS(Dump!$D:$D,Dump!$B:$B,$C900,Dump!$A:$A,$Y900)</f>
        <v>0</v>
      </c>
      <c r="P900" s="33">
        <f>SUMIFS(Dump!R:R,Dump!B:B,C900,Dump!A:A,Y900)</f>
        <v>0</v>
      </c>
      <c r="Q900" s="34">
        <f t="shared" si="21"/>
        <v>0</v>
      </c>
      <c r="S900" s="4">
        <f>SUMIFS(Dump!E:E,Dump!B:B,C900,Dump!A:A,Y900)</f>
        <v>0</v>
      </c>
      <c r="T900" s="35">
        <f t="shared" si="22"/>
        <v>0</v>
      </c>
      <c r="V900" s="4">
        <f>SUMIFS(Dump!P:P,Dump!B:B,C900,Dump!A:A,Y900)</f>
        <v>0</v>
      </c>
      <c r="W900" s="37">
        <f t="shared" si="23"/>
        <v>0</v>
      </c>
      <c r="X900" s="39"/>
      <c r="Y900" s="54"/>
    </row>
    <row r="901">
      <c r="C901" s="53"/>
      <c r="G901" s="2" t="str">
        <f t="shared" si="27"/>
        <v/>
      </c>
      <c r="I901" s="4">
        <f>SUMIFS(Dump!D:D,Dump!B:B,C901)</f>
        <v>0</v>
      </c>
      <c r="J901" s="5">
        <f>SUMIFS(Dump!AE:AE,Dump!B:B,C901)</f>
        <v>0</v>
      </c>
      <c r="K901" s="4">
        <f>SUMPRODUCT(
  (TEXT(Dump!$A$2:$A994,"mmm-yy")=TEXT($Y901,"mmm-yy"))*
  (Dump!$B$2:$B994=$C901)*
  Dump!$D$2:$D994)</f>
        <v>0</v>
      </c>
      <c r="L901" s="4">
        <f>SUMPRODUCT(
  (TEXT(Dump!$A$2:$A994,"mmm-yy")=TEXT($Y901,"mmm-yy"))*
  (Dump!$B$2:$B994=$C901)*
  Dump!$E$2:$E994
)</f>
        <v>0</v>
      </c>
      <c r="M901" s="4">
        <f>SUMPRODUCT(
  (TEXT(Dump!$A$2:$A994,"mmm-yy")=TEXT($Y901,"mmm-yy"))*
  (Dump!$B$2:$B994=$C901)*
  Dump!$P$2:$P994
)</f>
        <v>0</v>
      </c>
      <c r="N901" s="32"/>
      <c r="O901" s="33">
        <f>SUMIFS(Dump!$D:$D,Dump!$B:$B,$C901,Dump!$A:$A,$Y901)</f>
        <v>0</v>
      </c>
      <c r="P901" s="33">
        <f>SUMIFS(Dump!R:R,Dump!B:B,C901,Dump!A:A,Y901)</f>
        <v>0</v>
      </c>
      <c r="Q901" s="34">
        <f t="shared" si="21"/>
        <v>0</v>
      </c>
      <c r="S901" s="4">
        <f>SUMIFS(Dump!E:E,Dump!B:B,C901,Dump!A:A,Y901)</f>
        <v>0</v>
      </c>
      <c r="T901" s="35">
        <f t="shared" si="22"/>
        <v>0</v>
      </c>
      <c r="V901" s="4">
        <f>SUMIFS(Dump!P:P,Dump!B:B,C901,Dump!A:A,Y901)</f>
        <v>0</v>
      </c>
      <c r="W901" s="37">
        <f t="shared" si="23"/>
        <v>0</v>
      </c>
      <c r="X901" s="39"/>
      <c r="Y901" s="54"/>
    </row>
    <row r="902">
      <c r="C902" s="53"/>
      <c r="G902" s="2" t="str">
        <f t="shared" si="27"/>
        <v/>
      </c>
      <c r="I902" s="4">
        <f>SUMIFS(Dump!D:D,Dump!B:B,C902)</f>
        <v>0</v>
      </c>
      <c r="J902" s="5">
        <f>SUMIFS(Dump!AE:AE,Dump!B:B,C902)</f>
        <v>0</v>
      </c>
      <c r="K902" s="4">
        <f>SUMPRODUCT(
  (TEXT(Dump!$A$2:$A994,"mmm-yy")=TEXT($Y902,"mmm-yy"))*
  (Dump!$B$2:$B994=$C902)*
  Dump!$D$2:$D994)</f>
        <v>0</v>
      </c>
      <c r="L902" s="4">
        <f>SUMPRODUCT(
  (TEXT(Dump!$A$2:$A994,"mmm-yy")=TEXT($Y902,"mmm-yy"))*
  (Dump!$B$2:$B994=$C902)*
  Dump!$E$2:$E994
)</f>
        <v>0</v>
      </c>
      <c r="M902" s="4">
        <f>SUMPRODUCT(
  (TEXT(Dump!$A$2:$A994,"mmm-yy")=TEXT($Y902,"mmm-yy"))*
  (Dump!$B$2:$B994=$C902)*
  Dump!$P$2:$P994
)</f>
        <v>0</v>
      </c>
      <c r="N902" s="32"/>
      <c r="O902" s="33">
        <f>SUMIFS(Dump!$D:$D,Dump!$B:$B,$C902,Dump!$A:$A,$Y902)</f>
        <v>0</v>
      </c>
      <c r="P902" s="33">
        <f>SUMIFS(Dump!R:R,Dump!B:B,C902,Dump!A:A,Y902)</f>
        <v>0</v>
      </c>
      <c r="Q902" s="34">
        <f t="shared" si="21"/>
        <v>0</v>
      </c>
      <c r="S902" s="4">
        <f>SUMIFS(Dump!E:E,Dump!B:B,C902,Dump!A:A,Y902)</f>
        <v>0</v>
      </c>
      <c r="T902" s="35">
        <f t="shared" si="22"/>
        <v>0</v>
      </c>
      <c r="V902" s="4">
        <f>SUMIFS(Dump!P:P,Dump!B:B,C902,Dump!A:A,Y902)</f>
        <v>0</v>
      </c>
      <c r="W902" s="37">
        <f t="shared" si="23"/>
        <v>0</v>
      </c>
      <c r="X902" s="39"/>
      <c r="Y902" s="54"/>
    </row>
    <row r="903">
      <c r="C903" s="53"/>
      <c r="G903" s="2" t="str">
        <f t="shared" si="27"/>
        <v/>
      </c>
      <c r="I903" s="4">
        <f>SUMIFS(Dump!D:D,Dump!B:B,C903)</f>
        <v>0</v>
      </c>
      <c r="J903" s="5">
        <f>SUMIFS(Dump!AE:AE,Dump!B:B,C903)</f>
        <v>0</v>
      </c>
      <c r="K903" s="4">
        <f>SUMPRODUCT(
  (TEXT(Dump!$A$2:$A994,"mmm-yy")=TEXT($Y903,"mmm-yy"))*
  (Dump!$B$2:$B994=$C903)*
  Dump!$D$2:$D994)</f>
        <v>0</v>
      </c>
      <c r="L903" s="4">
        <f>SUMPRODUCT(
  (TEXT(Dump!$A$2:$A994,"mmm-yy")=TEXT($Y903,"mmm-yy"))*
  (Dump!$B$2:$B994=$C903)*
  Dump!$E$2:$E994
)</f>
        <v>0</v>
      </c>
      <c r="M903" s="4">
        <f>SUMPRODUCT(
  (TEXT(Dump!$A$2:$A994,"mmm-yy")=TEXT($Y903,"mmm-yy"))*
  (Dump!$B$2:$B994=$C903)*
  Dump!$P$2:$P994
)</f>
        <v>0</v>
      </c>
      <c r="N903" s="32"/>
      <c r="O903" s="33">
        <f>SUMIFS(Dump!$D:$D,Dump!$B:$B,$C903,Dump!$A:$A,$Y903)</f>
        <v>0</v>
      </c>
      <c r="P903" s="33">
        <f>SUMIFS(Dump!R:R,Dump!B:B,C903,Dump!A:A,Y903)</f>
        <v>0</v>
      </c>
      <c r="Q903" s="34">
        <f t="shared" si="21"/>
        <v>0</v>
      </c>
      <c r="S903" s="4">
        <f>SUMIFS(Dump!E:E,Dump!B:B,C903,Dump!A:A,Y903)</f>
        <v>0</v>
      </c>
      <c r="T903" s="35">
        <f t="shared" si="22"/>
        <v>0</v>
      </c>
      <c r="V903" s="4">
        <f>SUMIFS(Dump!P:P,Dump!B:B,C903,Dump!A:A,Y903)</f>
        <v>0</v>
      </c>
      <c r="W903" s="37">
        <f t="shared" si="23"/>
        <v>0</v>
      </c>
      <c r="X903" s="39"/>
      <c r="Y903" s="54"/>
    </row>
    <row r="904">
      <c r="C904" s="53"/>
      <c r="G904" s="2" t="str">
        <f t="shared" si="27"/>
        <v/>
      </c>
      <c r="I904" s="4">
        <f>SUMIFS(Dump!D:D,Dump!B:B,C904)</f>
        <v>0</v>
      </c>
      <c r="J904" s="5">
        <f>SUMIFS(Dump!AE:AE,Dump!B:B,C904)</f>
        <v>0</v>
      </c>
      <c r="K904" s="4">
        <f>SUMPRODUCT(
  (TEXT(Dump!$A$2:$A994,"mmm-yy")=TEXT($Y904,"mmm-yy"))*
  (Dump!$B$2:$B994=$C904)*
  Dump!$D$2:$D994)</f>
        <v>0</v>
      </c>
      <c r="L904" s="4">
        <f>SUMPRODUCT(
  (TEXT(Dump!$A$2:$A994,"mmm-yy")=TEXT($Y904,"mmm-yy"))*
  (Dump!$B$2:$B994=$C904)*
  Dump!$E$2:$E994
)</f>
        <v>0</v>
      </c>
      <c r="M904" s="4">
        <f>SUMPRODUCT(
  (TEXT(Dump!$A$2:$A994,"mmm-yy")=TEXT($Y904,"mmm-yy"))*
  (Dump!$B$2:$B994=$C904)*
  Dump!$P$2:$P994
)</f>
        <v>0</v>
      </c>
      <c r="N904" s="32"/>
      <c r="O904" s="33">
        <f>SUMIFS(Dump!$D:$D,Dump!$B:$B,$C904,Dump!$A:$A,$Y904)</f>
        <v>0</v>
      </c>
      <c r="P904" s="33">
        <f>SUMIFS(Dump!R:R,Dump!B:B,C904,Dump!A:A,Y904)</f>
        <v>0</v>
      </c>
      <c r="Q904" s="34">
        <f t="shared" si="21"/>
        <v>0</v>
      </c>
      <c r="S904" s="4">
        <f>SUMIFS(Dump!E:E,Dump!B:B,C904,Dump!A:A,Y904)</f>
        <v>0</v>
      </c>
      <c r="T904" s="35">
        <f t="shared" si="22"/>
        <v>0</v>
      </c>
      <c r="V904" s="4">
        <f>SUMIFS(Dump!P:P,Dump!B:B,C904,Dump!A:A,Y904)</f>
        <v>0</v>
      </c>
      <c r="W904" s="37">
        <f t="shared" si="23"/>
        <v>0</v>
      </c>
      <c r="X904" s="39"/>
      <c r="Y904" s="54"/>
    </row>
    <row r="905">
      <c r="C905" s="53"/>
      <c r="G905" s="2" t="str">
        <f t="shared" si="27"/>
        <v/>
      </c>
      <c r="I905" s="4">
        <f>SUMIFS(Dump!D:D,Dump!B:B,C905)</f>
        <v>0</v>
      </c>
      <c r="J905" s="5">
        <f>SUMIFS(Dump!AE:AE,Dump!B:B,C905)</f>
        <v>0</v>
      </c>
      <c r="K905" s="4">
        <f>SUMPRODUCT(
  (TEXT(Dump!$A$2:$A994,"mmm-yy")=TEXT($Y905,"mmm-yy"))*
  (Dump!$B$2:$B994=$C905)*
  Dump!$D$2:$D994)</f>
        <v>0</v>
      </c>
      <c r="L905" s="4">
        <f>SUMPRODUCT(
  (TEXT(Dump!$A$2:$A994,"mmm-yy")=TEXT($Y905,"mmm-yy"))*
  (Dump!$B$2:$B994=$C905)*
  Dump!$E$2:$E994
)</f>
        <v>0</v>
      </c>
      <c r="M905" s="4">
        <f>SUMPRODUCT(
  (TEXT(Dump!$A$2:$A994,"mmm-yy")=TEXT($Y905,"mmm-yy"))*
  (Dump!$B$2:$B994=$C905)*
  Dump!$P$2:$P994
)</f>
        <v>0</v>
      </c>
      <c r="N905" s="32"/>
      <c r="O905" s="33">
        <f>SUMIFS(Dump!$D:$D,Dump!$B:$B,$C905,Dump!$A:$A,$Y905)</f>
        <v>0</v>
      </c>
      <c r="P905" s="33">
        <f>SUMIFS(Dump!R:R,Dump!B:B,C905,Dump!A:A,Y905)</f>
        <v>0</v>
      </c>
      <c r="Q905" s="34">
        <f t="shared" si="21"/>
        <v>0</v>
      </c>
      <c r="S905" s="4">
        <f>SUMIFS(Dump!E:E,Dump!B:B,C905,Dump!A:A,Y905)</f>
        <v>0</v>
      </c>
      <c r="T905" s="35">
        <f t="shared" si="22"/>
        <v>0</v>
      </c>
      <c r="V905" s="4">
        <f>SUMIFS(Dump!P:P,Dump!B:B,C905,Dump!A:A,Y905)</f>
        <v>0</v>
      </c>
      <c r="W905" s="37">
        <f t="shared" si="23"/>
        <v>0</v>
      </c>
      <c r="X905" s="39"/>
      <c r="Y905" s="54"/>
    </row>
    <row r="906">
      <c r="C906" s="53"/>
      <c r="G906" s="2" t="str">
        <f t="shared" si="27"/>
        <v/>
      </c>
      <c r="I906" s="4">
        <f>SUMIFS(Dump!D:D,Dump!B:B,C906)</f>
        <v>0</v>
      </c>
      <c r="J906" s="5">
        <f>SUMIFS(Dump!AE:AE,Dump!B:B,C906)</f>
        <v>0</v>
      </c>
      <c r="K906" s="4">
        <f>SUMPRODUCT(
  (TEXT(Dump!$A$2:$A994,"mmm-yy")=TEXT($Y906,"mmm-yy"))*
  (Dump!$B$2:$B994=$C906)*
  Dump!$D$2:$D994)</f>
        <v>0</v>
      </c>
      <c r="L906" s="4">
        <f>SUMPRODUCT(
  (TEXT(Dump!$A$2:$A994,"mmm-yy")=TEXT($Y906,"mmm-yy"))*
  (Dump!$B$2:$B994=$C906)*
  Dump!$E$2:$E994
)</f>
        <v>0</v>
      </c>
      <c r="M906" s="4">
        <f>SUMPRODUCT(
  (TEXT(Dump!$A$2:$A994,"mmm-yy")=TEXT($Y906,"mmm-yy"))*
  (Dump!$B$2:$B994=$C906)*
  Dump!$P$2:$P994
)</f>
        <v>0</v>
      </c>
      <c r="N906" s="32"/>
      <c r="O906" s="33">
        <f>SUMIFS(Dump!$D:$D,Dump!$B:$B,$C906,Dump!$A:$A,$Y906)</f>
        <v>0</v>
      </c>
      <c r="P906" s="33">
        <f>SUMIFS(Dump!R:R,Dump!B:B,C906,Dump!A:A,Y906)</f>
        <v>0</v>
      </c>
      <c r="Q906" s="34">
        <f t="shared" si="21"/>
        <v>0</v>
      </c>
      <c r="S906" s="4">
        <f>SUMIFS(Dump!E:E,Dump!B:B,C906,Dump!A:A,Y906)</f>
        <v>0</v>
      </c>
      <c r="T906" s="35">
        <f t="shared" si="22"/>
        <v>0</v>
      </c>
      <c r="V906" s="4">
        <f>SUMIFS(Dump!P:P,Dump!B:B,C906,Dump!A:A,Y906)</f>
        <v>0</v>
      </c>
      <c r="W906" s="37">
        <f t="shared" si="23"/>
        <v>0</v>
      </c>
      <c r="X906" s="39"/>
      <c r="Y906" s="54"/>
    </row>
    <row r="907">
      <c r="C907" s="53"/>
      <c r="G907" s="2" t="str">
        <f t="shared" si="27"/>
        <v/>
      </c>
      <c r="I907" s="4">
        <f>SUMIFS(Dump!D:D,Dump!B:B,C907)</f>
        <v>0</v>
      </c>
      <c r="J907" s="5">
        <f>SUMIFS(Dump!AE:AE,Dump!B:B,C907)</f>
        <v>0</v>
      </c>
      <c r="K907" s="4">
        <f>SUMPRODUCT(
  (TEXT(Dump!$A$2:$A994,"mmm-yy")=TEXT($Y907,"mmm-yy"))*
  (Dump!$B$2:$B994=$C907)*
  Dump!$D$2:$D994)</f>
        <v>0</v>
      </c>
      <c r="L907" s="4">
        <f>SUMPRODUCT(
  (TEXT(Dump!$A$2:$A994,"mmm-yy")=TEXT($Y907,"mmm-yy"))*
  (Dump!$B$2:$B994=$C907)*
  Dump!$E$2:$E994
)</f>
        <v>0</v>
      </c>
      <c r="M907" s="4">
        <f>SUMPRODUCT(
  (TEXT(Dump!$A$2:$A994,"mmm-yy")=TEXT($Y907,"mmm-yy"))*
  (Dump!$B$2:$B994=$C907)*
  Dump!$P$2:$P994
)</f>
        <v>0</v>
      </c>
      <c r="N907" s="32"/>
      <c r="O907" s="33">
        <f>SUMIFS(Dump!$D:$D,Dump!$B:$B,$C907,Dump!$A:$A,$Y907)</f>
        <v>0</v>
      </c>
      <c r="P907" s="33">
        <f>SUMIFS(Dump!R:R,Dump!B:B,C907,Dump!A:A,Y907)</f>
        <v>0</v>
      </c>
      <c r="Q907" s="34">
        <f t="shared" si="21"/>
        <v>0</v>
      </c>
      <c r="S907" s="4">
        <f>SUMIFS(Dump!E:E,Dump!B:B,C907,Dump!A:A,Y907)</f>
        <v>0</v>
      </c>
      <c r="T907" s="35">
        <f t="shared" si="22"/>
        <v>0</v>
      </c>
      <c r="V907" s="4">
        <f>SUMIFS(Dump!P:P,Dump!B:B,C907,Dump!A:A,Y907)</f>
        <v>0</v>
      </c>
      <c r="W907" s="37">
        <f t="shared" si="23"/>
        <v>0</v>
      </c>
      <c r="X907" s="39"/>
      <c r="Y907" s="54"/>
    </row>
    <row r="908">
      <c r="C908" s="53"/>
      <c r="G908" s="2" t="str">
        <f t="shared" si="27"/>
        <v/>
      </c>
      <c r="I908" s="4">
        <f>SUMIFS(Dump!D:D,Dump!B:B,C908)</f>
        <v>0</v>
      </c>
      <c r="J908" s="5">
        <f>SUMIFS(Dump!AE:AE,Dump!B:B,C908)</f>
        <v>0</v>
      </c>
      <c r="K908" s="4">
        <f>SUMPRODUCT(
  (TEXT(Dump!$A$2:$A994,"mmm-yy")=TEXT($Y908,"mmm-yy"))*
  (Dump!$B$2:$B994=$C908)*
  Dump!$D$2:$D994)</f>
        <v>0</v>
      </c>
      <c r="L908" s="4">
        <f>SUMPRODUCT(
  (TEXT(Dump!$A$2:$A994,"mmm-yy")=TEXT($Y908,"mmm-yy"))*
  (Dump!$B$2:$B994=$C908)*
  Dump!$E$2:$E994
)</f>
        <v>0</v>
      </c>
      <c r="M908" s="4">
        <f>SUMPRODUCT(
  (TEXT(Dump!$A$2:$A994,"mmm-yy")=TEXT($Y908,"mmm-yy"))*
  (Dump!$B$2:$B994=$C908)*
  Dump!$P$2:$P994
)</f>
        <v>0</v>
      </c>
      <c r="N908" s="32"/>
      <c r="O908" s="33">
        <f>SUMIFS(Dump!$D:$D,Dump!$B:$B,$C908,Dump!$A:$A,$Y908)</f>
        <v>0</v>
      </c>
      <c r="P908" s="33">
        <f>SUMIFS(Dump!R:R,Dump!B:B,C908,Dump!A:A,Y908)</f>
        <v>0</v>
      </c>
      <c r="Q908" s="34">
        <f t="shared" si="21"/>
        <v>0</v>
      </c>
      <c r="S908" s="4">
        <f>SUMIFS(Dump!E:E,Dump!B:B,C908,Dump!A:A,Y908)</f>
        <v>0</v>
      </c>
      <c r="T908" s="35">
        <f t="shared" si="22"/>
        <v>0</v>
      </c>
      <c r="V908" s="4">
        <f>SUMIFS(Dump!P:P,Dump!B:B,C908,Dump!A:A,Y908)</f>
        <v>0</v>
      </c>
      <c r="W908" s="37">
        <f t="shared" si="23"/>
        <v>0</v>
      </c>
      <c r="X908" s="39"/>
      <c r="Y908" s="54"/>
    </row>
    <row r="909">
      <c r="C909" s="53"/>
      <c r="G909" s="2" t="str">
        <f t="shared" si="27"/>
        <v/>
      </c>
      <c r="I909" s="4">
        <f>SUMIFS(Dump!D:D,Dump!B:B,C909)</f>
        <v>0</v>
      </c>
      <c r="J909" s="5">
        <f>SUMIFS(Dump!AE:AE,Dump!B:B,C909)</f>
        <v>0</v>
      </c>
      <c r="K909" s="4">
        <f>SUMPRODUCT(
  (TEXT(Dump!$A$2:$A994,"mmm-yy")=TEXT($Y909,"mmm-yy"))*
  (Dump!$B$2:$B994=$C909)*
  Dump!$D$2:$D994)</f>
        <v>0</v>
      </c>
      <c r="L909" s="4">
        <f>SUMPRODUCT(
  (TEXT(Dump!$A$2:$A994,"mmm-yy")=TEXT($Y909,"mmm-yy"))*
  (Dump!$B$2:$B994=$C909)*
  Dump!$E$2:$E994
)</f>
        <v>0</v>
      </c>
      <c r="M909" s="4">
        <f>SUMPRODUCT(
  (TEXT(Dump!$A$2:$A994,"mmm-yy")=TEXT($Y909,"mmm-yy"))*
  (Dump!$B$2:$B994=$C909)*
  Dump!$P$2:$P994
)</f>
        <v>0</v>
      </c>
      <c r="N909" s="32"/>
      <c r="O909" s="33">
        <f>SUMIFS(Dump!$D:$D,Dump!$B:$B,$C909,Dump!$A:$A,$Y909)</f>
        <v>0</v>
      </c>
      <c r="P909" s="33">
        <f>SUMIFS(Dump!R:R,Dump!B:B,C909,Dump!A:A,Y909)</f>
        <v>0</v>
      </c>
      <c r="Q909" s="34">
        <f t="shared" si="21"/>
        <v>0</v>
      </c>
      <c r="S909" s="4">
        <f>SUMIFS(Dump!E:E,Dump!B:B,C909,Dump!A:A,Y909)</f>
        <v>0</v>
      </c>
      <c r="T909" s="35">
        <f t="shared" si="22"/>
        <v>0</v>
      </c>
      <c r="V909" s="4">
        <f>SUMIFS(Dump!P:P,Dump!B:B,C909,Dump!A:A,Y909)</f>
        <v>0</v>
      </c>
      <c r="W909" s="37">
        <f t="shared" si="23"/>
        <v>0</v>
      </c>
      <c r="X909" s="39"/>
      <c r="Y909" s="54"/>
    </row>
    <row r="910">
      <c r="C910" s="53"/>
      <c r="G910" s="2" t="str">
        <f t="shared" si="27"/>
        <v/>
      </c>
      <c r="I910" s="4">
        <f>SUMIFS(Dump!D:D,Dump!B:B,C910)</f>
        <v>0</v>
      </c>
      <c r="J910" s="5">
        <f>SUMIFS(Dump!AE:AE,Dump!B:B,C910)</f>
        <v>0</v>
      </c>
      <c r="K910" s="4">
        <f>SUMPRODUCT(
  (TEXT(Dump!$A$2:$A994,"mmm-yy")=TEXT($Y910,"mmm-yy"))*
  (Dump!$B$2:$B994=$C910)*
  Dump!$D$2:$D994)</f>
        <v>0</v>
      </c>
      <c r="L910" s="4">
        <f>SUMPRODUCT(
  (TEXT(Dump!$A$2:$A994,"mmm-yy")=TEXT($Y910,"mmm-yy"))*
  (Dump!$B$2:$B994=$C910)*
  Dump!$E$2:$E994
)</f>
        <v>0</v>
      </c>
      <c r="M910" s="4">
        <f>SUMPRODUCT(
  (TEXT(Dump!$A$2:$A994,"mmm-yy")=TEXT($Y910,"mmm-yy"))*
  (Dump!$B$2:$B994=$C910)*
  Dump!$P$2:$P994
)</f>
        <v>0</v>
      </c>
      <c r="N910" s="32"/>
      <c r="O910" s="33">
        <f>SUMIFS(Dump!$D:$D,Dump!$B:$B,$C910,Dump!$A:$A,$Y910)</f>
        <v>0</v>
      </c>
      <c r="P910" s="33">
        <f>SUMIFS(Dump!R:R,Dump!B:B,C910,Dump!A:A,Y910)</f>
        <v>0</v>
      </c>
      <c r="Q910" s="34">
        <f t="shared" si="21"/>
        <v>0</v>
      </c>
      <c r="S910" s="4">
        <f>SUMIFS(Dump!E:E,Dump!B:B,C910,Dump!A:A,Y910)</f>
        <v>0</v>
      </c>
      <c r="T910" s="35">
        <f t="shared" si="22"/>
        <v>0</v>
      </c>
      <c r="V910" s="4">
        <f>SUMIFS(Dump!P:P,Dump!B:B,C910,Dump!A:A,Y910)</f>
        <v>0</v>
      </c>
      <c r="W910" s="37">
        <f t="shared" si="23"/>
        <v>0</v>
      </c>
      <c r="X910" s="39"/>
      <c r="Y910" s="54"/>
    </row>
    <row r="911">
      <c r="C911" s="53"/>
      <c r="G911" s="2" t="str">
        <f t="shared" si="27"/>
        <v/>
      </c>
      <c r="I911" s="4">
        <f>SUMIFS(Dump!D:D,Dump!B:B,C911)</f>
        <v>0</v>
      </c>
      <c r="J911" s="5">
        <f>SUMIFS(Dump!AE:AE,Dump!B:B,C911)</f>
        <v>0</v>
      </c>
      <c r="K911" s="4">
        <f>SUMPRODUCT(
  (TEXT(Dump!$A$2:$A994,"mmm-yy")=TEXT($Y911,"mmm-yy"))*
  (Dump!$B$2:$B994=$C911)*
  Dump!$D$2:$D994)</f>
        <v>0</v>
      </c>
      <c r="L911" s="4">
        <f>SUMPRODUCT(
  (TEXT(Dump!$A$2:$A994,"mmm-yy")=TEXT($Y911,"mmm-yy"))*
  (Dump!$B$2:$B994=$C911)*
  Dump!$E$2:$E994
)</f>
        <v>0</v>
      </c>
      <c r="M911" s="4">
        <f>SUMPRODUCT(
  (TEXT(Dump!$A$2:$A994,"mmm-yy")=TEXT($Y911,"mmm-yy"))*
  (Dump!$B$2:$B994=$C911)*
  Dump!$P$2:$P994
)</f>
        <v>0</v>
      </c>
      <c r="N911" s="32"/>
      <c r="O911" s="33">
        <f>SUMIFS(Dump!$D:$D,Dump!$B:$B,$C911,Dump!$A:$A,$Y911)</f>
        <v>0</v>
      </c>
      <c r="P911" s="33">
        <f>SUMIFS(Dump!R:R,Dump!B:B,C911,Dump!A:A,Y911)</f>
        <v>0</v>
      </c>
      <c r="Q911" s="34">
        <f t="shared" si="21"/>
        <v>0</v>
      </c>
      <c r="S911" s="4">
        <f>SUMIFS(Dump!E:E,Dump!B:B,C911,Dump!A:A,Y911)</f>
        <v>0</v>
      </c>
      <c r="T911" s="35">
        <f t="shared" si="22"/>
        <v>0</v>
      </c>
      <c r="V911" s="4">
        <f>SUMIFS(Dump!P:P,Dump!B:B,C911,Dump!A:A,Y911)</f>
        <v>0</v>
      </c>
      <c r="W911" s="37">
        <f t="shared" si="23"/>
        <v>0</v>
      </c>
      <c r="X911" s="39"/>
      <c r="Y911" s="54"/>
    </row>
    <row r="912">
      <c r="C912" s="53"/>
      <c r="G912" s="2" t="str">
        <f t="shared" si="27"/>
        <v/>
      </c>
      <c r="I912" s="4">
        <f>SUMIFS(Dump!D:D,Dump!B:B,C912)</f>
        <v>0</v>
      </c>
      <c r="J912" s="5">
        <f>SUMIFS(Dump!AE:AE,Dump!B:B,C912)</f>
        <v>0</v>
      </c>
      <c r="K912" s="4">
        <f>SUMPRODUCT(
  (TEXT(Dump!$A$2:$A994,"mmm-yy")=TEXT($Y912,"mmm-yy"))*
  (Dump!$B$2:$B994=$C912)*
  Dump!$D$2:$D994)</f>
        <v>0</v>
      </c>
      <c r="L912" s="4">
        <f>SUMPRODUCT(
  (TEXT(Dump!$A$2:$A994,"mmm-yy")=TEXT($Y912,"mmm-yy"))*
  (Dump!$B$2:$B994=$C912)*
  Dump!$E$2:$E994
)</f>
        <v>0</v>
      </c>
      <c r="M912" s="4">
        <f>SUMPRODUCT(
  (TEXT(Dump!$A$2:$A994,"mmm-yy")=TEXT($Y912,"mmm-yy"))*
  (Dump!$B$2:$B994=$C912)*
  Dump!$P$2:$P994
)</f>
        <v>0</v>
      </c>
      <c r="N912" s="32"/>
      <c r="O912" s="33">
        <f>SUMIFS(Dump!$D:$D,Dump!$B:$B,$C912,Dump!$A:$A,$Y912)</f>
        <v>0</v>
      </c>
      <c r="P912" s="33">
        <f>SUMIFS(Dump!R:R,Dump!B:B,C912,Dump!A:A,Y912)</f>
        <v>0</v>
      </c>
      <c r="Q912" s="34">
        <f t="shared" si="21"/>
        <v>0</v>
      </c>
      <c r="S912" s="4">
        <f>SUMIFS(Dump!E:E,Dump!B:B,C912,Dump!A:A,Y912)</f>
        <v>0</v>
      </c>
      <c r="T912" s="35">
        <f t="shared" si="22"/>
        <v>0</v>
      </c>
      <c r="V912" s="4">
        <f>SUMIFS(Dump!P:P,Dump!B:B,C912,Dump!A:A,Y912)</f>
        <v>0</v>
      </c>
      <c r="W912" s="37">
        <f t="shared" si="23"/>
        <v>0</v>
      </c>
      <c r="X912" s="39"/>
      <c r="Y912" s="54"/>
    </row>
    <row r="913">
      <c r="C913" s="53"/>
      <c r="G913" s="2" t="str">
        <f t="shared" si="27"/>
        <v/>
      </c>
      <c r="I913" s="4">
        <f>SUMIFS(Dump!D:D,Dump!B:B,C913)</f>
        <v>0</v>
      </c>
      <c r="J913" s="5">
        <f>SUMIFS(Dump!AE:AE,Dump!B:B,C913)</f>
        <v>0</v>
      </c>
      <c r="K913" s="4">
        <f>SUMPRODUCT(
  (TEXT(Dump!$A$2:$A994,"mmm-yy")=TEXT($Y913,"mmm-yy"))*
  (Dump!$B$2:$B994=$C913)*
  Dump!$D$2:$D994)</f>
        <v>0</v>
      </c>
      <c r="L913" s="4">
        <f>SUMPRODUCT(
  (TEXT(Dump!$A$2:$A994,"mmm-yy")=TEXT($Y913,"mmm-yy"))*
  (Dump!$B$2:$B994=$C913)*
  Dump!$E$2:$E994
)</f>
        <v>0</v>
      </c>
      <c r="M913" s="4">
        <f>SUMPRODUCT(
  (TEXT(Dump!$A$2:$A994,"mmm-yy")=TEXT($Y913,"mmm-yy"))*
  (Dump!$B$2:$B994=$C913)*
  Dump!$P$2:$P994
)</f>
        <v>0</v>
      </c>
      <c r="N913" s="32"/>
      <c r="O913" s="33">
        <f>SUMIFS(Dump!$D:$D,Dump!$B:$B,$C913,Dump!$A:$A,$Y913)</f>
        <v>0</v>
      </c>
      <c r="P913" s="33">
        <f>SUMIFS(Dump!R:R,Dump!B:B,C913,Dump!A:A,Y913)</f>
        <v>0</v>
      </c>
      <c r="Q913" s="34">
        <f t="shared" si="21"/>
        <v>0</v>
      </c>
      <c r="S913" s="4">
        <f>SUMIFS(Dump!E:E,Dump!B:B,C913,Dump!A:A,Y913)</f>
        <v>0</v>
      </c>
      <c r="T913" s="35">
        <f t="shared" si="22"/>
        <v>0</v>
      </c>
      <c r="V913" s="4">
        <f>SUMIFS(Dump!P:P,Dump!B:B,C913,Dump!A:A,Y913)</f>
        <v>0</v>
      </c>
      <c r="W913" s="37">
        <f t="shared" si="23"/>
        <v>0</v>
      </c>
      <c r="X913" s="39"/>
      <c r="Y913" s="54"/>
    </row>
    <row r="914">
      <c r="C914" s="53"/>
      <c r="G914" s="2" t="str">
        <f t="shared" si="27"/>
        <v/>
      </c>
      <c r="I914" s="4">
        <f>SUMIFS(Dump!D:D,Dump!B:B,C914)</f>
        <v>0</v>
      </c>
      <c r="J914" s="5">
        <f>SUMIFS(Dump!AE:AE,Dump!B:B,C914)</f>
        <v>0</v>
      </c>
      <c r="K914" s="4">
        <f>SUMPRODUCT(
  (TEXT(Dump!$A$2:$A994,"mmm-yy")=TEXT($Y914,"mmm-yy"))*
  (Dump!$B$2:$B994=$C914)*
  Dump!$D$2:$D994)</f>
        <v>0</v>
      </c>
      <c r="L914" s="4">
        <f>SUMPRODUCT(
  (TEXT(Dump!$A$2:$A994,"mmm-yy")=TEXT($Y914,"mmm-yy"))*
  (Dump!$B$2:$B994=$C914)*
  Dump!$E$2:$E994
)</f>
        <v>0</v>
      </c>
      <c r="M914" s="4">
        <f>SUMPRODUCT(
  (TEXT(Dump!$A$2:$A994,"mmm-yy")=TEXT($Y914,"mmm-yy"))*
  (Dump!$B$2:$B994=$C914)*
  Dump!$P$2:$P994
)</f>
        <v>0</v>
      </c>
      <c r="N914" s="32"/>
      <c r="O914" s="33">
        <f>SUMIFS(Dump!$D:$D,Dump!$B:$B,$C914,Dump!$A:$A,$Y914)</f>
        <v>0</v>
      </c>
      <c r="P914" s="33">
        <f>SUMIFS(Dump!R:R,Dump!B:B,C914,Dump!A:A,Y914)</f>
        <v>0</v>
      </c>
      <c r="Q914" s="34">
        <f t="shared" si="21"/>
        <v>0</v>
      </c>
      <c r="S914" s="4">
        <f>SUMIFS(Dump!E:E,Dump!B:B,C914,Dump!A:A,Y914)</f>
        <v>0</v>
      </c>
      <c r="T914" s="35">
        <f t="shared" si="22"/>
        <v>0</v>
      </c>
      <c r="V914" s="4">
        <f>SUMIFS(Dump!P:P,Dump!B:B,C914,Dump!A:A,Y914)</f>
        <v>0</v>
      </c>
      <c r="W914" s="37">
        <f t="shared" si="23"/>
        <v>0</v>
      </c>
      <c r="X914" s="39"/>
      <c r="Y914" s="54"/>
    </row>
    <row r="915">
      <c r="C915" s="53"/>
      <c r="G915" s="2" t="str">
        <f t="shared" si="27"/>
        <v/>
      </c>
      <c r="I915" s="4">
        <f>SUMIFS(Dump!D:D,Dump!B:B,C915)</f>
        <v>0</v>
      </c>
      <c r="J915" s="5">
        <f>SUMIFS(Dump!AE:AE,Dump!B:B,C915)</f>
        <v>0</v>
      </c>
      <c r="K915" s="4">
        <f>SUMPRODUCT(
  (TEXT(Dump!$A$2:$A994,"mmm-yy")=TEXT($Y915,"mmm-yy"))*
  (Dump!$B$2:$B994=$C915)*
  Dump!$D$2:$D994)</f>
        <v>0</v>
      </c>
      <c r="L915" s="4">
        <f>SUMPRODUCT(
  (TEXT(Dump!$A$2:$A994,"mmm-yy")=TEXT($Y915,"mmm-yy"))*
  (Dump!$B$2:$B994=$C915)*
  Dump!$E$2:$E994
)</f>
        <v>0</v>
      </c>
      <c r="M915" s="4">
        <f>SUMPRODUCT(
  (TEXT(Dump!$A$2:$A994,"mmm-yy")=TEXT($Y915,"mmm-yy"))*
  (Dump!$B$2:$B994=$C915)*
  Dump!$P$2:$P994
)</f>
        <v>0</v>
      </c>
      <c r="N915" s="32"/>
      <c r="O915" s="33">
        <f>SUMIFS(Dump!$D:$D,Dump!$B:$B,$C915,Dump!$A:$A,$Y915)</f>
        <v>0</v>
      </c>
      <c r="P915" s="33">
        <f>SUMIFS(Dump!R:R,Dump!B:B,C915,Dump!A:A,Y915)</f>
        <v>0</v>
      </c>
      <c r="Q915" s="34">
        <f t="shared" si="21"/>
        <v>0</v>
      </c>
      <c r="S915" s="4">
        <f>SUMIFS(Dump!E:E,Dump!B:B,C915,Dump!A:A,Y915)</f>
        <v>0</v>
      </c>
      <c r="T915" s="35">
        <f t="shared" si="22"/>
        <v>0</v>
      </c>
      <c r="V915" s="4">
        <f>SUMIFS(Dump!P:P,Dump!B:B,C915,Dump!A:A,Y915)</f>
        <v>0</v>
      </c>
      <c r="W915" s="37">
        <f t="shared" si="23"/>
        <v>0</v>
      </c>
      <c r="X915" s="39"/>
      <c r="Y915" s="54"/>
    </row>
    <row r="916">
      <c r="C916" s="53"/>
      <c r="G916" s="2" t="str">
        <f t="shared" si="27"/>
        <v/>
      </c>
      <c r="I916" s="4">
        <f>SUMIFS(Dump!D:D,Dump!B:B,C916)</f>
        <v>0</v>
      </c>
      <c r="J916" s="5">
        <f>SUMIFS(Dump!AE:AE,Dump!B:B,C916)</f>
        <v>0</v>
      </c>
      <c r="K916" s="4">
        <f>SUMPRODUCT(
  (TEXT(Dump!$A$2:$A994,"mmm-yy")=TEXT($Y916,"mmm-yy"))*
  (Dump!$B$2:$B994=$C916)*
  Dump!$D$2:$D994)</f>
        <v>0</v>
      </c>
      <c r="L916" s="4">
        <f>SUMPRODUCT(
  (TEXT(Dump!$A$2:$A994,"mmm-yy")=TEXT($Y916,"mmm-yy"))*
  (Dump!$B$2:$B994=$C916)*
  Dump!$E$2:$E994
)</f>
        <v>0</v>
      </c>
      <c r="M916" s="4">
        <f>SUMPRODUCT(
  (TEXT(Dump!$A$2:$A994,"mmm-yy")=TEXT($Y916,"mmm-yy"))*
  (Dump!$B$2:$B994=$C916)*
  Dump!$P$2:$P994
)</f>
        <v>0</v>
      </c>
      <c r="N916" s="32"/>
      <c r="O916" s="33">
        <f>SUMIFS(Dump!$D:$D,Dump!$B:$B,$C916,Dump!$A:$A,$Y916)</f>
        <v>0</v>
      </c>
      <c r="P916" s="33">
        <f>SUMIFS(Dump!R:R,Dump!B:B,C916,Dump!A:A,Y916)</f>
        <v>0</v>
      </c>
      <c r="Q916" s="34">
        <f t="shared" si="21"/>
        <v>0</v>
      </c>
      <c r="S916" s="4">
        <f>SUMIFS(Dump!E:E,Dump!B:B,C916,Dump!A:A,Y916)</f>
        <v>0</v>
      </c>
      <c r="T916" s="35">
        <f t="shared" si="22"/>
        <v>0</v>
      </c>
      <c r="V916" s="4">
        <f>SUMIFS(Dump!P:P,Dump!B:B,C916,Dump!A:A,Y916)</f>
        <v>0</v>
      </c>
      <c r="W916" s="37">
        <f t="shared" si="23"/>
        <v>0</v>
      </c>
      <c r="X916" s="39"/>
      <c r="Y916" s="54"/>
    </row>
    <row r="917">
      <c r="C917" s="53"/>
      <c r="G917" s="2" t="str">
        <f t="shared" si="27"/>
        <v/>
      </c>
      <c r="I917" s="4">
        <f>SUMIFS(Dump!D:D,Dump!B:B,C917)</f>
        <v>0</v>
      </c>
      <c r="J917" s="5">
        <f>SUMIFS(Dump!AE:AE,Dump!B:B,C917)</f>
        <v>0</v>
      </c>
      <c r="K917" s="4">
        <f>SUMPRODUCT(
  (TEXT(Dump!$A$2:$A994,"mmm-yy")=TEXT($Y917,"mmm-yy"))*
  (Dump!$B$2:$B994=$C917)*
  Dump!$D$2:$D994)</f>
        <v>0</v>
      </c>
      <c r="L917" s="4">
        <f>SUMPRODUCT(
  (TEXT(Dump!$A$2:$A994,"mmm-yy")=TEXT($Y917,"mmm-yy"))*
  (Dump!$B$2:$B994=$C917)*
  Dump!$E$2:$E994
)</f>
        <v>0</v>
      </c>
      <c r="M917" s="4">
        <f>SUMPRODUCT(
  (TEXT(Dump!$A$2:$A994,"mmm-yy")=TEXT($Y917,"mmm-yy"))*
  (Dump!$B$2:$B994=$C917)*
  Dump!$P$2:$P994
)</f>
        <v>0</v>
      </c>
      <c r="N917" s="32"/>
      <c r="O917" s="33">
        <f>SUMIFS(Dump!$D:$D,Dump!$B:$B,$C917,Dump!$A:$A,$Y917)</f>
        <v>0</v>
      </c>
      <c r="P917" s="33">
        <f>SUMIFS(Dump!R:R,Dump!B:B,C917,Dump!A:A,Y917)</f>
        <v>0</v>
      </c>
      <c r="Q917" s="34">
        <f t="shared" si="21"/>
        <v>0</v>
      </c>
      <c r="S917" s="4">
        <f>SUMIFS(Dump!E:E,Dump!B:B,C917,Dump!A:A,Y917)</f>
        <v>0</v>
      </c>
      <c r="T917" s="35">
        <f t="shared" si="22"/>
        <v>0</v>
      </c>
      <c r="V917" s="4">
        <f>SUMIFS(Dump!P:P,Dump!B:B,C917,Dump!A:A,Y917)</f>
        <v>0</v>
      </c>
      <c r="W917" s="37">
        <f t="shared" si="23"/>
        <v>0</v>
      </c>
      <c r="X917" s="39"/>
      <c r="Y917" s="54"/>
    </row>
    <row r="918">
      <c r="C918" s="53"/>
      <c r="G918" s="2" t="str">
        <f t="shared" si="27"/>
        <v/>
      </c>
      <c r="I918" s="4">
        <f>SUMIFS(Dump!D:D,Dump!B:B,C918)</f>
        <v>0</v>
      </c>
      <c r="J918" s="5">
        <f>SUMIFS(Dump!AE:AE,Dump!B:B,C918)</f>
        <v>0</v>
      </c>
      <c r="K918" s="4">
        <f>SUMPRODUCT(
  (TEXT(Dump!$A$2:$A994,"mmm-yy")=TEXT($Y918,"mmm-yy"))*
  (Dump!$B$2:$B994=$C918)*
  Dump!$D$2:$D994)</f>
        <v>0</v>
      </c>
      <c r="L918" s="4">
        <f>SUMPRODUCT(
  (TEXT(Dump!$A$2:$A994,"mmm-yy")=TEXT($Y918,"mmm-yy"))*
  (Dump!$B$2:$B994=$C918)*
  Dump!$E$2:$E994
)</f>
        <v>0</v>
      </c>
      <c r="M918" s="4">
        <f>SUMPRODUCT(
  (TEXT(Dump!$A$2:$A994,"mmm-yy")=TEXT($Y918,"mmm-yy"))*
  (Dump!$B$2:$B994=$C918)*
  Dump!$P$2:$P994
)</f>
        <v>0</v>
      </c>
      <c r="N918" s="32"/>
      <c r="O918" s="33">
        <f>SUMIFS(Dump!$D:$D,Dump!$B:$B,$C918,Dump!$A:$A,$Y918)</f>
        <v>0</v>
      </c>
      <c r="P918" s="33">
        <f>SUMIFS(Dump!R:R,Dump!B:B,C918,Dump!A:A,Y918)</f>
        <v>0</v>
      </c>
      <c r="Q918" s="34">
        <f t="shared" si="21"/>
        <v>0</v>
      </c>
      <c r="S918" s="4">
        <f>SUMIFS(Dump!E:E,Dump!B:B,C918,Dump!A:A,Y918)</f>
        <v>0</v>
      </c>
      <c r="T918" s="35">
        <f t="shared" si="22"/>
        <v>0</v>
      </c>
      <c r="V918" s="4">
        <f>SUMIFS(Dump!P:P,Dump!B:B,C918,Dump!A:A,Y918)</f>
        <v>0</v>
      </c>
      <c r="W918" s="37">
        <f t="shared" si="23"/>
        <v>0</v>
      </c>
      <c r="X918" s="39"/>
      <c r="Y918" s="54"/>
    </row>
    <row r="919">
      <c r="C919" s="53"/>
      <c r="G919" s="2" t="str">
        <f t="shared" si="27"/>
        <v/>
      </c>
      <c r="I919" s="4">
        <f>SUMIFS(Dump!D:D,Dump!B:B,C919)</f>
        <v>0</v>
      </c>
      <c r="J919" s="5">
        <f>SUMIFS(Dump!AE:AE,Dump!B:B,C919)</f>
        <v>0</v>
      </c>
      <c r="K919" s="4">
        <f>SUMPRODUCT(
  (TEXT(Dump!$A$2:$A994,"mmm-yy")=TEXT($Y919,"mmm-yy"))*
  (Dump!$B$2:$B994=$C919)*
  Dump!$D$2:$D994)</f>
        <v>0</v>
      </c>
      <c r="L919" s="4">
        <f>SUMPRODUCT(
  (TEXT(Dump!$A$2:$A994,"mmm-yy")=TEXT($Y919,"mmm-yy"))*
  (Dump!$B$2:$B994=$C919)*
  Dump!$E$2:$E994
)</f>
        <v>0</v>
      </c>
      <c r="M919" s="4">
        <f>SUMPRODUCT(
  (TEXT(Dump!$A$2:$A994,"mmm-yy")=TEXT($Y919,"mmm-yy"))*
  (Dump!$B$2:$B994=$C919)*
  Dump!$P$2:$P994
)</f>
        <v>0</v>
      </c>
      <c r="N919" s="32"/>
      <c r="O919" s="33">
        <f>SUMIFS(Dump!$D:$D,Dump!$B:$B,$C919,Dump!$A:$A,$Y919)</f>
        <v>0</v>
      </c>
      <c r="P919" s="33">
        <f>SUMIFS(Dump!R:R,Dump!B:B,C919,Dump!A:A,Y919)</f>
        <v>0</v>
      </c>
      <c r="Q919" s="34">
        <f t="shared" si="21"/>
        <v>0</v>
      </c>
      <c r="S919" s="4">
        <f>SUMIFS(Dump!E:E,Dump!B:B,C919,Dump!A:A,Y919)</f>
        <v>0</v>
      </c>
      <c r="T919" s="35">
        <f t="shared" si="22"/>
        <v>0</v>
      </c>
      <c r="V919" s="4">
        <f>SUMIFS(Dump!P:P,Dump!B:B,C919,Dump!A:A,Y919)</f>
        <v>0</v>
      </c>
      <c r="W919" s="37">
        <f t="shared" si="23"/>
        <v>0</v>
      </c>
      <c r="X919" s="39"/>
      <c r="Y919" s="54"/>
    </row>
    <row r="920">
      <c r="C920" s="53"/>
      <c r="G920" s="2" t="str">
        <f t="shared" si="27"/>
        <v/>
      </c>
      <c r="I920" s="4">
        <f>SUMIFS(Dump!D:D,Dump!B:B,C920)</f>
        <v>0</v>
      </c>
      <c r="J920" s="5">
        <f>SUMIFS(Dump!AE:AE,Dump!B:B,C920)</f>
        <v>0</v>
      </c>
      <c r="K920" s="4">
        <f>SUMPRODUCT(
  (TEXT(Dump!$A$2:$A994,"mmm-yy")=TEXT($Y920,"mmm-yy"))*
  (Dump!$B$2:$B994=$C920)*
  Dump!$D$2:$D994)</f>
        <v>0</v>
      </c>
      <c r="L920" s="4">
        <f>SUMPRODUCT(
  (TEXT(Dump!$A$2:$A994,"mmm-yy")=TEXT($Y920,"mmm-yy"))*
  (Dump!$B$2:$B994=$C920)*
  Dump!$E$2:$E994
)</f>
        <v>0</v>
      </c>
      <c r="M920" s="4">
        <f>SUMPRODUCT(
  (TEXT(Dump!$A$2:$A994,"mmm-yy")=TEXT($Y920,"mmm-yy"))*
  (Dump!$B$2:$B994=$C920)*
  Dump!$P$2:$P994
)</f>
        <v>0</v>
      </c>
      <c r="N920" s="32"/>
      <c r="O920" s="33">
        <f>SUMIFS(Dump!$D:$D,Dump!$B:$B,$C920,Dump!$A:$A,$Y920)</f>
        <v>0</v>
      </c>
      <c r="P920" s="33">
        <f>SUMIFS(Dump!R:R,Dump!B:B,C920,Dump!A:A,Y920)</f>
        <v>0</v>
      </c>
      <c r="Q920" s="34">
        <f t="shared" si="21"/>
        <v>0</v>
      </c>
      <c r="S920" s="4">
        <f>SUMIFS(Dump!E:E,Dump!B:B,C920,Dump!A:A,Y920)</f>
        <v>0</v>
      </c>
      <c r="T920" s="35">
        <f t="shared" si="22"/>
        <v>0</v>
      </c>
      <c r="V920" s="4">
        <f>SUMIFS(Dump!P:P,Dump!B:B,C920,Dump!A:A,Y920)</f>
        <v>0</v>
      </c>
      <c r="W920" s="37">
        <f t="shared" si="23"/>
        <v>0</v>
      </c>
      <c r="X920" s="39"/>
      <c r="Y920" s="54"/>
    </row>
    <row r="921">
      <c r="C921" s="53"/>
      <c r="G921" s="2" t="str">
        <f t="shared" si="27"/>
        <v/>
      </c>
      <c r="I921" s="4">
        <f>SUMIFS(Dump!D:D,Dump!B:B,C921)</f>
        <v>0</v>
      </c>
      <c r="J921" s="5">
        <f>SUMIFS(Dump!AE:AE,Dump!B:B,C921)</f>
        <v>0</v>
      </c>
      <c r="K921" s="4">
        <f>SUMPRODUCT(
  (TEXT(Dump!$A$2:$A994,"mmm-yy")=TEXT($Y921,"mmm-yy"))*
  (Dump!$B$2:$B994=$C921)*
  Dump!$D$2:$D994)</f>
        <v>0</v>
      </c>
      <c r="L921" s="4">
        <f>SUMPRODUCT(
  (TEXT(Dump!$A$2:$A994,"mmm-yy")=TEXT($Y921,"mmm-yy"))*
  (Dump!$B$2:$B994=$C921)*
  Dump!$E$2:$E994
)</f>
        <v>0</v>
      </c>
      <c r="M921" s="4">
        <f>SUMPRODUCT(
  (TEXT(Dump!$A$2:$A994,"mmm-yy")=TEXT($Y921,"mmm-yy"))*
  (Dump!$B$2:$B994=$C921)*
  Dump!$P$2:$P994
)</f>
        <v>0</v>
      </c>
      <c r="N921" s="32"/>
      <c r="O921" s="33">
        <f>SUMIFS(Dump!$D:$D,Dump!$B:$B,$C921,Dump!$A:$A,$Y921)</f>
        <v>0</v>
      </c>
      <c r="P921" s="33">
        <f>SUMIFS(Dump!R:R,Dump!B:B,C921,Dump!A:A,Y921)</f>
        <v>0</v>
      </c>
      <c r="Q921" s="34">
        <f t="shared" si="21"/>
        <v>0</v>
      </c>
      <c r="S921" s="4">
        <f>SUMIFS(Dump!E:E,Dump!B:B,C921,Dump!A:A,Y921)</f>
        <v>0</v>
      </c>
      <c r="T921" s="35">
        <f t="shared" si="22"/>
        <v>0</v>
      </c>
      <c r="V921" s="4">
        <f>SUMIFS(Dump!P:P,Dump!B:B,C921,Dump!A:A,Y921)</f>
        <v>0</v>
      </c>
      <c r="W921" s="37">
        <f t="shared" si="23"/>
        <v>0</v>
      </c>
      <c r="X921" s="39"/>
      <c r="Y921" s="54"/>
    </row>
    <row r="922">
      <c r="C922" s="53"/>
      <c r="G922" s="2" t="str">
        <f t="shared" si="27"/>
        <v/>
      </c>
      <c r="I922" s="4">
        <f>SUMIFS(Dump!D:D,Dump!B:B,C922)</f>
        <v>0</v>
      </c>
      <c r="J922" s="5">
        <f>SUMIFS(Dump!AE:AE,Dump!B:B,C922)</f>
        <v>0</v>
      </c>
      <c r="K922" s="4">
        <f>SUMPRODUCT(
  (TEXT(Dump!$A$2:$A994,"mmm-yy")=TEXT($Y922,"mmm-yy"))*
  (Dump!$B$2:$B994=$C922)*
  Dump!$D$2:$D994)</f>
        <v>0</v>
      </c>
      <c r="L922" s="4">
        <f>SUMPRODUCT(
  (TEXT(Dump!$A$2:$A994,"mmm-yy")=TEXT($Y922,"mmm-yy"))*
  (Dump!$B$2:$B994=$C922)*
  Dump!$E$2:$E994
)</f>
        <v>0</v>
      </c>
      <c r="M922" s="4">
        <f>SUMPRODUCT(
  (TEXT(Dump!$A$2:$A994,"mmm-yy")=TEXT($Y922,"mmm-yy"))*
  (Dump!$B$2:$B994=$C922)*
  Dump!$P$2:$P994
)</f>
        <v>0</v>
      </c>
      <c r="N922" s="32"/>
      <c r="O922" s="33">
        <f>SUMIFS(Dump!$D:$D,Dump!$B:$B,$C922,Dump!$A:$A,$Y922)</f>
        <v>0</v>
      </c>
      <c r="P922" s="33">
        <f>SUMIFS(Dump!R:R,Dump!B:B,C922,Dump!A:A,Y922)</f>
        <v>0</v>
      </c>
      <c r="Q922" s="34">
        <f t="shared" si="21"/>
        <v>0</v>
      </c>
      <c r="S922" s="4">
        <f>SUMIFS(Dump!E:E,Dump!B:B,C922,Dump!A:A,Y922)</f>
        <v>0</v>
      </c>
      <c r="T922" s="35">
        <f t="shared" si="22"/>
        <v>0</v>
      </c>
      <c r="V922" s="4">
        <f>SUMIFS(Dump!P:P,Dump!B:B,C922,Dump!A:A,Y922)</f>
        <v>0</v>
      </c>
      <c r="W922" s="37">
        <f t="shared" si="23"/>
        <v>0</v>
      </c>
      <c r="X922" s="39"/>
      <c r="Y922" s="54"/>
    </row>
    <row r="923">
      <c r="C923" s="53"/>
      <c r="G923" s="2" t="str">
        <f t="shared" si="27"/>
        <v/>
      </c>
      <c r="I923" s="4">
        <f>SUMIFS(Dump!D:D,Dump!B:B,C923)</f>
        <v>0</v>
      </c>
      <c r="J923" s="5">
        <f>SUMIFS(Dump!AE:AE,Dump!B:B,C923)</f>
        <v>0</v>
      </c>
      <c r="K923" s="4">
        <f>SUMPRODUCT(
  (TEXT(Dump!$A$2:$A994,"mmm-yy")=TEXT($Y923,"mmm-yy"))*
  (Dump!$B$2:$B994=$C923)*
  Dump!$D$2:$D994)</f>
        <v>0</v>
      </c>
      <c r="L923" s="4">
        <f>SUMPRODUCT(
  (TEXT(Dump!$A$2:$A994,"mmm-yy")=TEXT($Y923,"mmm-yy"))*
  (Dump!$B$2:$B994=$C923)*
  Dump!$E$2:$E994
)</f>
        <v>0</v>
      </c>
      <c r="M923" s="4">
        <f>SUMPRODUCT(
  (TEXT(Dump!$A$2:$A994,"mmm-yy")=TEXT($Y923,"mmm-yy"))*
  (Dump!$B$2:$B994=$C923)*
  Dump!$P$2:$P994
)</f>
        <v>0</v>
      </c>
      <c r="N923" s="32"/>
      <c r="O923" s="33">
        <f>SUMIFS(Dump!$D:$D,Dump!$B:$B,$C923,Dump!$A:$A,$Y923)</f>
        <v>0</v>
      </c>
      <c r="P923" s="33">
        <f>SUMIFS(Dump!R:R,Dump!B:B,C923,Dump!A:A,Y923)</f>
        <v>0</v>
      </c>
      <c r="Q923" s="34">
        <f t="shared" si="21"/>
        <v>0</v>
      </c>
      <c r="S923" s="4">
        <f>SUMIFS(Dump!E:E,Dump!B:B,C923,Dump!A:A,Y923)</f>
        <v>0</v>
      </c>
      <c r="T923" s="35">
        <f t="shared" si="22"/>
        <v>0</v>
      </c>
      <c r="V923" s="4">
        <f>SUMIFS(Dump!P:P,Dump!B:B,C923,Dump!A:A,Y923)</f>
        <v>0</v>
      </c>
      <c r="W923" s="37">
        <f t="shared" si="23"/>
        <v>0</v>
      </c>
      <c r="X923" s="39"/>
      <c r="Y923" s="54"/>
    </row>
    <row r="924">
      <c r="C924" s="53"/>
      <c r="G924" s="2" t="str">
        <f t="shared" si="27"/>
        <v/>
      </c>
      <c r="I924" s="4">
        <f>SUMIFS(Dump!D:D,Dump!B:B,C924)</f>
        <v>0</v>
      </c>
      <c r="J924" s="5">
        <f>SUMIFS(Dump!AE:AE,Dump!B:B,C924)</f>
        <v>0</v>
      </c>
      <c r="K924" s="4">
        <f>SUMPRODUCT(
  (TEXT(Dump!$A$2:$A994,"mmm-yy")=TEXT($Y924,"mmm-yy"))*
  (Dump!$B$2:$B994=$C924)*
  Dump!$D$2:$D994)</f>
        <v>0</v>
      </c>
      <c r="L924" s="4">
        <f>SUMPRODUCT(
  (TEXT(Dump!$A$2:$A994,"mmm-yy")=TEXT($Y924,"mmm-yy"))*
  (Dump!$B$2:$B994=$C924)*
  Dump!$E$2:$E994
)</f>
        <v>0</v>
      </c>
      <c r="M924" s="4">
        <f>SUMPRODUCT(
  (TEXT(Dump!$A$2:$A994,"mmm-yy")=TEXT($Y924,"mmm-yy"))*
  (Dump!$B$2:$B994=$C924)*
  Dump!$P$2:$P994
)</f>
        <v>0</v>
      </c>
      <c r="N924" s="32"/>
      <c r="O924" s="33">
        <f>SUMIFS(Dump!$D:$D,Dump!$B:$B,$C924,Dump!$A:$A,$Y924)</f>
        <v>0</v>
      </c>
      <c r="P924" s="33">
        <f>SUMIFS(Dump!R:R,Dump!B:B,C924,Dump!A:A,Y924)</f>
        <v>0</v>
      </c>
      <c r="Q924" s="34">
        <f t="shared" si="21"/>
        <v>0</v>
      </c>
      <c r="S924" s="4">
        <f>SUMIFS(Dump!E:E,Dump!B:B,C924,Dump!A:A,Y924)</f>
        <v>0</v>
      </c>
      <c r="T924" s="35">
        <f t="shared" si="22"/>
        <v>0</v>
      </c>
      <c r="V924" s="4">
        <f>SUMIFS(Dump!P:P,Dump!B:B,C924,Dump!A:A,Y924)</f>
        <v>0</v>
      </c>
      <c r="W924" s="37">
        <f t="shared" si="23"/>
        <v>0</v>
      </c>
      <c r="X924" s="39"/>
      <c r="Y924" s="54"/>
    </row>
    <row r="925">
      <c r="C925" s="53"/>
      <c r="G925" s="2" t="str">
        <f t="shared" si="27"/>
        <v/>
      </c>
      <c r="I925" s="4">
        <f>SUMIFS(Dump!D:D,Dump!B:B,C925)</f>
        <v>0</v>
      </c>
      <c r="J925" s="5">
        <f>SUMIFS(Dump!AE:AE,Dump!B:B,C925)</f>
        <v>0</v>
      </c>
      <c r="K925" s="4">
        <f>SUMPRODUCT(
  (TEXT(Dump!$A$2:$A994,"mmm-yy")=TEXT($Y925,"mmm-yy"))*
  (Dump!$B$2:$B994=$C925)*
  Dump!$D$2:$D994)</f>
        <v>0</v>
      </c>
      <c r="L925" s="4">
        <f>SUMPRODUCT(
  (TEXT(Dump!$A$2:$A994,"mmm-yy")=TEXT($Y925,"mmm-yy"))*
  (Dump!$B$2:$B994=$C925)*
  Dump!$E$2:$E994
)</f>
        <v>0</v>
      </c>
      <c r="M925" s="4">
        <f>SUMPRODUCT(
  (TEXT(Dump!$A$2:$A994,"mmm-yy")=TEXT($Y925,"mmm-yy"))*
  (Dump!$B$2:$B994=$C925)*
  Dump!$P$2:$P994
)</f>
        <v>0</v>
      </c>
      <c r="N925" s="32"/>
      <c r="O925" s="33">
        <f>SUMIFS(Dump!$D:$D,Dump!$B:$B,$C925,Dump!$A:$A,$Y925)</f>
        <v>0</v>
      </c>
      <c r="P925" s="33">
        <f>SUMIFS(Dump!R:R,Dump!B:B,C925,Dump!A:A,Y925)</f>
        <v>0</v>
      </c>
      <c r="Q925" s="34">
        <f t="shared" si="21"/>
        <v>0</v>
      </c>
      <c r="S925" s="4">
        <f>SUMIFS(Dump!E:E,Dump!B:B,C925,Dump!A:A,Y925)</f>
        <v>0</v>
      </c>
      <c r="T925" s="35">
        <f t="shared" si="22"/>
        <v>0</v>
      </c>
      <c r="V925" s="4">
        <f>SUMIFS(Dump!P:P,Dump!B:B,C925,Dump!A:A,Y925)</f>
        <v>0</v>
      </c>
      <c r="W925" s="37">
        <f t="shared" si="23"/>
        <v>0</v>
      </c>
      <c r="X925" s="39"/>
      <c r="Y925" s="54"/>
    </row>
    <row r="926">
      <c r="C926" s="53"/>
      <c r="G926" s="2" t="str">
        <f t="shared" si="27"/>
        <v/>
      </c>
      <c r="I926" s="4">
        <f>SUMIFS(Dump!D:D,Dump!B:B,C926)</f>
        <v>0</v>
      </c>
      <c r="J926" s="5">
        <f>SUMIFS(Dump!AE:AE,Dump!B:B,C926)</f>
        <v>0</v>
      </c>
      <c r="K926" s="4">
        <f>SUMPRODUCT(
  (TEXT(Dump!$A$2:$A994,"mmm-yy")=TEXT($Y926,"mmm-yy"))*
  (Dump!$B$2:$B994=$C926)*
  Dump!$D$2:$D994)</f>
        <v>0</v>
      </c>
      <c r="L926" s="4">
        <f>SUMPRODUCT(
  (TEXT(Dump!$A$2:$A994,"mmm-yy")=TEXT($Y926,"mmm-yy"))*
  (Dump!$B$2:$B994=$C926)*
  Dump!$E$2:$E994
)</f>
        <v>0</v>
      </c>
      <c r="M926" s="4">
        <f>SUMPRODUCT(
  (TEXT(Dump!$A$2:$A994,"mmm-yy")=TEXT($Y926,"mmm-yy"))*
  (Dump!$B$2:$B994=$C926)*
  Dump!$P$2:$P994
)</f>
        <v>0</v>
      </c>
      <c r="N926" s="32"/>
      <c r="O926" s="33">
        <f>SUMIFS(Dump!$D:$D,Dump!$B:$B,$C926,Dump!$A:$A,$Y926)</f>
        <v>0</v>
      </c>
      <c r="P926" s="33">
        <f>SUMIFS(Dump!R:R,Dump!B:B,C926,Dump!A:A,Y926)</f>
        <v>0</v>
      </c>
      <c r="Q926" s="34">
        <f t="shared" si="21"/>
        <v>0</v>
      </c>
      <c r="S926" s="4">
        <f>SUMIFS(Dump!E:E,Dump!B:B,C926,Dump!A:A,Y926)</f>
        <v>0</v>
      </c>
      <c r="T926" s="35">
        <f t="shared" si="22"/>
        <v>0</v>
      </c>
      <c r="V926" s="4">
        <f>SUMIFS(Dump!P:P,Dump!B:B,C926,Dump!A:A,Y926)</f>
        <v>0</v>
      </c>
      <c r="W926" s="37">
        <f t="shared" si="23"/>
        <v>0</v>
      </c>
      <c r="X926" s="39"/>
      <c r="Y926" s="54"/>
    </row>
    <row r="927">
      <c r="C927" s="53"/>
      <c r="G927" s="2" t="str">
        <f t="shared" si="27"/>
        <v/>
      </c>
      <c r="I927" s="4">
        <f>SUMIFS(Dump!D:D,Dump!B:B,C927)</f>
        <v>0</v>
      </c>
      <c r="J927" s="5">
        <f>SUMIFS(Dump!AE:AE,Dump!B:B,C927)</f>
        <v>0</v>
      </c>
      <c r="K927" s="4">
        <f>SUMPRODUCT(
  (TEXT(Dump!$A$2:$A994,"mmm-yy")=TEXT($Y927,"mmm-yy"))*
  (Dump!$B$2:$B994=$C927)*
  Dump!$D$2:$D994)</f>
        <v>0</v>
      </c>
      <c r="L927" s="4">
        <f>SUMPRODUCT(
  (TEXT(Dump!$A$2:$A994,"mmm-yy")=TEXT($Y927,"mmm-yy"))*
  (Dump!$B$2:$B994=$C927)*
  Dump!$E$2:$E994
)</f>
        <v>0</v>
      </c>
      <c r="M927" s="4">
        <f>SUMPRODUCT(
  (TEXT(Dump!$A$2:$A994,"mmm-yy")=TEXT($Y927,"mmm-yy"))*
  (Dump!$B$2:$B994=$C927)*
  Dump!$P$2:$P994
)</f>
        <v>0</v>
      </c>
      <c r="N927" s="32"/>
      <c r="O927" s="33">
        <f>SUMIFS(Dump!$D:$D,Dump!$B:$B,$C927,Dump!$A:$A,$Y927)</f>
        <v>0</v>
      </c>
      <c r="P927" s="33">
        <f>SUMIFS(Dump!R:R,Dump!B:B,C927,Dump!A:A,Y927)</f>
        <v>0</v>
      </c>
      <c r="Q927" s="34">
        <f t="shared" si="21"/>
        <v>0</v>
      </c>
      <c r="S927" s="4">
        <f>SUMIFS(Dump!E:E,Dump!B:B,C927,Dump!A:A,Y927)</f>
        <v>0</v>
      </c>
      <c r="T927" s="35">
        <f t="shared" si="22"/>
        <v>0</v>
      </c>
      <c r="V927" s="4">
        <f>SUMIFS(Dump!P:P,Dump!B:B,C927,Dump!A:A,Y927)</f>
        <v>0</v>
      </c>
      <c r="W927" s="37">
        <f t="shared" si="23"/>
        <v>0</v>
      </c>
      <c r="X927" s="39"/>
      <c r="Y927" s="54"/>
    </row>
    <row r="928">
      <c r="C928" s="53"/>
      <c r="G928" s="2" t="str">
        <f t="shared" si="27"/>
        <v/>
      </c>
      <c r="I928" s="4">
        <f>SUMIFS(Dump!D:D,Dump!B:B,C928)</f>
        <v>0</v>
      </c>
      <c r="J928" s="5">
        <f>SUMIFS(Dump!AE:AE,Dump!B:B,C928)</f>
        <v>0</v>
      </c>
      <c r="K928" s="4">
        <f>SUMPRODUCT(
  (TEXT(Dump!$A$2:$A994,"mmm-yy")=TEXT($Y928,"mmm-yy"))*
  (Dump!$B$2:$B994=$C928)*
  Dump!$D$2:$D994)</f>
        <v>0</v>
      </c>
      <c r="L928" s="4">
        <f>SUMPRODUCT(
  (TEXT(Dump!$A$2:$A994,"mmm-yy")=TEXT($Y928,"mmm-yy"))*
  (Dump!$B$2:$B994=$C928)*
  Dump!$E$2:$E994
)</f>
        <v>0</v>
      </c>
      <c r="M928" s="4">
        <f>SUMPRODUCT(
  (TEXT(Dump!$A$2:$A994,"mmm-yy")=TEXT($Y928,"mmm-yy"))*
  (Dump!$B$2:$B994=$C928)*
  Dump!$P$2:$P994
)</f>
        <v>0</v>
      </c>
      <c r="N928" s="32"/>
      <c r="O928" s="33">
        <f>SUMIFS(Dump!$D:$D,Dump!$B:$B,$C928,Dump!$A:$A,$Y928)</f>
        <v>0</v>
      </c>
      <c r="P928" s="33">
        <f>SUMIFS(Dump!R:R,Dump!B:B,C928,Dump!A:A,Y928)</f>
        <v>0</v>
      </c>
      <c r="Q928" s="34">
        <f t="shared" si="21"/>
        <v>0</v>
      </c>
      <c r="S928" s="4">
        <f>SUMIFS(Dump!E:E,Dump!B:B,C928,Dump!A:A,Y928)</f>
        <v>0</v>
      </c>
      <c r="T928" s="35">
        <f t="shared" si="22"/>
        <v>0</v>
      </c>
      <c r="V928" s="4">
        <f>SUMIFS(Dump!P:P,Dump!B:B,C928,Dump!A:A,Y928)</f>
        <v>0</v>
      </c>
      <c r="W928" s="37">
        <f t="shared" si="23"/>
        <v>0</v>
      </c>
      <c r="X928" s="39"/>
      <c r="Y928" s="54"/>
    </row>
    <row r="929">
      <c r="C929" s="53"/>
      <c r="G929" s="2" t="str">
        <f t="shared" si="27"/>
        <v/>
      </c>
      <c r="I929" s="4">
        <f>SUMIFS(Dump!D:D,Dump!B:B,C929)</f>
        <v>0</v>
      </c>
      <c r="J929" s="5">
        <f>SUMIFS(Dump!AE:AE,Dump!B:B,C929)</f>
        <v>0</v>
      </c>
      <c r="K929" s="4">
        <f>SUMPRODUCT(
  (TEXT(Dump!$A$2:$A994,"mmm-yy")=TEXT($Y929,"mmm-yy"))*
  (Dump!$B$2:$B994=$C929)*
  Dump!$D$2:$D994)</f>
        <v>0</v>
      </c>
      <c r="L929" s="4">
        <f>SUMPRODUCT(
  (TEXT(Dump!$A$2:$A994,"mmm-yy")=TEXT($Y929,"mmm-yy"))*
  (Dump!$B$2:$B994=$C929)*
  Dump!$E$2:$E994
)</f>
        <v>0</v>
      </c>
      <c r="M929" s="4">
        <f>SUMPRODUCT(
  (TEXT(Dump!$A$2:$A994,"mmm-yy")=TEXT($Y929,"mmm-yy"))*
  (Dump!$B$2:$B994=$C929)*
  Dump!$P$2:$P994
)</f>
        <v>0</v>
      </c>
      <c r="N929" s="32"/>
      <c r="O929" s="33">
        <f>SUMIFS(Dump!$D:$D,Dump!$B:$B,$C929,Dump!$A:$A,$Y929)</f>
        <v>0</v>
      </c>
      <c r="P929" s="33">
        <f>SUMIFS(Dump!R:R,Dump!B:B,C929,Dump!A:A,Y929)</f>
        <v>0</v>
      </c>
      <c r="Q929" s="34">
        <f t="shared" si="21"/>
        <v>0</v>
      </c>
      <c r="S929" s="4">
        <f>SUMIFS(Dump!E:E,Dump!B:B,C929,Dump!A:A,Y929)</f>
        <v>0</v>
      </c>
      <c r="T929" s="35">
        <f t="shared" si="22"/>
        <v>0</v>
      </c>
      <c r="V929" s="4">
        <f>SUMIFS(Dump!P:P,Dump!B:B,C929,Dump!A:A,Y929)</f>
        <v>0</v>
      </c>
      <c r="W929" s="37">
        <f t="shared" si="23"/>
        <v>0</v>
      </c>
      <c r="X929" s="39"/>
      <c r="Y929" s="54"/>
    </row>
    <row r="930">
      <c r="C930" s="53"/>
      <c r="G930" s="2" t="str">
        <f t="shared" si="27"/>
        <v/>
      </c>
      <c r="I930" s="4">
        <f>SUMIFS(Dump!D:D,Dump!B:B,C930)</f>
        <v>0</v>
      </c>
      <c r="J930" s="5">
        <f>SUMIFS(Dump!AE:AE,Dump!B:B,C930)</f>
        <v>0</v>
      </c>
      <c r="K930" s="4">
        <f>SUMPRODUCT(
  (TEXT(Dump!$A$2:$A994,"mmm-yy")=TEXT($Y930,"mmm-yy"))*
  (Dump!$B$2:$B994=$C930)*
  Dump!$D$2:$D994)</f>
        <v>0</v>
      </c>
      <c r="L930" s="4">
        <f>SUMPRODUCT(
  (TEXT(Dump!$A$2:$A994,"mmm-yy")=TEXT($Y930,"mmm-yy"))*
  (Dump!$B$2:$B994=$C930)*
  Dump!$E$2:$E994
)</f>
        <v>0</v>
      </c>
      <c r="M930" s="4">
        <f>SUMPRODUCT(
  (TEXT(Dump!$A$2:$A994,"mmm-yy")=TEXT($Y930,"mmm-yy"))*
  (Dump!$B$2:$B994=$C930)*
  Dump!$P$2:$P994
)</f>
        <v>0</v>
      </c>
      <c r="N930" s="32"/>
      <c r="O930" s="33">
        <f>SUMIFS(Dump!$D:$D,Dump!$B:$B,$C930,Dump!$A:$A,$Y930)</f>
        <v>0</v>
      </c>
      <c r="P930" s="33">
        <f>SUMIFS(Dump!R:R,Dump!B:B,C930,Dump!A:A,Y930)</f>
        <v>0</v>
      </c>
      <c r="Q930" s="34">
        <f t="shared" si="21"/>
        <v>0</v>
      </c>
      <c r="S930" s="4">
        <f>SUMIFS(Dump!E:E,Dump!B:B,C930,Dump!A:A,Y930)</f>
        <v>0</v>
      </c>
      <c r="T930" s="35">
        <f t="shared" si="22"/>
        <v>0</v>
      </c>
      <c r="V930" s="4">
        <f>SUMIFS(Dump!P:P,Dump!B:B,C930,Dump!A:A,Y930)</f>
        <v>0</v>
      </c>
      <c r="W930" s="37">
        <f t="shared" si="23"/>
        <v>0</v>
      </c>
      <c r="X930" s="39"/>
      <c r="Y930" s="54"/>
    </row>
    <row r="931">
      <c r="C931" s="53"/>
      <c r="G931" s="2" t="str">
        <f t="shared" si="27"/>
        <v/>
      </c>
      <c r="I931" s="4">
        <f>SUMIFS(Dump!D:D,Dump!B:B,C931)</f>
        <v>0</v>
      </c>
      <c r="J931" s="5">
        <f>SUMIFS(Dump!AE:AE,Dump!B:B,C931)</f>
        <v>0</v>
      </c>
      <c r="K931" s="4">
        <f>SUMPRODUCT(
  (TEXT(Dump!$A$2:$A994,"mmm-yy")=TEXT($Y931,"mmm-yy"))*
  (Dump!$B$2:$B994=$C931)*
  Dump!$D$2:$D994)</f>
        <v>0</v>
      </c>
      <c r="L931" s="4">
        <f>SUMPRODUCT(
  (TEXT(Dump!$A$2:$A994,"mmm-yy")=TEXT($Y931,"mmm-yy"))*
  (Dump!$B$2:$B994=$C931)*
  Dump!$E$2:$E994
)</f>
        <v>0</v>
      </c>
      <c r="M931" s="4">
        <f>SUMPRODUCT(
  (TEXT(Dump!$A$2:$A994,"mmm-yy")=TEXT($Y931,"mmm-yy"))*
  (Dump!$B$2:$B994=$C931)*
  Dump!$P$2:$P994
)</f>
        <v>0</v>
      </c>
      <c r="N931" s="32"/>
      <c r="O931" s="33">
        <f>SUMIFS(Dump!$D:$D,Dump!$B:$B,$C931,Dump!$A:$A,$Y931)</f>
        <v>0</v>
      </c>
      <c r="P931" s="33">
        <f>SUMIFS(Dump!R:R,Dump!B:B,C931,Dump!A:A,Y931)</f>
        <v>0</v>
      </c>
      <c r="Q931" s="34">
        <f t="shared" si="21"/>
        <v>0</v>
      </c>
      <c r="S931" s="4">
        <f>SUMIFS(Dump!E:E,Dump!B:B,C931,Dump!A:A,Y931)</f>
        <v>0</v>
      </c>
      <c r="T931" s="35">
        <f t="shared" si="22"/>
        <v>0</v>
      </c>
      <c r="V931" s="4">
        <f>SUMIFS(Dump!P:P,Dump!B:B,C931,Dump!A:A,Y931)</f>
        <v>0</v>
      </c>
      <c r="W931" s="37">
        <f t="shared" si="23"/>
        <v>0</v>
      </c>
      <c r="X931" s="39"/>
      <c r="Y931" s="54"/>
    </row>
    <row r="932">
      <c r="C932" s="53"/>
      <c r="G932" s="2" t="str">
        <f t="shared" si="27"/>
        <v/>
      </c>
      <c r="I932" s="4">
        <f>SUMIFS(Dump!D:D,Dump!B:B,C932)</f>
        <v>0</v>
      </c>
      <c r="J932" s="5">
        <f>SUMIFS(Dump!AE:AE,Dump!B:B,C932)</f>
        <v>0</v>
      </c>
      <c r="K932" s="4">
        <f>SUMPRODUCT(
  (TEXT(Dump!$A$2:$A994,"mmm-yy")=TEXT($Y932,"mmm-yy"))*
  (Dump!$B$2:$B994=$C932)*
  Dump!$D$2:$D994)</f>
        <v>0</v>
      </c>
      <c r="L932" s="4">
        <f>SUMPRODUCT(
  (TEXT(Dump!$A$2:$A994,"mmm-yy")=TEXT($Y932,"mmm-yy"))*
  (Dump!$B$2:$B994=$C932)*
  Dump!$E$2:$E994
)</f>
        <v>0</v>
      </c>
      <c r="M932" s="4">
        <f>SUMPRODUCT(
  (TEXT(Dump!$A$2:$A994,"mmm-yy")=TEXT($Y932,"mmm-yy"))*
  (Dump!$B$2:$B994=$C932)*
  Dump!$P$2:$P994
)</f>
        <v>0</v>
      </c>
      <c r="N932" s="32"/>
      <c r="O932" s="33">
        <f>SUMIFS(Dump!$D:$D,Dump!$B:$B,$C932,Dump!$A:$A,$Y932)</f>
        <v>0</v>
      </c>
      <c r="P932" s="33">
        <f>SUMIFS(Dump!R:R,Dump!B:B,C932,Dump!A:A,Y932)</f>
        <v>0</v>
      </c>
      <c r="Q932" s="34">
        <f t="shared" si="21"/>
        <v>0</v>
      </c>
      <c r="S932" s="4">
        <f>SUMIFS(Dump!E:E,Dump!B:B,C932,Dump!A:A,Y932)</f>
        <v>0</v>
      </c>
      <c r="T932" s="35">
        <f t="shared" si="22"/>
        <v>0</v>
      </c>
      <c r="V932" s="4">
        <f>SUMIFS(Dump!P:P,Dump!B:B,C932,Dump!A:A,Y932)</f>
        <v>0</v>
      </c>
      <c r="W932" s="37">
        <f t="shared" si="23"/>
        <v>0</v>
      </c>
      <c r="X932" s="39"/>
      <c r="Y932" s="54"/>
    </row>
    <row r="933">
      <c r="C933" s="53"/>
      <c r="G933" s="2" t="str">
        <f t="shared" si="27"/>
        <v/>
      </c>
      <c r="I933" s="4">
        <f>SUMIFS(Dump!D:D,Dump!B:B,C933)</f>
        <v>0</v>
      </c>
      <c r="J933" s="5">
        <f>SUMIFS(Dump!AE:AE,Dump!B:B,C933)</f>
        <v>0</v>
      </c>
      <c r="K933" s="4">
        <f>SUMPRODUCT(
  (TEXT(Dump!$A$2:$A994,"mmm-yy")=TEXT($Y933,"mmm-yy"))*
  (Dump!$B$2:$B994=$C933)*
  Dump!$D$2:$D994)</f>
        <v>0</v>
      </c>
      <c r="L933" s="4">
        <f>SUMPRODUCT(
  (TEXT(Dump!$A$2:$A994,"mmm-yy")=TEXT($Y933,"mmm-yy"))*
  (Dump!$B$2:$B994=$C933)*
  Dump!$E$2:$E994
)</f>
        <v>0</v>
      </c>
      <c r="M933" s="4">
        <f>SUMPRODUCT(
  (TEXT(Dump!$A$2:$A994,"mmm-yy")=TEXT($Y933,"mmm-yy"))*
  (Dump!$B$2:$B994=$C933)*
  Dump!$P$2:$P994
)</f>
        <v>0</v>
      </c>
      <c r="N933" s="32"/>
      <c r="O933" s="33">
        <f>SUMIFS(Dump!$D:$D,Dump!$B:$B,$C933,Dump!$A:$A,$Y933)</f>
        <v>0</v>
      </c>
      <c r="P933" s="33">
        <f>SUMIFS(Dump!R:R,Dump!B:B,C933,Dump!A:A,Y933)</f>
        <v>0</v>
      </c>
      <c r="Q933" s="34">
        <f t="shared" si="21"/>
        <v>0</v>
      </c>
      <c r="S933" s="4">
        <f>SUMIFS(Dump!E:E,Dump!B:B,C933,Dump!A:A,Y933)</f>
        <v>0</v>
      </c>
      <c r="T933" s="35">
        <f t="shared" si="22"/>
        <v>0</v>
      </c>
      <c r="V933" s="4">
        <f>SUMIFS(Dump!P:P,Dump!B:B,C933,Dump!A:A,Y933)</f>
        <v>0</v>
      </c>
      <c r="W933" s="37">
        <f t="shared" si="23"/>
        <v>0</v>
      </c>
      <c r="X933" s="39"/>
      <c r="Y933" s="54"/>
    </row>
    <row r="934">
      <c r="C934" s="53"/>
      <c r="G934" s="2" t="str">
        <f t="shared" si="27"/>
        <v/>
      </c>
      <c r="I934" s="4">
        <f>SUMIFS(Dump!D:D,Dump!B:B,C934)</f>
        <v>0</v>
      </c>
      <c r="J934" s="5">
        <f>SUMIFS(Dump!AE:AE,Dump!B:B,C934)</f>
        <v>0</v>
      </c>
      <c r="K934" s="4">
        <f>SUMPRODUCT(
  (TEXT(Dump!$A$2:$A994,"mmm-yy")=TEXT($Y934,"mmm-yy"))*
  (Dump!$B$2:$B994=$C934)*
  Dump!$D$2:$D994)</f>
        <v>0</v>
      </c>
      <c r="L934" s="4">
        <f>SUMPRODUCT(
  (TEXT(Dump!$A$2:$A994,"mmm-yy")=TEXT($Y934,"mmm-yy"))*
  (Dump!$B$2:$B994=$C934)*
  Dump!$E$2:$E994
)</f>
        <v>0</v>
      </c>
      <c r="M934" s="4">
        <f>SUMPRODUCT(
  (TEXT(Dump!$A$2:$A994,"mmm-yy")=TEXT($Y934,"mmm-yy"))*
  (Dump!$B$2:$B994=$C934)*
  Dump!$P$2:$P994
)</f>
        <v>0</v>
      </c>
      <c r="N934" s="32"/>
      <c r="O934" s="33">
        <f>SUMIFS(Dump!$D:$D,Dump!$B:$B,$C934,Dump!$A:$A,$Y934)</f>
        <v>0</v>
      </c>
      <c r="P934" s="33">
        <f>SUMIFS(Dump!R:R,Dump!B:B,C934,Dump!A:A,Y934)</f>
        <v>0</v>
      </c>
      <c r="Q934" s="34">
        <f t="shared" si="21"/>
        <v>0</v>
      </c>
      <c r="S934" s="4">
        <f>SUMIFS(Dump!E:E,Dump!B:B,C934,Dump!A:A,Y934)</f>
        <v>0</v>
      </c>
      <c r="T934" s="35">
        <f t="shared" si="22"/>
        <v>0</v>
      </c>
      <c r="V934" s="4">
        <f>SUMIFS(Dump!P:P,Dump!B:B,C934,Dump!A:A,Y934)</f>
        <v>0</v>
      </c>
      <c r="W934" s="37">
        <f t="shared" si="23"/>
        <v>0</v>
      </c>
      <c r="X934" s="39"/>
      <c r="Y934" s="54"/>
    </row>
    <row r="935">
      <c r="C935" s="53"/>
      <c r="G935" s="2" t="str">
        <f t="shared" si="27"/>
        <v/>
      </c>
      <c r="I935" s="4">
        <f>SUMIFS(Dump!D:D,Dump!B:B,C935)</f>
        <v>0</v>
      </c>
      <c r="J935" s="5">
        <f>SUMIFS(Dump!AE:AE,Dump!B:B,C935)</f>
        <v>0</v>
      </c>
      <c r="K935" s="4">
        <f>SUMPRODUCT(
  (TEXT(Dump!$A$2:$A994,"mmm-yy")=TEXT($Y935,"mmm-yy"))*
  (Dump!$B$2:$B994=$C935)*
  Dump!$D$2:$D994)</f>
        <v>0</v>
      </c>
      <c r="L935" s="4">
        <f>SUMPRODUCT(
  (TEXT(Dump!$A$2:$A994,"mmm-yy")=TEXT($Y935,"mmm-yy"))*
  (Dump!$B$2:$B994=$C935)*
  Dump!$E$2:$E994
)</f>
        <v>0</v>
      </c>
      <c r="M935" s="4">
        <f>SUMPRODUCT(
  (TEXT(Dump!$A$2:$A994,"mmm-yy")=TEXT($Y935,"mmm-yy"))*
  (Dump!$B$2:$B994=$C935)*
  Dump!$P$2:$P994
)</f>
        <v>0</v>
      </c>
      <c r="N935" s="32"/>
      <c r="O935" s="33">
        <f>SUMIFS(Dump!$D:$D,Dump!$B:$B,$C935,Dump!$A:$A,$Y935)</f>
        <v>0</v>
      </c>
      <c r="P935" s="33">
        <f>SUMIFS(Dump!R:R,Dump!B:B,C935,Dump!A:A,Y935)</f>
        <v>0</v>
      </c>
      <c r="Q935" s="34">
        <f t="shared" si="21"/>
        <v>0</v>
      </c>
      <c r="S935" s="4">
        <f>SUMIFS(Dump!E:E,Dump!B:B,C935,Dump!A:A,Y935)</f>
        <v>0</v>
      </c>
      <c r="T935" s="35">
        <f t="shared" si="22"/>
        <v>0</v>
      </c>
      <c r="V935" s="4">
        <f>SUMIFS(Dump!P:P,Dump!B:B,C935,Dump!A:A,Y935)</f>
        <v>0</v>
      </c>
      <c r="W935" s="37">
        <f t="shared" si="23"/>
        <v>0</v>
      </c>
      <c r="X935" s="39"/>
      <c r="Y935" s="54"/>
    </row>
    <row r="936">
      <c r="C936" s="53"/>
      <c r="G936" s="2" t="str">
        <f t="shared" si="27"/>
        <v/>
      </c>
      <c r="I936" s="4">
        <f>SUMIFS(Dump!D:D,Dump!B:B,C936)</f>
        <v>0</v>
      </c>
      <c r="J936" s="5">
        <f>SUMIFS(Dump!AE:AE,Dump!B:B,C936)</f>
        <v>0</v>
      </c>
      <c r="K936" s="4">
        <f>SUMPRODUCT(
  (TEXT(Dump!$A$2:$A994,"mmm-yy")=TEXT($Y936,"mmm-yy"))*
  (Dump!$B$2:$B994=$C936)*
  Dump!$D$2:$D994)</f>
        <v>0</v>
      </c>
      <c r="L936" s="4">
        <f>SUMPRODUCT(
  (TEXT(Dump!$A$2:$A994,"mmm-yy")=TEXT($Y936,"mmm-yy"))*
  (Dump!$B$2:$B994=$C936)*
  Dump!$E$2:$E994
)</f>
        <v>0</v>
      </c>
      <c r="M936" s="4">
        <f>SUMPRODUCT(
  (TEXT(Dump!$A$2:$A994,"mmm-yy")=TEXT($Y936,"mmm-yy"))*
  (Dump!$B$2:$B994=$C936)*
  Dump!$P$2:$P994
)</f>
        <v>0</v>
      </c>
      <c r="N936" s="32"/>
      <c r="O936" s="33">
        <f>SUMIFS(Dump!$D:$D,Dump!$B:$B,$C936,Dump!$A:$A,$Y936)</f>
        <v>0</v>
      </c>
      <c r="P936" s="33">
        <f>SUMIFS(Dump!R:R,Dump!B:B,C936,Dump!A:A,Y936)</f>
        <v>0</v>
      </c>
      <c r="Q936" s="34">
        <f t="shared" si="21"/>
        <v>0</v>
      </c>
      <c r="S936" s="4">
        <f>SUMIFS(Dump!E:E,Dump!B:B,C936,Dump!A:A,Y936)</f>
        <v>0</v>
      </c>
      <c r="T936" s="35">
        <f t="shared" si="22"/>
        <v>0</v>
      </c>
      <c r="V936" s="4">
        <f>SUMIFS(Dump!P:P,Dump!B:B,C936,Dump!A:A,Y936)</f>
        <v>0</v>
      </c>
      <c r="W936" s="37">
        <f t="shared" si="23"/>
        <v>0</v>
      </c>
      <c r="X936" s="39"/>
      <c r="Y936" s="54"/>
    </row>
    <row r="937">
      <c r="C937" s="53"/>
      <c r="G937" s="2" t="str">
        <f t="shared" si="27"/>
        <v/>
      </c>
      <c r="I937" s="4">
        <f>SUMIFS(Dump!D:D,Dump!B:B,C937)</f>
        <v>0</v>
      </c>
      <c r="J937" s="5">
        <f>SUMIFS(Dump!AE:AE,Dump!B:B,C937)</f>
        <v>0</v>
      </c>
      <c r="K937" s="4">
        <f>SUMPRODUCT(
  (TEXT(Dump!$A$2:$A994,"mmm-yy")=TEXT($Y937,"mmm-yy"))*
  (Dump!$B$2:$B994=$C937)*
  Dump!$D$2:$D994)</f>
        <v>0</v>
      </c>
      <c r="L937" s="4">
        <f>SUMPRODUCT(
  (TEXT(Dump!$A$2:$A994,"mmm-yy")=TEXT($Y937,"mmm-yy"))*
  (Dump!$B$2:$B994=$C937)*
  Dump!$E$2:$E994
)</f>
        <v>0</v>
      </c>
      <c r="M937" s="4">
        <f>SUMPRODUCT(
  (TEXT(Dump!$A$2:$A994,"mmm-yy")=TEXT($Y937,"mmm-yy"))*
  (Dump!$B$2:$B994=$C937)*
  Dump!$P$2:$P994
)</f>
        <v>0</v>
      </c>
      <c r="N937" s="32"/>
      <c r="O937" s="33">
        <f>SUMIFS(Dump!$D:$D,Dump!$B:$B,$C937,Dump!$A:$A,$Y937)</f>
        <v>0</v>
      </c>
      <c r="P937" s="33">
        <f>SUMIFS(Dump!R:R,Dump!B:B,C937,Dump!A:A,Y937)</f>
        <v>0</v>
      </c>
      <c r="Q937" s="34">
        <f t="shared" si="21"/>
        <v>0</v>
      </c>
      <c r="S937" s="4">
        <f>SUMIFS(Dump!E:E,Dump!B:B,C937,Dump!A:A,Y937)</f>
        <v>0</v>
      </c>
      <c r="T937" s="35">
        <f t="shared" si="22"/>
        <v>0</v>
      </c>
      <c r="V937" s="4">
        <f>SUMIFS(Dump!P:P,Dump!B:B,C937,Dump!A:A,Y937)</f>
        <v>0</v>
      </c>
      <c r="W937" s="37">
        <f t="shared" si="23"/>
        <v>0</v>
      </c>
      <c r="X937" s="39"/>
      <c r="Y937" s="54"/>
    </row>
    <row r="938">
      <c r="C938" s="53"/>
      <c r="G938" s="2" t="str">
        <f t="shared" si="27"/>
        <v/>
      </c>
      <c r="I938" s="4">
        <f>SUMIFS(Dump!D:D,Dump!B:B,C938)</f>
        <v>0</v>
      </c>
      <c r="J938" s="5">
        <f>SUMIFS(Dump!AE:AE,Dump!B:B,C938)</f>
        <v>0</v>
      </c>
      <c r="K938" s="4">
        <f>SUMPRODUCT(
  (TEXT(Dump!$A$2:$A994,"mmm-yy")=TEXT($Y938,"mmm-yy"))*
  (Dump!$B$2:$B994=$C938)*
  Dump!$D$2:$D994)</f>
        <v>0</v>
      </c>
      <c r="L938" s="4">
        <f>SUMPRODUCT(
  (TEXT(Dump!$A$2:$A994,"mmm-yy")=TEXT($Y938,"mmm-yy"))*
  (Dump!$B$2:$B994=$C938)*
  Dump!$E$2:$E994
)</f>
        <v>0</v>
      </c>
      <c r="M938" s="4">
        <f>SUMPRODUCT(
  (TEXT(Dump!$A$2:$A994,"mmm-yy")=TEXT($Y938,"mmm-yy"))*
  (Dump!$B$2:$B994=$C938)*
  Dump!$P$2:$P994
)</f>
        <v>0</v>
      </c>
      <c r="N938" s="32"/>
      <c r="O938" s="33">
        <f>SUMIFS(Dump!$D:$D,Dump!$B:$B,$C938,Dump!$A:$A,$Y938)</f>
        <v>0</v>
      </c>
      <c r="P938" s="33">
        <f>SUMIFS(Dump!R:R,Dump!B:B,C938,Dump!A:A,Y938)</f>
        <v>0</v>
      </c>
      <c r="Q938" s="34">
        <f t="shared" si="21"/>
        <v>0</v>
      </c>
      <c r="S938" s="4">
        <f>SUMIFS(Dump!E:E,Dump!B:B,C938,Dump!A:A,Y938)</f>
        <v>0</v>
      </c>
      <c r="T938" s="35">
        <f t="shared" si="22"/>
        <v>0</v>
      </c>
      <c r="V938" s="4">
        <f>SUMIFS(Dump!P:P,Dump!B:B,C938,Dump!A:A,Y938)</f>
        <v>0</v>
      </c>
      <c r="W938" s="37">
        <f t="shared" si="23"/>
        <v>0</v>
      </c>
      <c r="X938" s="39"/>
      <c r="Y938" s="54"/>
    </row>
    <row r="939">
      <c r="C939" s="53"/>
      <c r="G939" s="2" t="str">
        <f t="shared" si="27"/>
        <v/>
      </c>
      <c r="I939" s="4">
        <f>SUMIFS(Dump!D:D,Dump!B:B,C939)</f>
        <v>0</v>
      </c>
      <c r="J939" s="5">
        <f>SUMIFS(Dump!AE:AE,Dump!B:B,C939)</f>
        <v>0</v>
      </c>
      <c r="K939" s="4">
        <f>SUMPRODUCT(
  (TEXT(Dump!$A$2:$A994,"mmm-yy")=TEXT($Y939,"mmm-yy"))*
  (Dump!$B$2:$B994=$C939)*
  Dump!$D$2:$D994)</f>
        <v>0</v>
      </c>
      <c r="L939" s="4">
        <f>SUMPRODUCT(
  (TEXT(Dump!$A$2:$A994,"mmm-yy")=TEXT($Y939,"mmm-yy"))*
  (Dump!$B$2:$B994=$C939)*
  Dump!$E$2:$E994
)</f>
        <v>0</v>
      </c>
      <c r="M939" s="4">
        <f>SUMPRODUCT(
  (TEXT(Dump!$A$2:$A994,"mmm-yy")=TEXT($Y939,"mmm-yy"))*
  (Dump!$B$2:$B994=$C939)*
  Dump!$P$2:$P994
)</f>
        <v>0</v>
      </c>
      <c r="N939" s="32"/>
      <c r="O939" s="33">
        <f>SUMIFS(Dump!$D:$D,Dump!$B:$B,$C939,Dump!$A:$A,$Y939)</f>
        <v>0</v>
      </c>
      <c r="P939" s="33">
        <f>SUMIFS(Dump!R:R,Dump!B:B,C939,Dump!A:A,Y939)</f>
        <v>0</v>
      </c>
      <c r="Q939" s="34">
        <f t="shared" si="21"/>
        <v>0</v>
      </c>
      <c r="S939" s="4">
        <f>SUMIFS(Dump!E:E,Dump!B:B,C939,Dump!A:A,Y939)</f>
        <v>0</v>
      </c>
      <c r="T939" s="35">
        <f t="shared" si="22"/>
        <v>0</v>
      </c>
      <c r="V939" s="4">
        <f>SUMIFS(Dump!P:P,Dump!B:B,C939,Dump!A:A,Y939)</f>
        <v>0</v>
      </c>
      <c r="W939" s="37">
        <f t="shared" si="23"/>
        <v>0</v>
      </c>
      <c r="X939" s="39"/>
      <c r="Y939" s="54"/>
    </row>
    <row r="940">
      <c r="C940" s="53"/>
      <c r="G940" s="2" t="str">
        <f t="shared" si="27"/>
        <v/>
      </c>
      <c r="I940" s="4">
        <f>SUMIFS(Dump!D:D,Dump!B:B,C940)</f>
        <v>0</v>
      </c>
      <c r="J940" s="5">
        <f>SUMIFS(Dump!AE:AE,Dump!B:B,C940)</f>
        <v>0</v>
      </c>
      <c r="K940" s="4">
        <f>SUMPRODUCT(
  (TEXT(Dump!$A$2:$A994,"mmm-yy")=TEXT($Y940,"mmm-yy"))*
  (Dump!$B$2:$B994=$C940)*
  Dump!$D$2:$D994)</f>
        <v>0</v>
      </c>
      <c r="L940" s="4">
        <f>SUMPRODUCT(
  (TEXT(Dump!$A$2:$A994,"mmm-yy")=TEXT($Y940,"mmm-yy"))*
  (Dump!$B$2:$B994=$C940)*
  Dump!$E$2:$E994
)</f>
        <v>0</v>
      </c>
      <c r="M940" s="4">
        <f>SUMPRODUCT(
  (TEXT(Dump!$A$2:$A994,"mmm-yy")=TEXT($Y940,"mmm-yy"))*
  (Dump!$B$2:$B994=$C940)*
  Dump!$P$2:$P994
)</f>
        <v>0</v>
      </c>
      <c r="N940" s="32"/>
      <c r="O940" s="33">
        <f>SUMIFS(Dump!$D:$D,Dump!$B:$B,$C940,Dump!$A:$A,$Y940)</f>
        <v>0</v>
      </c>
      <c r="P940" s="33">
        <f>SUMIFS(Dump!R:R,Dump!B:B,C940,Dump!A:A,Y940)</f>
        <v>0</v>
      </c>
      <c r="Q940" s="34">
        <f t="shared" si="21"/>
        <v>0</v>
      </c>
      <c r="S940" s="4">
        <f>SUMIFS(Dump!E:E,Dump!B:B,C940,Dump!A:A,Y940)</f>
        <v>0</v>
      </c>
      <c r="T940" s="35">
        <f t="shared" si="22"/>
        <v>0</v>
      </c>
      <c r="V940" s="4">
        <f>SUMIFS(Dump!P:P,Dump!B:B,C940,Dump!A:A,Y940)</f>
        <v>0</v>
      </c>
      <c r="W940" s="37">
        <f t="shared" si="23"/>
        <v>0</v>
      </c>
      <c r="X940" s="39"/>
      <c r="Y940" s="54"/>
    </row>
    <row r="941">
      <c r="C941" s="53"/>
      <c r="G941" s="2" t="str">
        <f t="shared" si="27"/>
        <v/>
      </c>
      <c r="I941" s="4">
        <f>SUMIFS(Dump!D:D,Dump!B:B,C941)</f>
        <v>0</v>
      </c>
      <c r="J941" s="5">
        <f>SUMIFS(Dump!AE:AE,Dump!B:B,C941)</f>
        <v>0</v>
      </c>
      <c r="K941" s="4">
        <f>SUMPRODUCT(
  (TEXT(Dump!$A$2:$A994,"mmm-yy")=TEXT($Y941,"mmm-yy"))*
  (Dump!$B$2:$B994=$C941)*
  Dump!$D$2:$D994)</f>
        <v>0</v>
      </c>
      <c r="L941" s="4">
        <f>SUMPRODUCT(
  (TEXT(Dump!$A$2:$A994,"mmm-yy")=TEXT($Y941,"mmm-yy"))*
  (Dump!$B$2:$B994=$C941)*
  Dump!$E$2:$E994
)</f>
        <v>0</v>
      </c>
      <c r="M941" s="4">
        <f>SUMPRODUCT(
  (TEXT(Dump!$A$2:$A994,"mmm-yy")=TEXT($Y941,"mmm-yy"))*
  (Dump!$B$2:$B994=$C941)*
  Dump!$P$2:$P994
)</f>
        <v>0</v>
      </c>
      <c r="N941" s="32"/>
      <c r="O941" s="33">
        <f>SUMIFS(Dump!$D:$D,Dump!$B:$B,$C941,Dump!$A:$A,$Y941)</f>
        <v>0</v>
      </c>
      <c r="P941" s="33">
        <f>SUMIFS(Dump!R:R,Dump!B:B,C941,Dump!A:A,Y941)</f>
        <v>0</v>
      </c>
      <c r="Q941" s="34">
        <f t="shared" si="21"/>
        <v>0</v>
      </c>
      <c r="S941" s="4">
        <f>SUMIFS(Dump!E:E,Dump!B:B,C941,Dump!A:A,Y941)</f>
        <v>0</v>
      </c>
      <c r="T941" s="35">
        <f t="shared" si="22"/>
        <v>0</v>
      </c>
      <c r="V941" s="4">
        <f>SUMIFS(Dump!P:P,Dump!B:B,C941,Dump!A:A,Y941)</f>
        <v>0</v>
      </c>
      <c r="W941" s="37">
        <f t="shared" si="23"/>
        <v>0</v>
      </c>
      <c r="X941" s="39"/>
      <c r="Y941" s="54"/>
    </row>
    <row r="942">
      <c r="C942" s="53"/>
      <c r="G942" s="2" t="str">
        <f t="shared" si="27"/>
        <v/>
      </c>
      <c r="I942" s="4">
        <f>SUMIFS(Dump!D:D,Dump!B:B,C942)</f>
        <v>0</v>
      </c>
      <c r="J942" s="5">
        <f>SUMIFS(Dump!AE:AE,Dump!B:B,C942)</f>
        <v>0</v>
      </c>
      <c r="K942" s="4">
        <f>SUMPRODUCT(
  (TEXT(Dump!$A$2:$A994,"mmm-yy")=TEXT($Y942,"mmm-yy"))*
  (Dump!$B$2:$B994=$C942)*
  Dump!$D$2:$D994)</f>
        <v>0</v>
      </c>
      <c r="L942" s="4">
        <f>SUMPRODUCT(
  (TEXT(Dump!$A$2:$A994,"mmm-yy")=TEXT($Y942,"mmm-yy"))*
  (Dump!$B$2:$B994=$C942)*
  Dump!$E$2:$E994
)</f>
        <v>0</v>
      </c>
      <c r="M942" s="4">
        <f>SUMPRODUCT(
  (TEXT(Dump!$A$2:$A994,"mmm-yy")=TEXT($Y942,"mmm-yy"))*
  (Dump!$B$2:$B994=$C942)*
  Dump!$P$2:$P994
)</f>
        <v>0</v>
      </c>
      <c r="N942" s="32"/>
      <c r="O942" s="33">
        <f>SUMIFS(Dump!$D:$D,Dump!$B:$B,$C942,Dump!$A:$A,$Y942)</f>
        <v>0</v>
      </c>
      <c r="P942" s="33">
        <f>SUMIFS(Dump!R:R,Dump!B:B,C942,Dump!A:A,Y942)</f>
        <v>0</v>
      </c>
      <c r="Q942" s="34">
        <f t="shared" si="21"/>
        <v>0</v>
      </c>
      <c r="S942" s="4">
        <f>SUMIFS(Dump!E:E,Dump!B:B,C942,Dump!A:A,Y942)</f>
        <v>0</v>
      </c>
      <c r="T942" s="35">
        <f t="shared" si="22"/>
        <v>0</v>
      </c>
      <c r="V942" s="4">
        <f>SUMIFS(Dump!P:P,Dump!B:B,C942,Dump!A:A,Y942)</f>
        <v>0</v>
      </c>
      <c r="W942" s="37">
        <f t="shared" si="23"/>
        <v>0</v>
      </c>
      <c r="X942" s="39"/>
      <c r="Y942" s="54"/>
    </row>
    <row r="943">
      <c r="C943" s="53"/>
      <c r="G943" s="2" t="str">
        <f t="shared" si="27"/>
        <v/>
      </c>
      <c r="I943" s="4">
        <f>SUMIFS(Dump!D:D,Dump!B:B,C943)</f>
        <v>0</v>
      </c>
      <c r="J943" s="5">
        <f>SUMIFS(Dump!AE:AE,Dump!B:B,C943)</f>
        <v>0</v>
      </c>
      <c r="K943" s="4">
        <f>SUMPRODUCT(
  (TEXT(Dump!$A$2:$A994,"mmm-yy")=TEXT($Y943,"mmm-yy"))*
  (Dump!$B$2:$B994=$C943)*
  Dump!$D$2:$D994)</f>
        <v>0</v>
      </c>
      <c r="L943" s="4">
        <f>SUMPRODUCT(
  (TEXT(Dump!$A$2:$A994,"mmm-yy")=TEXT($Y943,"mmm-yy"))*
  (Dump!$B$2:$B994=$C943)*
  Dump!$E$2:$E994
)</f>
        <v>0</v>
      </c>
      <c r="M943" s="4">
        <f>SUMPRODUCT(
  (TEXT(Dump!$A$2:$A994,"mmm-yy")=TEXT($Y943,"mmm-yy"))*
  (Dump!$B$2:$B994=$C943)*
  Dump!$P$2:$P994
)</f>
        <v>0</v>
      </c>
      <c r="N943" s="32"/>
      <c r="O943" s="33">
        <f>SUMIFS(Dump!$D:$D,Dump!$B:$B,$C943,Dump!$A:$A,$Y943)</f>
        <v>0</v>
      </c>
      <c r="P943" s="33">
        <f>SUMIFS(Dump!R:R,Dump!B:B,C943,Dump!A:A,Y943)</f>
        <v>0</v>
      </c>
      <c r="Q943" s="34">
        <f t="shared" si="21"/>
        <v>0</v>
      </c>
      <c r="S943" s="4">
        <f>SUMIFS(Dump!E:E,Dump!B:B,C943,Dump!A:A,Y943)</f>
        <v>0</v>
      </c>
      <c r="T943" s="35">
        <f t="shared" si="22"/>
        <v>0</v>
      </c>
      <c r="V943" s="4">
        <f>SUMIFS(Dump!P:P,Dump!B:B,C943,Dump!A:A,Y943)</f>
        <v>0</v>
      </c>
      <c r="W943" s="37">
        <f t="shared" si="23"/>
        <v>0</v>
      </c>
      <c r="X943" s="39"/>
      <c r="Y943" s="54"/>
    </row>
    <row r="944">
      <c r="C944" s="53"/>
      <c r="G944" s="2" t="str">
        <f t="shared" si="27"/>
        <v/>
      </c>
      <c r="I944" s="4">
        <f>SUMIFS(Dump!D:D,Dump!B:B,C944)</f>
        <v>0</v>
      </c>
      <c r="J944" s="5">
        <f>SUMIFS(Dump!AE:AE,Dump!B:B,C944)</f>
        <v>0</v>
      </c>
      <c r="K944" s="4">
        <f>SUMPRODUCT(
  (TEXT(Dump!$A$2:$A994,"mmm-yy")=TEXT($Y944,"mmm-yy"))*
  (Dump!$B$2:$B994=$C944)*
  Dump!$D$2:$D994)</f>
        <v>0</v>
      </c>
      <c r="L944" s="4">
        <f>SUMPRODUCT(
  (TEXT(Dump!$A$2:$A994,"mmm-yy")=TEXT($Y944,"mmm-yy"))*
  (Dump!$B$2:$B994=$C944)*
  Dump!$E$2:$E994
)</f>
        <v>0</v>
      </c>
      <c r="M944" s="4">
        <f>SUMPRODUCT(
  (TEXT(Dump!$A$2:$A994,"mmm-yy")=TEXT($Y944,"mmm-yy"))*
  (Dump!$B$2:$B994=$C944)*
  Dump!$P$2:$P994
)</f>
        <v>0</v>
      </c>
      <c r="N944" s="32"/>
      <c r="O944" s="33">
        <f>SUMIFS(Dump!$D:$D,Dump!$B:$B,$C944,Dump!$A:$A,$Y944)</f>
        <v>0</v>
      </c>
      <c r="P944" s="33">
        <f>SUMIFS(Dump!R:R,Dump!B:B,C944,Dump!A:A,Y944)</f>
        <v>0</v>
      </c>
      <c r="Q944" s="34">
        <f t="shared" si="21"/>
        <v>0</v>
      </c>
      <c r="S944" s="4">
        <f>SUMIFS(Dump!E:E,Dump!B:B,C944,Dump!A:A,Y944)</f>
        <v>0</v>
      </c>
      <c r="T944" s="35">
        <f t="shared" si="22"/>
        <v>0</v>
      </c>
      <c r="V944" s="4">
        <f>SUMIFS(Dump!P:P,Dump!B:B,C944,Dump!A:A,Y944)</f>
        <v>0</v>
      </c>
      <c r="W944" s="37">
        <f t="shared" si="23"/>
        <v>0</v>
      </c>
      <c r="X944" s="39"/>
      <c r="Y944" s="54"/>
    </row>
    <row r="945">
      <c r="C945" s="53"/>
      <c r="G945" s="2" t="str">
        <f t="shared" si="27"/>
        <v/>
      </c>
      <c r="I945" s="4">
        <f>SUMIFS(Dump!D:D,Dump!B:B,C945)</f>
        <v>0</v>
      </c>
      <c r="J945" s="5">
        <f>SUMIFS(Dump!AE:AE,Dump!B:B,C945)</f>
        <v>0</v>
      </c>
      <c r="K945" s="4">
        <f>SUMPRODUCT(
  (TEXT(Dump!$A$2:$A994,"mmm-yy")=TEXT($Y945,"mmm-yy"))*
  (Dump!$B$2:$B994=$C945)*
  Dump!$D$2:$D994)</f>
        <v>0</v>
      </c>
      <c r="L945" s="4">
        <f>SUMPRODUCT(
  (TEXT(Dump!$A$2:$A994,"mmm-yy")=TEXT($Y945,"mmm-yy"))*
  (Dump!$B$2:$B994=$C945)*
  Dump!$E$2:$E994
)</f>
        <v>0</v>
      </c>
      <c r="M945" s="4">
        <f>SUMPRODUCT(
  (TEXT(Dump!$A$2:$A994,"mmm-yy")=TEXT($Y945,"mmm-yy"))*
  (Dump!$B$2:$B994=$C945)*
  Dump!$P$2:$P994
)</f>
        <v>0</v>
      </c>
      <c r="N945" s="32"/>
      <c r="O945" s="33">
        <f>SUMIFS(Dump!$D:$D,Dump!$B:$B,$C945,Dump!$A:$A,$Y945)</f>
        <v>0</v>
      </c>
      <c r="P945" s="33">
        <f>SUMIFS(Dump!R:R,Dump!B:B,C945,Dump!A:A,Y945)</f>
        <v>0</v>
      </c>
      <c r="Q945" s="34">
        <f t="shared" si="21"/>
        <v>0</v>
      </c>
      <c r="S945" s="4">
        <f>SUMIFS(Dump!E:E,Dump!B:B,C945,Dump!A:A,Y945)</f>
        <v>0</v>
      </c>
      <c r="T945" s="35">
        <f t="shared" si="22"/>
        <v>0</v>
      </c>
      <c r="V945" s="4">
        <f>SUMIFS(Dump!P:P,Dump!B:B,C945,Dump!A:A,Y945)</f>
        <v>0</v>
      </c>
      <c r="W945" s="37">
        <f t="shared" si="23"/>
        <v>0</v>
      </c>
      <c r="X945" s="39"/>
      <c r="Y945" s="54"/>
    </row>
    <row r="946">
      <c r="C946" s="53"/>
      <c r="G946" s="2" t="str">
        <f t="shared" si="27"/>
        <v/>
      </c>
      <c r="I946" s="4">
        <f>SUMIFS(Dump!D:D,Dump!B:B,C946)</f>
        <v>0</v>
      </c>
      <c r="J946" s="5">
        <f>SUMIFS(Dump!AE:AE,Dump!B:B,C946)</f>
        <v>0</v>
      </c>
      <c r="K946" s="4">
        <f>SUMPRODUCT(
  (TEXT(Dump!$A$2:$A994,"mmm-yy")=TEXT($Y946,"mmm-yy"))*
  (Dump!$B$2:$B994=$C946)*
  Dump!$D$2:$D994)</f>
        <v>0</v>
      </c>
      <c r="L946" s="4">
        <f>SUMPRODUCT(
  (TEXT(Dump!$A$2:$A994,"mmm-yy")=TEXT($Y946,"mmm-yy"))*
  (Dump!$B$2:$B994=$C946)*
  Dump!$E$2:$E994
)</f>
        <v>0</v>
      </c>
      <c r="M946" s="4">
        <f>SUMPRODUCT(
  (TEXT(Dump!$A$2:$A994,"mmm-yy")=TEXT($Y946,"mmm-yy"))*
  (Dump!$B$2:$B994=$C946)*
  Dump!$P$2:$P994
)</f>
        <v>0</v>
      </c>
      <c r="N946" s="32"/>
      <c r="O946" s="33">
        <f>SUMIFS(Dump!$D:$D,Dump!$B:$B,$C946,Dump!$A:$A,$Y946)</f>
        <v>0</v>
      </c>
      <c r="P946" s="33">
        <f>SUMIFS(Dump!R:R,Dump!B:B,C946,Dump!A:A,Y946)</f>
        <v>0</v>
      </c>
      <c r="Q946" s="34">
        <f t="shared" si="21"/>
        <v>0</v>
      </c>
      <c r="S946" s="4">
        <f>SUMIFS(Dump!E:E,Dump!B:B,C946,Dump!A:A,Y946)</f>
        <v>0</v>
      </c>
      <c r="T946" s="35">
        <f t="shared" si="22"/>
        <v>0</v>
      </c>
      <c r="V946" s="4">
        <f>SUMIFS(Dump!P:P,Dump!B:B,C946,Dump!A:A,Y946)</f>
        <v>0</v>
      </c>
      <c r="W946" s="37">
        <f t="shared" si="23"/>
        <v>0</v>
      </c>
      <c r="X946" s="39"/>
      <c r="Y946" s="54"/>
    </row>
    <row r="947">
      <c r="C947" s="53"/>
      <c r="G947" s="2" t="str">
        <f t="shared" si="27"/>
        <v/>
      </c>
      <c r="I947" s="4">
        <f>SUMIFS(Dump!D:D,Dump!B:B,C947)</f>
        <v>0</v>
      </c>
      <c r="J947" s="5">
        <f>SUMIFS(Dump!AE:AE,Dump!B:B,C947)</f>
        <v>0</v>
      </c>
      <c r="K947" s="4">
        <f>SUMPRODUCT(
  (TEXT(Dump!$A$2:$A994,"mmm-yy")=TEXT($Y947,"mmm-yy"))*
  (Dump!$B$2:$B994=$C947)*
  Dump!$D$2:$D994)</f>
        <v>0</v>
      </c>
      <c r="L947" s="4">
        <f>SUMPRODUCT(
  (TEXT(Dump!$A$2:$A994,"mmm-yy")=TEXT($Y947,"mmm-yy"))*
  (Dump!$B$2:$B994=$C947)*
  Dump!$E$2:$E994
)</f>
        <v>0</v>
      </c>
      <c r="M947" s="4">
        <f>SUMPRODUCT(
  (TEXT(Dump!$A$2:$A994,"mmm-yy")=TEXT($Y947,"mmm-yy"))*
  (Dump!$B$2:$B994=$C947)*
  Dump!$P$2:$P994
)</f>
        <v>0</v>
      </c>
      <c r="N947" s="32"/>
      <c r="O947" s="33">
        <f>SUMIFS(Dump!$D:$D,Dump!$B:$B,$C947,Dump!$A:$A,$Y947)</f>
        <v>0</v>
      </c>
      <c r="P947" s="33">
        <f>SUMIFS(Dump!R:R,Dump!B:B,C947,Dump!A:A,Y947)</f>
        <v>0</v>
      </c>
      <c r="Q947" s="34">
        <f t="shared" si="21"/>
        <v>0</v>
      </c>
      <c r="S947" s="4">
        <f>SUMIFS(Dump!E:E,Dump!B:B,C947,Dump!A:A,Y947)</f>
        <v>0</v>
      </c>
      <c r="T947" s="35">
        <f t="shared" si="22"/>
        <v>0</v>
      </c>
      <c r="V947" s="4">
        <f>SUMIFS(Dump!P:P,Dump!B:B,C947,Dump!A:A,Y947)</f>
        <v>0</v>
      </c>
      <c r="W947" s="37">
        <f t="shared" si="23"/>
        <v>0</v>
      </c>
      <c r="X947" s="39"/>
      <c r="Y947" s="54"/>
    </row>
    <row r="948">
      <c r="C948" s="53"/>
      <c r="G948" s="2" t="str">
        <f t="shared" si="27"/>
        <v/>
      </c>
      <c r="I948" s="4">
        <f>SUMIFS(Dump!D:D,Dump!B:B,C948)</f>
        <v>0</v>
      </c>
      <c r="J948" s="5">
        <f>SUMIFS(Dump!AE:AE,Dump!B:B,C948)</f>
        <v>0</v>
      </c>
      <c r="K948" s="4">
        <f>SUMPRODUCT(
  (TEXT(Dump!$A$2:$A994,"mmm-yy")=TEXT($Y948,"mmm-yy"))*
  (Dump!$B$2:$B994=$C948)*
  Dump!$D$2:$D994)</f>
        <v>0</v>
      </c>
      <c r="L948" s="4">
        <f>SUMPRODUCT(
  (TEXT(Dump!$A$2:$A994,"mmm-yy")=TEXT($Y948,"mmm-yy"))*
  (Dump!$B$2:$B994=$C948)*
  Dump!$E$2:$E994
)</f>
        <v>0</v>
      </c>
      <c r="M948" s="4">
        <f>SUMPRODUCT(
  (TEXT(Dump!$A$2:$A994,"mmm-yy")=TEXT($Y948,"mmm-yy"))*
  (Dump!$B$2:$B994=$C948)*
  Dump!$P$2:$P994
)</f>
        <v>0</v>
      </c>
      <c r="N948" s="32"/>
      <c r="O948" s="33">
        <f>SUMIFS(Dump!$D:$D,Dump!$B:$B,$C948,Dump!$A:$A,$Y948)</f>
        <v>0</v>
      </c>
      <c r="P948" s="33">
        <f>SUMIFS(Dump!R:R,Dump!B:B,C948,Dump!A:A,Y948)</f>
        <v>0</v>
      </c>
      <c r="Q948" s="34">
        <f t="shared" si="21"/>
        <v>0</v>
      </c>
      <c r="S948" s="4">
        <f>SUMIFS(Dump!E:E,Dump!B:B,C948,Dump!A:A,Y948)</f>
        <v>0</v>
      </c>
      <c r="T948" s="35">
        <f t="shared" si="22"/>
        <v>0</v>
      </c>
      <c r="V948" s="4">
        <f>SUMIFS(Dump!P:P,Dump!B:B,C948,Dump!A:A,Y948)</f>
        <v>0</v>
      </c>
      <c r="W948" s="37">
        <f t="shared" si="23"/>
        <v>0</v>
      </c>
      <c r="X948" s="39"/>
      <c r="Y948" s="54"/>
    </row>
    <row r="949">
      <c r="C949" s="53"/>
      <c r="G949" s="2" t="str">
        <f t="shared" si="27"/>
        <v/>
      </c>
      <c r="I949" s="4">
        <f>SUMIFS(Dump!D:D,Dump!B:B,C949)</f>
        <v>0</v>
      </c>
      <c r="J949" s="5">
        <f>SUMIFS(Dump!AE:AE,Dump!B:B,C949)</f>
        <v>0</v>
      </c>
      <c r="K949" s="4">
        <f>SUMPRODUCT(
  (TEXT(Dump!$A$2:$A994,"mmm-yy")=TEXT($Y949,"mmm-yy"))*
  (Dump!$B$2:$B994=$C949)*
  Dump!$D$2:$D994)</f>
        <v>0</v>
      </c>
      <c r="L949" s="4">
        <f>SUMPRODUCT(
  (TEXT(Dump!$A$2:$A994,"mmm-yy")=TEXT($Y949,"mmm-yy"))*
  (Dump!$B$2:$B994=$C949)*
  Dump!$E$2:$E994
)</f>
        <v>0</v>
      </c>
      <c r="M949" s="4">
        <f>SUMPRODUCT(
  (TEXT(Dump!$A$2:$A994,"mmm-yy")=TEXT($Y949,"mmm-yy"))*
  (Dump!$B$2:$B994=$C949)*
  Dump!$P$2:$P994
)</f>
        <v>0</v>
      </c>
      <c r="N949" s="32"/>
      <c r="O949" s="33">
        <f>SUMIFS(Dump!$D:$D,Dump!$B:$B,$C949,Dump!$A:$A,$Y949)</f>
        <v>0</v>
      </c>
      <c r="P949" s="33">
        <f>SUMIFS(Dump!R:R,Dump!B:B,C949,Dump!A:A,Y949)</f>
        <v>0</v>
      </c>
      <c r="Q949" s="34">
        <f t="shared" si="21"/>
        <v>0</v>
      </c>
      <c r="S949" s="4">
        <f>SUMIFS(Dump!E:E,Dump!B:B,C949,Dump!A:A,Y949)</f>
        <v>0</v>
      </c>
      <c r="T949" s="35">
        <f t="shared" si="22"/>
        <v>0</v>
      </c>
      <c r="V949" s="4">
        <f>SUMIFS(Dump!P:P,Dump!B:B,C949,Dump!A:A,Y949)</f>
        <v>0</v>
      </c>
      <c r="W949" s="37">
        <f t="shared" si="23"/>
        <v>0</v>
      </c>
      <c r="X949" s="39"/>
      <c r="Y949" s="54"/>
    </row>
    <row r="950">
      <c r="C950" s="53"/>
      <c r="G950" s="2" t="str">
        <f t="shared" si="27"/>
        <v/>
      </c>
      <c r="I950" s="4">
        <f>SUMIFS(Dump!D:D,Dump!B:B,C950)</f>
        <v>0</v>
      </c>
      <c r="J950" s="5">
        <f>SUMIFS(Dump!AE:AE,Dump!B:B,C950)</f>
        <v>0</v>
      </c>
      <c r="K950" s="4">
        <f>SUMPRODUCT(
  (TEXT(Dump!$A$2:$A994,"mmm-yy")=TEXT($Y950,"mmm-yy"))*
  (Dump!$B$2:$B994=$C950)*
  Dump!$D$2:$D994)</f>
        <v>0</v>
      </c>
      <c r="L950" s="4">
        <f>SUMPRODUCT(
  (TEXT(Dump!$A$2:$A994,"mmm-yy")=TEXT($Y950,"mmm-yy"))*
  (Dump!$B$2:$B994=$C950)*
  Dump!$E$2:$E994
)</f>
        <v>0</v>
      </c>
      <c r="M950" s="4">
        <f>SUMPRODUCT(
  (TEXT(Dump!$A$2:$A994,"mmm-yy")=TEXT($Y950,"mmm-yy"))*
  (Dump!$B$2:$B994=$C950)*
  Dump!$P$2:$P994
)</f>
        <v>0</v>
      </c>
      <c r="N950" s="32"/>
      <c r="O950" s="33">
        <f>SUMIFS(Dump!$D:$D,Dump!$B:$B,$C950,Dump!$A:$A,$Y950)</f>
        <v>0</v>
      </c>
      <c r="P950" s="33">
        <f>SUMIFS(Dump!R:R,Dump!B:B,C950,Dump!A:A,Y950)</f>
        <v>0</v>
      </c>
      <c r="Q950" s="34">
        <f t="shared" si="21"/>
        <v>0</v>
      </c>
      <c r="S950" s="4">
        <f>SUMIFS(Dump!E:E,Dump!B:B,C950,Dump!A:A,Y950)</f>
        <v>0</v>
      </c>
      <c r="T950" s="35">
        <f t="shared" si="22"/>
        <v>0</v>
      </c>
      <c r="V950" s="4">
        <f>SUMIFS(Dump!P:P,Dump!B:B,C950,Dump!A:A,Y950)</f>
        <v>0</v>
      </c>
      <c r="W950" s="37">
        <f t="shared" si="23"/>
        <v>0</v>
      </c>
      <c r="X950" s="39"/>
      <c r="Y950" s="54"/>
    </row>
    <row r="951">
      <c r="C951" s="53"/>
      <c r="G951" s="2" t="str">
        <f t="shared" si="27"/>
        <v/>
      </c>
      <c r="I951" s="4">
        <f>SUMIFS(Dump!D:D,Dump!B:B,C951)</f>
        <v>0</v>
      </c>
      <c r="J951" s="5">
        <f>SUMIFS(Dump!AE:AE,Dump!B:B,C951)</f>
        <v>0</v>
      </c>
      <c r="K951" s="4">
        <f>SUMPRODUCT(
  (TEXT(Dump!$A$2:$A994,"mmm-yy")=TEXT($Y951,"mmm-yy"))*
  (Dump!$B$2:$B994=$C951)*
  Dump!$D$2:$D994)</f>
        <v>0</v>
      </c>
      <c r="L951" s="4">
        <f>SUMPRODUCT(
  (TEXT(Dump!$A$2:$A994,"mmm-yy")=TEXT($Y951,"mmm-yy"))*
  (Dump!$B$2:$B994=$C951)*
  Dump!$E$2:$E994
)</f>
        <v>0</v>
      </c>
      <c r="M951" s="4">
        <f>SUMPRODUCT(
  (TEXT(Dump!$A$2:$A994,"mmm-yy")=TEXT($Y951,"mmm-yy"))*
  (Dump!$B$2:$B994=$C951)*
  Dump!$P$2:$P994
)</f>
        <v>0</v>
      </c>
      <c r="N951" s="32"/>
      <c r="O951" s="33">
        <f>SUMIFS(Dump!$D:$D,Dump!$B:$B,$C951,Dump!$A:$A,$Y951)</f>
        <v>0</v>
      </c>
      <c r="P951" s="33">
        <f>SUMIFS(Dump!R:R,Dump!B:B,C951,Dump!A:A,Y951)</f>
        <v>0</v>
      </c>
      <c r="Q951" s="34">
        <f t="shared" si="21"/>
        <v>0</v>
      </c>
      <c r="S951" s="4">
        <f>SUMIFS(Dump!E:E,Dump!B:B,C951,Dump!A:A,Y951)</f>
        <v>0</v>
      </c>
      <c r="T951" s="35">
        <f t="shared" si="22"/>
        <v>0</v>
      </c>
      <c r="V951" s="4">
        <f>SUMIFS(Dump!P:P,Dump!B:B,C951,Dump!A:A,Y951)</f>
        <v>0</v>
      </c>
      <c r="W951" s="37">
        <f t="shared" si="23"/>
        <v>0</v>
      </c>
      <c r="X951" s="39"/>
      <c r="Y951" s="54"/>
    </row>
    <row r="952">
      <c r="C952" s="53"/>
      <c r="G952" s="2" t="str">
        <f t="shared" si="27"/>
        <v/>
      </c>
      <c r="I952" s="4">
        <f>SUMIFS(Dump!D:D,Dump!B:B,C952)</f>
        <v>0</v>
      </c>
      <c r="J952" s="5">
        <f>SUMIFS(Dump!AE:AE,Dump!B:B,C952)</f>
        <v>0</v>
      </c>
      <c r="K952" s="4">
        <f>SUMPRODUCT(
  (TEXT(Dump!$A$2:$A994,"mmm-yy")=TEXT($Y952,"mmm-yy"))*
  (Dump!$B$2:$B994=$C952)*
  Dump!$D$2:$D994)</f>
        <v>0</v>
      </c>
      <c r="L952" s="4">
        <f>SUMPRODUCT(
  (TEXT(Dump!$A$2:$A994,"mmm-yy")=TEXT($Y952,"mmm-yy"))*
  (Dump!$B$2:$B994=$C952)*
  Dump!$E$2:$E994
)</f>
        <v>0</v>
      </c>
      <c r="M952" s="4">
        <f>SUMPRODUCT(
  (TEXT(Dump!$A$2:$A994,"mmm-yy")=TEXT($Y952,"mmm-yy"))*
  (Dump!$B$2:$B994=$C952)*
  Dump!$P$2:$P994
)</f>
        <v>0</v>
      </c>
      <c r="N952" s="32"/>
      <c r="O952" s="33">
        <f>SUMIFS(Dump!$D:$D,Dump!$B:$B,$C952,Dump!$A:$A,$Y952)</f>
        <v>0</v>
      </c>
      <c r="P952" s="33">
        <f>SUMIFS(Dump!R:R,Dump!B:B,C952,Dump!A:A,Y952)</f>
        <v>0</v>
      </c>
      <c r="Q952" s="34">
        <f t="shared" si="21"/>
        <v>0</v>
      </c>
      <c r="S952" s="4">
        <f>SUMIFS(Dump!E:E,Dump!B:B,C952,Dump!A:A,Y952)</f>
        <v>0</v>
      </c>
      <c r="T952" s="35">
        <f t="shared" si="22"/>
        <v>0</v>
      </c>
      <c r="V952" s="4">
        <f>SUMIFS(Dump!P:P,Dump!B:B,C952,Dump!A:A,Y952)</f>
        <v>0</v>
      </c>
      <c r="W952" s="37">
        <f t="shared" si="23"/>
        <v>0</v>
      </c>
      <c r="X952" s="39"/>
      <c r="Y952" s="54"/>
    </row>
    <row r="953">
      <c r="C953" s="53"/>
      <c r="G953" s="2" t="str">
        <f t="shared" si="27"/>
        <v/>
      </c>
      <c r="I953" s="4">
        <f>SUMIFS(Dump!D:D,Dump!B:B,C953)</f>
        <v>0</v>
      </c>
      <c r="J953" s="5">
        <f>SUMIFS(Dump!AE:AE,Dump!B:B,C953)</f>
        <v>0</v>
      </c>
      <c r="K953" s="4">
        <f>SUMPRODUCT(
  (TEXT(Dump!$A$2:$A994,"mmm-yy")=TEXT($Y953,"mmm-yy"))*
  (Dump!$B$2:$B994=$C953)*
  Dump!$D$2:$D994)</f>
        <v>0</v>
      </c>
      <c r="L953" s="4">
        <f>SUMPRODUCT(
  (TEXT(Dump!$A$2:$A994,"mmm-yy")=TEXT($Y953,"mmm-yy"))*
  (Dump!$B$2:$B994=$C953)*
  Dump!$E$2:$E994
)</f>
        <v>0</v>
      </c>
      <c r="M953" s="4">
        <f>SUMPRODUCT(
  (TEXT(Dump!$A$2:$A994,"mmm-yy")=TEXT($Y953,"mmm-yy"))*
  (Dump!$B$2:$B994=$C953)*
  Dump!$P$2:$P994
)</f>
        <v>0</v>
      </c>
      <c r="N953" s="32"/>
      <c r="O953" s="33">
        <f>SUMIFS(Dump!$D:$D,Dump!$B:$B,$C953,Dump!$A:$A,$Y953)</f>
        <v>0</v>
      </c>
      <c r="P953" s="33">
        <f>SUMIFS(Dump!R:R,Dump!B:B,C953,Dump!A:A,Y953)</f>
        <v>0</v>
      </c>
      <c r="Q953" s="34">
        <f t="shared" si="21"/>
        <v>0</v>
      </c>
      <c r="S953" s="4">
        <f>SUMIFS(Dump!E:E,Dump!B:B,C953,Dump!A:A,Y953)</f>
        <v>0</v>
      </c>
      <c r="T953" s="35">
        <f t="shared" si="22"/>
        <v>0</v>
      </c>
      <c r="V953" s="4">
        <f>SUMIFS(Dump!P:P,Dump!B:B,C953,Dump!A:A,Y953)</f>
        <v>0</v>
      </c>
      <c r="W953" s="37">
        <f t="shared" si="23"/>
        <v>0</v>
      </c>
      <c r="X953" s="39"/>
      <c r="Y953" s="54"/>
    </row>
    <row r="954">
      <c r="C954" s="53"/>
      <c r="G954" s="2" t="str">
        <f t="shared" si="27"/>
        <v/>
      </c>
      <c r="I954" s="4">
        <f>SUMIFS(Dump!D:D,Dump!B:B,C954)</f>
        <v>0</v>
      </c>
      <c r="J954" s="5">
        <f>SUMIFS(Dump!AE:AE,Dump!B:B,C954)</f>
        <v>0</v>
      </c>
      <c r="K954" s="4">
        <f>SUMPRODUCT(
  (TEXT(Dump!$A$2:$A994,"mmm-yy")=TEXT($Y954,"mmm-yy"))*
  (Dump!$B$2:$B994=$C954)*
  Dump!$D$2:$D994)</f>
        <v>0</v>
      </c>
      <c r="L954" s="4">
        <f>SUMPRODUCT(
  (TEXT(Dump!$A$2:$A994,"mmm-yy")=TEXT($Y954,"mmm-yy"))*
  (Dump!$B$2:$B994=$C954)*
  Dump!$E$2:$E994
)</f>
        <v>0</v>
      </c>
      <c r="M954" s="4">
        <f>SUMPRODUCT(
  (TEXT(Dump!$A$2:$A994,"mmm-yy")=TEXT($Y954,"mmm-yy"))*
  (Dump!$B$2:$B994=$C954)*
  Dump!$P$2:$P994
)</f>
        <v>0</v>
      </c>
      <c r="N954" s="32"/>
      <c r="O954" s="33">
        <f>SUMIFS(Dump!$D:$D,Dump!$B:$B,$C954,Dump!$A:$A,$Y954)</f>
        <v>0</v>
      </c>
      <c r="P954" s="33">
        <f>SUMIFS(Dump!R:R,Dump!B:B,C954,Dump!A:A,Y954)</f>
        <v>0</v>
      </c>
      <c r="Q954" s="34">
        <f t="shared" si="21"/>
        <v>0</v>
      </c>
      <c r="S954" s="4">
        <f>SUMIFS(Dump!E:E,Dump!B:B,C954,Dump!A:A,Y954)</f>
        <v>0</v>
      </c>
      <c r="T954" s="35">
        <f t="shared" si="22"/>
        <v>0</v>
      </c>
      <c r="V954" s="4">
        <f>SUMIFS(Dump!P:P,Dump!B:B,C954,Dump!A:A,Y954)</f>
        <v>0</v>
      </c>
      <c r="W954" s="37">
        <f t="shared" si="23"/>
        <v>0</v>
      </c>
      <c r="X954" s="39"/>
      <c r="Y954" s="54"/>
    </row>
    <row r="955">
      <c r="C955" s="53"/>
      <c r="G955" s="2" t="str">
        <f t="shared" si="27"/>
        <v/>
      </c>
      <c r="I955" s="4">
        <f>SUMIFS(Dump!D:D,Dump!B:B,C955)</f>
        <v>0</v>
      </c>
      <c r="J955" s="5">
        <f>SUMIFS(Dump!AE:AE,Dump!B:B,C955)</f>
        <v>0</v>
      </c>
      <c r="K955" s="4">
        <f>SUMPRODUCT(
  (TEXT(Dump!$A$2:$A994,"mmm-yy")=TEXT($Y955,"mmm-yy"))*
  (Dump!$B$2:$B994=$C955)*
  Dump!$D$2:$D994)</f>
        <v>0</v>
      </c>
      <c r="L955" s="4">
        <f>SUMPRODUCT(
  (TEXT(Dump!$A$2:$A994,"mmm-yy")=TEXT($Y955,"mmm-yy"))*
  (Dump!$B$2:$B994=$C955)*
  Dump!$E$2:$E994
)</f>
        <v>0</v>
      </c>
      <c r="M955" s="4">
        <f>SUMPRODUCT(
  (TEXT(Dump!$A$2:$A994,"mmm-yy")=TEXT($Y955,"mmm-yy"))*
  (Dump!$B$2:$B994=$C955)*
  Dump!$P$2:$P994
)</f>
        <v>0</v>
      </c>
      <c r="N955" s="32"/>
      <c r="O955" s="33">
        <f>SUMIFS(Dump!$D:$D,Dump!$B:$B,$C955,Dump!$A:$A,$Y955)</f>
        <v>0</v>
      </c>
      <c r="P955" s="33">
        <f>SUMIFS(Dump!R:R,Dump!B:B,C955,Dump!A:A,Y955)</f>
        <v>0</v>
      </c>
      <c r="Q955" s="34">
        <f t="shared" si="21"/>
        <v>0</v>
      </c>
      <c r="S955" s="4">
        <f>SUMIFS(Dump!E:E,Dump!B:B,C955,Dump!A:A,Y955)</f>
        <v>0</v>
      </c>
      <c r="T955" s="35">
        <f t="shared" si="22"/>
        <v>0</v>
      </c>
      <c r="V955" s="4">
        <f>SUMIFS(Dump!P:P,Dump!B:B,C955,Dump!A:A,Y955)</f>
        <v>0</v>
      </c>
      <c r="W955" s="37">
        <f t="shared" si="23"/>
        <v>0</v>
      </c>
      <c r="X955" s="39"/>
      <c r="Y955" s="54"/>
    </row>
    <row r="956">
      <c r="C956" s="53"/>
      <c r="G956" s="2" t="str">
        <f t="shared" si="27"/>
        <v/>
      </c>
      <c r="I956" s="4">
        <f>SUMIFS(Dump!D:D,Dump!B:B,C956)</f>
        <v>0</v>
      </c>
      <c r="J956" s="5">
        <f>SUMIFS(Dump!AE:AE,Dump!B:B,C956)</f>
        <v>0</v>
      </c>
      <c r="K956" s="4">
        <f>SUMPRODUCT(
  (TEXT(Dump!$A$2:$A994,"mmm-yy")=TEXT($Y956,"mmm-yy"))*
  (Dump!$B$2:$B994=$C956)*
  Dump!$D$2:$D994)</f>
        <v>0</v>
      </c>
      <c r="L956" s="4">
        <f>SUMPRODUCT(
  (TEXT(Dump!$A$2:$A994,"mmm-yy")=TEXT($Y956,"mmm-yy"))*
  (Dump!$B$2:$B994=$C956)*
  Dump!$E$2:$E994
)</f>
        <v>0</v>
      </c>
      <c r="M956" s="4">
        <f>SUMPRODUCT(
  (TEXT(Dump!$A$2:$A994,"mmm-yy")=TEXT($Y956,"mmm-yy"))*
  (Dump!$B$2:$B994=$C956)*
  Dump!$P$2:$P994
)</f>
        <v>0</v>
      </c>
      <c r="N956" s="32"/>
      <c r="O956" s="33">
        <f>SUMIFS(Dump!$D:$D,Dump!$B:$B,$C956,Dump!$A:$A,$Y956)</f>
        <v>0</v>
      </c>
      <c r="P956" s="33">
        <f>SUMIFS(Dump!R:R,Dump!B:B,C956,Dump!A:A,Y956)</f>
        <v>0</v>
      </c>
      <c r="Q956" s="34">
        <f t="shared" si="21"/>
        <v>0</v>
      </c>
      <c r="S956" s="4">
        <f>SUMIFS(Dump!E:E,Dump!B:B,C956,Dump!A:A,Y956)</f>
        <v>0</v>
      </c>
      <c r="T956" s="35">
        <f t="shared" si="22"/>
        <v>0</v>
      </c>
      <c r="V956" s="4">
        <f>SUMIFS(Dump!P:P,Dump!B:B,C956,Dump!A:A,Y956)</f>
        <v>0</v>
      </c>
      <c r="W956" s="37">
        <f t="shared" si="23"/>
        <v>0</v>
      </c>
      <c r="X956" s="39"/>
      <c r="Y956" s="54"/>
    </row>
    <row r="957">
      <c r="C957" s="53"/>
      <c r="G957" s="2" t="str">
        <f t="shared" si="27"/>
        <v/>
      </c>
      <c r="I957" s="4">
        <f>SUMIFS(Dump!D:D,Dump!B:B,C957)</f>
        <v>0</v>
      </c>
      <c r="J957" s="5">
        <f>SUMIFS(Dump!AE:AE,Dump!B:B,C957)</f>
        <v>0</v>
      </c>
      <c r="K957" s="4">
        <f>SUMPRODUCT(
  (TEXT(Dump!$A$2:$A994,"mmm-yy")=TEXT($Y957,"mmm-yy"))*
  (Dump!$B$2:$B994=$C957)*
  Dump!$D$2:$D994)</f>
        <v>0</v>
      </c>
      <c r="L957" s="4">
        <f>SUMPRODUCT(
  (TEXT(Dump!$A$2:$A994,"mmm-yy")=TEXT($Y957,"mmm-yy"))*
  (Dump!$B$2:$B994=$C957)*
  Dump!$E$2:$E994
)</f>
        <v>0</v>
      </c>
      <c r="M957" s="4">
        <f>SUMPRODUCT(
  (TEXT(Dump!$A$2:$A994,"mmm-yy")=TEXT($Y957,"mmm-yy"))*
  (Dump!$B$2:$B994=$C957)*
  Dump!$P$2:$P994
)</f>
        <v>0</v>
      </c>
      <c r="N957" s="32"/>
      <c r="O957" s="33">
        <f>SUMIFS(Dump!$D:$D,Dump!$B:$B,$C957,Dump!$A:$A,$Y957)</f>
        <v>0</v>
      </c>
      <c r="P957" s="33">
        <f>SUMIFS(Dump!R:R,Dump!B:B,C957,Dump!A:A,Y957)</f>
        <v>0</v>
      </c>
      <c r="Q957" s="34">
        <f t="shared" si="21"/>
        <v>0</v>
      </c>
      <c r="S957" s="4">
        <f>SUMIFS(Dump!E:E,Dump!B:B,C957,Dump!A:A,Y957)</f>
        <v>0</v>
      </c>
      <c r="T957" s="35">
        <f t="shared" si="22"/>
        <v>0</v>
      </c>
      <c r="V957" s="4">
        <f>SUMIFS(Dump!P:P,Dump!B:B,C957,Dump!A:A,Y957)</f>
        <v>0</v>
      </c>
      <c r="W957" s="37">
        <f t="shared" si="23"/>
        <v>0</v>
      </c>
      <c r="X957" s="39"/>
      <c r="Y957" s="54"/>
    </row>
    <row r="958">
      <c r="C958" s="53"/>
      <c r="G958" s="2" t="str">
        <f t="shared" si="27"/>
        <v/>
      </c>
      <c r="I958" s="4">
        <f>SUMIFS(Dump!D:D,Dump!B:B,C958)</f>
        <v>0</v>
      </c>
      <c r="J958" s="5">
        <f>SUMIFS(Dump!AE:AE,Dump!B:B,C958)</f>
        <v>0</v>
      </c>
      <c r="K958" s="4">
        <f>SUMPRODUCT(
  (TEXT(Dump!$A$2:$A994,"mmm-yy")=TEXT($Y958,"mmm-yy"))*
  (Dump!$B$2:$B994=$C958)*
  Dump!$D$2:$D994)</f>
        <v>0</v>
      </c>
      <c r="L958" s="4">
        <f>SUMPRODUCT(
  (TEXT(Dump!$A$2:$A994,"mmm-yy")=TEXT($Y958,"mmm-yy"))*
  (Dump!$B$2:$B994=$C958)*
  Dump!$E$2:$E994
)</f>
        <v>0</v>
      </c>
      <c r="M958" s="4">
        <f>SUMPRODUCT(
  (TEXT(Dump!$A$2:$A994,"mmm-yy")=TEXT($Y958,"mmm-yy"))*
  (Dump!$B$2:$B994=$C958)*
  Dump!$P$2:$P994
)</f>
        <v>0</v>
      </c>
      <c r="N958" s="32"/>
      <c r="O958" s="33">
        <f>SUMIFS(Dump!$D:$D,Dump!$B:$B,$C958,Dump!$A:$A,$Y958)</f>
        <v>0</v>
      </c>
      <c r="P958" s="33">
        <f>SUMIFS(Dump!R:R,Dump!B:B,C958,Dump!A:A,Y958)</f>
        <v>0</v>
      </c>
      <c r="Q958" s="34">
        <f t="shared" si="21"/>
        <v>0</v>
      </c>
      <c r="S958" s="4">
        <f>SUMIFS(Dump!E:E,Dump!B:B,C958,Dump!A:A,Y958)</f>
        <v>0</v>
      </c>
      <c r="T958" s="35">
        <f t="shared" si="22"/>
        <v>0</v>
      </c>
      <c r="V958" s="4">
        <f>SUMIFS(Dump!P:P,Dump!B:B,C958,Dump!A:A,Y958)</f>
        <v>0</v>
      </c>
      <c r="W958" s="37">
        <f t="shared" si="23"/>
        <v>0</v>
      </c>
      <c r="X958" s="39"/>
      <c r="Y958" s="54"/>
    </row>
    <row r="959">
      <c r="C959" s="53"/>
      <c r="G959" s="2" t="str">
        <f t="shared" si="27"/>
        <v/>
      </c>
      <c r="I959" s="4">
        <f>SUMIFS(Dump!D:D,Dump!B:B,C959)</f>
        <v>0</v>
      </c>
      <c r="J959" s="5">
        <f>SUMIFS(Dump!AE:AE,Dump!B:B,C959)</f>
        <v>0</v>
      </c>
      <c r="K959" s="4">
        <f>SUMPRODUCT(
  (TEXT(Dump!$A$2:$A994,"mmm-yy")=TEXT($Y959,"mmm-yy"))*
  (Dump!$B$2:$B994=$C959)*
  Dump!$D$2:$D994)</f>
        <v>0</v>
      </c>
      <c r="L959" s="4">
        <f>SUMPRODUCT(
  (TEXT(Dump!$A$2:$A994,"mmm-yy")=TEXT($Y959,"mmm-yy"))*
  (Dump!$B$2:$B994=$C959)*
  Dump!$E$2:$E994
)</f>
        <v>0</v>
      </c>
      <c r="M959" s="4">
        <f>SUMPRODUCT(
  (TEXT(Dump!$A$2:$A994,"mmm-yy")=TEXT($Y959,"mmm-yy"))*
  (Dump!$B$2:$B994=$C959)*
  Dump!$P$2:$P994
)</f>
        <v>0</v>
      </c>
      <c r="N959" s="32"/>
      <c r="O959" s="33">
        <f>SUMIFS(Dump!$D:$D,Dump!$B:$B,$C959,Dump!$A:$A,$Y959)</f>
        <v>0</v>
      </c>
      <c r="P959" s="33">
        <f>SUMIFS(Dump!R:R,Dump!B:B,C959,Dump!A:A,Y959)</f>
        <v>0</v>
      </c>
      <c r="Q959" s="34">
        <f t="shared" si="21"/>
        <v>0</v>
      </c>
      <c r="S959" s="4">
        <f>SUMIFS(Dump!E:E,Dump!B:B,C959,Dump!A:A,Y959)</f>
        <v>0</v>
      </c>
      <c r="T959" s="35">
        <f t="shared" si="22"/>
        <v>0</v>
      </c>
      <c r="V959" s="4">
        <f>SUMIFS(Dump!P:P,Dump!B:B,C959,Dump!A:A,Y959)</f>
        <v>0</v>
      </c>
      <c r="W959" s="37">
        <f t="shared" si="23"/>
        <v>0</v>
      </c>
      <c r="X959" s="39"/>
      <c r="Y959" s="54"/>
    </row>
    <row r="960">
      <c r="C960" s="53"/>
      <c r="G960" s="2" t="str">
        <f t="shared" si="27"/>
        <v/>
      </c>
      <c r="I960" s="4">
        <f>SUMIFS(Dump!D:D,Dump!B:B,C960)</f>
        <v>0</v>
      </c>
      <c r="J960" s="5">
        <f>SUMIFS(Dump!AE:AE,Dump!B:B,C960)</f>
        <v>0</v>
      </c>
      <c r="K960" s="4">
        <f>SUMPRODUCT(
  (TEXT(Dump!$A$2:$A994,"mmm-yy")=TEXT($Y960,"mmm-yy"))*
  (Dump!$B$2:$B994=$C960)*
  Dump!$D$2:$D994)</f>
        <v>0</v>
      </c>
      <c r="L960" s="4">
        <f>SUMPRODUCT(
  (TEXT(Dump!$A$2:$A994,"mmm-yy")=TEXT($Y960,"mmm-yy"))*
  (Dump!$B$2:$B994=$C960)*
  Dump!$E$2:$E994
)</f>
        <v>0</v>
      </c>
      <c r="M960" s="4">
        <f>SUMPRODUCT(
  (TEXT(Dump!$A$2:$A994,"mmm-yy")=TEXT($Y960,"mmm-yy"))*
  (Dump!$B$2:$B994=$C960)*
  Dump!$P$2:$P994
)</f>
        <v>0</v>
      </c>
      <c r="N960" s="32"/>
      <c r="O960" s="33">
        <f>SUMIFS(Dump!$D:$D,Dump!$B:$B,$C960,Dump!$A:$A,$Y960)</f>
        <v>0</v>
      </c>
      <c r="P960" s="33">
        <f>SUMIFS(Dump!R:R,Dump!B:B,C960,Dump!A:A,Y960)</f>
        <v>0</v>
      </c>
      <c r="Q960" s="34">
        <f t="shared" si="21"/>
        <v>0</v>
      </c>
      <c r="S960" s="4">
        <f>SUMIFS(Dump!E:E,Dump!B:B,C960,Dump!A:A,Y960)</f>
        <v>0</v>
      </c>
      <c r="T960" s="35">
        <f t="shared" si="22"/>
        <v>0</v>
      </c>
      <c r="V960" s="4">
        <f>SUMIFS(Dump!P:P,Dump!B:B,C960,Dump!A:A,Y960)</f>
        <v>0</v>
      </c>
      <c r="W960" s="37">
        <f t="shared" si="23"/>
        <v>0</v>
      </c>
      <c r="X960" s="39"/>
      <c r="Y960" s="54"/>
    </row>
    <row r="961">
      <c r="C961" s="53"/>
      <c r="G961" s="2" t="str">
        <f t="shared" si="27"/>
        <v/>
      </c>
      <c r="I961" s="4">
        <f>SUMIFS(Dump!D:D,Dump!B:B,C961)</f>
        <v>0</v>
      </c>
      <c r="J961" s="5">
        <f>SUMIFS(Dump!AE:AE,Dump!B:B,C961)</f>
        <v>0</v>
      </c>
      <c r="K961" s="4">
        <f>SUMPRODUCT(
  (TEXT(Dump!$A$2:$A994,"mmm-yy")=TEXT($Y961,"mmm-yy"))*
  (Dump!$B$2:$B994=$C961)*
  Dump!$D$2:$D994)</f>
        <v>0</v>
      </c>
      <c r="L961" s="4">
        <f>SUMPRODUCT(
  (TEXT(Dump!$A$2:$A994,"mmm-yy")=TEXT($Y961,"mmm-yy"))*
  (Dump!$B$2:$B994=$C961)*
  Dump!$E$2:$E994
)</f>
        <v>0</v>
      </c>
      <c r="M961" s="4">
        <f>SUMPRODUCT(
  (TEXT(Dump!$A$2:$A994,"mmm-yy")=TEXT($Y961,"mmm-yy"))*
  (Dump!$B$2:$B994=$C961)*
  Dump!$P$2:$P994
)</f>
        <v>0</v>
      </c>
      <c r="N961" s="32"/>
      <c r="O961" s="33">
        <f>SUMIFS(Dump!$D:$D,Dump!$B:$B,$C961,Dump!$A:$A,$Y961)</f>
        <v>0</v>
      </c>
      <c r="P961" s="33">
        <f>SUMIFS(Dump!R:R,Dump!B:B,C961,Dump!A:A,Y961)</f>
        <v>0</v>
      </c>
      <c r="Q961" s="34">
        <f t="shared" si="21"/>
        <v>0</v>
      </c>
      <c r="S961" s="4">
        <f>SUMIFS(Dump!E:E,Dump!B:B,C961,Dump!A:A,Y961)</f>
        <v>0</v>
      </c>
      <c r="T961" s="35">
        <f t="shared" si="22"/>
        <v>0</v>
      </c>
      <c r="V961" s="4">
        <f>SUMIFS(Dump!P:P,Dump!B:B,C961,Dump!A:A,Y961)</f>
        <v>0</v>
      </c>
      <c r="W961" s="37">
        <f t="shared" si="23"/>
        <v>0</v>
      </c>
      <c r="X961" s="39"/>
      <c r="Y961" s="54"/>
    </row>
    <row r="962">
      <c r="C962" s="53"/>
      <c r="G962" s="2" t="str">
        <f t="shared" si="27"/>
        <v/>
      </c>
      <c r="I962" s="4">
        <f>SUMIFS(Dump!D:D,Dump!B:B,C962)</f>
        <v>0</v>
      </c>
      <c r="J962" s="5">
        <f>SUMIFS(Dump!AE:AE,Dump!B:B,C962)</f>
        <v>0</v>
      </c>
      <c r="K962" s="4">
        <f>SUMPRODUCT(
  (TEXT(Dump!$A$2:$A994,"mmm-yy")=TEXT($Y962,"mmm-yy"))*
  (Dump!$B$2:$B994=$C962)*
  Dump!$D$2:$D994)</f>
        <v>0</v>
      </c>
      <c r="L962" s="4">
        <f>SUMPRODUCT(
  (TEXT(Dump!$A$2:$A994,"mmm-yy")=TEXT($Y962,"mmm-yy"))*
  (Dump!$B$2:$B994=$C962)*
  Dump!$E$2:$E994
)</f>
        <v>0</v>
      </c>
      <c r="M962" s="4">
        <f>SUMPRODUCT(
  (TEXT(Dump!$A$2:$A994,"mmm-yy")=TEXT($Y962,"mmm-yy"))*
  (Dump!$B$2:$B994=$C962)*
  Dump!$P$2:$P994
)</f>
        <v>0</v>
      </c>
      <c r="N962" s="32"/>
      <c r="O962" s="33">
        <f>SUMIFS(Dump!$D:$D,Dump!$B:$B,$C962,Dump!$A:$A,$Y962)</f>
        <v>0</v>
      </c>
      <c r="P962" s="33">
        <f>SUMIFS(Dump!R:R,Dump!B:B,C962,Dump!A:A,Y962)</f>
        <v>0</v>
      </c>
      <c r="Q962" s="34">
        <f t="shared" si="21"/>
        <v>0</v>
      </c>
      <c r="S962" s="4">
        <f>SUMIFS(Dump!E:E,Dump!B:B,C962,Dump!A:A,Y962)</f>
        <v>0</v>
      </c>
      <c r="T962" s="35">
        <f t="shared" si="22"/>
        <v>0</v>
      </c>
      <c r="V962" s="4">
        <f>SUMIFS(Dump!P:P,Dump!B:B,C962,Dump!A:A,Y962)</f>
        <v>0</v>
      </c>
      <c r="W962" s="37">
        <f t="shared" si="23"/>
        <v>0</v>
      </c>
      <c r="X962" s="39"/>
      <c r="Y962" s="54"/>
    </row>
    <row r="963">
      <c r="C963" s="53"/>
      <c r="G963" s="2" t="str">
        <f t="shared" si="27"/>
        <v/>
      </c>
      <c r="I963" s="4">
        <f>SUMIFS(Dump!D:D,Dump!B:B,C963)</f>
        <v>0</v>
      </c>
      <c r="J963" s="5">
        <f>SUMIFS(Dump!AE:AE,Dump!B:B,C963)</f>
        <v>0</v>
      </c>
      <c r="K963" s="4">
        <f>SUMPRODUCT(
  (TEXT(Dump!$A$2:$A994,"mmm-yy")=TEXT($Y963,"mmm-yy"))*
  (Dump!$B$2:$B994=$C963)*
  Dump!$D$2:$D994)</f>
        <v>0</v>
      </c>
      <c r="L963" s="4">
        <f>SUMPRODUCT(
  (TEXT(Dump!$A$2:$A994,"mmm-yy")=TEXT($Y963,"mmm-yy"))*
  (Dump!$B$2:$B994=$C963)*
  Dump!$E$2:$E994
)</f>
        <v>0</v>
      </c>
      <c r="M963" s="4">
        <f>SUMPRODUCT(
  (TEXT(Dump!$A$2:$A994,"mmm-yy")=TEXT($Y963,"mmm-yy"))*
  (Dump!$B$2:$B994=$C963)*
  Dump!$P$2:$P994
)</f>
        <v>0</v>
      </c>
      <c r="N963" s="32"/>
      <c r="O963" s="33">
        <f>SUMIFS(Dump!$D:$D,Dump!$B:$B,$C963,Dump!$A:$A,$Y963)</f>
        <v>0</v>
      </c>
      <c r="P963" s="33">
        <f>SUMIFS(Dump!R:R,Dump!B:B,C963,Dump!A:A,Y963)</f>
        <v>0</v>
      </c>
      <c r="Q963" s="34">
        <f t="shared" si="21"/>
        <v>0</v>
      </c>
      <c r="S963" s="4">
        <f>SUMIFS(Dump!E:E,Dump!B:B,C963,Dump!A:A,Y963)</f>
        <v>0</v>
      </c>
      <c r="T963" s="35">
        <f t="shared" si="22"/>
        <v>0</v>
      </c>
      <c r="V963" s="4">
        <f>SUMIFS(Dump!P:P,Dump!B:B,C963,Dump!A:A,Y963)</f>
        <v>0</v>
      </c>
      <c r="W963" s="37">
        <f t="shared" si="23"/>
        <v>0</v>
      </c>
      <c r="X963" s="39"/>
      <c r="Y963" s="54"/>
    </row>
    <row r="964">
      <c r="C964" s="53"/>
      <c r="G964" s="2" t="str">
        <f t="shared" si="27"/>
        <v/>
      </c>
      <c r="I964" s="4">
        <f>SUMIFS(Dump!D:D,Dump!B:B,C964)</f>
        <v>0</v>
      </c>
      <c r="J964" s="5">
        <f>SUMIFS(Dump!AE:AE,Dump!B:B,C964)</f>
        <v>0</v>
      </c>
      <c r="K964" s="4">
        <f>SUMPRODUCT(
  (TEXT(Dump!$A$2:$A994,"mmm-yy")=TEXT($Y964,"mmm-yy"))*
  (Dump!$B$2:$B994=$C964)*
  Dump!$D$2:$D994)</f>
        <v>0</v>
      </c>
      <c r="L964" s="4">
        <f>SUMPRODUCT(
  (TEXT(Dump!$A$2:$A994,"mmm-yy")=TEXT($Y964,"mmm-yy"))*
  (Dump!$B$2:$B994=$C964)*
  Dump!$E$2:$E994
)</f>
        <v>0</v>
      </c>
      <c r="M964" s="4">
        <f>SUMPRODUCT(
  (TEXT(Dump!$A$2:$A994,"mmm-yy")=TEXT($Y964,"mmm-yy"))*
  (Dump!$B$2:$B994=$C964)*
  Dump!$P$2:$P994
)</f>
        <v>0</v>
      </c>
      <c r="N964" s="32"/>
      <c r="O964" s="33">
        <f>SUMIFS(Dump!$D:$D,Dump!$B:$B,$C964,Dump!$A:$A,$Y964)</f>
        <v>0</v>
      </c>
      <c r="P964" s="33">
        <f>SUMIFS(Dump!R:R,Dump!B:B,C964,Dump!A:A,Y964)</f>
        <v>0</v>
      </c>
      <c r="Q964" s="34">
        <f t="shared" si="21"/>
        <v>0</v>
      </c>
      <c r="S964" s="4">
        <f>SUMIFS(Dump!E:E,Dump!B:B,C964,Dump!A:A,Y964)</f>
        <v>0</v>
      </c>
      <c r="T964" s="35">
        <f t="shared" si="22"/>
        <v>0</v>
      </c>
      <c r="V964" s="4">
        <f>SUMIFS(Dump!P:P,Dump!B:B,C964,Dump!A:A,Y964)</f>
        <v>0</v>
      </c>
      <c r="W964" s="37">
        <f t="shared" si="23"/>
        <v>0</v>
      </c>
      <c r="X964" s="39"/>
      <c r="Y964" s="54"/>
    </row>
    <row r="965">
      <c r="C965" s="53"/>
      <c r="G965" s="2" t="str">
        <f t="shared" si="27"/>
        <v/>
      </c>
      <c r="I965" s="4">
        <f>SUMIFS(Dump!D:D,Dump!B:B,C965)</f>
        <v>0</v>
      </c>
      <c r="J965" s="5">
        <f>SUMIFS(Dump!AE:AE,Dump!B:B,C965)</f>
        <v>0</v>
      </c>
      <c r="K965" s="4">
        <f>SUMPRODUCT(
  (TEXT(Dump!$A$2:$A994,"mmm-yy")=TEXT($Y965,"mmm-yy"))*
  (Dump!$B$2:$B994=$C965)*
  Dump!$D$2:$D994)</f>
        <v>0</v>
      </c>
      <c r="L965" s="4">
        <f>SUMPRODUCT(
  (TEXT(Dump!$A$2:$A994,"mmm-yy")=TEXT($Y965,"mmm-yy"))*
  (Dump!$B$2:$B994=$C965)*
  Dump!$E$2:$E994
)</f>
        <v>0</v>
      </c>
      <c r="M965" s="4">
        <f>SUMPRODUCT(
  (TEXT(Dump!$A$2:$A994,"mmm-yy")=TEXT($Y965,"mmm-yy"))*
  (Dump!$B$2:$B994=$C965)*
  Dump!$P$2:$P994
)</f>
        <v>0</v>
      </c>
      <c r="N965" s="32"/>
      <c r="O965" s="33">
        <f>SUMIFS(Dump!$D:$D,Dump!$B:$B,$C965,Dump!$A:$A,$Y965)</f>
        <v>0</v>
      </c>
      <c r="P965" s="33">
        <f>SUMIFS(Dump!R:R,Dump!B:B,C965,Dump!A:A,Y965)</f>
        <v>0</v>
      </c>
      <c r="Q965" s="34">
        <f t="shared" si="21"/>
        <v>0</v>
      </c>
      <c r="S965" s="4">
        <f>SUMIFS(Dump!E:E,Dump!B:B,C965,Dump!A:A,Y965)</f>
        <v>0</v>
      </c>
      <c r="T965" s="35">
        <f t="shared" si="22"/>
        <v>0</v>
      </c>
      <c r="V965" s="4">
        <f>SUMIFS(Dump!P:P,Dump!B:B,C965,Dump!A:A,Y965)</f>
        <v>0</v>
      </c>
      <c r="W965" s="37">
        <f t="shared" si="23"/>
        <v>0</v>
      </c>
      <c r="X965" s="39"/>
      <c r="Y965" s="54"/>
    </row>
    <row r="966">
      <c r="C966" s="53"/>
      <c r="G966" s="2" t="str">
        <f t="shared" si="27"/>
        <v/>
      </c>
      <c r="I966" s="4">
        <f>SUMIFS(Dump!D:D,Dump!B:B,C966)</f>
        <v>0</v>
      </c>
      <c r="J966" s="5">
        <f>SUMIFS(Dump!AE:AE,Dump!B:B,C966)</f>
        <v>0</v>
      </c>
      <c r="K966" s="4">
        <f>SUMPRODUCT(
  (TEXT(Dump!$A$2:$A994,"mmm-yy")=TEXT($Y966,"mmm-yy"))*
  (Dump!$B$2:$B994=$C966)*
  Dump!$D$2:$D994)</f>
        <v>0</v>
      </c>
      <c r="L966" s="4">
        <f>SUMPRODUCT(
  (TEXT(Dump!$A$2:$A994,"mmm-yy")=TEXT($Y966,"mmm-yy"))*
  (Dump!$B$2:$B994=$C966)*
  Dump!$E$2:$E994
)</f>
        <v>0</v>
      </c>
      <c r="M966" s="4">
        <f>SUMPRODUCT(
  (TEXT(Dump!$A$2:$A994,"mmm-yy")=TEXT($Y966,"mmm-yy"))*
  (Dump!$B$2:$B994=$C966)*
  Dump!$P$2:$P994
)</f>
        <v>0</v>
      </c>
      <c r="N966" s="32"/>
      <c r="O966" s="33">
        <f>SUMIFS(Dump!$D:$D,Dump!$B:$B,$C966,Dump!$A:$A,$Y966)</f>
        <v>0</v>
      </c>
      <c r="P966" s="33">
        <f>SUMIFS(Dump!R:R,Dump!B:B,C966,Dump!A:A,Y966)</f>
        <v>0</v>
      </c>
      <c r="Q966" s="34">
        <f t="shared" si="21"/>
        <v>0</v>
      </c>
      <c r="S966" s="4">
        <f>SUMIFS(Dump!E:E,Dump!B:B,C966,Dump!A:A,Y966)</f>
        <v>0</v>
      </c>
      <c r="T966" s="35">
        <f t="shared" si="22"/>
        <v>0</v>
      </c>
      <c r="V966" s="4">
        <f>SUMIFS(Dump!P:P,Dump!B:B,C966,Dump!A:A,Y966)</f>
        <v>0</v>
      </c>
      <c r="W966" s="37">
        <f t="shared" si="23"/>
        <v>0</v>
      </c>
      <c r="X966" s="39"/>
      <c r="Y966" s="54"/>
    </row>
    <row r="967">
      <c r="C967" s="53"/>
      <c r="G967" s="2" t="str">
        <f t="shared" si="27"/>
        <v/>
      </c>
      <c r="I967" s="4">
        <f>SUMIFS(Dump!D:D,Dump!B:B,C967)</f>
        <v>0</v>
      </c>
      <c r="J967" s="5">
        <f>SUMIFS(Dump!AE:AE,Dump!B:B,C967)</f>
        <v>0</v>
      </c>
      <c r="K967" s="4">
        <f>SUMPRODUCT(
  (TEXT(Dump!$A$2:$A994,"mmm-yy")=TEXT($Y967,"mmm-yy"))*
  (Dump!$B$2:$B994=$C967)*
  Dump!$D$2:$D994)</f>
        <v>0</v>
      </c>
      <c r="L967" s="4">
        <f>SUMPRODUCT(
  (TEXT(Dump!$A$2:$A994,"mmm-yy")=TEXT($Y967,"mmm-yy"))*
  (Dump!$B$2:$B994=$C967)*
  Dump!$E$2:$E994
)</f>
        <v>0</v>
      </c>
      <c r="M967" s="4">
        <f>SUMPRODUCT(
  (TEXT(Dump!$A$2:$A994,"mmm-yy")=TEXT($Y967,"mmm-yy"))*
  (Dump!$B$2:$B994=$C967)*
  Dump!$P$2:$P994
)</f>
        <v>0</v>
      </c>
      <c r="N967" s="32"/>
      <c r="O967" s="33">
        <f>SUMIFS(Dump!$D:$D,Dump!$B:$B,$C967,Dump!$A:$A,$Y967)</f>
        <v>0</v>
      </c>
      <c r="P967" s="33">
        <f>SUMIFS(Dump!R:R,Dump!B:B,C967,Dump!A:A,Y967)</f>
        <v>0</v>
      </c>
      <c r="Q967" s="34">
        <f t="shared" si="21"/>
        <v>0</v>
      </c>
      <c r="S967" s="4">
        <f>SUMIFS(Dump!E:E,Dump!B:B,C967,Dump!A:A,Y967)</f>
        <v>0</v>
      </c>
      <c r="T967" s="35">
        <f t="shared" si="22"/>
        <v>0</v>
      </c>
      <c r="V967" s="4">
        <f>SUMIFS(Dump!P:P,Dump!B:B,C967,Dump!A:A,Y967)</f>
        <v>0</v>
      </c>
      <c r="W967" s="37">
        <f t="shared" si="23"/>
        <v>0</v>
      </c>
      <c r="X967" s="39"/>
      <c r="Y967" s="54"/>
    </row>
    <row r="968">
      <c r="C968" s="53"/>
      <c r="G968" s="2" t="str">
        <f t="shared" si="27"/>
        <v/>
      </c>
      <c r="I968" s="4">
        <f>SUMIFS(Dump!D:D,Dump!B:B,C968)</f>
        <v>0</v>
      </c>
      <c r="J968" s="5">
        <f>SUMIFS(Dump!AE:AE,Dump!B:B,C968)</f>
        <v>0</v>
      </c>
      <c r="K968" s="4">
        <f>SUMPRODUCT(
  (TEXT(Dump!$A$2:$A994,"mmm-yy")=TEXT($Y968,"mmm-yy"))*
  (Dump!$B$2:$B994=$C968)*
  Dump!$D$2:$D994)</f>
        <v>0</v>
      </c>
      <c r="L968" s="4">
        <f>SUMPRODUCT(
  (TEXT(Dump!$A$2:$A994,"mmm-yy")=TEXT($Y968,"mmm-yy"))*
  (Dump!$B$2:$B994=$C968)*
  Dump!$E$2:$E994
)</f>
        <v>0</v>
      </c>
      <c r="M968" s="4">
        <f>SUMPRODUCT(
  (TEXT(Dump!$A$2:$A994,"mmm-yy")=TEXT($Y968,"mmm-yy"))*
  (Dump!$B$2:$B994=$C968)*
  Dump!$P$2:$P994
)</f>
        <v>0</v>
      </c>
      <c r="N968" s="32"/>
      <c r="O968" s="33">
        <f>SUMIFS(Dump!$D:$D,Dump!$B:$B,$C968,Dump!$A:$A,$Y968)</f>
        <v>0</v>
      </c>
      <c r="P968" s="33">
        <f>SUMIFS(Dump!R:R,Dump!B:B,C968,Dump!A:A,Y968)</f>
        <v>0</v>
      </c>
      <c r="Q968" s="34">
        <f t="shared" si="21"/>
        <v>0</v>
      </c>
      <c r="S968" s="4">
        <f>SUMIFS(Dump!E:E,Dump!B:B,C968,Dump!A:A,Y968)</f>
        <v>0</v>
      </c>
      <c r="T968" s="35">
        <f t="shared" si="22"/>
        <v>0</v>
      </c>
      <c r="V968" s="4">
        <f>SUMIFS(Dump!P:P,Dump!B:B,C968,Dump!A:A,Y968)</f>
        <v>0</v>
      </c>
      <c r="W968" s="37">
        <f t="shared" si="23"/>
        <v>0</v>
      </c>
      <c r="X968" s="39"/>
      <c r="Y968" s="54"/>
    </row>
    <row r="969">
      <c r="C969" s="53"/>
      <c r="G969" s="2" t="str">
        <f t="shared" si="27"/>
        <v/>
      </c>
      <c r="I969" s="4">
        <f>SUMIFS(Dump!D:D,Dump!B:B,C969)</f>
        <v>0</v>
      </c>
      <c r="J969" s="5">
        <f>SUMIFS(Dump!AE:AE,Dump!B:B,C969)</f>
        <v>0</v>
      </c>
      <c r="K969" s="4">
        <f>SUMPRODUCT(
  (TEXT(Dump!$A$2:$A994,"mmm-yy")=TEXT($Y969,"mmm-yy"))*
  (Dump!$B$2:$B994=$C969)*
  Dump!$D$2:$D994)</f>
        <v>0</v>
      </c>
      <c r="L969" s="4">
        <f>SUMPRODUCT(
  (TEXT(Dump!$A$2:$A994,"mmm-yy")=TEXT($Y969,"mmm-yy"))*
  (Dump!$B$2:$B994=$C969)*
  Dump!$E$2:$E994
)</f>
        <v>0</v>
      </c>
      <c r="M969" s="4">
        <f>SUMPRODUCT(
  (TEXT(Dump!$A$2:$A994,"mmm-yy")=TEXT($Y969,"mmm-yy"))*
  (Dump!$B$2:$B994=$C969)*
  Dump!$P$2:$P994
)</f>
        <v>0</v>
      </c>
      <c r="N969" s="32"/>
      <c r="O969" s="33">
        <f>SUMIFS(Dump!$D:$D,Dump!$B:$B,$C969,Dump!$A:$A,$Y969)</f>
        <v>0</v>
      </c>
      <c r="P969" s="33">
        <f>SUMIFS(Dump!R:R,Dump!B:B,C969,Dump!A:A,Y969)</f>
        <v>0</v>
      </c>
      <c r="Q969" s="34">
        <f t="shared" si="21"/>
        <v>0</v>
      </c>
      <c r="S969" s="4">
        <f>SUMIFS(Dump!E:E,Dump!B:B,C969,Dump!A:A,Y969)</f>
        <v>0</v>
      </c>
      <c r="T969" s="35">
        <f t="shared" si="22"/>
        <v>0</v>
      </c>
      <c r="V969" s="4">
        <f>SUMIFS(Dump!P:P,Dump!B:B,C969,Dump!A:A,Y969)</f>
        <v>0</v>
      </c>
      <c r="W969" s="37">
        <f t="shared" si="23"/>
        <v>0</v>
      </c>
      <c r="X969" s="39"/>
      <c r="Y969" s="54"/>
    </row>
    <row r="970">
      <c r="C970" s="53"/>
      <c r="G970" s="2" t="str">
        <f t="shared" si="27"/>
        <v/>
      </c>
      <c r="I970" s="4">
        <f>SUMIFS(Dump!D:D,Dump!B:B,C970)</f>
        <v>0</v>
      </c>
      <c r="J970" s="5">
        <f>SUMIFS(Dump!AE:AE,Dump!B:B,C970)</f>
        <v>0</v>
      </c>
      <c r="K970" s="4">
        <f>SUMPRODUCT(
  (TEXT(Dump!$A$2:$A994,"mmm-yy")=TEXT($Y970,"mmm-yy"))*
  (Dump!$B$2:$B994=$C970)*
  Dump!$D$2:$D994)</f>
        <v>0</v>
      </c>
      <c r="L970" s="4">
        <f>SUMPRODUCT(
  (TEXT(Dump!$A$2:$A994,"mmm-yy")=TEXT($Y970,"mmm-yy"))*
  (Dump!$B$2:$B994=$C970)*
  Dump!$E$2:$E994
)</f>
        <v>0</v>
      </c>
      <c r="M970" s="4">
        <f>SUMPRODUCT(
  (TEXT(Dump!$A$2:$A994,"mmm-yy")=TEXT($Y970,"mmm-yy"))*
  (Dump!$B$2:$B994=$C970)*
  Dump!$P$2:$P994
)</f>
        <v>0</v>
      </c>
      <c r="N970" s="32"/>
      <c r="O970" s="33">
        <f>SUMIFS(Dump!$D:$D,Dump!$B:$B,$C970,Dump!$A:$A,$Y970)</f>
        <v>0</v>
      </c>
      <c r="P970" s="33">
        <f>SUMIFS(Dump!R:R,Dump!B:B,C970,Dump!A:A,Y970)</f>
        <v>0</v>
      </c>
      <c r="Q970" s="34">
        <f t="shared" si="21"/>
        <v>0</v>
      </c>
      <c r="S970" s="4">
        <f>SUMIFS(Dump!E:E,Dump!B:B,C970,Dump!A:A,Y970)</f>
        <v>0</v>
      </c>
      <c r="T970" s="35">
        <f t="shared" si="22"/>
        <v>0</v>
      </c>
      <c r="V970" s="4">
        <f>SUMIFS(Dump!P:P,Dump!B:B,C970,Dump!A:A,Y970)</f>
        <v>0</v>
      </c>
      <c r="W970" s="37">
        <f t="shared" si="23"/>
        <v>0</v>
      </c>
      <c r="X970" s="39"/>
      <c r="Y970" s="54"/>
    </row>
    <row r="971">
      <c r="C971" s="53"/>
      <c r="G971" s="2" t="str">
        <f t="shared" si="27"/>
        <v/>
      </c>
      <c r="I971" s="4">
        <f>SUMIFS(Dump!D:D,Dump!B:B,C971)</f>
        <v>0</v>
      </c>
      <c r="J971" s="5">
        <f>SUMIFS(Dump!AE:AE,Dump!B:B,C971)</f>
        <v>0</v>
      </c>
      <c r="K971" s="4">
        <f>SUMPRODUCT(
  (TEXT(Dump!$A$2:$A994,"mmm-yy")=TEXT($Y971,"mmm-yy"))*
  (Dump!$B$2:$B994=$C971)*
  Dump!$D$2:$D994)</f>
        <v>0</v>
      </c>
      <c r="L971" s="4">
        <f>SUMPRODUCT(
  (TEXT(Dump!$A$2:$A994,"mmm-yy")=TEXT($Y971,"mmm-yy"))*
  (Dump!$B$2:$B994=$C971)*
  Dump!$E$2:$E994
)</f>
        <v>0</v>
      </c>
      <c r="M971" s="4">
        <f>SUMPRODUCT(
  (TEXT(Dump!$A$2:$A994,"mmm-yy")=TEXT($Y971,"mmm-yy"))*
  (Dump!$B$2:$B994=$C971)*
  Dump!$P$2:$P994
)</f>
        <v>0</v>
      </c>
      <c r="N971" s="32"/>
      <c r="O971" s="33">
        <f>SUMIFS(Dump!$D:$D,Dump!$B:$B,$C971,Dump!$A:$A,$Y971)</f>
        <v>0</v>
      </c>
      <c r="P971" s="33">
        <f>SUMIFS(Dump!R:R,Dump!B:B,C971,Dump!A:A,Y971)</f>
        <v>0</v>
      </c>
      <c r="Q971" s="34">
        <f t="shared" si="21"/>
        <v>0</v>
      </c>
      <c r="S971" s="4">
        <f>SUMIFS(Dump!E:E,Dump!B:B,C971,Dump!A:A,Y971)</f>
        <v>0</v>
      </c>
      <c r="T971" s="35">
        <f t="shared" si="22"/>
        <v>0</v>
      </c>
      <c r="V971" s="4">
        <f>SUMIFS(Dump!P:P,Dump!B:B,C971,Dump!A:A,Y971)</f>
        <v>0</v>
      </c>
      <c r="W971" s="37">
        <f t="shared" si="23"/>
        <v>0</v>
      </c>
      <c r="X971" s="39"/>
      <c r="Y971" s="54"/>
    </row>
    <row r="972">
      <c r="C972" s="53"/>
      <c r="G972" s="2" t="str">
        <f t="shared" si="27"/>
        <v/>
      </c>
      <c r="I972" s="4">
        <f>SUMIFS(Dump!D:D,Dump!B:B,C972)</f>
        <v>0</v>
      </c>
      <c r="J972" s="5">
        <f>SUMIFS(Dump!AE:AE,Dump!B:B,C972)</f>
        <v>0</v>
      </c>
      <c r="K972" s="4">
        <f>SUMPRODUCT(
  (TEXT(Dump!$A$2:$A994,"mmm-yy")=TEXT($Y972,"mmm-yy"))*
  (Dump!$B$2:$B994=$C972)*
  Dump!$D$2:$D994)</f>
        <v>0</v>
      </c>
      <c r="L972" s="4">
        <f>SUMPRODUCT(
  (TEXT(Dump!$A$2:$A994,"mmm-yy")=TEXT($Y972,"mmm-yy"))*
  (Dump!$B$2:$B994=$C972)*
  Dump!$E$2:$E994
)</f>
        <v>0</v>
      </c>
      <c r="M972" s="4">
        <f>SUMPRODUCT(
  (TEXT(Dump!$A$2:$A994,"mmm-yy")=TEXT($Y972,"mmm-yy"))*
  (Dump!$B$2:$B994=$C972)*
  Dump!$P$2:$P994
)</f>
        <v>0</v>
      </c>
      <c r="N972" s="32"/>
      <c r="O972" s="33">
        <f>SUMIFS(Dump!$D:$D,Dump!$B:$B,$C972,Dump!$A:$A,$Y972)</f>
        <v>0</v>
      </c>
      <c r="P972" s="33">
        <f>SUMIFS(Dump!R:R,Dump!B:B,C972,Dump!A:A,Y972)</f>
        <v>0</v>
      </c>
      <c r="Q972" s="34">
        <f t="shared" si="21"/>
        <v>0</v>
      </c>
      <c r="S972" s="4">
        <f>SUMIFS(Dump!E:E,Dump!B:B,C972,Dump!A:A,Y972)</f>
        <v>0</v>
      </c>
      <c r="T972" s="35">
        <f t="shared" si="22"/>
        <v>0</v>
      </c>
      <c r="V972" s="4">
        <f>SUMIFS(Dump!P:P,Dump!B:B,C972,Dump!A:A,Y972)</f>
        <v>0</v>
      </c>
      <c r="W972" s="37">
        <f t="shared" si="23"/>
        <v>0</v>
      </c>
      <c r="X972" s="39"/>
      <c r="Y972" s="54"/>
    </row>
    <row r="973">
      <c r="C973" s="53"/>
      <c r="G973" s="2" t="str">
        <f t="shared" si="27"/>
        <v/>
      </c>
      <c r="I973" s="4">
        <f>SUMIFS(Dump!D:D,Dump!B:B,C973)</f>
        <v>0</v>
      </c>
      <c r="J973" s="5">
        <f>SUMIFS(Dump!AE:AE,Dump!B:B,C973)</f>
        <v>0</v>
      </c>
      <c r="K973" s="4">
        <f>SUMPRODUCT(
  (TEXT(Dump!$A$2:$A994,"mmm-yy")=TEXT($Y973,"mmm-yy"))*
  (Dump!$B$2:$B994=$C973)*
  Dump!$D$2:$D994)</f>
        <v>0</v>
      </c>
      <c r="L973" s="4">
        <f>SUMPRODUCT(
  (TEXT(Dump!$A$2:$A994,"mmm-yy")=TEXT($Y973,"mmm-yy"))*
  (Dump!$B$2:$B994=$C973)*
  Dump!$E$2:$E994
)</f>
        <v>0</v>
      </c>
      <c r="M973" s="4">
        <f>SUMPRODUCT(
  (TEXT(Dump!$A$2:$A994,"mmm-yy")=TEXT($Y973,"mmm-yy"))*
  (Dump!$B$2:$B994=$C973)*
  Dump!$P$2:$P994
)</f>
        <v>0</v>
      </c>
      <c r="N973" s="32"/>
      <c r="O973" s="33">
        <f>SUMIFS(Dump!$D:$D,Dump!$B:$B,$C973,Dump!$A:$A,$Y973)</f>
        <v>0</v>
      </c>
      <c r="P973" s="33">
        <f>SUMIFS(Dump!R:R,Dump!B:B,C973,Dump!A:A,Y973)</f>
        <v>0</v>
      </c>
      <c r="Q973" s="34">
        <f t="shared" si="21"/>
        <v>0</v>
      </c>
      <c r="S973" s="4">
        <f>SUMIFS(Dump!E:E,Dump!B:B,C973,Dump!A:A,Y973)</f>
        <v>0</v>
      </c>
      <c r="T973" s="35">
        <f t="shared" si="22"/>
        <v>0</v>
      </c>
      <c r="V973" s="4">
        <f>SUMIFS(Dump!P:P,Dump!B:B,C973,Dump!A:A,Y973)</f>
        <v>0</v>
      </c>
      <c r="W973" s="37">
        <f t="shared" si="23"/>
        <v>0</v>
      </c>
      <c r="X973" s="39"/>
      <c r="Y973" s="54"/>
    </row>
    <row r="974">
      <c r="C974" s="53"/>
      <c r="G974" s="2" t="str">
        <f t="shared" si="27"/>
        <v/>
      </c>
      <c r="I974" s="4">
        <f>SUMIFS(Dump!D:D,Dump!B:B,C974)</f>
        <v>0</v>
      </c>
      <c r="J974" s="5">
        <f>SUMIFS(Dump!AE:AE,Dump!B:B,C974)</f>
        <v>0</v>
      </c>
      <c r="K974" s="4">
        <f>SUMPRODUCT(
  (TEXT(Dump!$A$2:$A994,"mmm-yy")=TEXT($Y974,"mmm-yy"))*
  (Dump!$B$2:$B994=$C974)*
  Dump!$D$2:$D994)</f>
        <v>0</v>
      </c>
      <c r="L974" s="4">
        <f>SUMPRODUCT(
  (TEXT(Dump!$A$2:$A994,"mmm-yy")=TEXT($Y974,"mmm-yy"))*
  (Dump!$B$2:$B994=$C974)*
  Dump!$E$2:$E994
)</f>
        <v>0</v>
      </c>
      <c r="M974" s="4">
        <f>SUMPRODUCT(
  (TEXT(Dump!$A$2:$A994,"mmm-yy")=TEXT($Y974,"mmm-yy"))*
  (Dump!$B$2:$B994=$C974)*
  Dump!$P$2:$P994
)</f>
        <v>0</v>
      </c>
      <c r="N974" s="32"/>
      <c r="O974" s="33">
        <f>SUMIFS(Dump!$D:$D,Dump!$B:$B,$C974,Dump!$A:$A,$Y974)</f>
        <v>0</v>
      </c>
      <c r="P974" s="33">
        <f>SUMIFS(Dump!R:R,Dump!B:B,C974,Dump!A:A,Y974)</f>
        <v>0</v>
      </c>
      <c r="Q974" s="34">
        <f t="shared" si="21"/>
        <v>0</v>
      </c>
      <c r="S974" s="4">
        <f>SUMIFS(Dump!E:E,Dump!B:B,C974,Dump!A:A,Y974)</f>
        <v>0</v>
      </c>
      <c r="T974" s="35">
        <f t="shared" si="22"/>
        <v>0</v>
      </c>
      <c r="V974" s="4">
        <f>SUMIFS(Dump!P:P,Dump!B:B,C974,Dump!A:A,Y974)</f>
        <v>0</v>
      </c>
      <c r="W974" s="37">
        <f t="shared" si="23"/>
        <v>0</v>
      </c>
      <c r="X974" s="39"/>
      <c r="Y974" s="54"/>
    </row>
    <row r="975">
      <c r="C975" s="53"/>
      <c r="G975" s="2" t="str">
        <f t="shared" si="27"/>
        <v/>
      </c>
      <c r="I975" s="4">
        <f>SUMIFS(Dump!D:D,Dump!B:B,C975)</f>
        <v>0</v>
      </c>
      <c r="J975" s="5">
        <f>SUMIFS(Dump!AE:AE,Dump!B:B,C975)</f>
        <v>0</v>
      </c>
      <c r="K975" s="4">
        <f>SUMPRODUCT(
  (TEXT(Dump!$A$2:$A994,"mmm-yy")=TEXT($Y975,"mmm-yy"))*
  (Dump!$B$2:$B994=$C975)*
  Dump!$D$2:$D994)</f>
        <v>0</v>
      </c>
      <c r="L975" s="4">
        <f>SUMPRODUCT(
  (TEXT(Dump!$A$2:$A994,"mmm-yy")=TEXT($Y975,"mmm-yy"))*
  (Dump!$B$2:$B994=$C975)*
  Dump!$E$2:$E994
)</f>
        <v>0</v>
      </c>
      <c r="M975" s="4">
        <f>SUMPRODUCT(
  (TEXT(Dump!$A$2:$A994,"mmm-yy")=TEXT($Y975,"mmm-yy"))*
  (Dump!$B$2:$B994=$C975)*
  Dump!$P$2:$P994
)</f>
        <v>0</v>
      </c>
      <c r="N975" s="32"/>
      <c r="O975" s="33">
        <f>SUMIFS(Dump!$D:$D,Dump!$B:$B,$C975,Dump!$A:$A,$Y975)</f>
        <v>0</v>
      </c>
      <c r="P975" s="33">
        <f>SUMIFS(Dump!R:R,Dump!B:B,C975,Dump!A:A,Y975)</f>
        <v>0</v>
      </c>
      <c r="Q975" s="34">
        <f t="shared" si="21"/>
        <v>0</v>
      </c>
      <c r="S975" s="4">
        <f>SUMIFS(Dump!E:E,Dump!B:B,C975,Dump!A:A,Y975)</f>
        <v>0</v>
      </c>
      <c r="T975" s="35">
        <f t="shared" si="22"/>
        <v>0</v>
      </c>
      <c r="V975" s="4">
        <f>SUMIFS(Dump!P:P,Dump!B:B,C975,Dump!A:A,Y975)</f>
        <v>0</v>
      </c>
      <c r="W975" s="37">
        <f t="shared" si="23"/>
        <v>0</v>
      </c>
      <c r="X975" s="39"/>
      <c r="Y975" s="54"/>
    </row>
    <row r="976">
      <c r="C976" s="53"/>
      <c r="G976" s="2" t="str">
        <f t="shared" si="27"/>
        <v/>
      </c>
      <c r="I976" s="4">
        <f>SUMIFS(Dump!D:D,Dump!B:B,C976)</f>
        <v>0</v>
      </c>
      <c r="J976" s="5">
        <f>SUMIFS(Dump!AE:AE,Dump!B:B,C976)</f>
        <v>0</v>
      </c>
      <c r="K976" s="4">
        <f>SUMPRODUCT(
  (TEXT(Dump!$A$2:$A994,"mmm-yy")=TEXT($Y976,"mmm-yy"))*
  (Dump!$B$2:$B994=$C976)*
  Dump!$D$2:$D994)</f>
        <v>0</v>
      </c>
      <c r="L976" s="4">
        <f>SUMPRODUCT(
  (TEXT(Dump!$A$2:$A994,"mmm-yy")=TEXT($Y976,"mmm-yy"))*
  (Dump!$B$2:$B994=$C976)*
  Dump!$E$2:$E994
)</f>
        <v>0</v>
      </c>
      <c r="M976" s="4">
        <f>SUMPRODUCT(
  (TEXT(Dump!$A$2:$A994,"mmm-yy")=TEXT($Y976,"mmm-yy"))*
  (Dump!$B$2:$B994=$C976)*
  Dump!$P$2:$P994
)</f>
        <v>0</v>
      </c>
      <c r="N976" s="32"/>
      <c r="O976" s="33">
        <f>SUMIFS(Dump!$D:$D,Dump!$B:$B,$C976,Dump!$A:$A,$Y976)</f>
        <v>0</v>
      </c>
      <c r="P976" s="33">
        <f>SUMIFS(Dump!R:R,Dump!B:B,C976,Dump!A:A,Y976)</f>
        <v>0</v>
      </c>
      <c r="Q976" s="34">
        <f t="shared" si="21"/>
        <v>0</v>
      </c>
      <c r="S976" s="4">
        <f>SUMIFS(Dump!E:E,Dump!B:B,C976,Dump!A:A,Y976)</f>
        <v>0</v>
      </c>
      <c r="T976" s="35">
        <f t="shared" si="22"/>
        <v>0</v>
      </c>
      <c r="V976" s="4">
        <f>SUMIFS(Dump!P:P,Dump!B:B,C976,Dump!A:A,Y976)</f>
        <v>0</v>
      </c>
      <c r="W976" s="37">
        <f t="shared" si="23"/>
        <v>0</v>
      </c>
      <c r="X976" s="39"/>
      <c r="Y976" s="54"/>
    </row>
    <row r="977">
      <c r="C977" s="53"/>
      <c r="G977" s="2" t="str">
        <f t="shared" si="27"/>
        <v/>
      </c>
      <c r="I977" s="4">
        <f>SUMIFS(Dump!D:D,Dump!B:B,C977)</f>
        <v>0</v>
      </c>
      <c r="J977" s="5">
        <f>SUMIFS(Dump!AE:AE,Dump!B:B,C977)</f>
        <v>0</v>
      </c>
      <c r="K977" s="4">
        <f>SUMPRODUCT(
  (TEXT(Dump!$A$2:$A994,"mmm-yy")=TEXT($Y977,"mmm-yy"))*
  (Dump!$B$2:$B994=$C977)*
  Dump!$D$2:$D994)</f>
        <v>0</v>
      </c>
      <c r="L977" s="4">
        <f>SUMPRODUCT(
  (TEXT(Dump!$A$2:$A994,"mmm-yy")=TEXT($Y977,"mmm-yy"))*
  (Dump!$B$2:$B994=$C977)*
  Dump!$E$2:$E994
)</f>
        <v>0</v>
      </c>
      <c r="M977" s="4">
        <f>SUMPRODUCT(
  (TEXT(Dump!$A$2:$A994,"mmm-yy")=TEXT($Y977,"mmm-yy"))*
  (Dump!$B$2:$B994=$C977)*
  Dump!$P$2:$P994
)</f>
        <v>0</v>
      </c>
      <c r="N977" s="32"/>
      <c r="O977" s="33">
        <f>SUMIFS(Dump!$D:$D,Dump!$B:$B,$C977,Dump!$A:$A,$Y977)</f>
        <v>0</v>
      </c>
      <c r="P977" s="33">
        <f>SUMIFS(Dump!R:R,Dump!B:B,C977,Dump!A:A,Y977)</f>
        <v>0</v>
      </c>
      <c r="Q977" s="34">
        <f t="shared" si="21"/>
        <v>0</v>
      </c>
      <c r="S977" s="4">
        <f>SUMIFS(Dump!E:E,Dump!B:B,C977,Dump!A:A,Y977)</f>
        <v>0</v>
      </c>
      <c r="T977" s="35">
        <f t="shared" si="22"/>
        <v>0</v>
      </c>
      <c r="V977" s="4">
        <f>SUMIFS(Dump!P:P,Dump!B:B,C977,Dump!A:A,Y977)</f>
        <v>0</v>
      </c>
      <c r="W977" s="37">
        <f t="shared" si="23"/>
        <v>0</v>
      </c>
      <c r="X977" s="39"/>
      <c r="Y977" s="54"/>
    </row>
    <row r="978">
      <c r="C978" s="53"/>
      <c r="G978" s="2" t="str">
        <f t="shared" si="27"/>
        <v/>
      </c>
      <c r="I978" s="4">
        <f>SUMIFS(Dump!D:D,Dump!B:B,C978)</f>
        <v>0</v>
      </c>
      <c r="J978" s="5">
        <f>SUMIFS(Dump!AE:AE,Dump!B:B,C978)</f>
        <v>0</v>
      </c>
      <c r="K978" s="4">
        <f>SUMPRODUCT(
  (TEXT(Dump!$A$2:$A994,"mmm-yy")=TEXT($Y978,"mmm-yy"))*
  (Dump!$B$2:$B994=$C978)*
  Dump!$D$2:$D994)</f>
        <v>0</v>
      </c>
      <c r="L978" s="4">
        <f>SUMPRODUCT(
  (TEXT(Dump!$A$2:$A994,"mmm-yy")=TEXT($Y978,"mmm-yy"))*
  (Dump!$B$2:$B994=$C978)*
  Dump!$E$2:$E994
)</f>
        <v>0</v>
      </c>
      <c r="M978" s="4">
        <f>SUMPRODUCT(
  (TEXT(Dump!$A$2:$A994,"mmm-yy")=TEXT($Y978,"mmm-yy"))*
  (Dump!$B$2:$B994=$C978)*
  Dump!$P$2:$P994
)</f>
        <v>0</v>
      </c>
      <c r="N978" s="32"/>
      <c r="O978" s="33">
        <f>SUMIFS(Dump!$D:$D,Dump!$B:$B,$C978,Dump!$A:$A,$Y978)</f>
        <v>0</v>
      </c>
      <c r="P978" s="33">
        <f>SUMIFS(Dump!R:R,Dump!B:B,C978,Dump!A:A,Y978)</f>
        <v>0</v>
      </c>
      <c r="Q978" s="34">
        <f t="shared" si="21"/>
        <v>0</v>
      </c>
      <c r="S978" s="4">
        <f>SUMIFS(Dump!E:E,Dump!B:B,C978,Dump!A:A,Y978)</f>
        <v>0</v>
      </c>
      <c r="T978" s="35">
        <f t="shared" si="22"/>
        <v>0</v>
      </c>
      <c r="V978" s="4">
        <f>SUMIFS(Dump!P:P,Dump!B:B,C978,Dump!A:A,Y978)</f>
        <v>0</v>
      </c>
      <c r="W978" s="37">
        <f t="shared" si="23"/>
        <v>0</v>
      </c>
      <c r="X978" s="39"/>
      <c r="Y978" s="54"/>
    </row>
    <row r="979">
      <c r="C979" s="53"/>
      <c r="G979" s="2" t="str">
        <f t="shared" si="27"/>
        <v/>
      </c>
      <c r="I979" s="4">
        <f>SUMIFS(Dump!D:D,Dump!B:B,C979)</f>
        <v>0</v>
      </c>
      <c r="J979" s="5">
        <f>SUMIFS(Dump!AE:AE,Dump!B:B,C979)</f>
        <v>0</v>
      </c>
      <c r="K979" s="4">
        <f>SUMPRODUCT(
  (TEXT(Dump!$A$2:$A994,"mmm-yy")=TEXT($Y979,"mmm-yy"))*
  (Dump!$B$2:$B994=$C979)*
  Dump!$D$2:$D994)</f>
        <v>0</v>
      </c>
      <c r="L979" s="4">
        <f>SUMPRODUCT(
  (TEXT(Dump!$A$2:$A994,"mmm-yy")=TEXT($Y979,"mmm-yy"))*
  (Dump!$B$2:$B994=$C979)*
  Dump!$E$2:$E994
)</f>
        <v>0</v>
      </c>
      <c r="M979" s="4">
        <f>SUMPRODUCT(
  (TEXT(Dump!$A$2:$A994,"mmm-yy")=TEXT($Y979,"mmm-yy"))*
  (Dump!$B$2:$B994=$C979)*
  Dump!$P$2:$P994
)</f>
        <v>0</v>
      </c>
      <c r="N979" s="32"/>
      <c r="O979" s="33">
        <f>SUMIFS(Dump!$D:$D,Dump!$B:$B,$C979,Dump!$A:$A,$Y979)</f>
        <v>0</v>
      </c>
      <c r="P979" s="33">
        <f>SUMIFS(Dump!R:R,Dump!B:B,C979,Dump!A:A,Y979)</f>
        <v>0</v>
      </c>
      <c r="Q979" s="34">
        <f t="shared" si="21"/>
        <v>0</v>
      </c>
      <c r="S979" s="4">
        <f>SUMIFS(Dump!E:E,Dump!B:B,C979,Dump!A:A,Y979)</f>
        <v>0</v>
      </c>
      <c r="T979" s="35">
        <f t="shared" si="22"/>
        <v>0</v>
      </c>
      <c r="V979" s="4">
        <f>SUMIFS(Dump!P:P,Dump!B:B,C979,Dump!A:A,Y979)</f>
        <v>0</v>
      </c>
      <c r="W979" s="37">
        <f t="shared" si="23"/>
        <v>0</v>
      </c>
      <c r="X979" s="39"/>
      <c r="Y979" s="54"/>
    </row>
    <row r="980">
      <c r="C980" s="53"/>
      <c r="G980" s="2" t="str">
        <f t="shared" si="27"/>
        <v/>
      </c>
      <c r="I980" s="4">
        <f>SUMIFS(Dump!D:D,Dump!B:B,C980)</f>
        <v>0</v>
      </c>
      <c r="J980" s="5">
        <f>SUMIFS(Dump!AE:AE,Dump!B:B,C980)</f>
        <v>0</v>
      </c>
      <c r="K980" s="4">
        <f>SUMPRODUCT(
  (TEXT(Dump!$A$2:$A994,"mmm-yy")=TEXT($Y980,"mmm-yy"))*
  (Dump!$B$2:$B994=$C980)*
  Dump!$D$2:$D994)</f>
        <v>0</v>
      </c>
      <c r="L980" s="4">
        <f>SUMPRODUCT(
  (TEXT(Dump!$A$2:$A994,"mmm-yy")=TEXT($Y980,"mmm-yy"))*
  (Dump!$B$2:$B994=$C980)*
  Dump!$E$2:$E994
)</f>
        <v>0</v>
      </c>
      <c r="M980" s="4">
        <f>SUMPRODUCT(
  (TEXT(Dump!$A$2:$A994,"mmm-yy")=TEXT($Y980,"mmm-yy"))*
  (Dump!$B$2:$B994=$C980)*
  Dump!$P$2:$P994
)</f>
        <v>0</v>
      </c>
      <c r="N980" s="32"/>
      <c r="O980" s="33">
        <f>SUMIFS(Dump!$D:$D,Dump!$B:$B,$C980,Dump!$A:$A,$Y980)</f>
        <v>0</v>
      </c>
      <c r="P980" s="33">
        <f>SUMIFS(Dump!R:R,Dump!B:B,C980,Dump!A:A,Y980)</f>
        <v>0</v>
      </c>
      <c r="Q980" s="34">
        <f t="shared" si="21"/>
        <v>0</v>
      </c>
      <c r="S980" s="4">
        <f>SUMIFS(Dump!E:E,Dump!B:B,C980,Dump!A:A,Y980)</f>
        <v>0</v>
      </c>
      <c r="T980" s="35">
        <f t="shared" si="22"/>
        <v>0</v>
      </c>
      <c r="V980" s="4">
        <f>SUMIFS(Dump!P:P,Dump!B:B,C980,Dump!A:A,Y980)</f>
        <v>0</v>
      </c>
      <c r="W980" s="37">
        <f t="shared" si="23"/>
        <v>0</v>
      </c>
      <c r="X980" s="39"/>
      <c r="Y980" s="54"/>
    </row>
    <row r="981">
      <c r="C981" s="53"/>
      <c r="G981" s="2" t="str">
        <f t="shared" si="27"/>
        <v/>
      </c>
      <c r="I981" s="4">
        <f>SUMIFS(Dump!D:D,Dump!B:B,C981)</f>
        <v>0</v>
      </c>
      <c r="J981" s="5">
        <f>SUMIFS(Dump!AE:AE,Dump!B:B,C981)</f>
        <v>0</v>
      </c>
      <c r="K981" s="4">
        <f>SUMPRODUCT(
  (TEXT(Dump!$A$2:$A994,"mmm-yy")=TEXT($Y981,"mmm-yy"))*
  (Dump!$B$2:$B994=$C981)*
  Dump!$D$2:$D994)</f>
        <v>0</v>
      </c>
      <c r="L981" s="4">
        <f>SUMPRODUCT(
  (TEXT(Dump!$A$2:$A994,"mmm-yy")=TEXT($Y981,"mmm-yy"))*
  (Dump!$B$2:$B994=$C981)*
  Dump!$E$2:$E994
)</f>
        <v>0</v>
      </c>
      <c r="M981" s="4">
        <f>SUMPRODUCT(
  (TEXT(Dump!$A$2:$A994,"mmm-yy")=TEXT($Y981,"mmm-yy"))*
  (Dump!$B$2:$B994=$C981)*
  Dump!$P$2:$P994
)</f>
        <v>0</v>
      </c>
      <c r="N981" s="32"/>
      <c r="O981" s="33">
        <f>SUMIFS(Dump!$D:$D,Dump!$B:$B,$C981,Dump!$A:$A,$Y981)</f>
        <v>0</v>
      </c>
      <c r="P981" s="33">
        <f>SUMIFS(Dump!R:R,Dump!B:B,C981,Dump!A:A,Y981)</f>
        <v>0</v>
      </c>
      <c r="Q981" s="34">
        <f t="shared" si="21"/>
        <v>0</v>
      </c>
      <c r="S981" s="4">
        <f>SUMIFS(Dump!E:E,Dump!B:B,C981,Dump!A:A,Y981)</f>
        <v>0</v>
      </c>
      <c r="T981" s="35">
        <f t="shared" si="22"/>
        <v>0</v>
      </c>
      <c r="V981" s="4">
        <f>SUMIFS(Dump!P:P,Dump!B:B,C981,Dump!A:A,Y981)</f>
        <v>0</v>
      </c>
      <c r="W981" s="37">
        <f t="shared" si="23"/>
        <v>0</v>
      </c>
      <c r="X981" s="39"/>
      <c r="Y981" s="54"/>
    </row>
    <row r="982">
      <c r="C982" s="53"/>
      <c r="G982" s="2" t="str">
        <f t="shared" si="27"/>
        <v/>
      </c>
      <c r="I982" s="4">
        <f>SUMIFS(Dump!D:D,Dump!B:B,C982)</f>
        <v>0</v>
      </c>
      <c r="J982" s="5">
        <f>SUMIFS(Dump!AE:AE,Dump!B:B,C982)</f>
        <v>0</v>
      </c>
      <c r="K982" s="4">
        <f>SUMPRODUCT(
  (TEXT(Dump!$A$2:$A994,"mmm-yy")=TEXT($Y982,"mmm-yy"))*
  (Dump!$B$2:$B994=$C982)*
  Dump!$D$2:$D994)</f>
        <v>0</v>
      </c>
      <c r="L982" s="4">
        <f>SUMPRODUCT(
  (TEXT(Dump!$A$2:$A994,"mmm-yy")=TEXT($Y982,"mmm-yy"))*
  (Dump!$B$2:$B994=$C982)*
  Dump!$E$2:$E994
)</f>
        <v>0</v>
      </c>
      <c r="M982" s="4">
        <f>SUMPRODUCT(
  (TEXT(Dump!$A$2:$A994,"mmm-yy")=TEXT($Y982,"mmm-yy"))*
  (Dump!$B$2:$B994=$C982)*
  Dump!$P$2:$P994
)</f>
        <v>0</v>
      </c>
      <c r="N982" s="32"/>
      <c r="O982" s="33">
        <f>SUMIFS(Dump!$D:$D,Dump!$B:$B,$C982,Dump!$A:$A,$Y982)</f>
        <v>0</v>
      </c>
      <c r="P982" s="33">
        <f>SUMIFS(Dump!R:R,Dump!B:B,C982,Dump!A:A,Y982)</f>
        <v>0</v>
      </c>
      <c r="Q982" s="34">
        <f t="shared" si="21"/>
        <v>0</v>
      </c>
      <c r="S982" s="4">
        <f>SUMIFS(Dump!E:E,Dump!B:B,C982,Dump!A:A,Y982)</f>
        <v>0</v>
      </c>
      <c r="T982" s="35">
        <f t="shared" si="22"/>
        <v>0</v>
      </c>
      <c r="V982" s="4">
        <f>SUMIFS(Dump!P:P,Dump!B:B,C982,Dump!A:A,Y982)</f>
        <v>0</v>
      </c>
      <c r="W982" s="37">
        <f t="shared" si="23"/>
        <v>0</v>
      </c>
      <c r="X982" s="39"/>
      <c r="Y982" s="54"/>
    </row>
    <row r="983">
      <c r="C983" s="53"/>
      <c r="G983" s="2" t="str">
        <f t="shared" si="27"/>
        <v/>
      </c>
      <c r="I983" s="4">
        <f>SUMIFS(Dump!D:D,Dump!B:B,C983)</f>
        <v>0</v>
      </c>
      <c r="J983" s="5">
        <f>SUMIFS(Dump!AE:AE,Dump!B:B,C983)</f>
        <v>0</v>
      </c>
      <c r="K983" s="4">
        <f>SUMPRODUCT(
  (TEXT(Dump!$A$2:$A994,"mmm-yy")=TEXT($Y983,"mmm-yy"))*
  (Dump!$B$2:$B994=$C983)*
  Dump!$D$2:$D994)</f>
        <v>0</v>
      </c>
      <c r="L983" s="4">
        <f>SUMPRODUCT(
  (TEXT(Dump!$A$2:$A994,"mmm-yy")=TEXT($Y983,"mmm-yy"))*
  (Dump!$B$2:$B994=$C983)*
  Dump!$E$2:$E994
)</f>
        <v>0</v>
      </c>
      <c r="M983" s="4">
        <f>SUMPRODUCT(
  (TEXT(Dump!$A$2:$A994,"mmm-yy")=TEXT($Y983,"mmm-yy"))*
  (Dump!$B$2:$B994=$C983)*
  Dump!$P$2:$P994
)</f>
        <v>0</v>
      </c>
      <c r="N983" s="32"/>
      <c r="O983" s="33">
        <f>SUMIFS(Dump!$D:$D,Dump!$B:$B,$C983,Dump!$A:$A,$Y983)</f>
        <v>0</v>
      </c>
      <c r="P983" s="33">
        <f>SUMIFS(Dump!R:R,Dump!B:B,C983,Dump!A:A,Y983)</f>
        <v>0</v>
      </c>
      <c r="Q983" s="34">
        <f t="shared" si="21"/>
        <v>0</v>
      </c>
      <c r="S983" s="4">
        <f>SUMIFS(Dump!E:E,Dump!B:B,C983,Dump!A:A,Y983)</f>
        <v>0</v>
      </c>
      <c r="T983" s="35">
        <f t="shared" si="22"/>
        <v>0</v>
      </c>
      <c r="V983" s="4">
        <f>SUMIFS(Dump!P:P,Dump!B:B,C983,Dump!A:A,Y983)</f>
        <v>0</v>
      </c>
      <c r="W983" s="37">
        <f t="shared" si="23"/>
        <v>0</v>
      </c>
      <c r="X983" s="39"/>
      <c r="Y983" s="54"/>
    </row>
    <row r="984">
      <c r="C984" s="53"/>
      <c r="G984" s="2" t="str">
        <f t="shared" si="27"/>
        <v/>
      </c>
      <c r="I984" s="4">
        <f>SUMIFS(Dump!D:D,Dump!B:B,C984)</f>
        <v>0</v>
      </c>
      <c r="J984" s="5">
        <f>SUMIFS(Dump!AE:AE,Dump!B:B,C984)</f>
        <v>0</v>
      </c>
      <c r="K984" s="4">
        <f>SUMPRODUCT(
  (TEXT(Dump!$A$2:$A994,"mmm-yy")=TEXT($Y984,"mmm-yy"))*
  (Dump!$B$2:$B994=$C984)*
  Dump!$D$2:$D994)</f>
        <v>0</v>
      </c>
      <c r="L984" s="4">
        <f>SUMPRODUCT(
  (TEXT(Dump!$A$2:$A994,"mmm-yy")=TEXT($Y984,"mmm-yy"))*
  (Dump!$B$2:$B994=$C984)*
  Dump!$E$2:$E994
)</f>
        <v>0</v>
      </c>
      <c r="M984" s="4">
        <f>SUMPRODUCT(
  (TEXT(Dump!$A$2:$A994,"mmm-yy")=TEXT($Y984,"mmm-yy"))*
  (Dump!$B$2:$B994=$C984)*
  Dump!$P$2:$P994
)</f>
        <v>0</v>
      </c>
      <c r="N984" s="32"/>
      <c r="O984" s="33">
        <f>SUMIFS(Dump!$D:$D,Dump!$B:$B,$C984,Dump!$A:$A,$Y984)</f>
        <v>0</v>
      </c>
      <c r="P984" s="33">
        <f>SUMIFS(Dump!R:R,Dump!B:B,C984,Dump!A:A,Y984)</f>
        <v>0</v>
      </c>
      <c r="Q984" s="34">
        <f t="shared" si="21"/>
        <v>0</v>
      </c>
      <c r="S984" s="4">
        <f>SUMIFS(Dump!E:E,Dump!B:B,C984,Dump!A:A,Y984)</f>
        <v>0</v>
      </c>
      <c r="T984" s="35">
        <f t="shared" si="22"/>
        <v>0</v>
      </c>
      <c r="V984" s="4">
        <f>SUMIFS(Dump!P:P,Dump!B:B,C984,Dump!A:A,Y984)</f>
        <v>0</v>
      </c>
      <c r="W984" s="37">
        <f t="shared" si="23"/>
        <v>0</v>
      </c>
      <c r="X984" s="39"/>
      <c r="Y984" s="54"/>
    </row>
    <row r="985">
      <c r="C985" s="53"/>
      <c r="G985" s="2" t="str">
        <f t="shared" si="27"/>
        <v/>
      </c>
      <c r="I985" s="4">
        <f>SUMIFS(Dump!D:D,Dump!B:B,C985)</f>
        <v>0</v>
      </c>
      <c r="J985" s="5">
        <f>SUMIFS(Dump!AE:AE,Dump!B:B,C985)</f>
        <v>0</v>
      </c>
      <c r="K985" s="4">
        <f>SUMPRODUCT(
  (TEXT(Dump!$A$2:$A994,"mmm-yy")=TEXT($Y985,"mmm-yy"))*
  (Dump!$B$2:$B994=$C985)*
  Dump!$D$2:$D994)</f>
        <v>0</v>
      </c>
      <c r="L985" s="4">
        <f>SUMPRODUCT(
  (TEXT(Dump!$A$2:$A994,"mmm-yy")=TEXT($Y985,"mmm-yy"))*
  (Dump!$B$2:$B994=$C985)*
  Dump!$E$2:$E994
)</f>
        <v>0</v>
      </c>
      <c r="M985" s="4">
        <f>SUMPRODUCT(
  (TEXT(Dump!$A$2:$A994,"mmm-yy")=TEXT($Y985,"mmm-yy"))*
  (Dump!$B$2:$B994=$C985)*
  Dump!$P$2:$P994
)</f>
        <v>0</v>
      </c>
      <c r="N985" s="32"/>
      <c r="O985" s="33">
        <f>SUMIFS(Dump!$D:$D,Dump!$B:$B,$C985,Dump!$A:$A,$Y985)</f>
        <v>0</v>
      </c>
      <c r="P985" s="33">
        <f>SUMIFS(Dump!R:R,Dump!B:B,C985,Dump!A:A,Y985)</f>
        <v>0</v>
      </c>
      <c r="Q985" s="34">
        <f t="shared" si="21"/>
        <v>0</v>
      </c>
      <c r="S985" s="4">
        <f>SUMIFS(Dump!E:E,Dump!B:B,C985,Dump!A:A,Y985)</f>
        <v>0</v>
      </c>
      <c r="T985" s="35">
        <f t="shared" si="22"/>
        <v>0</v>
      </c>
      <c r="V985" s="4">
        <f>SUMIFS(Dump!P:P,Dump!B:B,C985,Dump!A:A,Y985)</f>
        <v>0</v>
      </c>
      <c r="W985" s="37">
        <f t="shared" si="23"/>
        <v>0</v>
      </c>
      <c r="X985" s="39"/>
      <c r="Y985" s="54"/>
    </row>
    <row r="986">
      <c r="C986" s="53"/>
      <c r="G986" s="2" t="str">
        <f t="shared" si="27"/>
        <v/>
      </c>
      <c r="I986" s="4">
        <f>SUMIFS(Dump!D:D,Dump!B:B,C986)</f>
        <v>0</v>
      </c>
      <c r="J986" s="5">
        <f>SUMIFS(Dump!AE:AE,Dump!B:B,C986)</f>
        <v>0</v>
      </c>
      <c r="K986" s="4">
        <f>SUMPRODUCT(
  (TEXT(Dump!$A$2:$A994,"mmm-yy")=TEXT($Y986,"mmm-yy"))*
  (Dump!$B$2:$B994=$C986)*
  Dump!$D$2:$D994)</f>
        <v>0</v>
      </c>
      <c r="L986" s="4">
        <f>SUMPRODUCT(
  (TEXT(Dump!$A$2:$A994,"mmm-yy")=TEXT($Y986,"mmm-yy"))*
  (Dump!$B$2:$B994=$C986)*
  Dump!$E$2:$E994
)</f>
        <v>0</v>
      </c>
      <c r="M986" s="4">
        <f>SUMPRODUCT(
  (TEXT(Dump!$A$2:$A994,"mmm-yy")=TEXT($Y986,"mmm-yy"))*
  (Dump!$B$2:$B994=$C986)*
  Dump!$P$2:$P994
)</f>
        <v>0</v>
      </c>
      <c r="N986" s="32"/>
      <c r="O986" s="33">
        <f>SUMIFS(Dump!$D:$D,Dump!$B:$B,$C986,Dump!$A:$A,$Y986)</f>
        <v>0</v>
      </c>
      <c r="P986" s="33">
        <f>SUMIFS(Dump!R:R,Dump!B:B,C986,Dump!A:A,Y986)</f>
        <v>0</v>
      </c>
      <c r="Q986" s="34">
        <f t="shared" si="21"/>
        <v>0</v>
      </c>
      <c r="S986" s="4">
        <f>SUMIFS(Dump!E:E,Dump!B:B,C986,Dump!A:A,Y986)</f>
        <v>0</v>
      </c>
      <c r="T986" s="35">
        <f t="shared" si="22"/>
        <v>0</v>
      </c>
      <c r="V986" s="4">
        <f>SUMIFS(Dump!P:P,Dump!B:B,C986,Dump!A:A,Y986)</f>
        <v>0</v>
      </c>
      <c r="W986" s="37">
        <f t="shared" si="23"/>
        <v>0</v>
      </c>
      <c r="X986" s="39"/>
      <c r="Y986" s="54"/>
    </row>
    <row r="987">
      <c r="C987" s="53"/>
      <c r="G987" s="2" t="str">
        <f t="shared" si="27"/>
        <v/>
      </c>
      <c r="I987" s="4">
        <f>SUMIFS(Dump!D:D,Dump!B:B,C987)</f>
        <v>0</v>
      </c>
      <c r="J987" s="5">
        <f>SUMIFS(Dump!AE:AE,Dump!B:B,C987)</f>
        <v>0</v>
      </c>
      <c r="K987" s="4">
        <f>SUMPRODUCT(
  (TEXT(Dump!$A$2:$A994,"mmm-yy")=TEXT($Y987,"mmm-yy"))*
  (Dump!$B$2:$B994=$C987)*
  Dump!$D$2:$D994)</f>
        <v>0</v>
      </c>
      <c r="L987" s="4">
        <f>SUMPRODUCT(
  (TEXT(Dump!$A$2:$A994,"mmm-yy")=TEXT($Y987,"mmm-yy"))*
  (Dump!$B$2:$B994=$C987)*
  Dump!$E$2:$E994
)</f>
        <v>0</v>
      </c>
      <c r="M987" s="4">
        <f>SUMPRODUCT(
  (TEXT(Dump!$A$2:$A994,"mmm-yy")=TEXT($Y987,"mmm-yy"))*
  (Dump!$B$2:$B994=$C987)*
  Dump!$P$2:$P994
)</f>
        <v>0</v>
      </c>
      <c r="N987" s="32"/>
      <c r="O987" s="33">
        <f>SUMIFS(Dump!$D:$D,Dump!$B:$B,$C987,Dump!$A:$A,$Y987)</f>
        <v>0</v>
      </c>
      <c r="P987" s="33">
        <f>SUMIFS(Dump!R:R,Dump!B:B,C987,Dump!A:A,Y987)</f>
        <v>0</v>
      </c>
      <c r="Q987" s="34">
        <f t="shared" si="21"/>
        <v>0</v>
      </c>
      <c r="S987" s="4">
        <f>SUMIFS(Dump!E:E,Dump!B:B,C987,Dump!A:A,Y987)</f>
        <v>0</v>
      </c>
      <c r="T987" s="35">
        <f t="shared" si="22"/>
        <v>0</v>
      </c>
      <c r="V987" s="4">
        <f>SUMIFS(Dump!P:P,Dump!B:B,C987,Dump!A:A,Y987)</f>
        <v>0</v>
      </c>
      <c r="W987" s="37">
        <f t="shared" si="23"/>
        <v>0</v>
      </c>
      <c r="X987" s="39"/>
      <c r="Y987" s="54"/>
    </row>
    <row r="988">
      <c r="C988" s="53"/>
      <c r="G988" s="2" t="str">
        <f t="shared" si="27"/>
        <v/>
      </c>
      <c r="I988" s="4">
        <f>SUMIFS(Dump!D:D,Dump!B:B,C988)</f>
        <v>0</v>
      </c>
      <c r="J988" s="5">
        <f>SUMIFS(Dump!AE:AE,Dump!B:B,C988)</f>
        <v>0</v>
      </c>
      <c r="K988" s="4">
        <f>SUMPRODUCT(
  (TEXT(Dump!$A$2:$A994,"mmm-yy")=TEXT($Y988,"mmm-yy"))*
  (Dump!$B$2:$B994=$C988)*
  Dump!$D$2:$D994)</f>
        <v>0</v>
      </c>
      <c r="L988" s="4">
        <f>SUMPRODUCT(
  (TEXT(Dump!$A$2:$A994,"mmm-yy")=TEXT($Y988,"mmm-yy"))*
  (Dump!$B$2:$B994=$C988)*
  Dump!$E$2:$E994
)</f>
        <v>0</v>
      </c>
      <c r="M988" s="4">
        <f>SUMPRODUCT(
  (TEXT(Dump!$A$2:$A994,"mmm-yy")=TEXT($Y988,"mmm-yy"))*
  (Dump!$B$2:$B994=$C988)*
  Dump!$P$2:$P994
)</f>
        <v>0</v>
      </c>
      <c r="N988" s="32"/>
      <c r="O988" s="33">
        <f>SUMIFS(Dump!$D:$D,Dump!$B:$B,$C988,Dump!$A:$A,$Y988)</f>
        <v>0</v>
      </c>
      <c r="P988" s="33">
        <f>SUMIFS(Dump!R:R,Dump!B:B,C988,Dump!A:A,Y988)</f>
        <v>0</v>
      </c>
      <c r="Q988" s="34">
        <f t="shared" si="21"/>
        <v>0</v>
      </c>
      <c r="S988" s="4">
        <f>SUMIFS(Dump!E:E,Dump!B:B,C988,Dump!A:A,Y988)</f>
        <v>0</v>
      </c>
      <c r="T988" s="35">
        <f t="shared" si="22"/>
        <v>0</v>
      </c>
      <c r="V988" s="4">
        <f>SUMIFS(Dump!P:P,Dump!B:B,C988,Dump!A:A,Y988)</f>
        <v>0</v>
      </c>
      <c r="W988" s="37">
        <f t="shared" si="23"/>
        <v>0</v>
      </c>
      <c r="X988" s="39"/>
      <c r="Y988" s="54"/>
    </row>
    <row r="989">
      <c r="C989" s="53"/>
      <c r="G989" s="2" t="str">
        <f t="shared" si="27"/>
        <v/>
      </c>
      <c r="I989" s="4">
        <f>SUMIFS(Dump!D:D,Dump!B:B,C989)</f>
        <v>0</v>
      </c>
      <c r="J989" s="5">
        <f>SUMIFS(Dump!AE:AE,Dump!B:B,C989)</f>
        <v>0</v>
      </c>
      <c r="K989" s="4">
        <f>SUMPRODUCT(
  (TEXT(Dump!$A$2:$A994,"mmm-yy")=TEXT($Y989,"mmm-yy"))*
  (Dump!$B$2:$B994=$C989)*
  Dump!$D$2:$D994)</f>
        <v>0</v>
      </c>
      <c r="L989" s="4">
        <f>SUMPRODUCT(
  (TEXT(Dump!$A$2:$A994,"mmm-yy")=TEXT($Y989,"mmm-yy"))*
  (Dump!$B$2:$B994=$C989)*
  Dump!$E$2:$E994
)</f>
        <v>0</v>
      </c>
      <c r="M989" s="4">
        <f>SUMPRODUCT(
  (TEXT(Dump!$A$2:$A994,"mmm-yy")=TEXT($Y989,"mmm-yy"))*
  (Dump!$B$2:$B994=$C989)*
  Dump!$P$2:$P994
)</f>
        <v>0</v>
      </c>
      <c r="N989" s="32"/>
      <c r="O989" s="33">
        <f>SUMIFS(Dump!$D:$D,Dump!$B:$B,$C989,Dump!$A:$A,$Y989)</f>
        <v>0</v>
      </c>
      <c r="P989" s="33">
        <f>SUMIFS(Dump!R:R,Dump!B:B,C989,Dump!A:A,Y989)</f>
        <v>0</v>
      </c>
      <c r="Q989" s="34">
        <f t="shared" si="21"/>
        <v>0</v>
      </c>
      <c r="S989" s="4">
        <f>SUMIFS(Dump!E:E,Dump!B:B,C989,Dump!A:A,Y989)</f>
        <v>0</v>
      </c>
      <c r="T989" s="35">
        <f t="shared" si="22"/>
        <v>0</v>
      </c>
      <c r="V989" s="4">
        <f>SUMIFS(Dump!P:P,Dump!B:B,C989,Dump!A:A,Y989)</f>
        <v>0</v>
      </c>
      <c r="W989" s="37">
        <f t="shared" si="23"/>
        <v>0</v>
      </c>
      <c r="X989" s="39"/>
      <c r="Y989" s="54"/>
    </row>
    <row r="990">
      <c r="C990" s="53"/>
      <c r="G990" s="2" t="str">
        <f t="shared" si="27"/>
        <v/>
      </c>
      <c r="I990" s="4">
        <f>SUMIFS(Dump!D:D,Dump!B:B,C990)</f>
        <v>0</v>
      </c>
      <c r="J990" s="5">
        <f>SUMIFS(Dump!AE:AE,Dump!B:B,C990)</f>
        <v>0</v>
      </c>
      <c r="K990" s="4">
        <f>SUMPRODUCT(
  (TEXT(Dump!$A$2:$A994,"mmm-yy")=TEXT($Y990,"mmm-yy"))*
  (Dump!$B$2:$B994=$C990)*
  Dump!$D$2:$D994)</f>
        <v>0</v>
      </c>
      <c r="L990" s="4">
        <f>SUMPRODUCT(
  (TEXT(Dump!$A$2:$A994,"mmm-yy")=TEXT($Y990,"mmm-yy"))*
  (Dump!$B$2:$B994=$C990)*
  Dump!$E$2:$E994
)</f>
        <v>0</v>
      </c>
      <c r="M990" s="4">
        <f>SUMPRODUCT(
  (TEXT(Dump!$A$2:$A994,"mmm-yy")=TEXT($Y990,"mmm-yy"))*
  (Dump!$B$2:$B994=$C990)*
  Dump!$P$2:$P994
)</f>
        <v>0</v>
      </c>
      <c r="N990" s="32"/>
      <c r="O990" s="33">
        <f>SUMIFS(Dump!$D:$D,Dump!$B:$B,$C990,Dump!$A:$A,$Y990)</f>
        <v>0</v>
      </c>
      <c r="P990" s="33">
        <f>SUMIFS(Dump!R:R,Dump!B:B,C990,Dump!A:A,Y990)</f>
        <v>0</v>
      </c>
      <c r="Q990" s="34">
        <f t="shared" si="21"/>
        <v>0</v>
      </c>
      <c r="S990" s="4">
        <f>SUMIFS(Dump!E:E,Dump!B:B,C990,Dump!A:A,Y990)</f>
        <v>0</v>
      </c>
      <c r="T990" s="35">
        <f t="shared" si="22"/>
        <v>0</v>
      </c>
      <c r="V990" s="4">
        <f>SUMIFS(Dump!P:P,Dump!B:B,C990,Dump!A:A,Y990)</f>
        <v>0</v>
      </c>
      <c r="W990" s="37">
        <f t="shared" si="23"/>
        <v>0</v>
      </c>
      <c r="X990" s="39"/>
      <c r="Y990" s="54"/>
    </row>
    <row r="991">
      <c r="C991" s="53"/>
      <c r="G991" s="2" t="str">
        <f t="shared" si="27"/>
        <v/>
      </c>
      <c r="I991" s="4">
        <f>SUMIFS(Dump!D:D,Dump!B:B,C991)</f>
        <v>0</v>
      </c>
      <c r="J991" s="5">
        <f>SUMIFS(Dump!AE:AE,Dump!B:B,C991)</f>
        <v>0</v>
      </c>
      <c r="K991" s="4">
        <f>SUMPRODUCT(
  (TEXT(Dump!$A$2:$A994,"mmm-yy")=TEXT($Y991,"mmm-yy"))*
  (Dump!$B$2:$B994=$C991)*
  Dump!$D$2:$D994)</f>
        <v>0</v>
      </c>
      <c r="L991" s="4">
        <f>SUMPRODUCT(
  (TEXT(Dump!$A$2:$A994,"mmm-yy")=TEXT($Y991,"mmm-yy"))*
  (Dump!$B$2:$B994=$C991)*
  Dump!$E$2:$E994
)</f>
        <v>0</v>
      </c>
      <c r="M991" s="4">
        <f>SUMPRODUCT(
  (TEXT(Dump!$A$2:$A994,"mmm-yy")=TEXT($Y991,"mmm-yy"))*
  (Dump!$B$2:$B994=$C991)*
  Dump!$P$2:$P994
)</f>
        <v>0</v>
      </c>
      <c r="N991" s="32"/>
      <c r="O991" s="33">
        <f>SUMIFS(Dump!$D:$D,Dump!$B:$B,$C991,Dump!$A:$A,$Y991)</f>
        <v>0</v>
      </c>
      <c r="P991" s="33">
        <f>SUMIFS(Dump!R:R,Dump!B:B,C991,Dump!A:A,Y991)</f>
        <v>0</v>
      </c>
      <c r="Q991" s="34">
        <f t="shared" si="21"/>
        <v>0</v>
      </c>
      <c r="S991" s="4">
        <f>SUMIFS(Dump!E:E,Dump!B:B,C991,Dump!A:A,Y991)</f>
        <v>0</v>
      </c>
      <c r="T991" s="35">
        <f t="shared" si="22"/>
        <v>0</v>
      </c>
      <c r="V991" s="4">
        <f>SUMIFS(Dump!P:P,Dump!B:B,C991,Dump!A:A,Y991)</f>
        <v>0</v>
      </c>
      <c r="W991" s="37">
        <f t="shared" si="23"/>
        <v>0</v>
      </c>
      <c r="X991" s="39"/>
      <c r="Y991" s="54"/>
    </row>
    <row r="992">
      <c r="C992" s="53"/>
      <c r="G992" s="2" t="str">
        <f t="shared" si="27"/>
        <v/>
      </c>
      <c r="I992" s="4">
        <f>SUMIFS(Dump!D:D,Dump!B:B,C992)</f>
        <v>0</v>
      </c>
      <c r="J992" s="5">
        <f>SUMIFS(Dump!AE:AE,Dump!B:B,C992)</f>
        <v>0</v>
      </c>
      <c r="K992" s="4">
        <f>SUMPRODUCT(
  (TEXT(Dump!$A$2:$A994,"mmm-yy")=TEXT($Y992,"mmm-yy"))*
  (Dump!$B$2:$B994=$C992)*
  Dump!$D$2:$D994)</f>
        <v>0</v>
      </c>
      <c r="L992" s="4">
        <f>SUMPRODUCT(
  (TEXT(Dump!$A$2:$A994,"mmm-yy")=TEXT($Y992,"mmm-yy"))*
  (Dump!$B$2:$B994=$C992)*
  Dump!$E$2:$E994
)</f>
        <v>0</v>
      </c>
      <c r="M992" s="4">
        <f>SUMPRODUCT(
  (TEXT(Dump!$A$2:$A994,"mmm-yy")=TEXT($Y992,"mmm-yy"))*
  (Dump!$B$2:$B994=$C992)*
  Dump!$P$2:$P994
)</f>
        <v>0</v>
      </c>
      <c r="N992" s="32"/>
      <c r="O992" s="33">
        <f>SUMIFS(Dump!$D:$D,Dump!$B:$B,$C992,Dump!$A:$A,$Y992)</f>
        <v>0</v>
      </c>
      <c r="P992" s="33">
        <f>SUMIFS(Dump!R:R,Dump!B:B,C992,Dump!A:A,Y992)</f>
        <v>0</v>
      </c>
      <c r="Q992" s="34">
        <f t="shared" si="21"/>
        <v>0</v>
      </c>
      <c r="S992" s="4">
        <f>SUMIFS(Dump!E:E,Dump!B:B,C992,Dump!A:A,Y992)</f>
        <v>0</v>
      </c>
      <c r="T992" s="35">
        <f t="shared" si="22"/>
        <v>0</v>
      </c>
      <c r="V992" s="4">
        <f>SUMIFS(Dump!P:P,Dump!B:B,C992,Dump!A:A,Y992)</f>
        <v>0</v>
      </c>
      <c r="W992" s="37">
        <f t="shared" si="23"/>
        <v>0</v>
      </c>
      <c r="X992" s="39"/>
      <c r="Y992" s="54"/>
    </row>
    <row r="993">
      <c r="C993" s="53"/>
      <c r="G993" s="2" t="str">
        <f t="shared" si="27"/>
        <v/>
      </c>
      <c r="I993" s="4">
        <f>SUMIFS(Dump!D:D,Dump!B:B,C993)</f>
        <v>0</v>
      </c>
      <c r="J993" s="5">
        <f>SUMIFS(Dump!AE:AE,Dump!B:B,C993)</f>
        <v>0</v>
      </c>
      <c r="K993" s="4">
        <f>SUMPRODUCT(
  (TEXT(Dump!$A$2:$A994,"mmm-yy")=TEXT($Y993,"mmm-yy"))*
  (Dump!$B$2:$B994=$C993)*
  Dump!$D$2:$D994)</f>
        <v>0</v>
      </c>
      <c r="L993" s="4">
        <f>SUMPRODUCT(
  (TEXT(Dump!$A$2:$A994,"mmm-yy")=TEXT($Y993,"mmm-yy"))*
  (Dump!$B$2:$B994=$C993)*
  Dump!$E$2:$E994
)</f>
        <v>0</v>
      </c>
      <c r="M993" s="4">
        <f>SUMPRODUCT(
  (TEXT(Dump!$A$2:$A994,"mmm-yy")=TEXT($Y993,"mmm-yy"))*
  (Dump!$B$2:$B994=$C993)*
  Dump!$P$2:$P994
)</f>
        <v>0</v>
      </c>
      <c r="N993" s="32"/>
      <c r="O993" s="33">
        <f>SUMIFS(Dump!$D:$D,Dump!$B:$B,$C993,Dump!$A:$A,$Y993)</f>
        <v>0</v>
      </c>
      <c r="P993" s="33">
        <f>SUMIFS(Dump!R:R,Dump!B:B,C993,Dump!A:A,Y993)</f>
        <v>0</v>
      </c>
      <c r="Q993" s="34">
        <f t="shared" si="21"/>
        <v>0</v>
      </c>
      <c r="S993" s="4">
        <f>SUMIFS(Dump!E:E,Dump!B:B,C993,Dump!A:A,Y993)</f>
        <v>0</v>
      </c>
      <c r="T993" s="35">
        <f t="shared" si="22"/>
        <v>0</v>
      </c>
      <c r="V993" s="4">
        <f>SUMIFS(Dump!P:P,Dump!B:B,C993,Dump!A:A,Y993)</f>
        <v>0</v>
      </c>
      <c r="W993" s="37">
        <f t="shared" si="23"/>
        <v>0</v>
      </c>
      <c r="X993" s="39"/>
      <c r="Y993" s="54"/>
    </row>
    <row r="994">
      <c r="C994" s="53"/>
      <c r="G994" s="2" t="str">
        <f t="shared" si="27"/>
        <v/>
      </c>
      <c r="I994" s="4">
        <f>SUMIFS(Dump!D:D,Dump!B:B,C994)</f>
        <v>0</v>
      </c>
      <c r="J994" s="5">
        <f>SUMIFS(Dump!AE:AE,Dump!B:B,C994)</f>
        <v>0</v>
      </c>
      <c r="K994" s="4">
        <f>SUMPRODUCT(
  (TEXT(Dump!$A$2:$A994,"mmm-yy")=TEXT($Y994,"mmm-yy"))*
  (Dump!$B$2:$B994=$C994)*
  Dump!$D$2:$D994)</f>
        <v>0</v>
      </c>
      <c r="L994" s="4">
        <f>SUMPRODUCT(
  (TEXT(Dump!$A$2:$A994,"mmm-yy")=TEXT($Y994,"mmm-yy"))*
  (Dump!$B$2:$B994=$C994)*
  Dump!$E$2:$E994
)</f>
        <v>0</v>
      </c>
      <c r="M994" s="4">
        <f>SUMPRODUCT(
  (TEXT(Dump!$A$2:$A994,"mmm-yy")=TEXT($Y994,"mmm-yy"))*
  (Dump!$B$2:$B994=$C994)*
  Dump!$P$2:$P994
)</f>
        <v>0</v>
      </c>
      <c r="N994" s="32"/>
      <c r="O994" s="33">
        <f>SUMIFS(Dump!$D:$D,Dump!$B:$B,$C994,Dump!$A:$A,$Y994)</f>
        <v>0</v>
      </c>
      <c r="P994" s="33">
        <f>SUMIFS(Dump!R:R,Dump!B:B,C994,Dump!A:A,Y994)</f>
        <v>0</v>
      </c>
      <c r="Q994" s="34">
        <f t="shared" si="21"/>
        <v>0</v>
      </c>
      <c r="S994" s="4">
        <f>SUMIFS(Dump!E:E,Dump!B:B,C994,Dump!A:A,Y994)</f>
        <v>0</v>
      </c>
      <c r="T994" s="35">
        <f t="shared" si="22"/>
        <v>0</v>
      </c>
      <c r="V994" s="4">
        <f>SUMIFS(Dump!P:P,Dump!B:B,C994,Dump!A:A,Y994)</f>
        <v>0</v>
      </c>
      <c r="W994" s="37">
        <f t="shared" si="23"/>
        <v>0</v>
      </c>
      <c r="X994" s="39"/>
      <c r="Y994" s="54"/>
    </row>
  </sheetData>
  <mergeCells count="6">
    <mergeCell ref="N1:Q1"/>
    <mergeCell ref="R1:T1"/>
    <mergeCell ref="U1:W1"/>
    <mergeCell ref="N2:Q2"/>
    <mergeCell ref="R2:T2"/>
    <mergeCell ref="U2:W2"/>
  </mergeCells>
  <conditionalFormatting sqref="Q3:Q994">
    <cfRule type="cellIs" dxfId="0" priority="1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116</v>
      </c>
      <c r="B1" s="55" t="s">
        <v>117</v>
      </c>
      <c r="C1" s="55" t="s">
        <v>118</v>
      </c>
      <c r="D1" s="55" t="s">
        <v>119</v>
      </c>
      <c r="E1" s="55" t="s">
        <v>120</v>
      </c>
      <c r="F1" s="55" t="s">
        <v>121</v>
      </c>
      <c r="G1" s="55" t="s">
        <v>122</v>
      </c>
      <c r="H1" s="55" t="s">
        <v>123</v>
      </c>
      <c r="I1" s="55" t="s">
        <v>124</v>
      </c>
      <c r="J1" s="55" t="s">
        <v>125</v>
      </c>
      <c r="K1" s="55" t="s">
        <v>126</v>
      </c>
      <c r="L1" s="55" t="s">
        <v>127</v>
      </c>
      <c r="M1" s="55" t="s">
        <v>128</v>
      </c>
      <c r="N1" s="55" t="s">
        <v>129</v>
      </c>
      <c r="O1" s="55" t="s">
        <v>130</v>
      </c>
      <c r="P1" s="55" t="s">
        <v>131</v>
      </c>
      <c r="Q1" s="55" t="s">
        <v>132</v>
      </c>
      <c r="R1" s="55" t="s">
        <v>133</v>
      </c>
      <c r="S1" s="55" t="s">
        <v>134</v>
      </c>
      <c r="T1" s="55" t="s">
        <v>135</v>
      </c>
      <c r="U1" s="55" t="s">
        <v>136</v>
      </c>
      <c r="V1" s="55" t="s">
        <v>137</v>
      </c>
      <c r="W1" s="55" t="s">
        <v>138</v>
      </c>
      <c r="X1" s="55" t="s">
        <v>139</v>
      </c>
      <c r="Y1" s="55" t="s">
        <v>140</v>
      </c>
      <c r="Z1" s="55" t="s">
        <v>141</v>
      </c>
      <c r="AA1" s="55" t="s">
        <v>142</v>
      </c>
      <c r="AB1" s="55" t="s">
        <v>143</v>
      </c>
      <c r="AC1" s="55" t="s">
        <v>144</v>
      </c>
      <c r="AD1" s="55" t="s">
        <v>145</v>
      </c>
      <c r="AE1" s="55" t="s">
        <v>146</v>
      </c>
      <c r="AF1" s="55" t="s">
        <v>147</v>
      </c>
    </row>
    <row r="2">
      <c r="A2" s="56">
        <v>46153.0</v>
      </c>
      <c r="B2" s="55" t="s">
        <v>77</v>
      </c>
      <c r="C2" s="55" t="s">
        <v>148</v>
      </c>
      <c r="D2" s="55">
        <v>35.0</v>
      </c>
      <c r="E2" s="55">
        <v>52.0</v>
      </c>
      <c r="F2" s="55">
        <v>21.0</v>
      </c>
      <c r="G2" s="55">
        <v>18.0</v>
      </c>
      <c r="H2" s="55">
        <v>25.0</v>
      </c>
      <c r="I2" s="55">
        <v>8.0</v>
      </c>
      <c r="J2" s="55">
        <v>23.0</v>
      </c>
      <c r="K2" s="55">
        <v>6.0</v>
      </c>
      <c r="L2" s="55">
        <v>1.0</v>
      </c>
      <c r="M2" s="55">
        <v>20.0</v>
      </c>
      <c r="N2" s="55">
        <v>24.0</v>
      </c>
      <c r="O2" s="55">
        <v>6.0</v>
      </c>
      <c r="P2" s="55">
        <v>24.0</v>
      </c>
      <c r="Q2" s="55">
        <v>0.0</v>
      </c>
      <c r="R2" s="55">
        <v>83820.0</v>
      </c>
      <c r="S2" s="55">
        <v>125646.0</v>
      </c>
      <c r="T2" s="55">
        <v>4.94055555555555</v>
      </c>
      <c r="U2" s="55">
        <v>4.52222222222222</v>
      </c>
      <c r="V2" s="55">
        <v>3.87638888888888</v>
      </c>
      <c r="W2" s="55">
        <v>5.38777777777777</v>
      </c>
      <c r="X2" s="55">
        <v>1.73777777777777</v>
      </c>
      <c r="Y2" s="55">
        <v>4.94333333333333</v>
      </c>
      <c r="Z2" s="55">
        <v>1.29194444444444</v>
      </c>
      <c r="AA2" s="55">
        <v>0.221388888888888</v>
      </c>
      <c r="AB2" s="55">
        <v>4.32</v>
      </c>
      <c r="AC2" s="55">
        <v>5.1725</v>
      </c>
      <c r="AD2" s="55">
        <v>1.18277777777777</v>
      </c>
      <c r="AE2" s="55">
        <v>5.17249999999999</v>
      </c>
      <c r="AF2" s="55">
        <v>23.0</v>
      </c>
    </row>
    <row r="3">
      <c r="A3" s="56">
        <v>46153.0</v>
      </c>
      <c r="B3" s="55" t="s">
        <v>93</v>
      </c>
      <c r="C3" s="55" t="s">
        <v>94</v>
      </c>
      <c r="D3" s="55">
        <v>15.0</v>
      </c>
      <c r="E3" s="55">
        <v>15.0</v>
      </c>
      <c r="F3" s="55">
        <v>0.0</v>
      </c>
      <c r="G3" s="55">
        <v>0.0</v>
      </c>
      <c r="H3" s="55">
        <v>2.0</v>
      </c>
      <c r="I3" s="55">
        <v>0.0</v>
      </c>
      <c r="J3" s="55">
        <v>2.0</v>
      </c>
      <c r="K3" s="55">
        <v>0.0</v>
      </c>
      <c r="L3" s="55">
        <v>0.0</v>
      </c>
      <c r="M3" s="55">
        <v>12.0</v>
      </c>
      <c r="N3" s="55">
        <v>13.0</v>
      </c>
      <c r="O3" s="55">
        <v>6.0</v>
      </c>
      <c r="P3" s="55">
        <v>13.0</v>
      </c>
      <c r="Q3" s="55">
        <v>0.0</v>
      </c>
      <c r="R3" s="55">
        <v>32933.0</v>
      </c>
      <c r="S3" s="55">
        <v>32933.0</v>
      </c>
      <c r="T3" s="55">
        <v>2.30055555555555</v>
      </c>
      <c r="U3" s="55">
        <v>0.0</v>
      </c>
      <c r="V3" s="55">
        <v>0.0</v>
      </c>
      <c r="W3" s="55">
        <v>0.486111111111111</v>
      </c>
      <c r="X3" s="55">
        <v>0.0</v>
      </c>
      <c r="Y3" s="55">
        <v>0.486111111111111</v>
      </c>
      <c r="Z3" s="55">
        <v>0.0</v>
      </c>
      <c r="AA3" s="55">
        <v>0.0</v>
      </c>
      <c r="AB3" s="55">
        <v>2.95166666666666</v>
      </c>
      <c r="AC3" s="55">
        <v>3.18666666666666</v>
      </c>
      <c r="AD3" s="55">
        <v>1.33499999999999</v>
      </c>
      <c r="AE3" s="55">
        <v>3.18666666666666</v>
      </c>
      <c r="AF3" s="55">
        <v>9.0</v>
      </c>
    </row>
    <row r="4">
      <c r="A4" s="56">
        <v>46153.0</v>
      </c>
      <c r="B4" s="55" t="s">
        <v>69</v>
      </c>
      <c r="C4" s="55" t="s">
        <v>149</v>
      </c>
      <c r="D4" s="55">
        <v>0.0</v>
      </c>
      <c r="E4" s="55">
        <v>0.0</v>
      </c>
      <c r="F4" s="55">
        <v>0.0</v>
      </c>
      <c r="G4" s="55">
        <v>0.0</v>
      </c>
      <c r="H4" s="55">
        <v>0.0</v>
      </c>
      <c r="I4" s="55">
        <v>0.0</v>
      </c>
      <c r="J4" s="55">
        <v>0.0</v>
      </c>
      <c r="K4" s="55">
        <v>0.0</v>
      </c>
      <c r="L4" s="55">
        <v>0.0</v>
      </c>
      <c r="M4" s="55">
        <v>0.0</v>
      </c>
      <c r="N4" s="55">
        <v>1.0</v>
      </c>
      <c r="O4" s="55">
        <v>1.0</v>
      </c>
      <c r="P4" s="55">
        <v>1.0</v>
      </c>
      <c r="Q4" s="55">
        <v>0.0</v>
      </c>
      <c r="R4" s="55">
        <v>0.0</v>
      </c>
      <c r="S4" s="55">
        <v>0.0</v>
      </c>
      <c r="T4" s="55">
        <v>0.0</v>
      </c>
      <c r="U4" s="55">
        <v>0.0</v>
      </c>
      <c r="V4" s="55">
        <v>0.0</v>
      </c>
      <c r="W4" s="55">
        <v>0.0</v>
      </c>
      <c r="X4" s="55">
        <v>0.0</v>
      </c>
      <c r="Y4" s="55">
        <v>0.0</v>
      </c>
      <c r="Z4" s="55">
        <v>0.0</v>
      </c>
      <c r="AA4" s="55">
        <v>0.0</v>
      </c>
      <c r="AB4" s="55">
        <v>0.0</v>
      </c>
      <c r="AC4" s="55">
        <v>0.274722222222222</v>
      </c>
      <c r="AD4" s="55">
        <v>0.272222222222222</v>
      </c>
      <c r="AE4" s="55">
        <v>0.274722222222222</v>
      </c>
      <c r="AF4" s="55">
        <v>0.0</v>
      </c>
    </row>
    <row r="5">
      <c r="A5" s="56">
        <v>46153.0</v>
      </c>
      <c r="B5" s="55" t="s">
        <v>74</v>
      </c>
      <c r="C5" s="55" t="s">
        <v>150</v>
      </c>
      <c r="D5" s="55">
        <v>1.0</v>
      </c>
      <c r="E5" s="55">
        <v>21.0</v>
      </c>
      <c r="F5" s="55">
        <v>24.0</v>
      </c>
      <c r="G5" s="55">
        <v>25.0</v>
      </c>
      <c r="H5" s="55">
        <v>25.0</v>
      </c>
      <c r="I5" s="55">
        <v>0.0</v>
      </c>
      <c r="J5" s="55">
        <v>22.0</v>
      </c>
      <c r="K5" s="55">
        <v>1.0</v>
      </c>
      <c r="L5" s="55">
        <v>1.0</v>
      </c>
      <c r="M5" s="55">
        <v>18.0</v>
      </c>
      <c r="N5" s="55">
        <v>22.0</v>
      </c>
      <c r="O5" s="55">
        <v>6.0</v>
      </c>
      <c r="P5" s="55">
        <v>22.0</v>
      </c>
      <c r="Q5" s="55">
        <v>0.0</v>
      </c>
      <c r="R5" s="55">
        <v>3118.0</v>
      </c>
      <c r="S5" s="55">
        <v>64696.0</v>
      </c>
      <c r="T5" s="55">
        <v>7.54083333333333</v>
      </c>
      <c r="U5" s="55">
        <v>8.14583333333333</v>
      </c>
      <c r="V5" s="55">
        <v>8.54833333333333</v>
      </c>
      <c r="W5" s="55">
        <v>8.54833333333333</v>
      </c>
      <c r="X5" s="55">
        <v>0.0</v>
      </c>
      <c r="Y5" s="55">
        <v>7.39222222222222</v>
      </c>
      <c r="Z5" s="55">
        <v>0.273333333333333</v>
      </c>
      <c r="AA5" s="55">
        <v>0.273333333333333</v>
      </c>
      <c r="AB5" s="55">
        <v>6.14888888888888</v>
      </c>
      <c r="AC5" s="55">
        <v>7.39222222222222</v>
      </c>
      <c r="AD5" s="55">
        <v>1.38222222222222</v>
      </c>
      <c r="AE5" s="55">
        <v>7.39222222222222</v>
      </c>
      <c r="AF5" s="55">
        <v>22.0</v>
      </c>
    </row>
    <row r="6">
      <c r="A6" s="56">
        <v>46153.0</v>
      </c>
      <c r="B6" s="55" t="s">
        <v>101</v>
      </c>
      <c r="C6" s="55" t="s">
        <v>151</v>
      </c>
      <c r="D6" s="55">
        <v>23.0</v>
      </c>
      <c r="E6" s="55">
        <v>11.0</v>
      </c>
      <c r="F6" s="55">
        <v>0.0</v>
      </c>
      <c r="G6" s="55">
        <v>0.0</v>
      </c>
      <c r="H6" s="55">
        <v>0.0</v>
      </c>
      <c r="I6" s="55">
        <v>0.0</v>
      </c>
      <c r="J6" s="55">
        <v>0.0</v>
      </c>
      <c r="K6" s="55">
        <v>0.0</v>
      </c>
      <c r="L6" s="55">
        <v>0.0</v>
      </c>
      <c r="M6" s="55">
        <v>0.0</v>
      </c>
      <c r="N6" s="55">
        <v>0.0</v>
      </c>
      <c r="O6" s="55">
        <v>2.0</v>
      </c>
      <c r="P6" s="55">
        <v>0.0</v>
      </c>
      <c r="Q6" s="55">
        <v>0.0</v>
      </c>
      <c r="R6" s="55">
        <v>56814.0</v>
      </c>
      <c r="S6" s="55">
        <v>27515.0</v>
      </c>
      <c r="T6" s="55">
        <v>0.681111111111111</v>
      </c>
      <c r="U6" s="55">
        <v>0.0</v>
      </c>
      <c r="V6" s="55">
        <v>0.0</v>
      </c>
      <c r="W6" s="55">
        <v>0.0</v>
      </c>
      <c r="X6" s="55">
        <v>0.0</v>
      </c>
      <c r="Y6" s="55">
        <v>0.0</v>
      </c>
      <c r="Z6" s="55">
        <v>0.0</v>
      </c>
      <c r="AA6" s="55">
        <v>0.0</v>
      </c>
      <c r="AB6" s="55">
        <v>0.0</v>
      </c>
      <c r="AC6" s="55">
        <v>0.0</v>
      </c>
      <c r="AD6" s="55">
        <v>0.430555555555555</v>
      </c>
      <c r="AE6" s="55">
        <v>0.0</v>
      </c>
      <c r="AF6" s="55">
        <v>3.0</v>
      </c>
    </row>
    <row r="7">
      <c r="A7" s="56">
        <v>46153.0</v>
      </c>
      <c r="B7" s="55" t="s">
        <v>97</v>
      </c>
      <c r="C7" s="55" t="s">
        <v>152</v>
      </c>
      <c r="D7" s="55">
        <v>46.0</v>
      </c>
      <c r="E7" s="55">
        <v>31.0</v>
      </c>
      <c r="F7" s="55">
        <v>4.0</v>
      </c>
      <c r="G7" s="55">
        <v>6.0</v>
      </c>
      <c r="H7" s="55">
        <v>14.0</v>
      </c>
      <c r="I7" s="55">
        <v>8.0</v>
      </c>
      <c r="J7" s="55">
        <v>14.0</v>
      </c>
      <c r="K7" s="55">
        <v>8.0</v>
      </c>
      <c r="L7" s="55">
        <v>1.0</v>
      </c>
      <c r="M7" s="55">
        <v>10.0</v>
      </c>
      <c r="N7" s="55">
        <v>1.0</v>
      </c>
      <c r="O7" s="55">
        <v>6.0</v>
      </c>
      <c r="P7" s="55">
        <v>1.0</v>
      </c>
      <c r="Q7" s="55">
        <v>0.0</v>
      </c>
      <c r="R7" s="55">
        <v>106794.0</v>
      </c>
      <c r="S7" s="55">
        <v>71081.0</v>
      </c>
      <c r="T7" s="55">
        <v>3.11444444444444</v>
      </c>
      <c r="U7" s="55">
        <v>0.828333333333333</v>
      </c>
      <c r="V7" s="55">
        <v>1.3375</v>
      </c>
      <c r="W7" s="55">
        <v>3.00472222222222</v>
      </c>
      <c r="X7" s="55">
        <v>1.66722222222222</v>
      </c>
      <c r="Y7" s="55">
        <v>3.05388888888888</v>
      </c>
      <c r="Z7" s="55">
        <v>1.77416666666666</v>
      </c>
      <c r="AA7" s="55">
        <v>0.213333333333333</v>
      </c>
      <c r="AB7" s="55">
        <v>2.21222222222222</v>
      </c>
      <c r="AC7" s="55">
        <v>0.228611111111111</v>
      </c>
      <c r="AD7" s="55">
        <v>1.41</v>
      </c>
      <c r="AE7" s="55">
        <v>0.228611111111111</v>
      </c>
      <c r="AF7" s="55">
        <v>15.0</v>
      </c>
    </row>
    <row r="8">
      <c r="A8" s="56">
        <v>46153.0</v>
      </c>
      <c r="B8" s="55" t="s">
        <v>30</v>
      </c>
      <c r="C8" s="55" t="s">
        <v>153</v>
      </c>
      <c r="D8" s="55">
        <v>17.0</v>
      </c>
      <c r="E8" s="55">
        <v>24.0</v>
      </c>
      <c r="F8" s="55">
        <v>15.0</v>
      </c>
      <c r="G8" s="55">
        <v>0.0</v>
      </c>
      <c r="H8" s="55">
        <v>24.0</v>
      </c>
      <c r="I8" s="55">
        <v>7.0</v>
      </c>
      <c r="J8" s="55">
        <v>24.0</v>
      </c>
      <c r="K8" s="55">
        <v>3.0</v>
      </c>
      <c r="L8" s="55">
        <v>0.0</v>
      </c>
      <c r="M8" s="55">
        <v>24.0</v>
      </c>
      <c r="N8" s="55">
        <v>23.0</v>
      </c>
      <c r="O8" s="55">
        <v>6.0</v>
      </c>
      <c r="P8" s="55">
        <v>23.0</v>
      </c>
      <c r="Q8" s="55">
        <v>0.0</v>
      </c>
      <c r="R8" s="55">
        <v>40713.0</v>
      </c>
      <c r="S8" s="55">
        <v>57725.0</v>
      </c>
      <c r="T8" s="55">
        <v>4.88055555555555</v>
      </c>
      <c r="U8" s="55">
        <v>3.30249999999999</v>
      </c>
      <c r="V8" s="55">
        <v>0.0</v>
      </c>
      <c r="W8" s="55">
        <v>5.34666666666666</v>
      </c>
      <c r="X8" s="55">
        <v>1.54555555555555</v>
      </c>
      <c r="Y8" s="55">
        <v>5.35499999999999</v>
      </c>
      <c r="Z8" s="55">
        <v>0.683055555555555</v>
      </c>
      <c r="AA8" s="55">
        <v>0.0</v>
      </c>
      <c r="AB8" s="55">
        <v>5.34833333333333</v>
      </c>
      <c r="AC8" s="55">
        <v>5.1125</v>
      </c>
      <c r="AD8" s="55">
        <v>1.28583333333333</v>
      </c>
      <c r="AE8" s="55">
        <v>5.1125</v>
      </c>
      <c r="AF8" s="55">
        <v>22.0</v>
      </c>
    </row>
    <row r="9">
      <c r="A9" s="56">
        <v>46153.0</v>
      </c>
      <c r="B9" s="55" t="s">
        <v>107</v>
      </c>
      <c r="C9" s="55" t="s">
        <v>154</v>
      </c>
      <c r="D9" s="55">
        <v>8.0</v>
      </c>
      <c r="E9" s="55">
        <v>15.0</v>
      </c>
      <c r="F9" s="55">
        <v>0.0</v>
      </c>
      <c r="G9" s="55">
        <v>0.0</v>
      </c>
      <c r="H9" s="55">
        <v>0.0</v>
      </c>
      <c r="I9" s="55">
        <v>0.0</v>
      </c>
      <c r="J9" s="55">
        <v>0.0</v>
      </c>
      <c r="K9" s="55">
        <v>0.0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19570.0</v>
      </c>
      <c r="S9" s="55">
        <v>32118.0</v>
      </c>
      <c r="T9" s="55">
        <v>1.18583333333333</v>
      </c>
      <c r="U9" s="55">
        <v>0.0</v>
      </c>
      <c r="V9" s="55">
        <v>0.0</v>
      </c>
      <c r="W9" s="55">
        <v>0.0</v>
      </c>
      <c r="X9" s="55">
        <v>0.0</v>
      </c>
      <c r="Y9" s="55">
        <v>0.0</v>
      </c>
      <c r="Z9" s="55">
        <v>0.0</v>
      </c>
      <c r="AA9" s="55">
        <v>0.0</v>
      </c>
      <c r="AB9" s="55">
        <v>0.0</v>
      </c>
      <c r="AC9" s="55">
        <v>0.0</v>
      </c>
      <c r="AD9" s="55">
        <v>0.0</v>
      </c>
      <c r="AE9" s="55">
        <v>0.0</v>
      </c>
      <c r="AF9" s="55">
        <v>5.0</v>
      </c>
    </row>
    <row r="10">
      <c r="A10" s="56">
        <v>46153.0</v>
      </c>
      <c r="B10" s="55" t="s">
        <v>99</v>
      </c>
      <c r="C10" s="55" t="s">
        <v>155</v>
      </c>
      <c r="D10" s="55">
        <v>30.0</v>
      </c>
      <c r="E10" s="55">
        <v>4.0</v>
      </c>
      <c r="F10" s="55">
        <v>0.0</v>
      </c>
      <c r="G10" s="55">
        <v>0.0</v>
      </c>
      <c r="H10" s="55">
        <v>0.0</v>
      </c>
      <c r="I10" s="55">
        <v>0.0</v>
      </c>
      <c r="J10" s="55">
        <v>0.0</v>
      </c>
      <c r="K10" s="55">
        <v>0.0</v>
      </c>
      <c r="L10" s="55">
        <v>0.0</v>
      </c>
      <c r="M10" s="55">
        <v>4.0</v>
      </c>
      <c r="N10" s="55">
        <v>3.0</v>
      </c>
      <c r="O10" s="55">
        <v>3.0</v>
      </c>
      <c r="P10" s="55">
        <v>3.0</v>
      </c>
      <c r="Q10" s="55">
        <v>0.0</v>
      </c>
      <c r="R10" s="55">
        <v>69830.0</v>
      </c>
      <c r="S10" s="55">
        <v>10052.0</v>
      </c>
      <c r="T10" s="55">
        <v>0.257222222222222</v>
      </c>
      <c r="U10" s="55">
        <v>0.0</v>
      </c>
      <c r="V10" s="55">
        <v>0.0</v>
      </c>
      <c r="W10" s="55">
        <v>0.0</v>
      </c>
      <c r="X10" s="55">
        <v>0.0</v>
      </c>
      <c r="Y10" s="55">
        <v>0.0</v>
      </c>
      <c r="Z10" s="55">
        <v>0.0</v>
      </c>
      <c r="AA10" s="55">
        <v>0.0</v>
      </c>
      <c r="AB10" s="55">
        <v>1.01638888888888</v>
      </c>
      <c r="AC10" s="55">
        <v>0.766944444444444</v>
      </c>
      <c r="AD10" s="55">
        <v>0.790833333333333</v>
      </c>
      <c r="AE10" s="55">
        <v>0.766944444444444</v>
      </c>
      <c r="AF10" s="55">
        <v>1.0</v>
      </c>
    </row>
    <row r="11">
      <c r="A11" s="56">
        <v>46153.0</v>
      </c>
      <c r="B11" s="55" t="s">
        <v>39</v>
      </c>
      <c r="C11" s="55" t="s">
        <v>156</v>
      </c>
      <c r="D11" s="55">
        <v>27.0</v>
      </c>
      <c r="E11" s="55">
        <v>31.0</v>
      </c>
      <c r="F11" s="55">
        <v>0.0</v>
      </c>
      <c r="G11" s="55">
        <v>0.0</v>
      </c>
      <c r="H11" s="55">
        <v>22.0</v>
      </c>
      <c r="I11" s="55">
        <v>18.0</v>
      </c>
      <c r="J11" s="55">
        <v>26.0</v>
      </c>
      <c r="K11" s="55">
        <v>21.0</v>
      </c>
      <c r="L11" s="55">
        <v>1.0</v>
      </c>
      <c r="M11" s="55">
        <v>21.0</v>
      </c>
      <c r="N11" s="55">
        <v>14.0</v>
      </c>
      <c r="O11" s="55">
        <v>6.0</v>
      </c>
      <c r="P11" s="55">
        <v>14.0</v>
      </c>
      <c r="Q11" s="55">
        <v>0.0</v>
      </c>
      <c r="R11" s="55">
        <v>78423.0</v>
      </c>
      <c r="S11" s="55">
        <v>88769.0</v>
      </c>
      <c r="T11" s="55">
        <v>5.93166666666666</v>
      </c>
      <c r="U11" s="55">
        <v>0.0</v>
      </c>
      <c r="V11" s="55">
        <v>0.0</v>
      </c>
      <c r="W11" s="55">
        <v>5.36111111111111</v>
      </c>
      <c r="X11" s="55">
        <v>4.26083333333333</v>
      </c>
      <c r="Y11" s="55">
        <v>6.30111111111111</v>
      </c>
      <c r="Z11" s="55">
        <v>5.17611111111111</v>
      </c>
      <c r="AA11" s="55">
        <v>0.24</v>
      </c>
      <c r="AB11" s="55">
        <v>4.88777777777777</v>
      </c>
      <c r="AC11" s="55">
        <v>3.20805555555555</v>
      </c>
      <c r="AD11" s="55">
        <v>1.39666666666666</v>
      </c>
      <c r="AE11" s="55">
        <v>3.20805555555555</v>
      </c>
      <c r="AF11" s="55">
        <v>24.0</v>
      </c>
    </row>
    <row r="12">
      <c r="A12" s="56">
        <v>46153.0</v>
      </c>
      <c r="B12" s="55" t="s">
        <v>63</v>
      </c>
      <c r="C12" s="55" t="s">
        <v>157</v>
      </c>
      <c r="D12" s="55">
        <v>50.0</v>
      </c>
      <c r="E12" s="55">
        <v>32.0</v>
      </c>
      <c r="F12" s="55">
        <v>0.0</v>
      </c>
      <c r="G12" s="55">
        <v>0.0</v>
      </c>
      <c r="H12" s="55">
        <v>21.0</v>
      </c>
      <c r="I12" s="55">
        <v>21.0</v>
      </c>
      <c r="J12" s="55">
        <v>21.0</v>
      </c>
      <c r="K12" s="55">
        <v>15.0</v>
      </c>
      <c r="L12" s="55">
        <v>4.0</v>
      </c>
      <c r="M12" s="55">
        <v>20.0</v>
      </c>
      <c r="N12" s="55">
        <v>12.0</v>
      </c>
      <c r="O12" s="55">
        <v>6.0</v>
      </c>
      <c r="P12" s="55">
        <v>12.0</v>
      </c>
      <c r="Q12" s="55">
        <v>0.0</v>
      </c>
      <c r="R12" s="55">
        <v>98653.0</v>
      </c>
      <c r="S12" s="55">
        <v>66164.0</v>
      </c>
      <c r="T12" s="55">
        <v>4.89888888888888</v>
      </c>
      <c r="U12" s="55">
        <v>0.0</v>
      </c>
      <c r="V12" s="55">
        <v>0.0</v>
      </c>
      <c r="W12" s="55">
        <v>4.57388888888888</v>
      </c>
      <c r="X12" s="55">
        <v>4.57388888888888</v>
      </c>
      <c r="Y12" s="55">
        <v>4.58694444444444</v>
      </c>
      <c r="Z12" s="55">
        <v>3.34972222222222</v>
      </c>
      <c r="AA12" s="55">
        <v>0.895555555555555</v>
      </c>
      <c r="AB12" s="55">
        <v>4.36472222222222</v>
      </c>
      <c r="AC12" s="55">
        <v>2.46277777777777</v>
      </c>
      <c r="AD12" s="55">
        <v>1.54361111111111</v>
      </c>
      <c r="AE12" s="55">
        <v>2.46277777777777</v>
      </c>
      <c r="AF12" s="55">
        <v>23.0</v>
      </c>
    </row>
    <row r="13">
      <c r="A13" s="56">
        <v>46153.0</v>
      </c>
      <c r="B13" s="55" t="s">
        <v>35</v>
      </c>
      <c r="C13" s="55" t="s">
        <v>158</v>
      </c>
      <c r="D13" s="55">
        <v>19.0</v>
      </c>
      <c r="E13" s="55">
        <v>14.0</v>
      </c>
      <c r="F13" s="55">
        <v>18.0</v>
      </c>
      <c r="G13" s="55">
        <v>16.0</v>
      </c>
      <c r="H13" s="55">
        <v>17.0</v>
      </c>
      <c r="I13" s="55">
        <v>1.0</v>
      </c>
      <c r="J13" s="55">
        <v>16.0</v>
      </c>
      <c r="K13" s="55">
        <v>2.0</v>
      </c>
      <c r="L13" s="55">
        <v>1.0</v>
      </c>
      <c r="M13" s="55">
        <v>16.0</v>
      </c>
      <c r="N13" s="55">
        <v>11.0</v>
      </c>
      <c r="O13" s="55">
        <v>5.0</v>
      </c>
      <c r="P13" s="55">
        <v>11.0</v>
      </c>
      <c r="Q13" s="55">
        <v>0.0</v>
      </c>
      <c r="R13" s="55">
        <v>43733.0</v>
      </c>
      <c r="S13" s="55">
        <v>33979.0</v>
      </c>
      <c r="T13" s="55">
        <v>3.805</v>
      </c>
      <c r="U13" s="55">
        <v>4.64194444444444</v>
      </c>
      <c r="V13" s="55">
        <v>4.19833333333333</v>
      </c>
      <c r="W13" s="55">
        <v>4.44722222222222</v>
      </c>
      <c r="X13" s="55">
        <v>0.248888888888888</v>
      </c>
      <c r="Y13" s="55">
        <v>4.19833333333333</v>
      </c>
      <c r="Z13" s="55">
        <v>0.486666666666666</v>
      </c>
      <c r="AA13" s="55">
        <v>0.246666666666666</v>
      </c>
      <c r="AB13" s="55">
        <v>4.19833333333333</v>
      </c>
      <c r="AC13" s="55">
        <v>2.88166666666666</v>
      </c>
      <c r="AD13" s="55">
        <v>1.49777777777777</v>
      </c>
      <c r="AE13" s="55">
        <v>2.88166666666666</v>
      </c>
      <c r="AF13" s="55">
        <v>15.0</v>
      </c>
    </row>
    <row r="14">
      <c r="A14" s="56">
        <v>46153.0</v>
      </c>
      <c r="B14" s="55" t="s">
        <v>105</v>
      </c>
      <c r="C14" s="55" t="s">
        <v>159</v>
      </c>
      <c r="D14" s="55">
        <v>10.0</v>
      </c>
      <c r="E14" s="55">
        <v>15.0</v>
      </c>
      <c r="F14" s="55">
        <v>13.0</v>
      </c>
      <c r="G14" s="55">
        <v>8.0</v>
      </c>
      <c r="H14" s="55">
        <v>20.0</v>
      </c>
      <c r="I14" s="55">
        <v>12.0</v>
      </c>
      <c r="J14" s="55">
        <v>17.0</v>
      </c>
      <c r="K14" s="55">
        <v>3.0</v>
      </c>
      <c r="L14" s="55">
        <v>1.0</v>
      </c>
      <c r="M14" s="55">
        <v>20.0</v>
      </c>
      <c r="N14" s="55">
        <v>20.0</v>
      </c>
      <c r="O14" s="55">
        <v>6.0</v>
      </c>
      <c r="P14" s="55">
        <v>20.0</v>
      </c>
      <c r="Q14" s="55">
        <v>0.0</v>
      </c>
      <c r="R14" s="55">
        <v>19121.0</v>
      </c>
      <c r="S14" s="55">
        <v>30027.0</v>
      </c>
      <c r="T14" s="55">
        <v>3.09722222222222</v>
      </c>
      <c r="U14" s="55">
        <v>2.7625</v>
      </c>
      <c r="V14" s="55">
        <v>1.71083333333333</v>
      </c>
      <c r="W14" s="55">
        <v>4.20305555555555</v>
      </c>
      <c r="X14" s="55">
        <v>2.49222222222222</v>
      </c>
      <c r="Y14" s="55">
        <v>3.71861111111111</v>
      </c>
      <c r="Z14" s="55">
        <v>0.714166666666666</v>
      </c>
      <c r="AA14" s="55">
        <v>0.249444444444444</v>
      </c>
      <c r="AB14" s="55">
        <v>4.39694444444444</v>
      </c>
      <c r="AC14" s="55">
        <v>4.39694444444444</v>
      </c>
      <c r="AD14" s="55">
        <v>1.15527777777777</v>
      </c>
      <c r="AE14" s="55">
        <v>4.39694444444444</v>
      </c>
      <c r="AF14" s="55">
        <v>16.0</v>
      </c>
    </row>
    <row r="15">
      <c r="A15" s="56">
        <v>46153.0</v>
      </c>
      <c r="B15" s="55" t="s">
        <v>54</v>
      </c>
      <c r="C15" s="55" t="s">
        <v>160</v>
      </c>
      <c r="D15" s="55">
        <v>51.0</v>
      </c>
      <c r="E15" s="55">
        <v>47.0</v>
      </c>
      <c r="F15" s="55">
        <v>28.0</v>
      </c>
      <c r="G15" s="55">
        <v>20.0</v>
      </c>
      <c r="H15" s="55">
        <v>20.0</v>
      </c>
      <c r="I15" s="55">
        <v>0.0</v>
      </c>
      <c r="J15" s="55">
        <v>20.0</v>
      </c>
      <c r="K15" s="55">
        <v>2.0</v>
      </c>
      <c r="L15" s="55">
        <v>1.0</v>
      </c>
      <c r="M15" s="55">
        <v>18.0</v>
      </c>
      <c r="N15" s="55">
        <v>18.0</v>
      </c>
      <c r="O15" s="55">
        <v>7.0</v>
      </c>
      <c r="P15" s="55">
        <v>18.0</v>
      </c>
      <c r="Q15" s="55">
        <v>0.0</v>
      </c>
      <c r="R15" s="55">
        <v>106606.0</v>
      </c>
      <c r="S15" s="55">
        <v>104650.0</v>
      </c>
      <c r="T15" s="55">
        <v>7.5725</v>
      </c>
      <c r="U15" s="55">
        <v>7.05305555555555</v>
      </c>
      <c r="V15" s="55">
        <v>4.96166666666666</v>
      </c>
      <c r="W15" s="55">
        <v>4.96166666666666</v>
      </c>
      <c r="X15" s="55">
        <v>0.0</v>
      </c>
      <c r="Y15" s="55">
        <v>4.96166666666666</v>
      </c>
      <c r="Z15" s="55">
        <v>0.49</v>
      </c>
      <c r="AA15" s="55">
        <v>0.251111111111111</v>
      </c>
      <c r="AB15" s="55">
        <v>4.52527777777777</v>
      </c>
      <c r="AC15" s="55">
        <v>4.45638888888888</v>
      </c>
      <c r="AD15" s="55">
        <v>1.57</v>
      </c>
      <c r="AE15" s="55">
        <v>4.45638888888888</v>
      </c>
      <c r="AF15" s="55">
        <v>30.0</v>
      </c>
    </row>
    <row r="16">
      <c r="A16" s="56">
        <v>46153.0</v>
      </c>
      <c r="B16" s="55" t="s">
        <v>24</v>
      </c>
      <c r="C16" s="55" t="s">
        <v>161</v>
      </c>
      <c r="D16" s="55">
        <v>17.0</v>
      </c>
      <c r="E16" s="55">
        <v>70.0</v>
      </c>
      <c r="F16" s="55">
        <v>26.0</v>
      </c>
      <c r="G16" s="55">
        <v>27.0</v>
      </c>
      <c r="H16" s="55">
        <v>36.0</v>
      </c>
      <c r="I16" s="55">
        <v>9.0</v>
      </c>
      <c r="J16" s="55">
        <v>36.0</v>
      </c>
      <c r="K16" s="55">
        <v>3.0</v>
      </c>
      <c r="L16" s="55">
        <v>1.0</v>
      </c>
      <c r="M16" s="55">
        <v>29.0</v>
      </c>
      <c r="N16" s="55">
        <v>38.0</v>
      </c>
      <c r="O16" s="55">
        <v>6.0</v>
      </c>
      <c r="P16" s="55">
        <v>38.0</v>
      </c>
      <c r="Q16" s="55">
        <v>0.0</v>
      </c>
      <c r="R16" s="55">
        <v>40968.0</v>
      </c>
      <c r="S16" s="55">
        <v>153726.0</v>
      </c>
      <c r="T16" s="55">
        <v>6.13749999999999</v>
      </c>
      <c r="U16" s="55">
        <v>4.49027777777777</v>
      </c>
      <c r="V16" s="55">
        <v>4.72638888888889</v>
      </c>
      <c r="W16" s="55">
        <v>6.37361111111111</v>
      </c>
      <c r="X16" s="55">
        <v>1.64722222222222</v>
      </c>
      <c r="Y16" s="55">
        <v>6.38166666666666</v>
      </c>
      <c r="Z16" s="55">
        <v>0.5475</v>
      </c>
      <c r="AA16" s="55">
        <v>0.199722222222222</v>
      </c>
      <c r="AB16" s="55">
        <v>5.16527777777777</v>
      </c>
      <c r="AC16" s="55">
        <v>6.79722222222222</v>
      </c>
      <c r="AD16" s="55">
        <v>1.16166666666666</v>
      </c>
      <c r="AE16" s="55">
        <v>6.79722222222222</v>
      </c>
      <c r="AF16" s="55">
        <v>35.0</v>
      </c>
    </row>
    <row r="17">
      <c r="A17" s="56">
        <v>46153.0</v>
      </c>
      <c r="B17" s="55" t="s">
        <v>60</v>
      </c>
      <c r="C17" s="55" t="s">
        <v>61</v>
      </c>
      <c r="D17" s="55">
        <v>0.0</v>
      </c>
      <c r="E17" s="55">
        <v>13.0</v>
      </c>
      <c r="F17" s="55">
        <v>0.0</v>
      </c>
      <c r="G17" s="55">
        <v>0.0</v>
      </c>
      <c r="H17" s="55">
        <v>11.0</v>
      </c>
      <c r="I17" s="55">
        <v>11.0</v>
      </c>
      <c r="J17" s="55">
        <v>11.0</v>
      </c>
      <c r="K17" s="55">
        <v>7.0</v>
      </c>
      <c r="L17" s="55">
        <v>0.0</v>
      </c>
      <c r="M17" s="55">
        <v>9.0</v>
      </c>
      <c r="N17" s="55">
        <v>3.0</v>
      </c>
      <c r="O17" s="55">
        <v>5.0</v>
      </c>
      <c r="P17" s="55">
        <v>3.0</v>
      </c>
      <c r="Q17" s="55">
        <v>0.0</v>
      </c>
      <c r="R17" s="55">
        <v>0.0</v>
      </c>
      <c r="S17" s="55">
        <v>29835.0</v>
      </c>
      <c r="T17" s="55">
        <v>2.12388888888888</v>
      </c>
      <c r="U17" s="55">
        <v>0.0</v>
      </c>
      <c r="V17" s="55">
        <v>0.0</v>
      </c>
      <c r="W17" s="55">
        <v>2.12388888888888</v>
      </c>
      <c r="X17" s="55">
        <v>2.12388888888888</v>
      </c>
      <c r="Y17" s="55">
        <v>2.17972222222222</v>
      </c>
      <c r="Z17" s="55">
        <v>1.35527777777777</v>
      </c>
      <c r="AA17" s="55">
        <v>0.0</v>
      </c>
      <c r="AB17" s="55">
        <v>1.83083333333333</v>
      </c>
      <c r="AC17" s="55">
        <v>0.632777777777777</v>
      </c>
      <c r="AD17" s="55">
        <v>1.06861111111111</v>
      </c>
      <c r="AE17" s="55">
        <v>0.632777777777777</v>
      </c>
      <c r="AF17" s="55">
        <v>11.0</v>
      </c>
    </row>
    <row r="18">
      <c r="A18" s="56">
        <v>46153.0</v>
      </c>
      <c r="B18" s="55" t="s">
        <v>86</v>
      </c>
      <c r="C18" s="55" t="s">
        <v>162</v>
      </c>
      <c r="D18" s="55">
        <v>16.0</v>
      </c>
      <c r="E18" s="55">
        <v>5.0</v>
      </c>
      <c r="F18" s="55">
        <v>0.0</v>
      </c>
      <c r="G18" s="55">
        <v>0.0</v>
      </c>
      <c r="H18" s="55">
        <v>0.0</v>
      </c>
      <c r="I18" s="55">
        <v>0.0</v>
      </c>
      <c r="J18" s="55">
        <v>0.0</v>
      </c>
      <c r="K18" s="55">
        <v>0.0</v>
      </c>
      <c r="L18" s="55">
        <v>0.0</v>
      </c>
      <c r="M18" s="55">
        <v>4.0</v>
      </c>
      <c r="N18" s="55">
        <v>0.0</v>
      </c>
      <c r="O18" s="55">
        <v>4.0</v>
      </c>
      <c r="P18" s="55">
        <v>0.0</v>
      </c>
      <c r="Q18" s="55">
        <v>0.0</v>
      </c>
      <c r="R18" s="55">
        <v>34974.0</v>
      </c>
      <c r="S18" s="55">
        <v>11527.0</v>
      </c>
      <c r="T18" s="55">
        <v>1.35555555555555</v>
      </c>
      <c r="U18" s="55">
        <v>0.0</v>
      </c>
      <c r="V18" s="55">
        <v>0.0</v>
      </c>
      <c r="W18" s="55">
        <v>0.0</v>
      </c>
      <c r="X18" s="55">
        <v>0.0</v>
      </c>
      <c r="Y18" s="55">
        <v>0.0</v>
      </c>
      <c r="Z18" s="55">
        <v>0.0</v>
      </c>
      <c r="AA18" s="55">
        <v>0.0</v>
      </c>
      <c r="AB18" s="55">
        <v>1.09722222222222</v>
      </c>
      <c r="AC18" s="55">
        <v>0.0</v>
      </c>
      <c r="AD18" s="55">
        <v>0.872499999999999</v>
      </c>
      <c r="AE18" s="55">
        <v>0.0</v>
      </c>
      <c r="AF18" s="55">
        <v>5.0</v>
      </c>
    </row>
    <row r="19">
      <c r="A19" s="56">
        <v>46146.0</v>
      </c>
      <c r="B19" s="55" t="s">
        <v>77</v>
      </c>
      <c r="C19" s="55" t="s">
        <v>148</v>
      </c>
      <c r="D19" s="55">
        <v>23.0</v>
      </c>
      <c r="E19" s="55">
        <v>14.0</v>
      </c>
      <c r="F19" s="55">
        <v>24.0</v>
      </c>
      <c r="G19" s="55">
        <v>22.0</v>
      </c>
      <c r="H19" s="55">
        <v>25.0</v>
      </c>
      <c r="I19" s="55">
        <v>3.0</v>
      </c>
      <c r="J19" s="55">
        <v>25.0</v>
      </c>
      <c r="K19" s="55">
        <v>20.0</v>
      </c>
      <c r="L19" s="55">
        <v>8.0</v>
      </c>
      <c r="M19" s="55">
        <v>31.0</v>
      </c>
      <c r="N19" s="55">
        <v>24.0</v>
      </c>
      <c r="O19" s="55">
        <v>7.0</v>
      </c>
      <c r="P19" s="55">
        <v>24.0</v>
      </c>
      <c r="Q19" s="55">
        <v>0.0</v>
      </c>
      <c r="R19" s="55">
        <v>56248.0</v>
      </c>
      <c r="S19" s="55">
        <v>34813.0</v>
      </c>
      <c r="T19" s="55">
        <v>3.86444444444444</v>
      </c>
      <c r="U19" s="55">
        <v>5.08833333333333</v>
      </c>
      <c r="V19" s="55">
        <v>4.6725</v>
      </c>
      <c r="W19" s="55">
        <v>5.31361111111111</v>
      </c>
      <c r="X19" s="55">
        <v>0.641111111111111</v>
      </c>
      <c r="Y19" s="55">
        <v>5.31194444444444</v>
      </c>
      <c r="Z19" s="55">
        <v>4.155</v>
      </c>
      <c r="AA19" s="55">
        <v>1.62444444444444</v>
      </c>
      <c r="AB19" s="55">
        <v>6.43833333333333</v>
      </c>
      <c r="AC19" s="55">
        <v>4.91111111111111</v>
      </c>
      <c r="AD19" s="55">
        <v>1.47444444444444</v>
      </c>
      <c r="AE19" s="55">
        <v>4.91111111111111</v>
      </c>
      <c r="AF19" s="55">
        <v>18.0</v>
      </c>
    </row>
    <row r="20">
      <c r="A20" s="56">
        <v>46146.0</v>
      </c>
      <c r="B20" s="55" t="s">
        <v>93</v>
      </c>
      <c r="C20" s="55" t="s">
        <v>94</v>
      </c>
      <c r="D20" s="55">
        <v>15.0</v>
      </c>
      <c r="E20" s="55">
        <v>19.0</v>
      </c>
      <c r="F20" s="55">
        <v>0.0</v>
      </c>
      <c r="G20" s="55">
        <v>0.0</v>
      </c>
      <c r="H20" s="55">
        <v>8.0</v>
      </c>
      <c r="I20" s="55">
        <v>0.0</v>
      </c>
      <c r="J20" s="55">
        <v>8.0</v>
      </c>
      <c r="K20" s="55">
        <v>0.0</v>
      </c>
      <c r="L20" s="55">
        <v>0.0</v>
      </c>
      <c r="M20" s="55">
        <v>12.0</v>
      </c>
      <c r="N20" s="55">
        <v>21.0</v>
      </c>
      <c r="O20" s="55">
        <v>7.0</v>
      </c>
      <c r="P20" s="55">
        <v>21.0</v>
      </c>
      <c r="Q20" s="55">
        <v>0.0</v>
      </c>
      <c r="R20" s="55">
        <v>33622.0</v>
      </c>
      <c r="S20" s="55">
        <v>42500.0</v>
      </c>
      <c r="T20" s="55">
        <v>2.68194444444444</v>
      </c>
      <c r="U20" s="55">
        <v>0.0</v>
      </c>
      <c r="V20" s="55">
        <v>0.0</v>
      </c>
      <c r="W20" s="55">
        <v>1.81666666666666</v>
      </c>
      <c r="X20" s="55">
        <v>0.0</v>
      </c>
      <c r="Y20" s="55">
        <v>1.81666666666666</v>
      </c>
      <c r="Z20" s="55">
        <v>0.0</v>
      </c>
      <c r="AA20" s="55">
        <v>0.0</v>
      </c>
      <c r="AB20" s="55">
        <v>2.62611111111111</v>
      </c>
      <c r="AC20" s="55">
        <v>4.675</v>
      </c>
      <c r="AD20" s="55">
        <v>1.53833333333333</v>
      </c>
      <c r="AE20" s="55">
        <v>4.675</v>
      </c>
      <c r="AF20" s="55">
        <v>12.0</v>
      </c>
    </row>
    <row r="21">
      <c r="A21" s="56">
        <v>46146.0</v>
      </c>
      <c r="B21" s="55" t="s">
        <v>69</v>
      </c>
      <c r="C21" s="55" t="s">
        <v>149</v>
      </c>
      <c r="D21" s="55">
        <v>1.0</v>
      </c>
      <c r="E21" s="55">
        <v>1.0</v>
      </c>
      <c r="F21" s="55">
        <v>1.0</v>
      </c>
      <c r="G21" s="55">
        <v>4.0</v>
      </c>
      <c r="H21" s="55">
        <v>4.0</v>
      </c>
      <c r="I21" s="55">
        <v>0.0</v>
      </c>
      <c r="J21" s="55">
        <v>4.0</v>
      </c>
      <c r="K21" s="55">
        <v>1.0</v>
      </c>
      <c r="L21" s="55">
        <v>0.0</v>
      </c>
      <c r="M21" s="55">
        <v>4.0</v>
      </c>
      <c r="N21" s="55">
        <v>3.0</v>
      </c>
      <c r="O21" s="55">
        <v>6.0</v>
      </c>
      <c r="P21" s="55">
        <v>3.0</v>
      </c>
      <c r="Q21" s="55">
        <v>0.0</v>
      </c>
      <c r="R21" s="55">
        <v>2732.0</v>
      </c>
      <c r="S21" s="55">
        <v>2732.0</v>
      </c>
      <c r="T21" s="55">
        <v>0.274444444444444</v>
      </c>
      <c r="U21" s="55">
        <v>0.274444444444444</v>
      </c>
      <c r="V21" s="55">
        <v>0.960277777777777</v>
      </c>
      <c r="W21" s="55">
        <v>0.960277777777777</v>
      </c>
      <c r="X21" s="55">
        <v>0.0</v>
      </c>
      <c r="Y21" s="55">
        <v>0.960277777777777</v>
      </c>
      <c r="Z21" s="55">
        <v>0.274722222222222</v>
      </c>
      <c r="AA21" s="55">
        <v>0.0</v>
      </c>
      <c r="AB21" s="55">
        <v>0.960277777777777</v>
      </c>
      <c r="AC21" s="55">
        <v>0.685555555555555</v>
      </c>
      <c r="AD21" s="55">
        <v>1.67083333333333</v>
      </c>
      <c r="AE21" s="55">
        <v>0.685555555555555</v>
      </c>
      <c r="AF21" s="55">
        <v>1.0</v>
      </c>
    </row>
    <row r="22">
      <c r="A22" s="56">
        <v>46146.0</v>
      </c>
      <c r="B22" s="55" t="s">
        <v>74</v>
      </c>
      <c r="C22" s="55" t="s">
        <v>150</v>
      </c>
      <c r="D22" s="55">
        <v>354.0</v>
      </c>
      <c r="E22" s="55">
        <v>25.0</v>
      </c>
      <c r="F22" s="55">
        <v>20.0</v>
      </c>
      <c r="G22" s="55">
        <v>18.0</v>
      </c>
      <c r="H22" s="55">
        <v>18.0</v>
      </c>
      <c r="I22" s="55">
        <v>0.0</v>
      </c>
      <c r="J22" s="55">
        <v>17.0</v>
      </c>
      <c r="K22" s="55">
        <v>5.0</v>
      </c>
      <c r="L22" s="55">
        <v>4.0</v>
      </c>
      <c r="M22" s="55">
        <v>20.0</v>
      </c>
      <c r="N22" s="55">
        <v>20.0</v>
      </c>
      <c r="O22" s="55">
        <v>7.0</v>
      </c>
      <c r="P22" s="55">
        <v>20.0</v>
      </c>
      <c r="Q22" s="55">
        <v>0.0</v>
      </c>
      <c r="R22" s="55">
        <v>882175.0</v>
      </c>
      <c r="S22" s="55">
        <v>80398.0</v>
      </c>
      <c r="T22" s="55">
        <v>6.6575</v>
      </c>
      <c r="U22" s="55">
        <v>6.0525</v>
      </c>
      <c r="V22" s="55">
        <v>5.37361111111111</v>
      </c>
      <c r="W22" s="55">
        <v>5.37361111111111</v>
      </c>
      <c r="X22" s="55">
        <v>0.0</v>
      </c>
      <c r="Y22" s="55">
        <v>5.10027777777777</v>
      </c>
      <c r="Z22" s="55">
        <v>1.41166666666666</v>
      </c>
      <c r="AA22" s="55">
        <v>1.14527777777777</v>
      </c>
      <c r="AB22" s="55">
        <v>6.13055555555555</v>
      </c>
      <c r="AC22" s="55">
        <v>6.13055555555555</v>
      </c>
      <c r="AD22" s="55">
        <v>1.605</v>
      </c>
      <c r="AE22" s="55">
        <v>6.13055555555555</v>
      </c>
      <c r="AF22" s="55">
        <v>22.0</v>
      </c>
    </row>
    <row r="23">
      <c r="A23" s="56">
        <v>46146.0</v>
      </c>
      <c r="B23" s="55" t="s">
        <v>97</v>
      </c>
      <c r="C23" s="55" t="s">
        <v>152</v>
      </c>
      <c r="D23" s="55">
        <v>29.0</v>
      </c>
      <c r="E23" s="55">
        <v>11.0</v>
      </c>
      <c r="F23" s="55">
        <v>14.0</v>
      </c>
      <c r="G23" s="55">
        <v>14.0</v>
      </c>
      <c r="H23" s="55">
        <v>18.0</v>
      </c>
      <c r="I23" s="55">
        <v>4.0</v>
      </c>
      <c r="J23" s="55">
        <v>18.0</v>
      </c>
      <c r="K23" s="55">
        <v>9.0</v>
      </c>
      <c r="L23" s="55">
        <v>5.0</v>
      </c>
      <c r="M23" s="55">
        <v>19.0</v>
      </c>
      <c r="N23" s="55">
        <v>19.0</v>
      </c>
      <c r="O23" s="55">
        <v>5.0</v>
      </c>
      <c r="P23" s="55">
        <v>19.0</v>
      </c>
      <c r="Q23" s="55">
        <v>0.0</v>
      </c>
      <c r="R23" s="55">
        <v>68961.0</v>
      </c>
      <c r="S23" s="55">
        <v>26657.0</v>
      </c>
      <c r="T23" s="55">
        <v>2.215</v>
      </c>
      <c r="U23" s="55">
        <v>3.135</v>
      </c>
      <c r="V23" s="55">
        <v>3.20166666666666</v>
      </c>
      <c r="W23" s="55">
        <v>4.05944444444444</v>
      </c>
      <c r="X23" s="55">
        <v>0.857777777777777</v>
      </c>
      <c r="Y23" s="55">
        <v>4.085</v>
      </c>
      <c r="Z23" s="55">
        <v>2.05499999999999</v>
      </c>
      <c r="AA23" s="55">
        <v>1.13611111111111</v>
      </c>
      <c r="AB23" s="55">
        <v>4.32277777777777</v>
      </c>
      <c r="AC23" s="55">
        <v>4.32277777777777</v>
      </c>
      <c r="AD23" s="55">
        <v>1.18388888888888</v>
      </c>
      <c r="AE23" s="55">
        <v>4.32277777777777</v>
      </c>
      <c r="AF23" s="55">
        <v>10.0</v>
      </c>
    </row>
    <row r="24">
      <c r="A24" s="56">
        <v>46146.0</v>
      </c>
      <c r="B24" s="55" t="s">
        <v>30</v>
      </c>
      <c r="C24" s="55" t="s">
        <v>153</v>
      </c>
      <c r="D24" s="55">
        <v>15.0</v>
      </c>
      <c r="E24" s="55">
        <v>20.0</v>
      </c>
      <c r="F24" s="55">
        <v>17.0</v>
      </c>
      <c r="G24" s="55">
        <v>0.0</v>
      </c>
      <c r="H24" s="55">
        <v>23.0</v>
      </c>
      <c r="I24" s="55">
        <v>6.0</v>
      </c>
      <c r="J24" s="55">
        <v>24.0</v>
      </c>
      <c r="K24" s="55">
        <v>1.0</v>
      </c>
      <c r="L24" s="55">
        <v>0.0</v>
      </c>
      <c r="M24" s="55">
        <v>24.0</v>
      </c>
      <c r="N24" s="55">
        <v>24.0</v>
      </c>
      <c r="O24" s="55">
        <v>5.0</v>
      </c>
      <c r="P24" s="55">
        <v>24.0</v>
      </c>
      <c r="Q24" s="55">
        <v>0.0</v>
      </c>
      <c r="R24" s="55">
        <v>35933.0</v>
      </c>
      <c r="S24" s="55">
        <v>47528.0</v>
      </c>
      <c r="T24" s="55">
        <v>4.05111111111111</v>
      </c>
      <c r="U24" s="55">
        <v>3.83583333333333</v>
      </c>
      <c r="V24" s="55">
        <v>0.0</v>
      </c>
      <c r="W24" s="55">
        <v>5.18527777777777</v>
      </c>
      <c r="X24" s="55">
        <v>1.33027777777777</v>
      </c>
      <c r="Y24" s="55">
        <v>5.42222222222222</v>
      </c>
      <c r="Z24" s="55">
        <v>0.242777777777777</v>
      </c>
      <c r="AA24" s="55">
        <v>0.0</v>
      </c>
      <c r="AB24" s="55">
        <v>5.42222222222222</v>
      </c>
      <c r="AC24" s="55">
        <v>5.42222222222222</v>
      </c>
      <c r="AD24" s="55">
        <v>1.08777777777777</v>
      </c>
      <c r="AE24" s="55">
        <v>5.42222222222222</v>
      </c>
      <c r="AF24" s="55">
        <v>18.0</v>
      </c>
    </row>
    <row r="25">
      <c r="A25" s="56">
        <v>46146.0</v>
      </c>
      <c r="B25" s="55" t="s">
        <v>107</v>
      </c>
      <c r="C25" s="55" t="s">
        <v>154</v>
      </c>
      <c r="D25" s="55">
        <v>13.0</v>
      </c>
      <c r="E25" s="55">
        <v>0.0</v>
      </c>
      <c r="F25" s="55">
        <v>0.0</v>
      </c>
      <c r="G25" s="55">
        <v>0.0</v>
      </c>
      <c r="H25" s="55">
        <v>0.0</v>
      </c>
      <c r="I25" s="55">
        <v>0.0</v>
      </c>
      <c r="J25" s="55">
        <v>0.0</v>
      </c>
      <c r="K25" s="55">
        <v>0.0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30909.0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55">
        <v>0.0</v>
      </c>
      <c r="Z25" s="55">
        <v>0.0</v>
      </c>
      <c r="AA25" s="55">
        <v>0.0</v>
      </c>
      <c r="AB25" s="55">
        <v>0.0</v>
      </c>
      <c r="AC25" s="55">
        <v>0.0</v>
      </c>
      <c r="AD25" s="55">
        <v>0.0</v>
      </c>
      <c r="AE25" s="55">
        <v>0.0</v>
      </c>
      <c r="AF25" s="55">
        <v>0.0</v>
      </c>
    </row>
    <row r="26">
      <c r="A26" s="56">
        <v>46146.0</v>
      </c>
      <c r="B26" s="55" t="s">
        <v>99</v>
      </c>
      <c r="C26" s="55" t="s">
        <v>155</v>
      </c>
      <c r="D26" s="55">
        <v>30.0</v>
      </c>
      <c r="E26" s="55">
        <v>5.0</v>
      </c>
      <c r="F26" s="55">
        <v>0.0</v>
      </c>
      <c r="G26" s="55">
        <v>0.0</v>
      </c>
      <c r="H26" s="55">
        <v>0.0</v>
      </c>
      <c r="I26" s="55">
        <v>0.0</v>
      </c>
      <c r="J26" s="55">
        <v>0.0</v>
      </c>
      <c r="K26" s="55">
        <v>0.0</v>
      </c>
      <c r="L26" s="55">
        <v>0.0</v>
      </c>
      <c r="M26" s="55">
        <v>5.0</v>
      </c>
      <c r="N26" s="55">
        <v>5.0</v>
      </c>
      <c r="O26" s="55">
        <v>3.0</v>
      </c>
      <c r="P26" s="55">
        <v>5.0</v>
      </c>
      <c r="Q26" s="55">
        <v>0.0</v>
      </c>
      <c r="R26" s="55">
        <v>72191.0</v>
      </c>
      <c r="S26" s="55">
        <v>12432.0</v>
      </c>
      <c r="T26" s="55">
        <v>0.275277777777777</v>
      </c>
      <c r="U26" s="55">
        <v>0.0</v>
      </c>
      <c r="V26" s="55">
        <v>0.0</v>
      </c>
      <c r="W26" s="55">
        <v>0.0</v>
      </c>
      <c r="X26" s="55">
        <v>0.0</v>
      </c>
      <c r="Y26" s="55">
        <v>0.0</v>
      </c>
      <c r="Z26" s="55">
        <v>0.0</v>
      </c>
      <c r="AA26" s="55">
        <v>0.0</v>
      </c>
      <c r="AB26" s="55">
        <v>1.29</v>
      </c>
      <c r="AC26" s="55">
        <v>1.28999999999999</v>
      </c>
      <c r="AD26" s="55">
        <v>0.777222222222222</v>
      </c>
      <c r="AE26" s="55">
        <v>1.28999999999999</v>
      </c>
      <c r="AF26" s="55">
        <v>1.0</v>
      </c>
    </row>
    <row r="27">
      <c r="A27" s="56">
        <v>46146.0</v>
      </c>
      <c r="B27" s="55" t="s">
        <v>90</v>
      </c>
      <c r="C27" s="55" t="s">
        <v>163</v>
      </c>
      <c r="D27" s="55">
        <v>0.0</v>
      </c>
      <c r="E27" s="55">
        <v>0.0</v>
      </c>
      <c r="F27" s="55">
        <v>0.0</v>
      </c>
      <c r="G27" s="55">
        <v>0.0</v>
      </c>
      <c r="H27" s="55">
        <v>0.0</v>
      </c>
      <c r="I27" s="55">
        <v>0.0</v>
      </c>
      <c r="J27" s="55">
        <v>1.0</v>
      </c>
      <c r="K27" s="55">
        <v>0.0</v>
      </c>
      <c r="L27" s="55">
        <v>0.0</v>
      </c>
      <c r="M27" s="55">
        <v>1.0</v>
      </c>
      <c r="N27" s="55">
        <v>1.0</v>
      </c>
      <c r="O27" s="55">
        <v>1.0</v>
      </c>
      <c r="P27" s="55">
        <v>1.0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55">
        <v>0.245833333333333</v>
      </c>
      <c r="Z27" s="55">
        <v>0.0</v>
      </c>
      <c r="AA27" s="55">
        <v>0.0</v>
      </c>
      <c r="AB27" s="55">
        <v>0.245833333333333</v>
      </c>
      <c r="AC27" s="55">
        <v>0.245833333333333</v>
      </c>
      <c r="AD27" s="55">
        <v>0.243888888888888</v>
      </c>
      <c r="AE27" s="55">
        <v>0.245833333333333</v>
      </c>
      <c r="AF27" s="55">
        <v>0.0</v>
      </c>
    </row>
    <row r="28">
      <c r="A28" s="56">
        <v>46146.0</v>
      </c>
      <c r="B28" s="55" t="s">
        <v>39</v>
      </c>
      <c r="C28" s="55" t="s">
        <v>156</v>
      </c>
      <c r="D28" s="55">
        <v>18.0</v>
      </c>
      <c r="E28" s="55">
        <v>22.0</v>
      </c>
      <c r="F28" s="55">
        <v>0.0</v>
      </c>
      <c r="G28" s="55">
        <v>0.0</v>
      </c>
      <c r="H28" s="55">
        <v>19.0</v>
      </c>
      <c r="I28" s="55">
        <v>19.0</v>
      </c>
      <c r="J28" s="55">
        <v>16.0</v>
      </c>
      <c r="K28" s="55">
        <v>11.0</v>
      </c>
      <c r="L28" s="55">
        <v>1.0</v>
      </c>
      <c r="M28" s="55">
        <v>15.0</v>
      </c>
      <c r="N28" s="55">
        <v>15.0</v>
      </c>
      <c r="O28" s="55">
        <v>6.0</v>
      </c>
      <c r="P28" s="55">
        <v>15.0</v>
      </c>
      <c r="Q28" s="55">
        <v>0.0</v>
      </c>
      <c r="R28" s="55">
        <v>45583.0</v>
      </c>
      <c r="S28" s="55">
        <v>50868.0</v>
      </c>
      <c r="T28" s="55">
        <v>3.70777777777777</v>
      </c>
      <c r="U28" s="55">
        <v>0.0</v>
      </c>
      <c r="V28" s="55">
        <v>0.0</v>
      </c>
      <c r="W28" s="55">
        <v>4.40944444444444</v>
      </c>
      <c r="X28" s="55">
        <v>4.40944444444444</v>
      </c>
      <c r="Y28" s="55">
        <v>3.6675</v>
      </c>
      <c r="Z28" s="55">
        <v>2.54361111111111</v>
      </c>
      <c r="AA28" s="55">
        <v>0.241388888888888</v>
      </c>
      <c r="AB28" s="55">
        <v>3.43888888888888</v>
      </c>
      <c r="AC28" s="55">
        <v>3.43888888888888</v>
      </c>
      <c r="AD28" s="55">
        <v>1.35694444444444</v>
      </c>
      <c r="AE28" s="55">
        <v>3.43888888888888</v>
      </c>
      <c r="AF28" s="55">
        <v>16.0</v>
      </c>
    </row>
    <row r="29">
      <c r="A29" s="56">
        <v>46146.0</v>
      </c>
      <c r="B29" s="55" t="s">
        <v>63</v>
      </c>
      <c r="C29" s="55" t="s">
        <v>157</v>
      </c>
      <c r="D29" s="55">
        <v>12.0</v>
      </c>
      <c r="E29" s="55">
        <v>13.0</v>
      </c>
      <c r="F29" s="55">
        <v>0.0</v>
      </c>
      <c r="G29" s="55">
        <v>0.0</v>
      </c>
      <c r="H29" s="55">
        <v>10.0</v>
      </c>
      <c r="I29" s="55">
        <v>7.0</v>
      </c>
      <c r="J29" s="55">
        <v>10.0</v>
      </c>
      <c r="K29" s="55">
        <v>8.0</v>
      </c>
      <c r="L29" s="55">
        <v>3.0</v>
      </c>
      <c r="M29" s="55">
        <v>11.0</v>
      </c>
      <c r="N29" s="55">
        <v>11.0</v>
      </c>
      <c r="O29" s="55">
        <v>6.0</v>
      </c>
      <c r="P29" s="55">
        <v>11.0</v>
      </c>
      <c r="Q29" s="55">
        <v>0.0</v>
      </c>
      <c r="R29" s="55">
        <v>24413.0</v>
      </c>
      <c r="S29" s="55">
        <v>25922.0</v>
      </c>
      <c r="T29" s="55">
        <v>1.94305555555555</v>
      </c>
      <c r="U29" s="55">
        <v>0.0</v>
      </c>
      <c r="V29" s="55">
        <v>0.0</v>
      </c>
      <c r="W29" s="55">
        <v>2.34861111111111</v>
      </c>
      <c r="X29" s="55">
        <v>1.59361111111111</v>
      </c>
      <c r="Y29" s="55">
        <v>2.35555555555555</v>
      </c>
      <c r="Z29" s="55">
        <v>1.84638888888888</v>
      </c>
      <c r="AA29" s="55">
        <v>0.775833333333333</v>
      </c>
      <c r="AB29" s="55">
        <v>2.5875</v>
      </c>
      <c r="AC29" s="55">
        <v>2.5875</v>
      </c>
      <c r="AD29" s="55">
        <v>1.30416666666666</v>
      </c>
      <c r="AE29" s="55">
        <v>2.5875</v>
      </c>
      <c r="AF29" s="55">
        <v>9.0</v>
      </c>
    </row>
    <row r="30">
      <c r="A30" s="56">
        <v>46146.0</v>
      </c>
      <c r="B30" s="55" t="s">
        <v>35</v>
      </c>
      <c r="C30" s="55" t="s">
        <v>158</v>
      </c>
      <c r="D30" s="55">
        <v>12.0</v>
      </c>
      <c r="E30" s="55">
        <v>13.0</v>
      </c>
      <c r="F30" s="55">
        <v>21.0</v>
      </c>
      <c r="G30" s="55">
        <v>16.0</v>
      </c>
      <c r="H30" s="55">
        <v>17.0</v>
      </c>
      <c r="I30" s="55">
        <v>2.0</v>
      </c>
      <c r="J30" s="55">
        <v>17.0</v>
      </c>
      <c r="K30" s="55">
        <v>15.0</v>
      </c>
      <c r="L30" s="55">
        <v>0.0</v>
      </c>
      <c r="M30" s="55">
        <v>17.0</v>
      </c>
      <c r="N30" s="55">
        <v>17.0</v>
      </c>
      <c r="O30" s="55">
        <v>5.0</v>
      </c>
      <c r="P30" s="55">
        <v>17.0</v>
      </c>
      <c r="Q30" s="55">
        <v>0.0</v>
      </c>
      <c r="R30" s="55">
        <v>28878.0</v>
      </c>
      <c r="S30" s="55">
        <v>30978.0</v>
      </c>
      <c r="T30" s="55">
        <v>4.18111111111111</v>
      </c>
      <c r="U30" s="55">
        <v>5.48527777777777</v>
      </c>
      <c r="V30" s="55">
        <v>4.18833333333333</v>
      </c>
      <c r="W30" s="55">
        <v>4.47388888888888</v>
      </c>
      <c r="X30" s="55">
        <v>0.568055555555555</v>
      </c>
      <c r="Y30" s="55">
        <v>4.47444444444444</v>
      </c>
      <c r="Z30" s="55">
        <v>3.92638888888888</v>
      </c>
      <c r="AA30" s="55">
        <v>0.0</v>
      </c>
      <c r="AB30" s="55">
        <v>4.47444444444444</v>
      </c>
      <c r="AC30" s="55">
        <v>4.47444444444444</v>
      </c>
      <c r="AD30" s="55">
        <v>1.41972222222222</v>
      </c>
      <c r="AE30" s="55">
        <v>4.47444444444444</v>
      </c>
      <c r="AF30" s="55">
        <v>16.0</v>
      </c>
    </row>
    <row r="31">
      <c r="A31" s="56">
        <v>46146.0</v>
      </c>
      <c r="B31" s="55" t="s">
        <v>105</v>
      </c>
      <c r="C31" s="55" t="s">
        <v>159</v>
      </c>
      <c r="D31" s="55">
        <v>20.0</v>
      </c>
      <c r="E31" s="55">
        <v>12.0</v>
      </c>
      <c r="F31" s="55">
        <v>12.0</v>
      </c>
      <c r="G31" s="55">
        <v>12.0</v>
      </c>
      <c r="H31" s="55">
        <v>15.0</v>
      </c>
      <c r="I31" s="55">
        <v>1.0</v>
      </c>
      <c r="J31" s="55">
        <v>17.0</v>
      </c>
      <c r="K31" s="55">
        <v>8.0</v>
      </c>
      <c r="L31" s="55">
        <v>1.0</v>
      </c>
      <c r="M31" s="55">
        <v>14.0</v>
      </c>
      <c r="N31" s="55">
        <v>14.0</v>
      </c>
      <c r="O31" s="55">
        <v>3.0</v>
      </c>
      <c r="P31" s="55">
        <v>14.0</v>
      </c>
      <c r="Q31" s="55">
        <v>0.0</v>
      </c>
      <c r="R31" s="55">
        <v>43065.0</v>
      </c>
      <c r="S31" s="55">
        <v>27495.0</v>
      </c>
      <c r="T31" s="55">
        <v>2.27444444444444</v>
      </c>
      <c r="U31" s="55">
        <v>2.30638888888888</v>
      </c>
      <c r="V31" s="55">
        <v>2.37</v>
      </c>
      <c r="W31" s="55">
        <v>2.99833333333333</v>
      </c>
      <c r="X31" s="55">
        <v>0.2225</v>
      </c>
      <c r="Y31" s="55">
        <v>3.48305555555555</v>
      </c>
      <c r="Z31" s="55">
        <v>1.76805555555555</v>
      </c>
      <c r="AA31" s="55">
        <v>0.222777777777777</v>
      </c>
      <c r="AB31" s="55">
        <v>2.77416666666666</v>
      </c>
      <c r="AC31" s="55">
        <v>2.77416666666666</v>
      </c>
      <c r="AD31" s="55">
        <v>0.679444444444444</v>
      </c>
      <c r="AE31" s="55">
        <v>2.77416666666666</v>
      </c>
      <c r="AF31" s="55">
        <v>10.0</v>
      </c>
    </row>
    <row r="32">
      <c r="A32" s="56">
        <v>46146.0</v>
      </c>
      <c r="B32" s="55" t="s">
        <v>54</v>
      </c>
      <c r="C32" s="55" t="s">
        <v>160</v>
      </c>
      <c r="D32" s="55">
        <v>30.0</v>
      </c>
      <c r="E32" s="55">
        <v>34.0</v>
      </c>
      <c r="F32" s="55">
        <v>32.0</v>
      </c>
      <c r="G32" s="55">
        <v>36.0</v>
      </c>
      <c r="H32" s="55">
        <v>36.0</v>
      </c>
      <c r="I32" s="55">
        <v>0.0</v>
      </c>
      <c r="J32" s="55">
        <v>36.0</v>
      </c>
      <c r="K32" s="55">
        <v>3.0</v>
      </c>
      <c r="L32" s="55">
        <v>1.0</v>
      </c>
      <c r="M32" s="55">
        <v>25.0</v>
      </c>
      <c r="N32" s="55">
        <v>32.0</v>
      </c>
      <c r="O32" s="55">
        <v>6.0</v>
      </c>
      <c r="P32" s="55">
        <v>32.0</v>
      </c>
      <c r="Q32" s="55">
        <v>0.0</v>
      </c>
      <c r="R32" s="55">
        <v>65086.0</v>
      </c>
      <c r="S32" s="55">
        <v>74141.0</v>
      </c>
      <c r="T32" s="55">
        <v>6.58416666666666</v>
      </c>
      <c r="U32" s="55">
        <v>7.67944444444444</v>
      </c>
      <c r="V32" s="55">
        <v>8.67777777777777</v>
      </c>
      <c r="W32" s="55">
        <v>8.67777777777777</v>
      </c>
      <c r="X32" s="55">
        <v>0.0</v>
      </c>
      <c r="Y32" s="55">
        <v>8.67777777777777</v>
      </c>
      <c r="Z32" s="55">
        <v>0.768611111111111</v>
      </c>
      <c r="AA32" s="55">
        <v>0.233888888888888</v>
      </c>
      <c r="AB32" s="55">
        <v>5.97555555555555</v>
      </c>
      <c r="AC32" s="55">
        <v>7.69555555555555</v>
      </c>
      <c r="AD32" s="55">
        <v>1.35083333333333</v>
      </c>
      <c r="AE32" s="55">
        <v>7.69555555555555</v>
      </c>
      <c r="AF32" s="55">
        <v>27.0</v>
      </c>
    </row>
    <row r="33">
      <c r="A33" s="56">
        <v>46146.0</v>
      </c>
      <c r="B33" s="55" t="s">
        <v>24</v>
      </c>
      <c r="C33" s="55" t="s">
        <v>161</v>
      </c>
      <c r="D33" s="55">
        <v>18.0</v>
      </c>
      <c r="E33" s="55">
        <v>28.0</v>
      </c>
      <c r="F33" s="55">
        <v>17.0</v>
      </c>
      <c r="G33" s="55">
        <v>20.0</v>
      </c>
      <c r="H33" s="55">
        <v>32.0</v>
      </c>
      <c r="I33" s="55">
        <v>12.0</v>
      </c>
      <c r="J33" s="55">
        <v>36.0</v>
      </c>
      <c r="K33" s="55">
        <v>8.0</v>
      </c>
      <c r="L33" s="55">
        <v>2.0</v>
      </c>
      <c r="M33" s="55">
        <v>38.0</v>
      </c>
      <c r="N33" s="55">
        <v>36.0</v>
      </c>
      <c r="O33" s="55">
        <v>5.0</v>
      </c>
      <c r="P33" s="55">
        <v>36.0</v>
      </c>
      <c r="Q33" s="55">
        <v>0.0</v>
      </c>
      <c r="R33" s="55">
        <v>41129.0</v>
      </c>
      <c r="S33" s="55">
        <v>58890.0</v>
      </c>
      <c r="T33" s="55">
        <v>5.63972222222222</v>
      </c>
      <c r="U33" s="55">
        <v>3.21138888888888</v>
      </c>
      <c r="V33" s="55">
        <v>3.71416666666666</v>
      </c>
      <c r="W33" s="55">
        <v>6.1425</v>
      </c>
      <c r="X33" s="55">
        <v>2.42833333333333</v>
      </c>
      <c r="Y33" s="55">
        <v>6.8375</v>
      </c>
      <c r="Z33" s="55">
        <v>1.44777777777777</v>
      </c>
      <c r="AA33" s="55">
        <v>0.334722222222222</v>
      </c>
      <c r="AB33" s="55">
        <v>7.19083333333333</v>
      </c>
      <c r="AC33" s="55">
        <v>6.77527777777777</v>
      </c>
      <c r="AD33" s="55">
        <v>0.988333333333333</v>
      </c>
      <c r="AE33" s="55">
        <v>6.77527777777777</v>
      </c>
      <c r="AF33" s="55">
        <v>29.0</v>
      </c>
    </row>
    <row r="34">
      <c r="A34" s="56">
        <v>46146.0</v>
      </c>
      <c r="B34" s="55" t="s">
        <v>60</v>
      </c>
      <c r="C34" s="55" t="s">
        <v>61</v>
      </c>
      <c r="D34" s="55">
        <v>0.0</v>
      </c>
      <c r="E34" s="55">
        <v>0.0</v>
      </c>
      <c r="F34" s="55">
        <v>0.0</v>
      </c>
      <c r="G34" s="55">
        <v>0.0</v>
      </c>
      <c r="H34" s="55">
        <v>12.0</v>
      </c>
      <c r="I34" s="55">
        <v>12.0</v>
      </c>
      <c r="J34" s="55">
        <v>12.0</v>
      </c>
      <c r="K34" s="55">
        <v>5.0</v>
      </c>
      <c r="L34" s="55">
        <v>0.0</v>
      </c>
      <c r="M34" s="55">
        <v>10.0</v>
      </c>
      <c r="N34" s="55">
        <v>8.0</v>
      </c>
      <c r="O34" s="55">
        <v>5.0</v>
      </c>
      <c r="P34" s="55">
        <v>8.0</v>
      </c>
      <c r="Q34" s="55">
        <v>0.0</v>
      </c>
      <c r="R34" s="55">
        <v>0.0</v>
      </c>
      <c r="S34" s="55">
        <v>0.0</v>
      </c>
      <c r="T34" s="55">
        <v>2.50361111111111</v>
      </c>
      <c r="U34" s="55">
        <v>0.0</v>
      </c>
      <c r="V34" s="55">
        <v>0.0</v>
      </c>
      <c r="W34" s="55">
        <v>2.50361111111111</v>
      </c>
      <c r="X34" s="55">
        <v>2.50361111111111</v>
      </c>
      <c r="Y34" s="55">
        <v>2.62305555555555</v>
      </c>
      <c r="Z34" s="55">
        <v>1.14333333333333</v>
      </c>
      <c r="AA34" s="55">
        <v>0.0</v>
      </c>
      <c r="AB34" s="55">
        <v>2.13888888888888</v>
      </c>
      <c r="AC34" s="55">
        <v>1.73361111111111</v>
      </c>
      <c r="AD34" s="55">
        <v>0.949722222222222</v>
      </c>
      <c r="AE34" s="55">
        <v>1.73361111111111</v>
      </c>
      <c r="AF34" s="55">
        <v>12.0</v>
      </c>
    </row>
    <row r="35">
      <c r="A35" s="56">
        <v>46146.0</v>
      </c>
      <c r="B35" s="55" t="s">
        <v>86</v>
      </c>
      <c r="C35" s="55" t="s">
        <v>162</v>
      </c>
      <c r="D35" s="55">
        <v>19.0</v>
      </c>
      <c r="E35" s="55">
        <v>0.0</v>
      </c>
      <c r="F35" s="55">
        <v>0.0</v>
      </c>
      <c r="G35" s="55">
        <v>0.0</v>
      </c>
      <c r="H35" s="55">
        <v>0.0</v>
      </c>
      <c r="I35" s="55">
        <v>0.0</v>
      </c>
      <c r="J35" s="55">
        <v>0.0</v>
      </c>
      <c r="K35" s="55">
        <v>0.0</v>
      </c>
      <c r="L35" s="55">
        <v>0.0</v>
      </c>
      <c r="M35" s="55">
        <v>0.0</v>
      </c>
      <c r="N35" s="55">
        <v>0.0</v>
      </c>
      <c r="O35" s="55">
        <v>1.0</v>
      </c>
      <c r="P35" s="55">
        <v>0.0</v>
      </c>
      <c r="Q35" s="55">
        <v>0.0</v>
      </c>
      <c r="R35" s="55">
        <v>41346.0</v>
      </c>
      <c r="S35" s="55">
        <v>0.0</v>
      </c>
      <c r="T35" s="55">
        <v>0.0</v>
      </c>
      <c r="U35" s="55">
        <v>0.0</v>
      </c>
      <c r="V35" s="55">
        <v>0.0</v>
      </c>
      <c r="W35" s="55">
        <v>0.0</v>
      </c>
      <c r="X35" s="55">
        <v>0.0</v>
      </c>
      <c r="Y35" s="55">
        <v>0.0</v>
      </c>
      <c r="Z35" s="55">
        <v>0.0</v>
      </c>
      <c r="AA35" s="55">
        <v>0.0</v>
      </c>
      <c r="AB35" s="55">
        <v>0.0</v>
      </c>
      <c r="AC35" s="55">
        <v>0.0</v>
      </c>
      <c r="AD35" s="55">
        <v>0.1975</v>
      </c>
      <c r="AE35" s="55">
        <v>0.0</v>
      </c>
      <c r="AF35" s="55">
        <v>0.0</v>
      </c>
    </row>
    <row r="36">
      <c r="A36" s="56">
        <v>46139.0</v>
      </c>
      <c r="B36" s="55" t="s">
        <v>77</v>
      </c>
      <c r="C36" s="55" t="s">
        <v>148</v>
      </c>
      <c r="D36" s="55">
        <v>19.0</v>
      </c>
      <c r="E36" s="55">
        <v>23.0</v>
      </c>
      <c r="F36" s="55">
        <v>19.0</v>
      </c>
      <c r="G36" s="55">
        <v>19.0</v>
      </c>
      <c r="H36" s="55">
        <v>20.0</v>
      </c>
      <c r="I36" s="55">
        <v>2.0</v>
      </c>
      <c r="J36" s="55">
        <v>20.0</v>
      </c>
      <c r="K36" s="55">
        <v>2.0</v>
      </c>
      <c r="L36" s="55">
        <v>1.0</v>
      </c>
      <c r="M36" s="55">
        <v>12.0</v>
      </c>
      <c r="N36" s="55">
        <v>10.0</v>
      </c>
      <c r="O36" s="55">
        <v>6.0</v>
      </c>
      <c r="P36" s="55">
        <v>10.0</v>
      </c>
      <c r="Q36" s="55">
        <v>0.0</v>
      </c>
      <c r="R36" s="55">
        <v>44751.0</v>
      </c>
      <c r="S36" s="55">
        <v>52302.0</v>
      </c>
      <c r="T36" s="55">
        <v>5.98555555555555</v>
      </c>
      <c r="U36" s="55">
        <v>3.92611111111111</v>
      </c>
      <c r="V36" s="55">
        <v>3.90055555555555</v>
      </c>
      <c r="W36" s="55">
        <v>4.09555555555555</v>
      </c>
      <c r="X36" s="55">
        <v>0.401388888888888</v>
      </c>
      <c r="Y36" s="55">
        <v>4.09472222222222</v>
      </c>
      <c r="Z36" s="55">
        <v>0.398333333333333</v>
      </c>
      <c r="AA36" s="55">
        <v>0.198888888888888</v>
      </c>
      <c r="AB36" s="55">
        <v>2.50833333333333</v>
      </c>
      <c r="AC36" s="55">
        <v>2.10777777777777</v>
      </c>
      <c r="AD36" s="55">
        <v>1.14305555555555</v>
      </c>
      <c r="AE36" s="55">
        <v>2.10777777777777</v>
      </c>
      <c r="AF36" s="55">
        <v>29.0</v>
      </c>
    </row>
    <row r="37">
      <c r="A37" s="56">
        <v>46139.0</v>
      </c>
      <c r="B37" s="55" t="s">
        <v>93</v>
      </c>
      <c r="C37" s="55" t="s">
        <v>94</v>
      </c>
      <c r="D37" s="55">
        <v>12.0</v>
      </c>
      <c r="E37" s="55">
        <v>25.0</v>
      </c>
      <c r="F37" s="55">
        <v>0.0</v>
      </c>
      <c r="G37" s="55">
        <v>0.0</v>
      </c>
      <c r="H37" s="55">
        <v>4.0</v>
      </c>
      <c r="I37" s="55">
        <v>0.0</v>
      </c>
      <c r="J37" s="55">
        <v>4.0</v>
      </c>
      <c r="K37" s="55">
        <v>0.0</v>
      </c>
      <c r="L37" s="55">
        <v>0.0</v>
      </c>
      <c r="M37" s="55">
        <v>16.0</v>
      </c>
      <c r="N37" s="55">
        <v>24.0</v>
      </c>
      <c r="O37" s="55">
        <v>5.0</v>
      </c>
      <c r="P37" s="55">
        <v>24.0</v>
      </c>
      <c r="Q37" s="55">
        <v>0.0</v>
      </c>
      <c r="R37" s="55">
        <v>26408.0</v>
      </c>
      <c r="S37" s="55">
        <v>55023.0</v>
      </c>
      <c r="T37" s="55">
        <v>0.0</v>
      </c>
      <c r="U37" s="55">
        <v>0.0</v>
      </c>
      <c r="V37" s="55">
        <v>0.0</v>
      </c>
      <c r="W37" s="55">
        <v>0.942777777777777</v>
      </c>
      <c r="X37" s="55">
        <v>0.0</v>
      </c>
      <c r="Y37" s="55">
        <v>0.942777777777777</v>
      </c>
      <c r="Z37" s="55">
        <v>0.0</v>
      </c>
      <c r="AA37" s="55">
        <v>0.0</v>
      </c>
      <c r="AB37" s="55">
        <v>3.70111111111111</v>
      </c>
      <c r="AC37" s="55">
        <v>5.59249999999999</v>
      </c>
      <c r="AD37" s="55">
        <v>1.01416666666666</v>
      </c>
      <c r="AE37" s="55">
        <v>5.59194444444444</v>
      </c>
      <c r="AF37" s="55">
        <v>0.0</v>
      </c>
    </row>
    <row r="38">
      <c r="A38" s="56">
        <v>46139.0</v>
      </c>
      <c r="B38" s="55" t="s">
        <v>103</v>
      </c>
      <c r="C38" s="55" t="s">
        <v>104</v>
      </c>
      <c r="D38" s="55">
        <v>0.0</v>
      </c>
      <c r="E38" s="55">
        <v>0.0</v>
      </c>
      <c r="F38" s="55">
        <v>0.0</v>
      </c>
      <c r="G38" s="55">
        <v>0.0</v>
      </c>
      <c r="H38" s="55">
        <v>0.0</v>
      </c>
      <c r="I38" s="55">
        <v>0.0</v>
      </c>
      <c r="J38" s="55">
        <v>0.0</v>
      </c>
      <c r="K38" s="55">
        <v>0.0</v>
      </c>
      <c r="L38" s="55">
        <v>0.0</v>
      </c>
      <c r="M38" s="55">
        <v>0.0</v>
      </c>
      <c r="N38" s="55">
        <v>8.0</v>
      </c>
      <c r="O38" s="55">
        <v>0.0</v>
      </c>
      <c r="P38" s="55">
        <v>8.0</v>
      </c>
      <c r="Q38" s="55">
        <v>0.0</v>
      </c>
      <c r="R38" s="55">
        <v>0.0</v>
      </c>
      <c r="S38" s="55">
        <v>0.0</v>
      </c>
      <c r="T38" s="55">
        <v>0.0</v>
      </c>
      <c r="U38" s="55">
        <v>0.0</v>
      </c>
      <c r="V38" s="55">
        <v>0.0</v>
      </c>
      <c r="W38" s="55">
        <v>0.0</v>
      </c>
      <c r="X38" s="55">
        <v>0.0</v>
      </c>
      <c r="Y38" s="55">
        <v>0.0</v>
      </c>
      <c r="Z38" s="55">
        <v>0.0</v>
      </c>
      <c r="AA38" s="55">
        <v>0.0</v>
      </c>
      <c r="AB38" s="55">
        <v>0.0</v>
      </c>
      <c r="AC38" s="55">
        <v>1.16138888888888</v>
      </c>
      <c r="AD38" s="55">
        <v>0.0</v>
      </c>
      <c r="AE38" s="55">
        <v>1.16138888888888</v>
      </c>
      <c r="AF38" s="55">
        <v>0.0</v>
      </c>
    </row>
    <row r="39">
      <c r="A39" s="56">
        <v>46139.0</v>
      </c>
      <c r="B39" s="55" t="s">
        <v>95</v>
      </c>
      <c r="C39" s="55" t="s">
        <v>164</v>
      </c>
      <c r="D39" s="55">
        <v>0.0</v>
      </c>
      <c r="E39" s="55">
        <v>0.0</v>
      </c>
      <c r="F39" s="55">
        <v>0.0</v>
      </c>
      <c r="G39" s="55">
        <v>1.0</v>
      </c>
      <c r="H39" s="55">
        <v>1.0</v>
      </c>
      <c r="I39" s="55">
        <v>0.0</v>
      </c>
      <c r="J39" s="55">
        <v>1.0</v>
      </c>
      <c r="K39" s="55">
        <v>0.0</v>
      </c>
      <c r="L39" s="55">
        <v>0.0</v>
      </c>
      <c r="M39" s="55">
        <v>2.0</v>
      </c>
      <c r="N39" s="55">
        <v>4.0</v>
      </c>
      <c r="O39" s="55">
        <v>1.0</v>
      </c>
      <c r="P39" s="55">
        <v>4.0</v>
      </c>
      <c r="Q39" s="55">
        <v>0.0</v>
      </c>
      <c r="R39" s="55">
        <v>0.0</v>
      </c>
      <c r="S39" s="55">
        <v>0.0</v>
      </c>
      <c r="T39" s="55">
        <v>0.0</v>
      </c>
      <c r="U39" s="55">
        <v>0.0</v>
      </c>
      <c r="V39" s="55">
        <v>0.224166666666666</v>
      </c>
      <c r="W39" s="55">
        <v>0.224166666666666</v>
      </c>
      <c r="X39" s="55">
        <v>0.0</v>
      </c>
      <c r="Y39" s="55">
        <v>0.224166666666666</v>
      </c>
      <c r="Z39" s="55">
        <v>0.0</v>
      </c>
      <c r="AA39" s="55">
        <v>0.0</v>
      </c>
      <c r="AB39" s="55">
        <v>0.424444444444444</v>
      </c>
      <c r="AC39" s="55">
        <v>0.842222222222222</v>
      </c>
      <c r="AD39" s="55">
        <v>0.231944444444444</v>
      </c>
      <c r="AE39" s="55">
        <v>0.842222222222222</v>
      </c>
      <c r="AF39" s="55">
        <v>0.0</v>
      </c>
    </row>
    <row r="40">
      <c r="A40" s="56">
        <v>46139.0</v>
      </c>
      <c r="B40" s="55" t="s">
        <v>69</v>
      </c>
      <c r="C40" s="55" t="s">
        <v>149</v>
      </c>
      <c r="D40" s="55">
        <v>2.0</v>
      </c>
      <c r="E40" s="55">
        <v>3.0</v>
      </c>
      <c r="F40" s="55">
        <v>3.0</v>
      </c>
      <c r="G40" s="55">
        <v>0.0</v>
      </c>
      <c r="H40" s="55">
        <v>1.0</v>
      </c>
      <c r="I40" s="55">
        <v>1.0</v>
      </c>
      <c r="J40" s="55">
        <v>1.0</v>
      </c>
      <c r="K40" s="55">
        <v>0.0</v>
      </c>
      <c r="L40" s="55">
        <v>0.0</v>
      </c>
      <c r="M40" s="55">
        <v>1.0</v>
      </c>
      <c r="N40" s="55">
        <v>6.0</v>
      </c>
      <c r="O40" s="55">
        <v>5.0</v>
      </c>
      <c r="P40" s="55">
        <v>6.0</v>
      </c>
      <c r="Q40" s="55">
        <v>0.0</v>
      </c>
      <c r="R40" s="55">
        <v>4819.0</v>
      </c>
      <c r="S40" s="55">
        <v>6986.0</v>
      </c>
      <c r="T40" s="55">
        <v>0.901388888888888</v>
      </c>
      <c r="U40" s="55">
        <v>0.683333333333333</v>
      </c>
      <c r="V40" s="55">
        <v>0.0</v>
      </c>
      <c r="W40" s="55">
        <v>0.218055555555555</v>
      </c>
      <c r="X40" s="55">
        <v>0.218055555555555</v>
      </c>
      <c r="Y40" s="55">
        <v>0.218611111111111</v>
      </c>
      <c r="Z40" s="55">
        <v>0.0</v>
      </c>
      <c r="AA40" s="55">
        <v>0.0</v>
      </c>
      <c r="AB40" s="55">
        <v>0.218611111111111</v>
      </c>
      <c r="AC40" s="55">
        <v>1.36361111111111</v>
      </c>
      <c r="AD40" s="55">
        <v>1.375</v>
      </c>
      <c r="AE40" s="55">
        <v>1.36361111111111</v>
      </c>
      <c r="AF40" s="55">
        <v>4.0</v>
      </c>
    </row>
    <row r="41">
      <c r="A41" s="56">
        <v>46139.0</v>
      </c>
      <c r="B41" s="55" t="s">
        <v>74</v>
      </c>
      <c r="C41" s="55" t="s">
        <v>150</v>
      </c>
      <c r="D41" s="55">
        <v>19.0</v>
      </c>
      <c r="E41" s="55">
        <v>12.0</v>
      </c>
      <c r="F41" s="55">
        <v>16.0</v>
      </c>
      <c r="G41" s="55">
        <v>16.0</v>
      </c>
      <c r="H41" s="55">
        <v>18.0</v>
      </c>
      <c r="I41" s="55">
        <v>2.0</v>
      </c>
      <c r="J41" s="55">
        <v>18.0</v>
      </c>
      <c r="K41" s="55">
        <v>2.0</v>
      </c>
      <c r="L41" s="55">
        <v>2.0</v>
      </c>
      <c r="M41" s="55">
        <v>15.0</v>
      </c>
      <c r="N41" s="55">
        <v>15.0</v>
      </c>
      <c r="O41" s="55">
        <v>7.0</v>
      </c>
      <c r="P41" s="55">
        <v>15.0</v>
      </c>
      <c r="Q41" s="55">
        <v>0.0</v>
      </c>
      <c r="R41" s="55">
        <v>46062.0</v>
      </c>
      <c r="S41" s="55">
        <v>36646.0</v>
      </c>
      <c r="T41" s="55">
        <v>5.54138888888888</v>
      </c>
      <c r="U41" s="55">
        <v>5.25888888888888</v>
      </c>
      <c r="V41" s="55">
        <v>5.28305555555555</v>
      </c>
      <c r="W41" s="55">
        <v>5.85777777777777</v>
      </c>
      <c r="X41" s="55">
        <v>0.574722222222222</v>
      </c>
      <c r="Y41" s="55">
        <v>5.85888888888889</v>
      </c>
      <c r="Z41" s="55">
        <v>0.654722222222222</v>
      </c>
      <c r="AA41" s="55">
        <v>0.656111111111111</v>
      </c>
      <c r="AB41" s="55">
        <v>4.83</v>
      </c>
      <c r="AC41" s="55">
        <v>4.83</v>
      </c>
      <c r="AD41" s="55">
        <v>1.62527777777777</v>
      </c>
      <c r="AE41" s="55">
        <v>4.83</v>
      </c>
      <c r="AF41" s="55">
        <v>17.0</v>
      </c>
    </row>
    <row r="42">
      <c r="A42" s="56">
        <v>46139.0</v>
      </c>
      <c r="B42" s="55" t="s">
        <v>97</v>
      </c>
      <c r="C42" s="55" t="s">
        <v>152</v>
      </c>
      <c r="D42" s="55">
        <v>0.0</v>
      </c>
      <c r="E42" s="55">
        <v>19.0</v>
      </c>
      <c r="F42" s="55">
        <v>14.0</v>
      </c>
      <c r="G42" s="55">
        <v>11.0</v>
      </c>
      <c r="H42" s="55">
        <v>15.0</v>
      </c>
      <c r="I42" s="55">
        <v>4.0</v>
      </c>
      <c r="J42" s="55">
        <v>15.0</v>
      </c>
      <c r="K42" s="55">
        <v>15.0</v>
      </c>
      <c r="L42" s="55">
        <v>4.0</v>
      </c>
      <c r="M42" s="55">
        <v>16.0</v>
      </c>
      <c r="N42" s="55">
        <v>22.0</v>
      </c>
      <c r="O42" s="55">
        <v>5.0</v>
      </c>
      <c r="P42" s="55">
        <v>22.0</v>
      </c>
      <c r="Q42" s="55">
        <v>0.0</v>
      </c>
      <c r="R42" s="55">
        <v>0.0</v>
      </c>
      <c r="S42" s="55">
        <v>46590.0</v>
      </c>
      <c r="T42" s="55">
        <v>3.76138888888888</v>
      </c>
      <c r="U42" s="55">
        <v>3.18638888888888</v>
      </c>
      <c r="V42" s="55">
        <v>2.62888888888888</v>
      </c>
      <c r="W42" s="55">
        <v>3.46083333333333</v>
      </c>
      <c r="X42" s="55">
        <v>0.831944444444444</v>
      </c>
      <c r="Y42" s="55">
        <v>3.49444444444444</v>
      </c>
      <c r="Z42" s="55">
        <v>3.53277777777777</v>
      </c>
      <c r="AA42" s="55">
        <v>0.96</v>
      </c>
      <c r="AB42" s="55">
        <v>3.735</v>
      </c>
      <c r="AC42" s="55">
        <v>5.15416666666666</v>
      </c>
      <c r="AD42" s="55">
        <v>1.17361111111111</v>
      </c>
      <c r="AE42" s="55">
        <v>5.15416666666666</v>
      </c>
      <c r="AF42" s="55">
        <v>17.0</v>
      </c>
    </row>
    <row r="43">
      <c r="A43" s="56">
        <v>46139.0</v>
      </c>
      <c r="B43" s="55" t="s">
        <v>30</v>
      </c>
      <c r="C43" s="55" t="s">
        <v>153</v>
      </c>
      <c r="D43" s="55">
        <v>13.0</v>
      </c>
      <c r="E43" s="55">
        <v>16.0</v>
      </c>
      <c r="F43" s="55">
        <v>9.0</v>
      </c>
      <c r="G43" s="55">
        <v>0.0</v>
      </c>
      <c r="H43" s="55">
        <v>17.0</v>
      </c>
      <c r="I43" s="55">
        <v>7.0</v>
      </c>
      <c r="J43" s="55">
        <v>16.0</v>
      </c>
      <c r="K43" s="55">
        <v>1.0</v>
      </c>
      <c r="L43" s="55">
        <v>0.0</v>
      </c>
      <c r="M43" s="55">
        <v>19.0</v>
      </c>
      <c r="N43" s="55">
        <v>19.0</v>
      </c>
      <c r="O43" s="55">
        <v>6.0</v>
      </c>
      <c r="P43" s="55">
        <v>19.0</v>
      </c>
      <c r="Q43" s="55">
        <v>0.0</v>
      </c>
      <c r="R43" s="55">
        <v>28426.0</v>
      </c>
      <c r="S43" s="55">
        <v>38503.0</v>
      </c>
      <c r="T43" s="55">
        <v>4.86166666666666</v>
      </c>
      <c r="U43" s="55">
        <v>2.00027777777777</v>
      </c>
      <c r="V43" s="55">
        <v>0.0</v>
      </c>
      <c r="W43" s="55">
        <v>3.75472222222222</v>
      </c>
      <c r="X43" s="55">
        <v>1.53166666666666</v>
      </c>
      <c r="Y43" s="55">
        <v>3.52916666666666</v>
      </c>
      <c r="Z43" s="55">
        <v>0.217222222222222</v>
      </c>
      <c r="AA43" s="55">
        <v>0.0</v>
      </c>
      <c r="AB43" s="55">
        <v>4.18888888888888</v>
      </c>
      <c r="AC43" s="55">
        <v>4.18888888888888</v>
      </c>
      <c r="AD43" s="55">
        <v>1.26888888888888</v>
      </c>
      <c r="AE43" s="55">
        <v>4.18888888888888</v>
      </c>
      <c r="AF43" s="55">
        <v>22.0</v>
      </c>
    </row>
    <row r="44">
      <c r="A44" s="56">
        <v>46139.0</v>
      </c>
      <c r="B44" s="55" t="s">
        <v>107</v>
      </c>
      <c r="C44" s="55" t="s">
        <v>154</v>
      </c>
      <c r="D44" s="55">
        <v>12.0</v>
      </c>
      <c r="E44" s="55">
        <v>0.0</v>
      </c>
      <c r="F44" s="55">
        <v>0.0</v>
      </c>
      <c r="G44" s="55">
        <v>0.0</v>
      </c>
      <c r="H44" s="55">
        <v>0.0</v>
      </c>
      <c r="I44" s="55">
        <v>0.0</v>
      </c>
      <c r="J44" s="55">
        <v>0.0</v>
      </c>
      <c r="K44" s="55">
        <v>0.0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26810.0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55">
        <v>0.0</v>
      </c>
      <c r="Z44" s="55">
        <v>0.0</v>
      </c>
      <c r="AA44" s="55">
        <v>0.0</v>
      </c>
      <c r="AB44" s="55">
        <v>0.0</v>
      </c>
      <c r="AC44" s="55">
        <v>0.0</v>
      </c>
      <c r="AD44" s="55">
        <v>0.0</v>
      </c>
      <c r="AE44" s="55">
        <v>0.0</v>
      </c>
      <c r="AF44" s="55">
        <v>0.0</v>
      </c>
    </row>
    <row r="45">
      <c r="A45" s="56">
        <v>46139.0</v>
      </c>
      <c r="B45" s="55" t="s">
        <v>99</v>
      </c>
      <c r="C45" s="55" t="s">
        <v>155</v>
      </c>
      <c r="D45" s="55">
        <v>13.0</v>
      </c>
      <c r="E45" s="55">
        <v>13.0</v>
      </c>
      <c r="F45" s="55">
        <v>0.0</v>
      </c>
      <c r="G45" s="55">
        <v>0.0</v>
      </c>
      <c r="H45" s="55">
        <v>0.0</v>
      </c>
      <c r="I45" s="55">
        <v>0.0</v>
      </c>
      <c r="J45" s="55">
        <v>0.0</v>
      </c>
      <c r="K45" s="55">
        <v>0.0</v>
      </c>
      <c r="L45" s="55">
        <v>0.0</v>
      </c>
      <c r="M45" s="55">
        <v>0.0</v>
      </c>
      <c r="N45" s="55">
        <v>13.0</v>
      </c>
      <c r="O45" s="55">
        <v>5.0</v>
      </c>
      <c r="P45" s="55">
        <v>13.0</v>
      </c>
      <c r="Q45" s="55">
        <v>0.0</v>
      </c>
      <c r="R45" s="55">
        <v>31676.0</v>
      </c>
      <c r="S45" s="55">
        <v>31497.0</v>
      </c>
      <c r="T45" s="55">
        <v>1.83111111111111</v>
      </c>
      <c r="U45" s="55">
        <v>0.0</v>
      </c>
      <c r="V45" s="55">
        <v>0.0</v>
      </c>
      <c r="W45" s="55">
        <v>0.0</v>
      </c>
      <c r="X45" s="55">
        <v>0.0</v>
      </c>
      <c r="Y45" s="55">
        <v>0.0</v>
      </c>
      <c r="Z45" s="55">
        <v>0.0</v>
      </c>
      <c r="AA45" s="55">
        <v>0.0</v>
      </c>
      <c r="AB45" s="55">
        <v>0.0</v>
      </c>
      <c r="AC45" s="55">
        <v>3.37444444444444</v>
      </c>
      <c r="AD45" s="55">
        <v>1.33361111111111</v>
      </c>
      <c r="AE45" s="55">
        <v>3.37444444444444</v>
      </c>
      <c r="AF45" s="55">
        <v>7.0</v>
      </c>
    </row>
    <row r="46">
      <c r="A46" s="56">
        <v>46139.0</v>
      </c>
      <c r="B46" s="55" t="s">
        <v>90</v>
      </c>
      <c r="C46" s="55" t="s">
        <v>163</v>
      </c>
      <c r="D46" s="55">
        <v>8.0</v>
      </c>
      <c r="E46" s="55">
        <v>10.0</v>
      </c>
      <c r="F46" s="55">
        <v>4.0</v>
      </c>
      <c r="G46" s="55">
        <v>4.0</v>
      </c>
      <c r="H46" s="55">
        <v>4.0</v>
      </c>
      <c r="I46" s="55">
        <v>2.0</v>
      </c>
      <c r="J46" s="55">
        <v>3.0</v>
      </c>
      <c r="K46" s="55">
        <v>0.0</v>
      </c>
      <c r="L46" s="55">
        <v>0.0</v>
      </c>
      <c r="M46" s="55">
        <v>3.0</v>
      </c>
      <c r="N46" s="55">
        <v>3.0</v>
      </c>
      <c r="O46" s="55">
        <v>5.0</v>
      </c>
      <c r="P46" s="55">
        <v>3.0</v>
      </c>
      <c r="Q46" s="55">
        <v>0.0</v>
      </c>
      <c r="R46" s="55">
        <v>17824.0</v>
      </c>
      <c r="S46" s="55">
        <v>22201.0</v>
      </c>
      <c r="T46" s="55">
        <v>1.10444444444444</v>
      </c>
      <c r="U46" s="55">
        <v>1.10444444444444</v>
      </c>
      <c r="V46" s="55">
        <v>1.01861111111111</v>
      </c>
      <c r="W46" s="55">
        <v>1.05222222222222</v>
      </c>
      <c r="X46" s="55">
        <v>0.5525</v>
      </c>
      <c r="Y46" s="55">
        <v>0.772777777777777</v>
      </c>
      <c r="Z46" s="55">
        <v>0.0</v>
      </c>
      <c r="AA46" s="55">
        <v>0.0</v>
      </c>
      <c r="AB46" s="55">
        <v>0.772777777777777</v>
      </c>
      <c r="AC46" s="55">
        <v>0.772777777777777</v>
      </c>
      <c r="AD46" s="55">
        <v>1.22638888888888</v>
      </c>
      <c r="AE46" s="55">
        <v>0.772777777777777</v>
      </c>
      <c r="AF46" s="55">
        <v>4.0</v>
      </c>
    </row>
    <row r="47">
      <c r="A47" s="56">
        <v>46139.0</v>
      </c>
      <c r="B47" s="55" t="s">
        <v>39</v>
      </c>
      <c r="C47" s="55" t="s">
        <v>156</v>
      </c>
      <c r="D47" s="55">
        <v>12.0</v>
      </c>
      <c r="E47" s="55">
        <v>13.0</v>
      </c>
      <c r="F47" s="55">
        <v>0.0</v>
      </c>
      <c r="G47" s="55">
        <v>0.0</v>
      </c>
      <c r="H47" s="55">
        <v>13.0</v>
      </c>
      <c r="I47" s="55">
        <v>13.0</v>
      </c>
      <c r="J47" s="55">
        <v>12.0</v>
      </c>
      <c r="K47" s="55">
        <v>9.0</v>
      </c>
      <c r="L47" s="55">
        <v>0.0</v>
      </c>
      <c r="M47" s="55">
        <v>11.0</v>
      </c>
      <c r="N47" s="55">
        <v>11.0</v>
      </c>
      <c r="O47" s="55">
        <v>5.0</v>
      </c>
      <c r="P47" s="55">
        <v>11.0</v>
      </c>
      <c r="Q47" s="55">
        <v>0.0</v>
      </c>
      <c r="R47" s="55">
        <v>26988.0</v>
      </c>
      <c r="S47" s="55">
        <v>31887.0</v>
      </c>
      <c r="T47" s="55">
        <v>3.69888888888888</v>
      </c>
      <c r="U47" s="55">
        <v>0.0</v>
      </c>
      <c r="V47" s="55">
        <v>0.0</v>
      </c>
      <c r="W47" s="55">
        <v>2.99722222222222</v>
      </c>
      <c r="X47" s="55">
        <v>2.99722222222222</v>
      </c>
      <c r="Y47" s="55">
        <v>2.77694444444444</v>
      </c>
      <c r="Z47" s="55">
        <v>2.09194444444444</v>
      </c>
      <c r="AA47" s="55">
        <v>0.0</v>
      </c>
      <c r="AB47" s="55">
        <v>2.54777777777777</v>
      </c>
      <c r="AC47" s="55">
        <v>2.54777777777777</v>
      </c>
      <c r="AD47" s="55">
        <v>1.0975</v>
      </c>
      <c r="AE47" s="55">
        <v>2.54777777777777</v>
      </c>
      <c r="AF47" s="55">
        <v>16.0</v>
      </c>
    </row>
    <row r="48">
      <c r="A48" s="56">
        <v>46139.0</v>
      </c>
      <c r="B48" s="55" t="s">
        <v>63</v>
      </c>
      <c r="C48" s="55" t="s">
        <v>157</v>
      </c>
      <c r="D48" s="55">
        <v>8.0</v>
      </c>
      <c r="E48" s="55">
        <v>10.0</v>
      </c>
      <c r="F48" s="55">
        <v>0.0</v>
      </c>
      <c r="G48" s="55">
        <v>0.0</v>
      </c>
      <c r="H48" s="55">
        <v>4.0</v>
      </c>
      <c r="I48" s="55">
        <v>4.0</v>
      </c>
      <c r="J48" s="55">
        <v>4.0</v>
      </c>
      <c r="K48" s="55">
        <v>4.0</v>
      </c>
      <c r="L48" s="55">
        <v>8.0</v>
      </c>
      <c r="M48" s="55">
        <v>11.0</v>
      </c>
      <c r="N48" s="55">
        <v>16.0</v>
      </c>
      <c r="O48" s="55">
        <v>6.0</v>
      </c>
      <c r="P48" s="55">
        <v>16.0</v>
      </c>
      <c r="Q48" s="55">
        <v>0.0</v>
      </c>
      <c r="R48" s="55">
        <v>16424.0</v>
      </c>
      <c r="S48" s="55">
        <v>21959.0</v>
      </c>
      <c r="T48" s="55">
        <v>2.38083333333333</v>
      </c>
      <c r="U48" s="55">
        <v>0.0</v>
      </c>
      <c r="V48" s="55">
        <v>0.0</v>
      </c>
      <c r="W48" s="55">
        <v>0.907777777777777</v>
      </c>
      <c r="X48" s="55">
        <v>0.907777777777777</v>
      </c>
      <c r="Y48" s="55">
        <v>0.9075</v>
      </c>
      <c r="Z48" s="55">
        <v>0.9075</v>
      </c>
      <c r="AA48" s="55">
        <v>1.96972222222222</v>
      </c>
      <c r="AB48" s="55">
        <v>2.71472222222222</v>
      </c>
      <c r="AC48" s="55">
        <v>3.81611111111111</v>
      </c>
      <c r="AD48" s="55">
        <v>1.39222222222222</v>
      </c>
      <c r="AE48" s="55">
        <v>3.81611111111111</v>
      </c>
      <c r="AF48" s="55">
        <v>10.0</v>
      </c>
    </row>
    <row r="49">
      <c r="A49" s="56">
        <v>46139.0</v>
      </c>
      <c r="B49" s="55" t="s">
        <v>35</v>
      </c>
      <c r="C49" s="55" t="s">
        <v>158</v>
      </c>
      <c r="D49" s="55">
        <v>10.0</v>
      </c>
      <c r="E49" s="55">
        <v>13.0</v>
      </c>
      <c r="F49" s="55">
        <v>4.0</v>
      </c>
      <c r="G49" s="55">
        <v>5.0</v>
      </c>
      <c r="H49" s="55">
        <v>5.0</v>
      </c>
      <c r="I49" s="55">
        <v>0.0</v>
      </c>
      <c r="J49" s="55">
        <v>6.0</v>
      </c>
      <c r="K49" s="55">
        <v>6.0</v>
      </c>
      <c r="L49" s="55">
        <v>5.0</v>
      </c>
      <c r="M49" s="55">
        <v>9.0</v>
      </c>
      <c r="N49" s="55">
        <v>9.0</v>
      </c>
      <c r="O49" s="55">
        <v>5.0</v>
      </c>
      <c r="P49" s="55">
        <v>9.0</v>
      </c>
      <c r="Q49" s="55">
        <v>0.0</v>
      </c>
      <c r="R49" s="55">
        <v>23532.0</v>
      </c>
      <c r="S49" s="55">
        <v>30032.0</v>
      </c>
      <c r="T49" s="55">
        <v>2.67611111111111</v>
      </c>
      <c r="U49" s="55">
        <v>1.01416666666666</v>
      </c>
      <c r="V49" s="55">
        <v>1.24583333333333</v>
      </c>
      <c r="W49" s="55">
        <v>1.24583333333333</v>
      </c>
      <c r="X49" s="55">
        <v>0.0</v>
      </c>
      <c r="Y49" s="55">
        <v>1.47361111111111</v>
      </c>
      <c r="Z49" s="55">
        <v>1.46472222222222</v>
      </c>
      <c r="AA49" s="55">
        <v>1.21416666666666</v>
      </c>
      <c r="AB49" s="55">
        <v>2.20083333333333</v>
      </c>
      <c r="AC49" s="55">
        <v>2.20083333333333</v>
      </c>
      <c r="AD49" s="55">
        <v>1.37777777777777</v>
      </c>
      <c r="AE49" s="55">
        <v>2.20083333333333</v>
      </c>
      <c r="AF49" s="55">
        <v>10.0</v>
      </c>
    </row>
    <row r="50">
      <c r="A50" s="56">
        <v>46139.0</v>
      </c>
      <c r="B50" s="55" t="s">
        <v>105</v>
      </c>
      <c r="C50" s="55" t="s">
        <v>159</v>
      </c>
      <c r="D50" s="55">
        <v>12.0</v>
      </c>
      <c r="E50" s="55">
        <v>11.0</v>
      </c>
      <c r="F50" s="55">
        <v>5.0</v>
      </c>
      <c r="G50" s="55">
        <v>1.0</v>
      </c>
      <c r="H50" s="55">
        <v>2.0</v>
      </c>
      <c r="I50" s="55">
        <v>1.0</v>
      </c>
      <c r="J50" s="55">
        <v>0.0</v>
      </c>
      <c r="K50" s="55">
        <v>0.0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24840.0</v>
      </c>
      <c r="S50" s="55">
        <v>22234.0</v>
      </c>
      <c r="T50" s="55">
        <v>2.66611111111111</v>
      </c>
      <c r="U50" s="55">
        <v>0.999722222222222</v>
      </c>
      <c r="V50" s="55">
        <v>0.0025</v>
      </c>
      <c r="W50" s="55">
        <v>0.223888888888888</v>
      </c>
      <c r="X50" s="55">
        <v>0.221388888888888</v>
      </c>
      <c r="Y50" s="55">
        <v>0.0</v>
      </c>
      <c r="Z50" s="55">
        <v>0.0</v>
      </c>
      <c r="AA50" s="55">
        <v>0.0</v>
      </c>
      <c r="AB50" s="55">
        <v>0.0</v>
      </c>
      <c r="AC50" s="55">
        <v>0.0</v>
      </c>
      <c r="AD50" s="55">
        <v>0.0</v>
      </c>
      <c r="AE50" s="55">
        <v>0.0</v>
      </c>
      <c r="AF50" s="55">
        <v>14.0</v>
      </c>
    </row>
    <row r="51">
      <c r="A51" s="56">
        <v>46139.0</v>
      </c>
      <c r="B51" s="55" t="s">
        <v>54</v>
      </c>
      <c r="C51" s="55" t="s">
        <v>160</v>
      </c>
      <c r="D51" s="55">
        <v>24.0</v>
      </c>
      <c r="E51" s="55">
        <v>19.0</v>
      </c>
      <c r="F51" s="55">
        <v>23.0</v>
      </c>
      <c r="G51" s="55">
        <v>13.0</v>
      </c>
      <c r="H51" s="55">
        <v>18.0</v>
      </c>
      <c r="I51" s="55">
        <v>0.0</v>
      </c>
      <c r="J51" s="55">
        <v>20.0</v>
      </c>
      <c r="K51" s="55">
        <v>12.0</v>
      </c>
      <c r="L51" s="55">
        <v>6.0</v>
      </c>
      <c r="M51" s="55">
        <v>20.0</v>
      </c>
      <c r="N51" s="55">
        <v>27.0</v>
      </c>
      <c r="O51" s="55">
        <v>7.0</v>
      </c>
      <c r="P51" s="55">
        <v>27.0</v>
      </c>
      <c r="Q51" s="55">
        <v>0.0</v>
      </c>
      <c r="R51" s="55">
        <v>53158.0</v>
      </c>
      <c r="S51" s="55">
        <v>42501.0</v>
      </c>
      <c r="T51" s="55">
        <v>7.23138888888888</v>
      </c>
      <c r="U51" s="55">
        <v>5.87111111111111</v>
      </c>
      <c r="V51" s="55">
        <v>3.29111111111111</v>
      </c>
      <c r="W51" s="55">
        <v>4.42305555555555</v>
      </c>
      <c r="X51" s="55">
        <v>0.0</v>
      </c>
      <c r="Y51" s="55">
        <v>4.86388888888888</v>
      </c>
      <c r="Z51" s="55">
        <v>2.85555555555555</v>
      </c>
      <c r="AA51" s="55">
        <v>1.41138888888888</v>
      </c>
      <c r="AB51" s="55">
        <v>4.83583333333333</v>
      </c>
      <c r="AC51" s="55">
        <v>6.42277777777777</v>
      </c>
      <c r="AD51" s="55">
        <v>1.67472222222222</v>
      </c>
      <c r="AE51" s="55">
        <v>6.42277777777777</v>
      </c>
      <c r="AF51" s="55">
        <v>29.0</v>
      </c>
    </row>
    <row r="52">
      <c r="A52" s="56">
        <v>46139.0</v>
      </c>
      <c r="B52" s="55" t="s">
        <v>88</v>
      </c>
      <c r="C52" s="55" t="s">
        <v>165</v>
      </c>
      <c r="D52" s="55">
        <v>0.0</v>
      </c>
      <c r="E52" s="55">
        <v>0.0</v>
      </c>
      <c r="F52" s="55">
        <v>0.0</v>
      </c>
      <c r="G52" s="55">
        <v>0.0</v>
      </c>
      <c r="H52" s="55">
        <v>0.0</v>
      </c>
      <c r="I52" s="55">
        <v>0.0</v>
      </c>
      <c r="J52" s="55">
        <v>0.0</v>
      </c>
      <c r="K52" s="55">
        <v>0.0</v>
      </c>
      <c r="L52" s="55">
        <v>0.0</v>
      </c>
      <c r="M52" s="55">
        <v>1.0</v>
      </c>
      <c r="N52" s="55">
        <v>2.0</v>
      </c>
      <c r="O52" s="55">
        <v>1.0</v>
      </c>
      <c r="P52" s="55">
        <v>2.0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55">
        <v>0.0</v>
      </c>
      <c r="Z52" s="55">
        <v>0.0</v>
      </c>
      <c r="AA52" s="55">
        <v>0.0</v>
      </c>
      <c r="AB52" s="55">
        <v>0.239722222222222</v>
      </c>
      <c r="AC52" s="55">
        <v>0.452222222222222</v>
      </c>
      <c r="AD52" s="55">
        <v>0.198888888888888</v>
      </c>
      <c r="AE52" s="55">
        <v>0.452222222222222</v>
      </c>
      <c r="AF52" s="55">
        <v>0.0</v>
      </c>
    </row>
    <row r="53">
      <c r="A53" s="56">
        <v>46139.0</v>
      </c>
      <c r="B53" s="55" t="s">
        <v>24</v>
      </c>
      <c r="C53" s="55" t="s">
        <v>161</v>
      </c>
      <c r="D53" s="55">
        <v>21.0</v>
      </c>
      <c r="E53" s="55">
        <v>30.0</v>
      </c>
      <c r="F53" s="55">
        <v>21.0</v>
      </c>
      <c r="G53" s="55">
        <v>17.0</v>
      </c>
      <c r="H53" s="55">
        <v>31.0</v>
      </c>
      <c r="I53" s="55">
        <v>16.0</v>
      </c>
      <c r="J53" s="55">
        <v>28.0</v>
      </c>
      <c r="K53" s="55">
        <v>11.0</v>
      </c>
      <c r="L53" s="55">
        <v>4.0</v>
      </c>
      <c r="M53" s="55">
        <v>29.0</v>
      </c>
      <c r="N53" s="55">
        <v>29.0</v>
      </c>
      <c r="O53" s="55">
        <v>5.0</v>
      </c>
      <c r="P53" s="55">
        <v>29.0</v>
      </c>
      <c r="Q53" s="55">
        <v>0.0</v>
      </c>
      <c r="R53" s="55">
        <v>47389.0</v>
      </c>
      <c r="S53" s="55">
        <v>67327.0</v>
      </c>
      <c r="T53" s="55">
        <v>6.28194444444444</v>
      </c>
      <c r="U53" s="55">
        <v>3.72305555555555</v>
      </c>
      <c r="V53" s="55">
        <v>3.04722222222222</v>
      </c>
      <c r="W53" s="55">
        <v>5.60444444444444</v>
      </c>
      <c r="X53" s="55">
        <v>2.90222222222222</v>
      </c>
      <c r="Y53" s="55">
        <v>5.15055555555555</v>
      </c>
      <c r="Z53" s="55">
        <v>1.94499999999999</v>
      </c>
      <c r="AA53" s="55">
        <v>0.732777777777777</v>
      </c>
      <c r="AB53" s="55">
        <v>5.34055555555555</v>
      </c>
      <c r="AC53" s="55">
        <v>5.34055555555555</v>
      </c>
      <c r="AD53" s="55">
        <v>0.948888888888888</v>
      </c>
      <c r="AE53" s="55">
        <v>5.34055555555555</v>
      </c>
      <c r="AF53" s="55">
        <v>35.0</v>
      </c>
    </row>
    <row r="54">
      <c r="A54" s="56">
        <v>46139.0</v>
      </c>
      <c r="B54" s="55" t="s">
        <v>60</v>
      </c>
      <c r="C54" s="55" t="s">
        <v>61</v>
      </c>
      <c r="D54" s="55">
        <v>12.0</v>
      </c>
      <c r="E54" s="55">
        <v>7.0</v>
      </c>
      <c r="F54" s="55">
        <v>0.0</v>
      </c>
      <c r="G54" s="55">
        <v>0.0</v>
      </c>
      <c r="H54" s="55">
        <v>12.0</v>
      </c>
      <c r="I54" s="55">
        <v>12.0</v>
      </c>
      <c r="J54" s="55">
        <v>12.0</v>
      </c>
      <c r="K54" s="55">
        <v>3.0</v>
      </c>
      <c r="L54" s="55">
        <v>0.0</v>
      </c>
      <c r="M54" s="55">
        <v>15.0</v>
      </c>
      <c r="N54" s="55">
        <v>15.0</v>
      </c>
      <c r="O54" s="55">
        <v>4.0</v>
      </c>
      <c r="P54" s="55">
        <v>15.0</v>
      </c>
      <c r="Q54" s="55">
        <v>0.0</v>
      </c>
      <c r="R54" s="55">
        <v>30327.0</v>
      </c>
      <c r="S54" s="55">
        <v>15108.0</v>
      </c>
      <c r="T54" s="55">
        <v>1.9175</v>
      </c>
      <c r="U54" s="55">
        <v>0.0</v>
      </c>
      <c r="V54" s="55">
        <v>0.0</v>
      </c>
      <c r="W54" s="55">
        <v>2.55611111111111</v>
      </c>
      <c r="X54" s="55">
        <v>2.55611111111111</v>
      </c>
      <c r="Y54" s="55">
        <v>2.59805555555555</v>
      </c>
      <c r="Z54" s="55">
        <v>0.633333333333333</v>
      </c>
      <c r="AA54" s="55">
        <v>0.0</v>
      </c>
      <c r="AB54" s="55">
        <v>3.27694444444444</v>
      </c>
      <c r="AC54" s="55">
        <v>3.27694444444444</v>
      </c>
      <c r="AD54" s="55">
        <v>0.877777777777777</v>
      </c>
      <c r="AE54" s="55">
        <v>3.27694444444444</v>
      </c>
      <c r="AF54" s="55">
        <v>9.0</v>
      </c>
    </row>
    <row r="55">
      <c r="A55" s="56">
        <v>46139.0</v>
      </c>
      <c r="B55" s="55" t="s">
        <v>86</v>
      </c>
      <c r="C55" s="55" t="s">
        <v>162</v>
      </c>
      <c r="D55" s="55">
        <v>46.0</v>
      </c>
      <c r="E55" s="55">
        <v>46.0</v>
      </c>
      <c r="F55" s="55">
        <v>0.0</v>
      </c>
      <c r="G55" s="55">
        <v>0.0</v>
      </c>
      <c r="H55" s="55">
        <v>0.0</v>
      </c>
      <c r="I55" s="55">
        <v>0.0</v>
      </c>
      <c r="J55" s="55">
        <v>0.0</v>
      </c>
      <c r="K55" s="55">
        <v>0.0</v>
      </c>
      <c r="L55" s="55">
        <v>0.0</v>
      </c>
      <c r="M55" s="55">
        <v>1.0</v>
      </c>
      <c r="N55" s="55">
        <v>47.0</v>
      </c>
      <c r="O55" s="55">
        <v>4.0</v>
      </c>
      <c r="P55" s="55">
        <v>47.0</v>
      </c>
      <c r="Q55" s="55">
        <v>0.0</v>
      </c>
      <c r="R55" s="55">
        <v>77827.0</v>
      </c>
      <c r="S55" s="55">
        <v>77827.0</v>
      </c>
      <c r="T55" s="55">
        <v>1.71166666666666</v>
      </c>
      <c r="U55" s="55">
        <v>0.0</v>
      </c>
      <c r="V55" s="55">
        <v>0.0</v>
      </c>
      <c r="W55" s="55">
        <v>0.0</v>
      </c>
      <c r="X55" s="55">
        <v>0.0</v>
      </c>
      <c r="Y55" s="55">
        <v>0.0</v>
      </c>
      <c r="Z55" s="55">
        <v>0.0</v>
      </c>
      <c r="AA55" s="55">
        <v>0.0</v>
      </c>
      <c r="AB55" s="55">
        <v>0.195</v>
      </c>
      <c r="AC55" s="55">
        <v>9.91</v>
      </c>
      <c r="AD55" s="55">
        <v>1.05333333333333</v>
      </c>
      <c r="AE55" s="55">
        <v>9.90833333333333</v>
      </c>
      <c r="AF55" s="55">
        <v>7.0</v>
      </c>
    </row>
    <row r="56">
      <c r="A56" s="56">
        <v>46132.0</v>
      </c>
      <c r="B56" s="55" t="s">
        <v>77</v>
      </c>
      <c r="C56" s="55" t="s">
        <v>148</v>
      </c>
      <c r="D56" s="55">
        <v>26.0</v>
      </c>
      <c r="E56" s="55">
        <v>10.0</v>
      </c>
      <c r="F56" s="55">
        <v>0.0</v>
      </c>
      <c r="G56" s="55">
        <v>0.0</v>
      </c>
      <c r="H56" s="55">
        <v>0.0</v>
      </c>
      <c r="I56" s="55">
        <v>0.0</v>
      </c>
      <c r="J56" s="55">
        <v>0.0</v>
      </c>
      <c r="K56" s="55">
        <v>0.0</v>
      </c>
      <c r="L56" s="55">
        <v>0.0</v>
      </c>
      <c r="M56" s="55">
        <v>0.0</v>
      </c>
      <c r="N56" s="55">
        <v>0.0</v>
      </c>
      <c r="O56" s="55">
        <v>4.0</v>
      </c>
      <c r="P56" s="55">
        <v>0.0</v>
      </c>
      <c r="Q56" s="55">
        <v>0.0</v>
      </c>
      <c r="R56" s="55">
        <v>61334.0</v>
      </c>
      <c r="S56" s="55">
        <v>23918.0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55">
        <v>0.0</v>
      </c>
      <c r="Z56" s="55">
        <v>0.0</v>
      </c>
      <c r="AA56" s="55">
        <v>0.0</v>
      </c>
      <c r="AB56" s="55">
        <v>0.0</v>
      </c>
      <c r="AC56" s="55">
        <v>0.0</v>
      </c>
      <c r="AD56" s="55">
        <v>0.788611111111111</v>
      </c>
      <c r="AE56" s="55">
        <v>0.0</v>
      </c>
      <c r="AF56" s="55">
        <v>0.0</v>
      </c>
    </row>
    <row r="57">
      <c r="A57" s="56">
        <v>46132.0</v>
      </c>
      <c r="B57" s="55" t="s">
        <v>93</v>
      </c>
      <c r="C57" s="55" t="s">
        <v>94</v>
      </c>
      <c r="D57" s="55">
        <v>37.0</v>
      </c>
      <c r="E57" s="55">
        <v>35.0</v>
      </c>
      <c r="F57" s="55">
        <v>0.0</v>
      </c>
      <c r="G57" s="55">
        <v>0.0</v>
      </c>
      <c r="H57" s="55">
        <v>6.0</v>
      </c>
      <c r="I57" s="55">
        <v>0.0</v>
      </c>
      <c r="J57" s="55">
        <v>6.0</v>
      </c>
      <c r="K57" s="55">
        <v>0.0</v>
      </c>
      <c r="L57" s="55">
        <v>0.0</v>
      </c>
      <c r="M57" s="55">
        <v>16.0</v>
      </c>
      <c r="N57" s="55">
        <v>20.0</v>
      </c>
      <c r="O57" s="55">
        <v>5.0</v>
      </c>
      <c r="P57" s="55">
        <v>20.0</v>
      </c>
      <c r="Q57" s="55">
        <v>0.0</v>
      </c>
      <c r="R57" s="55">
        <v>81338.0</v>
      </c>
      <c r="S57" s="55">
        <v>74759.0</v>
      </c>
      <c r="T57" s="55">
        <v>0.519722222222222</v>
      </c>
      <c r="U57" s="55">
        <v>0.0</v>
      </c>
      <c r="V57" s="55">
        <v>0.0</v>
      </c>
      <c r="W57" s="55">
        <v>1.25944444444444</v>
      </c>
      <c r="X57" s="55">
        <v>0.0</v>
      </c>
      <c r="Y57" s="55">
        <v>1.25944444444444</v>
      </c>
      <c r="Z57" s="55">
        <v>0.0</v>
      </c>
      <c r="AA57" s="55">
        <v>0.0</v>
      </c>
      <c r="AB57" s="55">
        <v>3.44</v>
      </c>
      <c r="AC57" s="55">
        <v>4.47666666666666</v>
      </c>
      <c r="AD57" s="55">
        <v>1.28</v>
      </c>
      <c r="AE57" s="55">
        <v>4.47666666666666</v>
      </c>
      <c r="AF57" s="55">
        <v>2.0</v>
      </c>
    </row>
    <row r="58">
      <c r="A58" s="56">
        <v>46132.0</v>
      </c>
      <c r="B58" s="55" t="s">
        <v>103</v>
      </c>
      <c r="C58" s="55" t="s">
        <v>104</v>
      </c>
      <c r="D58" s="55">
        <v>0.0</v>
      </c>
      <c r="E58" s="55">
        <v>0.0</v>
      </c>
      <c r="F58" s="55">
        <v>0.0</v>
      </c>
      <c r="G58" s="55">
        <v>0.0</v>
      </c>
      <c r="H58" s="55">
        <v>0.0</v>
      </c>
      <c r="I58" s="55">
        <v>0.0</v>
      </c>
      <c r="J58" s="55">
        <v>0.0</v>
      </c>
      <c r="K58" s="55">
        <v>1.0</v>
      </c>
      <c r="L58" s="55">
        <v>7.0</v>
      </c>
      <c r="M58" s="55">
        <v>8.0</v>
      </c>
      <c r="N58" s="55">
        <v>0.0</v>
      </c>
      <c r="O58" s="55">
        <v>0.0</v>
      </c>
      <c r="P58" s="55">
        <v>0.0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55">
        <v>0.0</v>
      </c>
      <c r="Z58" s="55">
        <v>0.128888888888888</v>
      </c>
      <c r="AA58" s="55">
        <v>1.02833333333333</v>
      </c>
      <c r="AB58" s="55">
        <v>1.16361111111111</v>
      </c>
      <c r="AC58" s="55">
        <v>0.0</v>
      </c>
      <c r="AD58" s="55">
        <v>0.0</v>
      </c>
      <c r="AE58" s="55">
        <v>0.0</v>
      </c>
      <c r="AF58" s="55">
        <v>0.0</v>
      </c>
    </row>
    <row r="59">
      <c r="A59" s="56">
        <v>46132.0</v>
      </c>
      <c r="B59" s="55" t="s">
        <v>95</v>
      </c>
      <c r="C59" s="55" t="s">
        <v>164</v>
      </c>
      <c r="D59" s="55">
        <v>6.0</v>
      </c>
      <c r="E59" s="55">
        <v>12.0</v>
      </c>
      <c r="F59" s="55">
        <v>9.0</v>
      </c>
      <c r="G59" s="55">
        <v>8.0</v>
      </c>
      <c r="H59" s="55">
        <v>12.0</v>
      </c>
      <c r="I59" s="55">
        <v>4.0</v>
      </c>
      <c r="J59" s="55">
        <v>12.0</v>
      </c>
      <c r="K59" s="55">
        <v>1.0</v>
      </c>
      <c r="L59" s="55">
        <v>1.0</v>
      </c>
      <c r="M59" s="55">
        <v>12.0</v>
      </c>
      <c r="N59" s="55">
        <v>11.0</v>
      </c>
      <c r="O59" s="55">
        <v>5.0</v>
      </c>
      <c r="P59" s="55">
        <v>11.0</v>
      </c>
      <c r="Q59" s="55">
        <v>0.0</v>
      </c>
      <c r="R59" s="55">
        <v>13041.0</v>
      </c>
      <c r="S59" s="55">
        <v>26566.0</v>
      </c>
      <c r="T59" s="55">
        <v>1.71749999999999</v>
      </c>
      <c r="U59" s="55">
        <v>1.93416666666666</v>
      </c>
      <c r="V59" s="55">
        <v>1.71138888888888</v>
      </c>
      <c r="W59" s="55">
        <v>2.56388888888888</v>
      </c>
      <c r="X59" s="55">
        <v>0.852499999999999</v>
      </c>
      <c r="Y59" s="55">
        <v>2.56277777777777</v>
      </c>
      <c r="Z59" s="55">
        <v>0.211944444444444</v>
      </c>
      <c r="AA59" s="55">
        <v>0.211944444444444</v>
      </c>
      <c r="AB59" s="55">
        <v>2.56222222222222</v>
      </c>
      <c r="AC59" s="55">
        <v>2.35777777777777</v>
      </c>
      <c r="AD59" s="55">
        <v>1.12833333333333</v>
      </c>
      <c r="AE59" s="55">
        <v>2.35777777777777</v>
      </c>
      <c r="AF59" s="55">
        <v>8.0</v>
      </c>
    </row>
    <row r="60">
      <c r="A60" s="56">
        <v>46132.0</v>
      </c>
      <c r="B60" s="55" t="s">
        <v>69</v>
      </c>
      <c r="C60" s="55" t="s">
        <v>149</v>
      </c>
      <c r="D60" s="55">
        <v>3.0</v>
      </c>
      <c r="E60" s="55">
        <v>4.0</v>
      </c>
      <c r="F60" s="55">
        <v>3.0</v>
      </c>
      <c r="G60" s="55">
        <v>3.0</v>
      </c>
      <c r="H60" s="55">
        <v>5.0</v>
      </c>
      <c r="I60" s="55">
        <v>2.0</v>
      </c>
      <c r="J60" s="55">
        <v>5.0</v>
      </c>
      <c r="K60" s="55">
        <v>5.0</v>
      </c>
      <c r="L60" s="55">
        <v>0.0</v>
      </c>
      <c r="M60" s="55">
        <v>4.0</v>
      </c>
      <c r="N60" s="55">
        <v>0.0</v>
      </c>
      <c r="O60" s="55">
        <v>5.0</v>
      </c>
      <c r="P60" s="55">
        <v>0.0</v>
      </c>
      <c r="Q60" s="55">
        <v>0.0</v>
      </c>
      <c r="R60" s="55">
        <v>7000.0</v>
      </c>
      <c r="S60" s="55">
        <v>9086.0</v>
      </c>
      <c r="T60" s="55">
        <v>1.14194444444444</v>
      </c>
      <c r="U60" s="55">
        <v>0.688888888888888</v>
      </c>
      <c r="V60" s="55">
        <v>0.690555555555555</v>
      </c>
      <c r="W60" s="55">
        <v>1.14361111111111</v>
      </c>
      <c r="X60" s="55">
        <v>0.453055555555555</v>
      </c>
      <c r="Y60" s="55">
        <v>1.145</v>
      </c>
      <c r="Z60" s="55">
        <v>1.145</v>
      </c>
      <c r="AA60" s="55">
        <v>0.0</v>
      </c>
      <c r="AB60" s="55">
        <v>0.890277777777777</v>
      </c>
      <c r="AC60" s="55">
        <v>0.0</v>
      </c>
      <c r="AD60" s="55">
        <v>1.3375</v>
      </c>
      <c r="AE60" s="55">
        <v>0.0</v>
      </c>
      <c r="AF60" s="55">
        <v>5.0</v>
      </c>
    </row>
    <row r="61">
      <c r="A61" s="56">
        <v>46132.0</v>
      </c>
      <c r="B61" s="55" t="s">
        <v>44</v>
      </c>
      <c r="C61" s="55" t="s">
        <v>166</v>
      </c>
      <c r="D61" s="55">
        <v>7.0</v>
      </c>
      <c r="E61" s="55">
        <v>7.0</v>
      </c>
      <c r="F61" s="55">
        <v>0.0</v>
      </c>
      <c r="G61" s="55">
        <v>0.0</v>
      </c>
      <c r="H61" s="55">
        <v>1.0</v>
      </c>
      <c r="I61" s="55">
        <v>0.0</v>
      </c>
      <c r="J61" s="55">
        <v>1.0</v>
      </c>
      <c r="K61" s="55">
        <v>2.0</v>
      </c>
      <c r="L61" s="55">
        <v>0.0</v>
      </c>
      <c r="M61" s="55">
        <v>0.0</v>
      </c>
      <c r="N61" s="55">
        <v>7.0</v>
      </c>
      <c r="O61" s="55">
        <v>0.0</v>
      </c>
      <c r="P61" s="55">
        <v>7.0</v>
      </c>
      <c r="Q61" s="55">
        <v>0.0</v>
      </c>
      <c r="R61" s="55">
        <v>13628.0</v>
      </c>
      <c r="S61" s="55">
        <v>13628.0</v>
      </c>
      <c r="T61" s="55">
        <v>0.0</v>
      </c>
      <c r="U61" s="55">
        <v>0.0</v>
      </c>
      <c r="V61" s="55">
        <v>0.0</v>
      </c>
      <c r="W61" s="55">
        <v>0.197777777777777</v>
      </c>
      <c r="X61" s="55">
        <v>0.0</v>
      </c>
      <c r="Y61" s="55">
        <v>0.197777777777777</v>
      </c>
      <c r="Z61" s="55">
        <v>0.393888888888888</v>
      </c>
      <c r="AA61" s="55">
        <v>0.0</v>
      </c>
      <c r="AB61" s="55">
        <v>0.0</v>
      </c>
      <c r="AC61" s="55">
        <v>1.34611111111111</v>
      </c>
      <c r="AD61" s="55">
        <v>0.0</v>
      </c>
      <c r="AE61" s="55">
        <v>1.34611111111111</v>
      </c>
      <c r="AF61" s="55">
        <v>0.0</v>
      </c>
    </row>
    <row r="62">
      <c r="A62" s="56">
        <v>46132.0</v>
      </c>
      <c r="B62" s="55" t="s">
        <v>74</v>
      </c>
      <c r="C62" s="55" t="s">
        <v>150</v>
      </c>
      <c r="D62" s="55">
        <v>27.0</v>
      </c>
      <c r="E62" s="55">
        <v>23.0</v>
      </c>
      <c r="F62" s="55">
        <v>22.0</v>
      </c>
      <c r="G62" s="55">
        <v>22.0</v>
      </c>
      <c r="H62" s="55">
        <v>22.0</v>
      </c>
      <c r="I62" s="55">
        <v>0.0</v>
      </c>
      <c r="J62" s="55">
        <v>23.0</v>
      </c>
      <c r="K62" s="55">
        <v>4.0</v>
      </c>
      <c r="L62" s="55">
        <v>4.0</v>
      </c>
      <c r="M62" s="55">
        <v>17.0</v>
      </c>
      <c r="N62" s="55">
        <v>25.0</v>
      </c>
      <c r="O62" s="55">
        <v>7.0</v>
      </c>
      <c r="P62" s="55">
        <v>25.0</v>
      </c>
      <c r="Q62" s="55">
        <v>0.0</v>
      </c>
      <c r="R62" s="55">
        <v>76018.0</v>
      </c>
      <c r="S62" s="55">
        <v>70885.0</v>
      </c>
      <c r="T62" s="55">
        <v>5.83027777777777</v>
      </c>
      <c r="U62" s="55">
        <v>6.425</v>
      </c>
      <c r="V62" s="55">
        <v>6.41083333333333</v>
      </c>
      <c r="W62" s="55">
        <v>6.41083333333333</v>
      </c>
      <c r="X62" s="55">
        <v>0.0</v>
      </c>
      <c r="Y62" s="55">
        <v>6.74277777777777</v>
      </c>
      <c r="Z62" s="55">
        <v>1.26805555555555</v>
      </c>
      <c r="AA62" s="55">
        <v>1.26805555555555</v>
      </c>
      <c r="AB62" s="55">
        <v>5.09111111111111</v>
      </c>
      <c r="AC62" s="55">
        <v>7.34888888888888</v>
      </c>
      <c r="AD62" s="55">
        <v>1.63166666666666</v>
      </c>
      <c r="AE62" s="55">
        <v>7.34888888888888</v>
      </c>
      <c r="AF62" s="55">
        <v>20.0</v>
      </c>
    </row>
    <row r="63">
      <c r="A63" s="56">
        <v>46132.0</v>
      </c>
      <c r="B63" s="55" t="s">
        <v>97</v>
      </c>
      <c r="C63" s="55" t="s">
        <v>152</v>
      </c>
      <c r="D63" s="55">
        <v>36.0</v>
      </c>
      <c r="E63" s="55">
        <v>20.0</v>
      </c>
      <c r="F63" s="55">
        <v>5.0</v>
      </c>
      <c r="G63" s="55">
        <v>7.0</v>
      </c>
      <c r="H63" s="55">
        <v>11.0</v>
      </c>
      <c r="I63" s="55">
        <v>4.0</v>
      </c>
      <c r="J63" s="55">
        <v>11.0</v>
      </c>
      <c r="K63" s="55">
        <v>9.0</v>
      </c>
      <c r="L63" s="55">
        <v>3.0</v>
      </c>
      <c r="M63" s="55">
        <v>10.0</v>
      </c>
      <c r="N63" s="55">
        <v>5.0</v>
      </c>
      <c r="O63" s="55">
        <v>4.0</v>
      </c>
      <c r="P63" s="55">
        <v>5.0</v>
      </c>
      <c r="Q63" s="55">
        <v>0.0</v>
      </c>
      <c r="R63" s="55">
        <v>87457.0</v>
      </c>
      <c r="S63" s="55">
        <v>47855.0</v>
      </c>
      <c r="T63" s="55">
        <v>4.06888888888888</v>
      </c>
      <c r="U63" s="55">
        <v>1.1375</v>
      </c>
      <c r="V63" s="55">
        <v>1.61361111111111</v>
      </c>
      <c r="W63" s="55">
        <v>2.51027777777777</v>
      </c>
      <c r="X63" s="55">
        <v>0.896666666666666</v>
      </c>
      <c r="Y63" s="55">
        <v>2.55027777777777</v>
      </c>
      <c r="Z63" s="55">
        <v>2.05777777777777</v>
      </c>
      <c r="AA63" s="55">
        <v>0.6525</v>
      </c>
      <c r="AB63" s="55">
        <v>2.27277777777777</v>
      </c>
      <c r="AC63" s="55">
        <v>1.08805555555555</v>
      </c>
      <c r="AD63" s="55">
        <v>0.878888888888888</v>
      </c>
      <c r="AE63" s="55">
        <v>1.08805555555555</v>
      </c>
      <c r="AF63" s="55">
        <v>18.0</v>
      </c>
    </row>
    <row r="64">
      <c r="A64" s="56">
        <v>46132.0</v>
      </c>
      <c r="B64" s="55" t="s">
        <v>30</v>
      </c>
      <c r="C64" s="55" t="s">
        <v>153</v>
      </c>
      <c r="D64" s="55">
        <v>13.0</v>
      </c>
      <c r="E64" s="55">
        <v>18.0</v>
      </c>
      <c r="F64" s="55">
        <v>16.0</v>
      </c>
      <c r="G64" s="55">
        <v>0.0</v>
      </c>
      <c r="H64" s="55">
        <v>23.0</v>
      </c>
      <c r="I64" s="55">
        <v>9.0</v>
      </c>
      <c r="J64" s="55">
        <v>25.0</v>
      </c>
      <c r="K64" s="55">
        <v>2.0</v>
      </c>
      <c r="L64" s="55">
        <v>0.0</v>
      </c>
      <c r="M64" s="55">
        <v>22.0</v>
      </c>
      <c r="N64" s="55">
        <v>22.0</v>
      </c>
      <c r="O64" s="55">
        <v>5.0</v>
      </c>
      <c r="P64" s="55">
        <v>22.0</v>
      </c>
      <c r="Q64" s="55">
        <v>0.0</v>
      </c>
      <c r="R64" s="55">
        <v>31061.0</v>
      </c>
      <c r="S64" s="55">
        <v>42836.0</v>
      </c>
      <c r="T64" s="55">
        <v>5.58083333333333</v>
      </c>
      <c r="U64" s="55">
        <v>3.60611111111111</v>
      </c>
      <c r="V64" s="55">
        <v>0.0</v>
      </c>
      <c r="W64" s="55">
        <v>5.1125</v>
      </c>
      <c r="X64" s="55">
        <v>1.97472222222222</v>
      </c>
      <c r="Y64" s="55">
        <v>5.53027777777777</v>
      </c>
      <c r="Z64" s="55">
        <v>0.464444444444444</v>
      </c>
      <c r="AA64" s="55">
        <v>0.0</v>
      </c>
      <c r="AB64" s="55">
        <v>4.87055555555555</v>
      </c>
      <c r="AC64" s="55">
        <v>4.87055555555555</v>
      </c>
      <c r="AD64" s="55">
        <v>1.02861111111111</v>
      </c>
      <c r="AE64" s="55">
        <v>4.87055555555555</v>
      </c>
      <c r="AF64" s="55">
        <v>25.0</v>
      </c>
    </row>
    <row r="65">
      <c r="A65" s="56">
        <v>46132.0</v>
      </c>
      <c r="B65" s="55" t="s">
        <v>107</v>
      </c>
      <c r="C65" s="55" t="s">
        <v>154</v>
      </c>
      <c r="D65" s="55">
        <v>11.0</v>
      </c>
      <c r="E65" s="55">
        <v>0.0</v>
      </c>
      <c r="F65" s="55">
        <v>0.0</v>
      </c>
      <c r="G65" s="55">
        <v>0.0</v>
      </c>
      <c r="H65" s="55">
        <v>0.0</v>
      </c>
      <c r="I65" s="55">
        <v>0.0</v>
      </c>
      <c r="J65" s="55">
        <v>0.0</v>
      </c>
      <c r="K65" s="55">
        <v>0.0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23053.0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55">
        <v>0.0</v>
      </c>
      <c r="Z65" s="55">
        <v>0.0</v>
      </c>
      <c r="AA65" s="55">
        <v>0.0</v>
      </c>
      <c r="AB65" s="55">
        <v>0.0</v>
      </c>
      <c r="AC65" s="55">
        <v>0.0</v>
      </c>
      <c r="AD65" s="55">
        <v>0.0</v>
      </c>
      <c r="AE65" s="55">
        <v>0.0</v>
      </c>
      <c r="AF65" s="55">
        <v>0.0</v>
      </c>
    </row>
    <row r="66">
      <c r="A66" s="56">
        <v>46132.0</v>
      </c>
      <c r="B66" s="55" t="s">
        <v>90</v>
      </c>
      <c r="C66" s="55" t="s">
        <v>163</v>
      </c>
      <c r="D66" s="55">
        <v>5.0</v>
      </c>
      <c r="E66" s="55">
        <v>3.0</v>
      </c>
      <c r="F66" s="55">
        <v>0.0</v>
      </c>
      <c r="G66" s="55">
        <v>0.0</v>
      </c>
      <c r="H66" s="55">
        <v>0.0</v>
      </c>
      <c r="I66" s="55">
        <v>0.0</v>
      </c>
      <c r="J66" s="55">
        <v>0.0</v>
      </c>
      <c r="K66" s="55">
        <v>1.0</v>
      </c>
      <c r="L66" s="55">
        <v>0.0</v>
      </c>
      <c r="M66" s="55">
        <v>1.0</v>
      </c>
      <c r="N66" s="55">
        <v>1.0</v>
      </c>
      <c r="O66" s="55">
        <v>6.0</v>
      </c>
      <c r="P66" s="55">
        <v>1.0</v>
      </c>
      <c r="Q66" s="55">
        <v>0.0</v>
      </c>
      <c r="R66" s="55">
        <v>11364.0</v>
      </c>
      <c r="S66" s="55">
        <v>6987.0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55">
        <v>0.0</v>
      </c>
      <c r="Z66" s="55">
        <v>0.223333333333333</v>
      </c>
      <c r="AA66" s="55">
        <v>0.0</v>
      </c>
      <c r="AB66" s="55">
        <v>0.223333333333333</v>
      </c>
      <c r="AC66" s="55">
        <v>0.223333333333333</v>
      </c>
      <c r="AD66" s="55">
        <v>1.45555555555555</v>
      </c>
      <c r="AE66" s="55">
        <v>0.223333333333333</v>
      </c>
      <c r="AF66" s="55">
        <v>0.0</v>
      </c>
    </row>
    <row r="67">
      <c r="A67" s="56">
        <v>46132.0</v>
      </c>
      <c r="B67" s="55" t="s">
        <v>39</v>
      </c>
      <c r="C67" s="55" t="s">
        <v>156</v>
      </c>
      <c r="D67" s="55">
        <v>45.0</v>
      </c>
      <c r="E67" s="55">
        <v>32.0</v>
      </c>
      <c r="F67" s="55">
        <v>1.0</v>
      </c>
      <c r="G67" s="55">
        <v>0.0</v>
      </c>
      <c r="H67" s="55">
        <v>6.0</v>
      </c>
      <c r="I67" s="55">
        <v>6.0</v>
      </c>
      <c r="J67" s="55">
        <v>6.0</v>
      </c>
      <c r="K67" s="55">
        <v>8.0</v>
      </c>
      <c r="L67" s="55">
        <v>1.0</v>
      </c>
      <c r="M67" s="55">
        <v>11.0</v>
      </c>
      <c r="N67" s="55">
        <v>25.0</v>
      </c>
      <c r="O67" s="55">
        <v>2.0</v>
      </c>
      <c r="P67" s="55">
        <v>25.0</v>
      </c>
      <c r="Q67" s="55">
        <v>0.0</v>
      </c>
      <c r="R67" s="55">
        <v>100523.0</v>
      </c>
      <c r="S67" s="55">
        <v>76006.0</v>
      </c>
      <c r="T67" s="55">
        <v>3.14722222222222</v>
      </c>
      <c r="U67" s="55">
        <v>0.218888888888888</v>
      </c>
      <c r="V67" s="55">
        <v>0.0</v>
      </c>
      <c r="W67" s="55">
        <v>1.35111111111111</v>
      </c>
      <c r="X67" s="55">
        <v>1.35111111111111</v>
      </c>
      <c r="Y67" s="55">
        <v>1.35527777777777</v>
      </c>
      <c r="Z67" s="55">
        <v>1.79805555555555</v>
      </c>
      <c r="AA67" s="55">
        <v>0.226388888888888</v>
      </c>
      <c r="AB67" s="55">
        <v>2.45166666666666</v>
      </c>
      <c r="AC67" s="55">
        <v>5.75916666666666</v>
      </c>
      <c r="AD67" s="55">
        <v>0.477222222222222</v>
      </c>
      <c r="AE67" s="55">
        <v>5.75916666666666</v>
      </c>
      <c r="AF67" s="55">
        <v>14.0</v>
      </c>
    </row>
    <row r="68">
      <c r="A68" s="56">
        <v>46132.0</v>
      </c>
      <c r="B68" s="55" t="s">
        <v>63</v>
      </c>
      <c r="C68" s="55" t="s">
        <v>157</v>
      </c>
      <c r="D68" s="55">
        <v>8.0</v>
      </c>
      <c r="E68" s="55">
        <v>3.0</v>
      </c>
      <c r="F68" s="55">
        <v>0.0</v>
      </c>
      <c r="G68" s="55">
        <v>0.0</v>
      </c>
      <c r="H68" s="55">
        <v>5.0</v>
      </c>
      <c r="I68" s="55">
        <v>5.0</v>
      </c>
      <c r="J68" s="55">
        <v>9.0</v>
      </c>
      <c r="K68" s="55">
        <v>9.0</v>
      </c>
      <c r="L68" s="55">
        <v>4.0</v>
      </c>
      <c r="M68" s="55">
        <v>5.0</v>
      </c>
      <c r="N68" s="55">
        <v>0.0</v>
      </c>
      <c r="O68" s="55">
        <v>7.0</v>
      </c>
      <c r="P68" s="55">
        <v>0.0</v>
      </c>
      <c r="Q68" s="55">
        <v>0.0</v>
      </c>
      <c r="R68" s="55">
        <v>17862.0</v>
      </c>
      <c r="S68" s="55">
        <v>6052.0</v>
      </c>
      <c r="T68" s="55">
        <v>1.72944444444444</v>
      </c>
      <c r="U68" s="55">
        <v>0.0</v>
      </c>
      <c r="V68" s="55">
        <v>0.0</v>
      </c>
      <c r="W68" s="55">
        <v>1.30972222222222</v>
      </c>
      <c r="X68" s="55">
        <v>1.30972222222222</v>
      </c>
      <c r="Y68" s="55">
        <v>2.24249999999999</v>
      </c>
      <c r="Z68" s="55">
        <v>2.24249999999999</v>
      </c>
      <c r="AA68" s="55">
        <v>0.867222222222222</v>
      </c>
      <c r="AB68" s="55">
        <v>1.10138888888888</v>
      </c>
      <c r="AC68" s="55">
        <v>0.0</v>
      </c>
      <c r="AD68" s="55">
        <v>1.71722222222222</v>
      </c>
      <c r="AE68" s="55">
        <v>0.0</v>
      </c>
      <c r="AF68" s="55">
        <v>7.0</v>
      </c>
    </row>
    <row r="69">
      <c r="A69" s="56">
        <v>46132.0</v>
      </c>
      <c r="B69" s="55" t="s">
        <v>35</v>
      </c>
      <c r="C69" s="55" t="s">
        <v>158</v>
      </c>
      <c r="D69" s="55">
        <v>15.0</v>
      </c>
      <c r="E69" s="55">
        <v>16.0</v>
      </c>
      <c r="F69" s="55">
        <v>8.0</v>
      </c>
      <c r="G69" s="55">
        <v>12.0</v>
      </c>
      <c r="H69" s="55">
        <v>13.0</v>
      </c>
      <c r="I69" s="55">
        <v>1.0</v>
      </c>
      <c r="J69" s="55">
        <v>15.0</v>
      </c>
      <c r="K69" s="55">
        <v>11.0</v>
      </c>
      <c r="L69" s="55">
        <v>3.0</v>
      </c>
      <c r="M69" s="55">
        <v>15.0</v>
      </c>
      <c r="N69" s="55">
        <v>15.0</v>
      </c>
      <c r="O69" s="55">
        <v>6.0</v>
      </c>
      <c r="P69" s="55">
        <v>15.0</v>
      </c>
      <c r="Q69" s="55">
        <v>0.0</v>
      </c>
      <c r="R69" s="55">
        <v>32348.0</v>
      </c>
      <c r="S69" s="55">
        <v>35021.0</v>
      </c>
      <c r="T69" s="55">
        <v>3.23194444444444</v>
      </c>
      <c r="U69" s="55">
        <v>1.99</v>
      </c>
      <c r="V69" s="55">
        <v>3.00555555555555</v>
      </c>
      <c r="W69" s="55">
        <v>3.23333333333333</v>
      </c>
      <c r="X69" s="55">
        <v>0.227777777777777</v>
      </c>
      <c r="Y69" s="55">
        <v>3.74611111111111</v>
      </c>
      <c r="Z69" s="55">
        <v>2.78861111111111</v>
      </c>
      <c r="AA69" s="55">
        <v>0.768611111111111</v>
      </c>
      <c r="AB69" s="55">
        <v>3.78222222222222</v>
      </c>
      <c r="AC69" s="55">
        <v>3.78222222222222</v>
      </c>
      <c r="AD69" s="55">
        <v>1.85944444444444</v>
      </c>
      <c r="AE69" s="55">
        <v>3.78222222222222</v>
      </c>
      <c r="AF69" s="55">
        <v>13.0</v>
      </c>
    </row>
    <row r="70">
      <c r="A70" s="56">
        <v>46132.0</v>
      </c>
      <c r="B70" s="55" t="s">
        <v>105</v>
      </c>
      <c r="C70" s="55" t="s">
        <v>159</v>
      </c>
      <c r="D70" s="55">
        <v>3.0</v>
      </c>
      <c r="E70" s="55">
        <v>3.0</v>
      </c>
      <c r="F70" s="55">
        <v>0.0</v>
      </c>
      <c r="G70" s="55">
        <v>0.0</v>
      </c>
      <c r="H70" s="55">
        <v>0.0</v>
      </c>
      <c r="I70" s="55">
        <v>0.0</v>
      </c>
      <c r="J70" s="55">
        <v>0.0</v>
      </c>
      <c r="K70" s="55">
        <v>0.0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6889.0</v>
      </c>
      <c r="S70" s="55">
        <v>6889.0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55">
        <v>0.0</v>
      </c>
      <c r="Z70" s="55">
        <v>0.0</v>
      </c>
      <c r="AA70" s="55">
        <v>0.0</v>
      </c>
      <c r="AB70" s="55">
        <v>0.0</v>
      </c>
      <c r="AC70" s="55">
        <v>0.0</v>
      </c>
      <c r="AD70" s="55">
        <v>0.0</v>
      </c>
      <c r="AE70" s="55">
        <v>0.0</v>
      </c>
      <c r="AF70" s="55">
        <v>0.0</v>
      </c>
    </row>
    <row r="71">
      <c r="A71" s="56">
        <v>46132.0</v>
      </c>
      <c r="B71" s="55" t="s">
        <v>54</v>
      </c>
      <c r="C71" s="55" t="s">
        <v>160</v>
      </c>
      <c r="D71" s="55">
        <v>6.0</v>
      </c>
      <c r="E71" s="55">
        <v>15.0</v>
      </c>
      <c r="F71" s="55">
        <v>11.0</v>
      </c>
      <c r="G71" s="55">
        <v>6.0</v>
      </c>
      <c r="H71" s="55">
        <v>11.0</v>
      </c>
      <c r="I71" s="55">
        <v>4.0</v>
      </c>
      <c r="J71" s="55">
        <v>12.0</v>
      </c>
      <c r="K71" s="55">
        <v>16.0</v>
      </c>
      <c r="L71" s="55">
        <v>1.0</v>
      </c>
      <c r="M71" s="55">
        <v>14.0</v>
      </c>
      <c r="N71" s="55">
        <v>9.0</v>
      </c>
      <c r="O71" s="55">
        <v>1.0</v>
      </c>
      <c r="P71" s="55">
        <v>9.0</v>
      </c>
      <c r="Q71" s="55">
        <v>0.0</v>
      </c>
      <c r="R71" s="55">
        <v>14799.0</v>
      </c>
      <c r="S71" s="55">
        <v>34820.0</v>
      </c>
      <c r="T71" s="55">
        <v>2.93083333333333</v>
      </c>
      <c r="U71" s="55">
        <v>2.50472222222222</v>
      </c>
      <c r="V71" s="55">
        <v>1.36666666666666</v>
      </c>
      <c r="W71" s="55">
        <v>2.49111111111111</v>
      </c>
      <c r="X71" s="55">
        <v>0.879444444444444</v>
      </c>
      <c r="Y71" s="55">
        <v>2.78527777777777</v>
      </c>
      <c r="Z71" s="55">
        <v>3.70333333333333</v>
      </c>
      <c r="AA71" s="55">
        <v>0.217777777777777</v>
      </c>
      <c r="AB71" s="55">
        <v>3.25194444444444</v>
      </c>
      <c r="AC71" s="55">
        <v>2.14305555555555</v>
      </c>
      <c r="AD71" s="55">
        <v>0.223333333333333</v>
      </c>
      <c r="AE71" s="55">
        <v>2.14305555555555</v>
      </c>
      <c r="AF71" s="55">
        <v>13.0</v>
      </c>
    </row>
    <row r="72">
      <c r="A72" s="56">
        <v>46132.0</v>
      </c>
      <c r="B72" s="55" t="s">
        <v>88</v>
      </c>
      <c r="C72" s="55" t="s">
        <v>165</v>
      </c>
      <c r="D72" s="55">
        <v>0.0</v>
      </c>
      <c r="E72" s="55">
        <v>5.0</v>
      </c>
      <c r="F72" s="55">
        <v>0.0</v>
      </c>
      <c r="G72" s="55">
        <v>0.0</v>
      </c>
      <c r="H72" s="55">
        <v>5.0</v>
      </c>
      <c r="I72" s="55">
        <v>5.0</v>
      </c>
      <c r="J72" s="55">
        <v>10.0</v>
      </c>
      <c r="K72" s="55">
        <v>10.0</v>
      </c>
      <c r="L72" s="55">
        <v>10.0</v>
      </c>
      <c r="M72" s="55">
        <v>13.0</v>
      </c>
      <c r="N72" s="55">
        <v>12.0</v>
      </c>
      <c r="O72" s="55">
        <v>5.0</v>
      </c>
      <c r="P72" s="55">
        <v>12.0</v>
      </c>
      <c r="Q72" s="55">
        <v>0.0</v>
      </c>
      <c r="R72" s="55">
        <v>0.0</v>
      </c>
      <c r="S72" s="55">
        <v>12433.0</v>
      </c>
      <c r="T72" s="55">
        <v>1.1075</v>
      </c>
      <c r="U72" s="55">
        <v>0.0</v>
      </c>
      <c r="V72" s="55">
        <v>0.0</v>
      </c>
      <c r="W72" s="55">
        <v>1.10416666666666</v>
      </c>
      <c r="X72" s="55">
        <v>1.10416666666666</v>
      </c>
      <c r="Y72" s="55">
        <v>2.11194444444444</v>
      </c>
      <c r="Z72" s="55">
        <v>2.07027777777777</v>
      </c>
      <c r="AA72" s="55">
        <v>2.07</v>
      </c>
      <c r="AB72" s="55">
        <v>2.66694444444444</v>
      </c>
      <c r="AC72" s="55">
        <v>2.45444444444444</v>
      </c>
      <c r="AD72" s="55">
        <v>0.766944444444444</v>
      </c>
      <c r="AE72" s="55">
        <v>2.45444444444444</v>
      </c>
      <c r="AF72" s="55">
        <v>5.0</v>
      </c>
    </row>
    <row r="73">
      <c r="A73" s="56">
        <v>46132.0</v>
      </c>
      <c r="B73" s="55" t="s">
        <v>24</v>
      </c>
      <c r="C73" s="55" t="s">
        <v>161</v>
      </c>
      <c r="D73" s="55">
        <v>30.0</v>
      </c>
      <c r="E73" s="55">
        <v>30.0</v>
      </c>
      <c r="F73" s="55">
        <v>11.0</v>
      </c>
      <c r="G73" s="55">
        <v>12.0</v>
      </c>
      <c r="H73" s="55">
        <v>35.0</v>
      </c>
      <c r="I73" s="55">
        <v>25.0</v>
      </c>
      <c r="J73" s="55">
        <v>37.0</v>
      </c>
      <c r="K73" s="55">
        <v>16.0</v>
      </c>
      <c r="L73" s="55">
        <v>2.0</v>
      </c>
      <c r="M73" s="55">
        <v>35.0</v>
      </c>
      <c r="N73" s="55">
        <v>35.0</v>
      </c>
      <c r="O73" s="55">
        <v>6.0</v>
      </c>
      <c r="P73" s="55">
        <v>35.0</v>
      </c>
      <c r="Q73" s="55">
        <v>0.0</v>
      </c>
      <c r="R73" s="55">
        <v>69991.0</v>
      </c>
      <c r="S73" s="55">
        <v>65522.0</v>
      </c>
      <c r="T73" s="55">
        <v>6.53972222222222</v>
      </c>
      <c r="U73" s="55">
        <v>2.03083333333333</v>
      </c>
      <c r="V73" s="55">
        <v>2.24583333333333</v>
      </c>
      <c r="W73" s="55">
        <v>6.55027777777777</v>
      </c>
      <c r="X73" s="55">
        <v>4.69055555555555</v>
      </c>
      <c r="Y73" s="55">
        <v>6.93555555555555</v>
      </c>
      <c r="Z73" s="55">
        <v>2.79388888888888</v>
      </c>
      <c r="AA73" s="55">
        <v>0.363611111111111</v>
      </c>
      <c r="AB73" s="55">
        <v>6.58888888888888</v>
      </c>
      <c r="AC73" s="55">
        <v>6.58888888888888</v>
      </c>
      <c r="AD73" s="55">
        <v>1.09555555555555</v>
      </c>
      <c r="AE73" s="55">
        <v>6.58888888888888</v>
      </c>
      <c r="AF73" s="55">
        <v>35.0</v>
      </c>
    </row>
    <row r="74">
      <c r="A74" s="56">
        <v>46132.0</v>
      </c>
      <c r="B74" s="55" t="s">
        <v>60</v>
      </c>
      <c r="C74" s="55" t="s">
        <v>61</v>
      </c>
      <c r="D74" s="55">
        <v>15.0</v>
      </c>
      <c r="E74" s="55">
        <v>16.0</v>
      </c>
      <c r="F74" s="55">
        <v>0.0</v>
      </c>
      <c r="G74" s="55">
        <v>0.0</v>
      </c>
      <c r="H74" s="55">
        <v>5.0</v>
      </c>
      <c r="I74" s="55">
        <v>5.0</v>
      </c>
      <c r="J74" s="55">
        <v>5.0</v>
      </c>
      <c r="K74" s="55">
        <v>4.0</v>
      </c>
      <c r="L74" s="55">
        <v>0.0</v>
      </c>
      <c r="M74" s="55">
        <v>2.0</v>
      </c>
      <c r="N74" s="55">
        <v>2.0</v>
      </c>
      <c r="O74" s="55">
        <v>6.0</v>
      </c>
      <c r="P74" s="55">
        <v>2.0</v>
      </c>
      <c r="Q74" s="55">
        <v>0.0</v>
      </c>
      <c r="R74" s="55">
        <v>33375.0</v>
      </c>
      <c r="S74" s="55">
        <v>37052.0</v>
      </c>
      <c r="T74" s="55">
        <v>1.31083333333333</v>
      </c>
      <c r="U74" s="55">
        <v>0.0</v>
      </c>
      <c r="V74" s="55">
        <v>0.0</v>
      </c>
      <c r="W74" s="55">
        <v>1.085</v>
      </c>
      <c r="X74" s="55">
        <v>1.085</v>
      </c>
      <c r="Y74" s="55">
        <v>1.09666666666666</v>
      </c>
      <c r="Z74" s="55">
        <v>0.870833333333333</v>
      </c>
      <c r="AA74" s="55">
        <v>0.0</v>
      </c>
      <c r="AB74" s="55">
        <v>0.424722222222222</v>
      </c>
      <c r="AC74" s="55">
        <v>0.424722222222222</v>
      </c>
      <c r="AD74" s="55">
        <v>1.26416666666666</v>
      </c>
      <c r="AE74" s="55">
        <v>0.424722222222222</v>
      </c>
      <c r="AF74" s="55">
        <v>6.0</v>
      </c>
    </row>
    <row r="75">
      <c r="A75" s="56">
        <v>46125.0</v>
      </c>
      <c r="B75" s="55" t="s">
        <v>103</v>
      </c>
      <c r="C75" s="55" t="s">
        <v>104</v>
      </c>
      <c r="D75" s="55">
        <v>0.0</v>
      </c>
      <c r="E75" s="55">
        <v>0.0</v>
      </c>
      <c r="F75" s="55">
        <v>0.0</v>
      </c>
      <c r="G75" s="55">
        <v>0.0</v>
      </c>
      <c r="H75" s="55">
        <v>8.0</v>
      </c>
      <c r="I75" s="55">
        <v>8.0</v>
      </c>
      <c r="J75" s="55">
        <v>8.0</v>
      </c>
      <c r="K75" s="55">
        <v>7.0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5">
        <v>0.0</v>
      </c>
      <c r="S75" s="55">
        <v>0.0</v>
      </c>
      <c r="T75" s="55">
        <v>0.0</v>
      </c>
      <c r="U75" s="55">
        <v>0.0</v>
      </c>
      <c r="V75" s="55">
        <v>0.0</v>
      </c>
      <c r="W75" s="55">
        <v>1.15472222222222</v>
      </c>
      <c r="X75" s="55">
        <v>1.15472222222222</v>
      </c>
      <c r="Y75" s="55">
        <v>1.16055555555555</v>
      </c>
      <c r="Z75" s="55">
        <v>1.03166666666666</v>
      </c>
      <c r="AA75" s="55">
        <v>0.0</v>
      </c>
      <c r="AB75" s="55">
        <v>0.0</v>
      </c>
      <c r="AC75" s="55">
        <v>0.0</v>
      </c>
      <c r="AD75" s="55">
        <v>0.0</v>
      </c>
      <c r="AE75" s="55">
        <v>0.0</v>
      </c>
      <c r="AF75" s="55">
        <v>0.0</v>
      </c>
    </row>
    <row r="76">
      <c r="A76" s="56">
        <v>46125.0</v>
      </c>
      <c r="B76" s="55" t="s">
        <v>95</v>
      </c>
      <c r="C76" s="55" t="s">
        <v>164</v>
      </c>
      <c r="D76" s="55">
        <v>12.0</v>
      </c>
      <c r="E76" s="55">
        <v>10.0</v>
      </c>
      <c r="F76" s="55">
        <v>3.0</v>
      </c>
      <c r="G76" s="55">
        <v>2.0</v>
      </c>
      <c r="H76" s="55">
        <v>9.0</v>
      </c>
      <c r="I76" s="55">
        <v>7.0</v>
      </c>
      <c r="J76" s="55">
        <v>9.0</v>
      </c>
      <c r="K76" s="55">
        <v>2.0</v>
      </c>
      <c r="L76" s="55">
        <v>2.0</v>
      </c>
      <c r="M76" s="55">
        <v>8.0</v>
      </c>
      <c r="N76" s="55">
        <v>7.0</v>
      </c>
      <c r="O76" s="55">
        <v>7.0</v>
      </c>
      <c r="P76" s="55">
        <v>7.0</v>
      </c>
      <c r="Q76" s="55">
        <v>0.0</v>
      </c>
      <c r="R76" s="55">
        <v>26877.0</v>
      </c>
      <c r="S76" s="55">
        <v>22131.0</v>
      </c>
      <c r="T76" s="55">
        <v>2.98444444444444</v>
      </c>
      <c r="U76" s="55">
        <v>0.629444444444444</v>
      </c>
      <c r="V76" s="55">
        <v>0.426388888888888</v>
      </c>
      <c r="W76" s="55">
        <v>1.92361111111111</v>
      </c>
      <c r="X76" s="55">
        <v>1.49722222222222</v>
      </c>
      <c r="Y76" s="55">
        <v>1.92555555555555</v>
      </c>
      <c r="Z76" s="55">
        <v>0.437222222222222</v>
      </c>
      <c r="AA76" s="55">
        <v>0.435555555555555</v>
      </c>
      <c r="AB76" s="55">
        <v>1.71194444444444</v>
      </c>
      <c r="AC76" s="55">
        <v>1.49861111111111</v>
      </c>
      <c r="AD76" s="55">
        <v>1.48944444444444</v>
      </c>
      <c r="AE76" s="55">
        <v>1.49861111111111</v>
      </c>
      <c r="AF76" s="55">
        <v>14.0</v>
      </c>
    </row>
    <row r="77">
      <c r="A77" s="56">
        <v>46125.0</v>
      </c>
      <c r="B77" s="55" t="s">
        <v>69</v>
      </c>
      <c r="C77" s="55" t="s">
        <v>149</v>
      </c>
      <c r="D77" s="55">
        <v>4.0</v>
      </c>
      <c r="E77" s="55">
        <v>2.0</v>
      </c>
      <c r="F77" s="55">
        <v>4.0</v>
      </c>
      <c r="G77" s="55">
        <v>7.0</v>
      </c>
      <c r="H77" s="55">
        <v>7.0</v>
      </c>
      <c r="I77" s="55">
        <v>0.0</v>
      </c>
      <c r="J77" s="55">
        <v>7.0</v>
      </c>
      <c r="K77" s="55">
        <v>5.0</v>
      </c>
      <c r="L77" s="55">
        <v>1.0</v>
      </c>
      <c r="M77" s="55">
        <v>7.0</v>
      </c>
      <c r="N77" s="55">
        <v>7.0</v>
      </c>
      <c r="O77" s="55">
        <v>6.0</v>
      </c>
      <c r="P77" s="55">
        <v>7.0</v>
      </c>
      <c r="Q77" s="55">
        <v>0.0</v>
      </c>
      <c r="R77" s="55">
        <v>8681.0</v>
      </c>
      <c r="S77" s="55">
        <v>4428.0</v>
      </c>
      <c r="T77" s="55">
        <v>1.00527777777777</v>
      </c>
      <c r="U77" s="55">
        <v>1.00527777777777</v>
      </c>
      <c r="V77" s="55">
        <v>1.80555555555555</v>
      </c>
      <c r="W77" s="55">
        <v>1.80555555555555</v>
      </c>
      <c r="X77" s="55">
        <v>0.0</v>
      </c>
      <c r="Y77" s="55">
        <v>1.80555555555555</v>
      </c>
      <c r="Z77" s="55">
        <v>1.33611111111111</v>
      </c>
      <c r="AA77" s="55">
        <v>0.252777777777777</v>
      </c>
      <c r="AB77" s="55">
        <v>1.80555555555555</v>
      </c>
      <c r="AC77" s="55">
        <v>1.80555555555555</v>
      </c>
      <c r="AD77" s="55">
        <v>1.53666666666666</v>
      </c>
      <c r="AE77" s="55">
        <v>1.80555555555555</v>
      </c>
      <c r="AF77" s="55">
        <v>4.0</v>
      </c>
    </row>
    <row r="78">
      <c r="A78" s="56">
        <v>46125.0</v>
      </c>
      <c r="B78" s="55" t="s">
        <v>44</v>
      </c>
      <c r="C78" s="55" t="s">
        <v>166</v>
      </c>
      <c r="D78" s="55">
        <v>5.0</v>
      </c>
      <c r="E78" s="55">
        <v>446.0</v>
      </c>
      <c r="F78" s="55">
        <v>0.0</v>
      </c>
      <c r="G78" s="55">
        <v>0.0</v>
      </c>
      <c r="H78" s="55">
        <v>0.0</v>
      </c>
      <c r="I78" s="55">
        <v>0.0</v>
      </c>
      <c r="J78" s="55">
        <v>0.0</v>
      </c>
      <c r="K78" s="55">
        <v>0.0</v>
      </c>
      <c r="L78" s="55">
        <v>0.0</v>
      </c>
      <c r="M78" s="55">
        <v>0.0</v>
      </c>
      <c r="N78" s="55">
        <v>2.0</v>
      </c>
      <c r="O78" s="55">
        <v>0.0</v>
      </c>
      <c r="P78" s="55">
        <v>446.0</v>
      </c>
      <c r="Q78" s="55">
        <v>0.0</v>
      </c>
      <c r="R78" s="55">
        <v>9334.0</v>
      </c>
      <c r="S78" s="55">
        <v>642974.0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55">
        <v>0.0</v>
      </c>
      <c r="Z78" s="55">
        <v>0.0</v>
      </c>
      <c r="AA78" s="55">
        <v>0.0</v>
      </c>
      <c r="AB78" s="55">
        <v>0.0</v>
      </c>
      <c r="AC78" s="55">
        <v>0.384444444444444</v>
      </c>
      <c r="AD78" s="55">
        <v>0.0</v>
      </c>
      <c r="AE78" s="55">
        <v>90.3094444444444</v>
      </c>
      <c r="AF78" s="55">
        <v>0.0</v>
      </c>
    </row>
    <row r="79">
      <c r="A79" s="56">
        <v>46125.0</v>
      </c>
      <c r="B79" s="55" t="s">
        <v>74</v>
      </c>
      <c r="C79" s="55" t="s">
        <v>150</v>
      </c>
      <c r="D79" s="55">
        <v>12.0</v>
      </c>
      <c r="E79" s="55">
        <v>19.0</v>
      </c>
      <c r="F79" s="55">
        <v>18.0</v>
      </c>
      <c r="G79" s="55">
        <v>19.0</v>
      </c>
      <c r="H79" s="55">
        <v>20.0</v>
      </c>
      <c r="I79" s="55">
        <v>2.0</v>
      </c>
      <c r="J79" s="55">
        <v>21.0</v>
      </c>
      <c r="K79" s="55">
        <v>9.0</v>
      </c>
      <c r="L79" s="55">
        <v>4.0</v>
      </c>
      <c r="M79" s="55">
        <v>24.0</v>
      </c>
      <c r="N79" s="55">
        <v>22.0</v>
      </c>
      <c r="O79" s="55">
        <v>7.0</v>
      </c>
      <c r="P79" s="55">
        <v>22.0</v>
      </c>
      <c r="Q79" s="55">
        <v>0.0</v>
      </c>
      <c r="R79" s="55">
        <v>31387.0</v>
      </c>
      <c r="S79" s="55">
        <v>54784.0</v>
      </c>
      <c r="T79" s="55">
        <v>6.52472222222222</v>
      </c>
      <c r="U79" s="55">
        <v>5.69666666666666</v>
      </c>
      <c r="V79" s="55">
        <v>6.23083333333333</v>
      </c>
      <c r="W79" s="55">
        <v>6.46333333333333</v>
      </c>
      <c r="X79" s="55">
        <v>0.541944444444444</v>
      </c>
      <c r="Y79" s="55">
        <v>6.65833333333333</v>
      </c>
      <c r="Z79" s="55">
        <v>2.88416666666666</v>
      </c>
      <c r="AA79" s="55">
        <v>1.28</v>
      </c>
      <c r="AB79" s="55">
        <v>7.55472222222222</v>
      </c>
      <c r="AC79" s="55">
        <v>6.94861111111111</v>
      </c>
      <c r="AD79" s="55">
        <v>1.61666666666666</v>
      </c>
      <c r="AE79" s="55">
        <v>6.94861111111111</v>
      </c>
      <c r="AF79" s="55">
        <v>21.0</v>
      </c>
    </row>
    <row r="80">
      <c r="A80" s="56">
        <v>46125.0</v>
      </c>
      <c r="B80" s="55" t="s">
        <v>101</v>
      </c>
      <c r="C80" s="55" t="s">
        <v>151</v>
      </c>
      <c r="D80" s="55">
        <v>0.0</v>
      </c>
      <c r="E80" s="55">
        <v>0.0</v>
      </c>
      <c r="F80" s="55">
        <v>0.0</v>
      </c>
      <c r="G80" s="55">
        <v>6.0</v>
      </c>
      <c r="H80" s="55">
        <v>0.0</v>
      </c>
      <c r="I80" s="55">
        <v>0.0</v>
      </c>
      <c r="J80" s="55">
        <v>9.0</v>
      </c>
      <c r="K80" s="55">
        <v>2.0</v>
      </c>
      <c r="L80" s="55">
        <v>2.0</v>
      </c>
      <c r="M80" s="55">
        <v>9.0</v>
      </c>
      <c r="N80" s="55">
        <v>10.0</v>
      </c>
      <c r="O80" s="55">
        <v>5.0</v>
      </c>
      <c r="P80" s="55">
        <v>10.0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1.25805555555555</v>
      </c>
      <c r="W80" s="55">
        <v>0.0</v>
      </c>
      <c r="X80" s="55">
        <v>0.0</v>
      </c>
      <c r="Y80" s="55">
        <v>1.89361111111111</v>
      </c>
      <c r="Z80" s="55">
        <v>0.411666666666666</v>
      </c>
      <c r="AA80" s="55">
        <v>0.411666666666666</v>
      </c>
      <c r="AB80" s="55">
        <v>1.89361111111111</v>
      </c>
      <c r="AC80" s="55">
        <v>2.08027777777777</v>
      </c>
      <c r="AD80" s="55">
        <v>1.03861111111111</v>
      </c>
      <c r="AE80" s="55">
        <v>2.08027777777777</v>
      </c>
      <c r="AF80" s="55">
        <v>0.0</v>
      </c>
    </row>
    <row r="81">
      <c r="A81" s="56">
        <v>46125.0</v>
      </c>
      <c r="B81" s="55" t="s">
        <v>97</v>
      </c>
      <c r="C81" s="55" t="s">
        <v>152</v>
      </c>
      <c r="D81" s="55">
        <v>13.0</v>
      </c>
      <c r="E81" s="55">
        <v>4.0</v>
      </c>
      <c r="F81" s="55">
        <v>3.0</v>
      </c>
      <c r="G81" s="55">
        <v>1.0</v>
      </c>
      <c r="H81" s="55">
        <v>3.0</v>
      </c>
      <c r="I81" s="55">
        <v>2.0</v>
      </c>
      <c r="J81" s="55">
        <v>3.0</v>
      </c>
      <c r="K81" s="55">
        <v>1.0</v>
      </c>
      <c r="L81" s="55">
        <v>0.0</v>
      </c>
      <c r="M81" s="55">
        <v>1.0</v>
      </c>
      <c r="N81" s="55">
        <v>0.0</v>
      </c>
      <c r="O81" s="55">
        <v>0.0</v>
      </c>
      <c r="P81" s="55">
        <v>0.0</v>
      </c>
      <c r="Q81" s="55">
        <v>0.0</v>
      </c>
      <c r="R81" s="55">
        <v>30452.0</v>
      </c>
      <c r="S81" s="55">
        <v>8851.0</v>
      </c>
      <c r="T81" s="55">
        <v>1.09138888888888</v>
      </c>
      <c r="U81" s="55">
        <v>0.661111111111111</v>
      </c>
      <c r="V81" s="55">
        <v>0.234444444444444</v>
      </c>
      <c r="W81" s="55">
        <v>0.664722222222222</v>
      </c>
      <c r="X81" s="55">
        <v>0.430277777777777</v>
      </c>
      <c r="Y81" s="55">
        <v>0.663888888888888</v>
      </c>
      <c r="Z81" s="55">
        <v>0.234444444444444</v>
      </c>
      <c r="AA81" s="55">
        <v>0.0</v>
      </c>
      <c r="AB81" s="55">
        <v>0.234444444444444</v>
      </c>
      <c r="AC81" s="55">
        <v>0.0</v>
      </c>
      <c r="AD81" s="55">
        <v>0.0</v>
      </c>
      <c r="AE81" s="55">
        <v>0.0</v>
      </c>
      <c r="AF81" s="55">
        <v>5.0</v>
      </c>
    </row>
    <row r="82">
      <c r="A82" s="56">
        <v>46125.0</v>
      </c>
      <c r="B82" s="55" t="s">
        <v>30</v>
      </c>
      <c r="C82" s="55" t="s">
        <v>153</v>
      </c>
      <c r="D82" s="55">
        <v>12.0</v>
      </c>
      <c r="E82" s="55">
        <v>22.0</v>
      </c>
      <c r="F82" s="55">
        <v>9.0</v>
      </c>
      <c r="G82" s="55">
        <v>1.0</v>
      </c>
      <c r="H82" s="55">
        <v>27.0</v>
      </c>
      <c r="I82" s="55">
        <v>17.0</v>
      </c>
      <c r="J82" s="55">
        <v>25.0</v>
      </c>
      <c r="K82" s="55">
        <v>5.0</v>
      </c>
      <c r="L82" s="55">
        <v>0.0</v>
      </c>
      <c r="M82" s="55">
        <v>25.0</v>
      </c>
      <c r="N82" s="55">
        <v>25.0</v>
      </c>
      <c r="O82" s="55">
        <v>6.0</v>
      </c>
      <c r="P82" s="55">
        <v>25.0</v>
      </c>
      <c r="Q82" s="55">
        <v>0.0</v>
      </c>
      <c r="R82" s="55">
        <v>28907.0</v>
      </c>
      <c r="S82" s="55">
        <v>50078.0</v>
      </c>
      <c r="T82" s="55">
        <v>5.90194444444444</v>
      </c>
      <c r="U82" s="55">
        <v>2.07555555555555</v>
      </c>
      <c r="V82" s="55">
        <v>0.220833333333333</v>
      </c>
      <c r="W82" s="55">
        <v>6.14361111111111</v>
      </c>
      <c r="X82" s="55">
        <v>3.82277777777777</v>
      </c>
      <c r="Y82" s="55">
        <v>5.70861111111111</v>
      </c>
      <c r="Z82" s="55">
        <v>1.19777777777777</v>
      </c>
      <c r="AA82" s="55">
        <v>0.0</v>
      </c>
      <c r="AB82" s="55">
        <v>5.70861111111111</v>
      </c>
      <c r="AC82" s="55">
        <v>5.70861111111111</v>
      </c>
      <c r="AD82" s="55">
        <v>1.18111111111111</v>
      </c>
      <c r="AE82" s="55">
        <v>5.70861111111111</v>
      </c>
      <c r="AF82" s="55">
        <v>26.0</v>
      </c>
    </row>
    <row r="83">
      <c r="A83" s="56">
        <v>46125.0</v>
      </c>
      <c r="B83" s="55" t="s">
        <v>99</v>
      </c>
      <c r="C83" s="55" t="s">
        <v>155</v>
      </c>
      <c r="D83" s="55">
        <v>12.0</v>
      </c>
      <c r="E83" s="55">
        <v>0.0</v>
      </c>
      <c r="F83" s="55">
        <v>0.0</v>
      </c>
      <c r="G83" s="55">
        <v>0.0</v>
      </c>
      <c r="H83" s="55">
        <v>0.0</v>
      </c>
      <c r="I83" s="55">
        <v>0.0</v>
      </c>
      <c r="J83" s="55">
        <v>0.0</v>
      </c>
      <c r="K83" s="55">
        <v>0.0</v>
      </c>
      <c r="L83" s="55">
        <v>0.0</v>
      </c>
      <c r="M83" s="55">
        <v>0.0</v>
      </c>
      <c r="N83" s="55">
        <v>0.0</v>
      </c>
      <c r="O83" s="55">
        <v>0.0</v>
      </c>
      <c r="P83" s="55">
        <v>0.0</v>
      </c>
      <c r="Q83" s="55">
        <v>0.0</v>
      </c>
      <c r="R83" s="55">
        <v>29129.0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55">
        <v>0.0</v>
      </c>
      <c r="Z83" s="55">
        <v>0.0</v>
      </c>
      <c r="AA83" s="55">
        <v>0.0</v>
      </c>
      <c r="AB83" s="55">
        <v>0.0</v>
      </c>
      <c r="AC83" s="55">
        <v>0.0</v>
      </c>
      <c r="AD83" s="55">
        <v>0.0</v>
      </c>
      <c r="AE83" s="55">
        <v>0.0</v>
      </c>
      <c r="AF83" s="55">
        <v>0.0</v>
      </c>
    </row>
    <row r="84">
      <c r="A84" s="56">
        <v>46125.0</v>
      </c>
      <c r="B84" s="55" t="s">
        <v>90</v>
      </c>
      <c r="C84" s="55" t="s">
        <v>163</v>
      </c>
      <c r="D84" s="55">
        <v>0.0</v>
      </c>
      <c r="E84" s="55">
        <v>5.0</v>
      </c>
      <c r="F84" s="55">
        <v>12.0</v>
      </c>
      <c r="G84" s="55">
        <v>15.0</v>
      </c>
      <c r="H84" s="55">
        <v>15.0</v>
      </c>
      <c r="I84" s="55">
        <v>0.0</v>
      </c>
      <c r="J84" s="55">
        <v>15.0</v>
      </c>
      <c r="K84" s="55">
        <v>9.0</v>
      </c>
      <c r="L84" s="55">
        <v>5.0</v>
      </c>
      <c r="M84" s="55">
        <v>14.0</v>
      </c>
      <c r="N84" s="55">
        <v>14.0</v>
      </c>
      <c r="O84" s="55">
        <v>6.0</v>
      </c>
      <c r="P84" s="55">
        <v>14.0</v>
      </c>
      <c r="Q84" s="55">
        <v>0.0</v>
      </c>
      <c r="R84" s="55">
        <v>0.0</v>
      </c>
      <c r="S84" s="55">
        <v>10439.0</v>
      </c>
      <c r="T84" s="55">
        <v>3.06555555555555</v>
      </c>
      <c r="U84" s="55">
        <v>3.06555555555555</v>
      </c>
      <c r="V84" s="55">
        <v>3.59527777777777</v>
      </c>
      <c r="W84" s="55">
        <v>3.59527777777777</v>
      </c>
      <c r="X84" s="55">
        <v>0.0</v>
      </c>
      <c r="Y84" s="55">
        <v>3.59527777777777</v>
      </c>
      <c r="Z84" s="55">
        <v>2.17638888888888</v>
      </c>
      <c r="AA84" s="55">
        <v>1.20055555555555</v>
      </c>
      <c r="AB84" s="55">
        <v>3.37194444444444</v>
      </c>
      <c r="AC84" s="55">
        <v>3.37194444444444</v>
      </c>
      <c r="AD84" s="55">
        <v>1.42277777777777</v>
      </c>
      <c r="AE84" s="55">
        <v>3.37194444444444</v>
      </c>
      <c r="AF84" s="55">
        <v>12.0</v>
      </c>
    </row>
    <row r="85">
      <c r="A85" s="56">
        <v>46125.0</v>
      </c>
      <c r="B85" s="55" t="s">
        <v>39</v>
      </c>
      <c r="C85" s="55" t="s">
        <v>156</v>
      </c>
      <c r="D85" s="55">
        <v>0.0</v>
      </c>
      <c r="E85" s="55">
        <v>967.0</v>
      </c>
      <c r="F85" s="55">
        <v>0.0</v>
      </c>
      <c r="G85" s="55">
        <v>0.0</v>
      </c>
      <c r="H85" s="55">
        <v>0.0</v>
      </c>
      <c r="I85" s="55">
        <v>0.0</v>
      </c>
      <c r="J85" s="55">
        <v>0.0</v>
      </c>
      <c r="K85" s="55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967.0</v>
      </c>
      <c r="Q85" s="55">
        <v>0.0</v>
      </c>
      <c r="R85" s="55">
        <v>0.0</v>
      </c>
      <c r="S85" s="55">
        <v>961183.0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55">
        <v>0.0</v>
      </c>
      <c r="Z85" s="55">
        <v>0.0</v>
      </c>
      <c r="AA85" s="55">
        <v>0.0</v>
      </c>
      <c r="AB85" s="55">
        <v>0.0</v>
      </c>
      <c r="AC85" s="55">
        <v>0.0</v>
      </c>
      <c r="AD85" s="55">
        <v>0.0</v>
      </c>
      <c r="AE85" s="55">
        <v>222.504444444444</v>
      </c>
      <c r="AF85" s="55">
        <v>0.0</v>
      </c>
    </row>
    <row r="86">
      <c r="A86" s="56">
        <v>46125.0</v>
      </c>
      <c r="B86" s="55" t="s">
        <v>63</v>
      </c>
      <c r="C86" s="55" t="s">
        <v>157</v>
      </c>
      <c r="D86" s="55">
        <v>10.0</v>
      </c>
      <c r="E86" s="55">
        <v>12.0</v>
      </c>
      <c r="F86" s="55">
        <v>0.0</v>
      </c>
      <c r="G86" s="55">
        <v>0.0</v>
      </c>
      <c r="H86" s="55">
        <v>13.0</v>
      </c>
      <c r="I86" s="55">
        <v>13.0</v>
      </c>
      <c r="J86" s="55">
        <v>9.0</v>
      </c>
      <c r="K86" s="55">
        <v>9.0</v>
      </c>
      <c r="L86" s="55">
        <v>6.0</v>
      </c>
      <c r="M86" s="55">
        <v>10.0</v>
      </c>
      <c r="N86" s="55">
        <v>10.0</v>
      </c>
      <c r="O86" s="55">
        <v>7.0</v>
      </c>
      <c r="P86" s="55">
        <v>10.0</v>
      </c>
      <c r="Q86" s="55">
        <v>0.0</v>
      </c>
      <c r="R86" s="55">
        <v>21916.0</v>
      </c>
      <c r="S86" s="55">
        <v>26064.0</v>
      </c>
      <c r="T86" s="55">
        <v>2.24611111111111</v>
      </c>
      <c r="U86" s="55">
        <v>0.0</v>
      </c>
      <c r="V86" s="55">
        <v>0.0</v>
      </c>
      <c r="W86" s="55">
        <v>2.97166666666666</v>
      </c>
      <c r="X86" s="55">
        <v>2.97166666666666</v>
      </c>
      <c r="Y86" s="55">
        <v>2.06861111111111</v>
      </c>
      <c r="Z86" s="55">
        <v>2.08166666666666</v>
      </c>
      <c r="AA86" s="55">
        <v>1.40249999999999</v>
      </c>
      <c r="AB86" s="55">
        <v>2.30027777777777</v>
      </c>
      <c r="AC86" s="55">
        <v>2.30027777777777</v>
      </c>
      <c r="AD86" s="55">
        <v>1.73361111111111</v>
      </c>
      <c r="AE86" s="55">
        <v>2.30027777777777</v>
      </c>
      <c r="AF86" s="55">
        <v>10.0</v>
      </c>
    </row>
    <row r="87">
      <c r="A87" s="56">
        <v>46125.0</v>
      </c>
      <c r="B87" s="55" t="s">
        <v>35</v>
      </c>
      <c r="C87" s="55" t="s">
        <v>158</v>
      </c>
      <c r="D87" s="55">
        <v>17.0</v>
      </c>
      <c r="E87" s="55">
        <v>12.0</v>
      </c>
      <c r="F87" s="55">
        <v>15.0</v>
      </c>
      <c r="G87" s="55">
        <v>13.0</v>
      </c>
      <c r="H87" s="55">
        <v>17.0</v>
      </c>
      <c r="I87" s="55">
        <v>5.0</v>
      </c>
      <c r="J87" s="55">
        <v>15.0</v>
      </c>
      <c r="K87" s="55">
        <v>3.0</v>
      </c>
      <c r="L87" s="55">
        <v>3.0</v>
      </c>
      <c r="M87" s="55">
        <v>12.0</v>
      </c>
      <c r="N87" s="55">
        <v>12.0</v>
      </c>
      <c r="O87" s="55">
        <v>6.0</v>
      </c>
      <c r="P87" s="55">
        <v>12.0</v>
      </c>
      <c r="Q87" s="55">
        <v>0.0</v>
      </c>
      <c r="R87" s="55">
        <v>39873.0</v>
      </c>
      <c r="S87" s="55">
        <v>27721.0</v>
      </c>
      <c r="T87" s="55">
        <v>3.225</v>
      </c>
      <c r="U87" s="55">
        <v>3.83055555555555</v>
      </c>
      <c r="V87" s="55">
        <v>3.425</v>
      </c>
      <c r="W87" s="55">
        <v>4.4225</v>
      </c>
      <c r="X87" s="55">
        <v>1.22916666666666</v>
      </c>
      <c r="Y87" s="55">
        <v>3.95333333333333</v>
      </c>
      <c r="Z87" s="55">
        <v>0.745</v>
      </c>
      <c r="AA87" s="55">
        <v>0.745</v>
      </c>
      <c r="AB87" s="55">
        <v>3.19</v>
      </c>
      <c r="AC87" s="55">
        <v>3.19</v>
      </c>
      <c r="AD87" s="55">
        <v>1.76444444444444</v>
      </c>
      <c r="AE87" s="55">
        <v>3.19</v>
      </c>
      <c r="AF87" s="55">
        <v>13.0</v>
      </c>
    </row>
    <row r="88">
      <c r="A88" s="56">
        <v>46125.0</v>
      </c>
      <c r="B88" s="55" t="s">
        <v>54</v>
      </c>
      <c r="C88" s="55" t="s">
        <v>160</v>
      </c>
      <c r="D88" s="55">
        <v>13.0</v>
      </c>
      <c r="E88" s="55">
        <v>12.0</v>
      </c>
      <c r="F88" s="55">
        <v>3.0</v>
      </c>
      <c r="G88" s="55">
        <v>0.0</v>
      </c>
      <c r="H88" s="55">
        <v>7.0</v>
      </c>
      <c r="I88" s="55">
        <v>5.0</v>
      </c>
      <c r="J88" s="55">
        <v>4.0</v>
      </c>
      <c r="K88" s="55">
        <v>0.0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5">
        <v>30347.0</v>
      </c>
      <c r="S88" s="55">
        <v>24826.0</v>
      </c>
      <c r="T88" s="55">
        <v>2.59444444444444</v>
      </c>
      <c r="U88" s="55">
        <v>0.723333333333333</v>
      </c>
      <c r="V88" s="55">
        <v>0.0</v>
      </c>
      <c r="W88" s="55">
        <v>1.65611111111111</v>
      </c>
      <c r="X88" s="55">
        <v>1.18249999999999</v>
      </c>
      <c r="Y88" s="55">
        <v>0.938611111111111</v>
      </c>
      <c r="Z88" s="55">
        <v>0.0</v>
      </c>
      <c r="AA88" s="55">
        <v>0.0</v>
      </c>
      <c r="AB88" s="55">
        <v>0.0</v>
      </c>
      <c r="AC88" s="55">
        <v>0.0</v>
      </c>
      <c r="AD88" s="55">
        <v>0.0</v>
      </c>
      <c r="AE88" s="55">
        <v>0.0</v>
      </c>
      <c r="AF88" s="55">
        <v>11.0</v>
      </c>
    </row>
    <row r="89">
      <c r="A89" s="56">
        <v>46125.0</v>
      </c>
      <c r="B89" s="55" t="s">
        <v>88</v>
      </c>
      <c r="C89" s="55" t="s">
        <v>165</v>
      </c>
      <c r="D89" s="55">
        <v>9.0</v>
      </c>
      <c r="E89" s="55">
        <v>9.0</v>
      </c>
      <c r="F89" s="55">
        <v>0.0</v>
      </c>
      <c r="G89" s="55">
        <v>2.0</v>
      </c>
      <c r="H89" s="55">
        <v>16.0</v>
      </c>
      <c r="I89" s="55">
        <v>16.0</v>
      </c>
      <c r="J89" s="55">
        <v>15.0</v>
      </c>
      <c r="K89" s="55">
        <v>12.0</v>
      </c>
      <c r="L89" s="55">
        <v>10.0</v>
      </c>
      <c r="M89" s="55">
        <v>14.0</v>
      </c>
      <c r="N89" s="55">
        <v>15.0</v>
      </c>
      <c r="O89" s="55">
        <v>7.0</v>
      </c>
      <c r="P89" s="55">
        <v>15.0</v>
      </c>
      <c r="Q89" s="55">
        <v>0.0</v>
      </c>
      <c r="R89" s="55">
        <v>22238.0</v>
      </c>
      <c r="S89" s="55">
        <v>21216.0</v>
      </c>
      <c r="T89" s="55">
        <v>1.84611111111111</v>
      </c>
      <c r="U89" s="55">
        <v>0.0</v>
      </c>
      <c r="V89" s="55">
        <v>0.419444444444444</v>
      </c>
      <c r="W89" s="55">
        <v>3.3175</v>
      </c>
      <c r="X89" s="55">
        <v>3.3175</v>
      </c>
      <c r="Y89" s="55">
        <v>3.01722222222222</v>
      </c>
      <c r="Z89" s="55">
        <v>2.41611111111111</v>
      </c>
      <c r="AA89" s="55">
        <v>2.03027777777777</v>
      </c>
      <c r="AB89" s="55">
        <v>2.79555555555555</v>
      </c>
      <c r="AC89" s="55">
        <v>3.01555555555555</v>
      </c>
      <c r="AD89" s="55">
        <v>1.03277777777777</v>
      </c>
      <c r="AE89" s="55">
        <v>3.01555555555555</v>
      </c>
      <c r="AF89" s="55">
        <v>9.0</v>
      </c>
    </row>
    <row r="90">
      <c r="A90" s="56">
        <v>46125.0</v>
      </c>
      <c r="B90" s="55" t="s">
        <v>24</v>
      </c>
      <c r="C90" s="55" t="s">
        <v>161</v>
      </c>
      <c r="D90" s="55">
        <v>35.0</v>
      </c>
      <c r="E90" s="55">
        <v>30.0</v>
      </c>
      <c r="F90" s="55">
        <v>9.0</v>
      </c>
      <c r="G90" s="55">
        <v>8.0</v>
      </c>
      <c r="H90" s="55">
        <v>32.0</v>
      </c>
      <c r="I90" s="55">
        <v>24.0</v>
      </c>
      <c r="J90" s="55">
        <v>37.0</v>
      </c>
      <c r="K90" s="55">
        <v>8.0</v>
      </c>
      <c r="L90" s="55">
        <v>1.0</v>
      </c>
      <c r="M90" s="55">
        <v>37.0</v>
      </c>
      <c r="N90" s="55">
        <v>37.0</v>
      </c>
      <c r="O90" s="55">
        <v>6.0</v>
      </c>
      <c r="P90" s="55">
        <v>37.0</v>
      </c>
      <c r="Q90" s="55">
        <v>0.0</v>
      </c>
      <c r="R90" s="55">
        <v>79499.0</v>
      </c>
      <c r="S90" s="55">
        <v>64598.0</v>
      </c>
      <c r="T90" s="55">
        <v>5.7925</v>
      </c>
      <c r="U90" s="55">
        <v>1.7525</v>
      </c>
      <c r="V90" s="55">
        <v>1.55888888888888</v>
      </c>
      <c r="W90" s="55">
        <v>6.17861111111111</v>
      </c>
      <c r="X90" s="55">
        <v>4.61972222222222</v>
      </c>
      <c r="Y90" s="55">
        <v>7.27194444444444</v>
      </c>
      <c r="Z90" s="55">
        <v>1.44777777777777</v>
      </c>
      <c r="AA90" s="55">
        <v>0.198888888888888</v>
      </c>
      <c r="AB90" s="55">
        <v>7.29</v>
      </c>
      <c r="AC90" s="55">
        <v>7.29</v>
      </c>
      <c r="AD90" s="55">
        <v>1.14694444444444</v>
      </c>
      <c r="AE90" s="55">
        <v>7.29</v>
      </c>
      <c r="AF90" s="55">
        <v>30.0</v>
      </c>
    </row>
    <row r="91">
      <c r="A91" s="56">
        <v>46125.0</v>
      </c>
      <c r="B91" s="55" t="s">
        <v>60</v>
      </c>
      <c r="C91" s="55" t="s">
        <v>61</v>
      </c>
      <c r="D91" s="55">
        <v>16.0</v>
      </c>
      <c r="E91" s="55">
        <v>35.0</v>
      </c>
      <c r="F91" s="55">
        <v>0.0</v>
      </c>
      <c r="G91" s="55">
        <v>0.0</v>
      </c>
      <c r="H91" s="55">
        <v>13.0</v>
      </c>
      <c r="I91" s="55">
        <v>13.0</v>
      </c>
      <c r="J91" s="55">
        <v>13.0</v>
      </c>
      <c r="K91" s="55">
        <v>3.0</v>
      </c>
      <c r="L91" s="55">
        <v>0.0</v>
      </c>
      <c r="M91" s="55">
        <v>13.0</v>
      </c>
      <c r="N91" s="55">
        <v>13.0</v>
      </c>
      <c r="O91" s="55">
        <v>6.0</v>
      </c>
      <c r="P91" s="55">
        <v>13.0</v>
      </c>
      <c r="Q91" s="55">
        <v>0.0</v>
      </c>
      <c r="R91" s="55">
        <v>37310.0</v>
      </c>
      <c r="S91" s="55">
        <v>85422.0</v>
      </c>
      <c r="T91" s="55">
        <v>2.25055555555555</v>
      </c>
      <c r="U91" s="55">
        <v>0.0</v>
      </c>
      <c r="V91" s="55">
        <v>0.0</v>
      </c>
      <c r="W91" s="55">
        <v>2.6725</v>
      </c>
      <c r="X91" s="55">
        <v>2.6725</v>
      </c>
      <c r="Y91" s="55">
        <v>2.72333333333333</v>
      </c>
      <c r="Z91" s="55">
        <v>0.602222222222222</v>
      </c>
      <c r="AA91" s="55">
        <v>0.0</v>
      </c>
      <c r="AB91" s="55">
        <v>2.72444444444444</v>
      </c>
      <c r="AC91" s="55">
        <v>2.72444444444444</v>
      </c>
      <c r="AD91" s="55">
        <v>1.20166666666666</v>
      </c>
      <c r="AE91" s="55">
        <v>2.72444444444444</v>
      </c>
      <c r="AF91" s="55">
        <v>11.0</v>
      </c>
    </row>
    <row r="92">
      <c r="A92" s="56">
        <v>46118.0</v>
      </c>
      <c r="B92" s="55" t="s">
        <v>103</v>
      </c>
      <c r="C92" s="55" t="s">
        <v>104</v>
      </c>
      <c r="D92" s="55">
        <v>8.0</v>
      </c>
      <c r="E92" s="55">
        <v>8.0</v>
      </c>
      <c r="F92" s="55">
        <v>0.0</v>
      </c>
      <c r="G92" s="55">
        <v>0.0</v>
      </c>
      <c r="H92" s="55">
        <v>0.0</v>
      </c>
      <c r="I92" s="55">
        <v>0.0</v>
      </c>
      <c r="J92" s="55">
        <v>0.0</v>
      </c>
      <c r="K92" s="55">
        <v>0.0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10921.0</v>
      </c>
      <c r="S92" s="55">
        <v>10921.0</v>
      </c>
      <c r="T92" s="55">
        <v>1.15472222222222</v>
      </c>
      <c r="U92" s="55">
        <v>0.0</v>
      </c>
      <c r="V92" s="55">
        <v>0.0</v>
      </c>
      <c r="W92" s="55">
        <v>0.0</v>
      </c>
      <c r="X92" s="55">
        <v>0.0</v>
      </c>
      <c r="Y92" s="55">
        <v>0.0</v>
      </c>
      <c r="Z92" s="55">
        <v>0.0</v>
      </c>
      <c r="AA92" s="55">
        <v>0.0</v>
      </c>
      <c r="AB92" s="55">
        <v>0.0</v>
      </c>
      <c r="AC92" s="55">
        <v>0.0</v>
      </c>
      <c r="AD92" s="55">
        <v>0.0</v>
      </c>
      <c r="AE92" s="55">
        <v>0.0</v>
      </c>
      <c r="AF92" s="55">
        <v>8.0</v>
      </c>
    </row>
    <row r="93">
      <c r="A93" s="56">
        <v>46118.0</v>
      </c>
      <c r="B93" s="55" t="s">
        <v>95</v>
      </c>
      <c r="C93" s="55" t="s">
        <v>164</v>
      </c>
      <c r="D93" s="55">
        <v>12.0</v>
      </c>
      <c r="E93" s="55">
        <v>9.0</v>
      </c>
      <c r="F93" s="55">
        <v>7.0</v>
      </c>
      <c r="G93" s="55">
        <v>7.0</v>
      </c>
      <c r="H93" s="55">
        <v>15.0</v>
      </c>
      <c r="I93" s="55">
        <v>8.0</v>
      </c>
      <c r="J93" s="55">
        <v>19.0</v>
      </c>
      <c r="K93" s="55">
        <v>8.0</v>
      </c>
      <c r="L93" s="55">
        <v>7.0</v>
      </c>
      <c r="M93" s="55">
        <v>14.0</v>
      </c>
      <c r="N93" s="55">
        <v>23.0</v>
      </c>
      <c r="O93" s="55">
        <v>3.0</v>
      </c>
      <c r="P93" s="55">
        <v>23.0</v>
      </c>
      <c r="Q93" s="55">
        <v>0.0</v>
      </c>
      <c r="R93" s="55">
        <v>27025.0</v>
      </c>
      <c r="S93" s="55">
        <v>20429.0</v>
      </c>
      <c r="T93" s="55">
        <v>3.31805555555555</v>
      </c>
      <c r="U93" s="55">
        <v>1.55</v>
      </c>
      <c r="V93" s="55">
        <v>1.55277777777777</v>
      </c>
      <c r="W93" s="55">
        <v>3.32083333333333</v>
      </c>
      <c r="X93" s="55">
        <v>1.76805555555555</v>
      </c>
      <c r="Y93" s="55">
        <v>4.23777777777777</v>
      </c>
      <c r="Z93" s="55">
        <v>1.79388888888888</v>
      </c>
      <c r="AA93" s="55">
        <v>1.55444444444444</v>
      </c>
      <c r="AB93" s="55">
        <v>3.08305555555555</v>
      </c>
      <c r="AC93" s="55">
        <v>5.1025</v>
      </c>
      <c r="AD93" s="55">
        <v>0.688611111111111</v>
      </c>
      <c r="AE93" s="55">
        <v>5.1025</v>
      </c>
      <c r="AF93" s="55">
        <v>15.0</v>
      </c>
    </row>
    <row r="94">
      <c r="A94" s="56">
        <v>46118.0</v>
      </c>
      <c r="B94" s="55" t="s">
        <v>69</v>
      </c>
      <c r="C94" s="55" t="s">
        <v>149</v>
      </c>
      <c r="D94" s="55">
        <v>9.0</v>
      </c>
      <c r="E94" s="55">
        <v>9.0</v>
      </c>
      <c r="F94" s="55">
        <v>6.0</v>
      </c>
      <c r="G94" s="55">
        <v>9.0</v>
      </c>
      <c r="H94" s="55">
        <v>9.0</v>
      </c>
      <c r="I94" s="55">
        <v>0.0</v>
      </c>
      <c r="J94" s="55">
        <v>9.0</v>
      </c>
      <c r="K94" s="55">
        <v>8.0</v>
      </c>
      <c r="L94" s="55">
        <v>2.0</v>
      </c>
      <c r="M94" s="55">
        <v>12.0</v>
      </c>
      <c r="N94" s="55">
        <v>13.0</v>
      </c>
      <c r="O94" s="55">
        <v>5.0</v>
      </c>
      <c r="P94" s="55">
        <v>13.0</v>
      </c>
      <c r="Q94" s="55">
        <v>0.0</v>
      </c>
      <c r="R94" s="55">
        <v>24119.0</v>
      </c>
      <c r="S94" s="55">
        <v>24119.0</v>
      </c>
      <c r="T94" s="55">
        <v>1.57999999999999</v>
      </c>
      <c r="U94" s="55">
        <v>1.57999999999999</v>
      </c>
      <c r="V94" s="55">
        <v>2.27638888888888</v>
      </c>
      <c r="W94" s="55">
        <v>2.27638888888888</v>
      </c>
      <c r="X94" s="55">
        <v>0.0</v>
      </c>
      <c r="Y94" s="55">
        <v>2.27638888888888</v>
      </c>
      <c r="Z94" s="55">
        <v>1.99083333333333</v>
      </c>
      <c r="AA94" s="55">
        <v>0.479166666666666</v>
      </c>
      <c r="AB94" s="55">
        <v>3.01472222222222</v>
      </c>
      <c r="AC94" s="55">
        <v>3.25</v>
      </c>
      <c r="AD94" s="55">
        <v>1.36972222222222</v>
      </c>
      <c r="AE94" s="55">
        <v>3.24999999999999</v>
      </c>
      <c r="AF94" s="55">
        <v>6.0</v>
      </c>
    </row>
    <row r="95">
      <c r="A95" s="56">
        <v>46118.0</v>
      </c>
      <c r="B95" s="55" t="s">
        <v>74</v>
      </c>
      <c r="C95" s="55" t="s">
        <v>150</v>
      </c>
      <c r="D95" s="55">
        <v>21.0</v>
      </c>
      <c r="E95" s="55">
        <v>19.0</v>
      </c>
      <c r="F95" s="55">
        <v>14.0</v>
      </c>
      <c r="G95" s="55">
        <v>19.0</v>
      </c>
      <c r="H95" s="55">
        <v>24.0</v>
      </c>
      <c r="I95" s="55">
        <v>6.0</v>
      </c>
      <c r="J95" s="55">
        <v>22.0</v>
      </c>
      <c r="K95" s="55">
        <v>9.0</v>
      </c>
      <c r="L95" s="55">
        <v>1.0</v>
      </c>
      <c r="M95" s="55">
        <v>23.0</v>
      </c>
      <c r="N95" s="55">
        <v>24.0</v>
      </c>
      <c r="O95" s="55">
        <v>7.0</v>
      </c>
      <c r="P95" s="55">
        <v>24.0</v>
      </c>
      <c r="Q95" s="55">
        <v>0.0</v>
      </c>
      <c r="R95" s="55">
        <v>62437.0</v>
      </c>
      <c r="S95" s="55">
        <v>58951.0</v>
      </c>
      <c r="T95" s="55">
        <v>5.71861111111111</v>
      </c>
      <c r="U95" s="55">
        <v>4.30611111111111</v>
      </c>
      <c r="V95" s="55">
        <v>5.61027777777777</v>
      </c>
      <c r="W95" s="55">
        <v>7.02194444444444</v>
      </c>
      <c r="X95" s="55">
        <v>1.70972222222222</v>
      </c>
      <c r="Y95" s="55">
        <v>6.50083333333333</v>
      </c>
      <c r="Z95" s="55">
        <v>2.52222222222222</v>
      </c>
      <c r="AA95" s="55">
        <v>0.286944444444444</v>
      </c>
      <c r="AB95" s="55">
        <v>6.77166666666666</v>
      </c>
      <c r="AC95" s="55">
        <v>7.04111111111111</v>
      </c>
      <c r="AD95" s="55">
        <v>1.68583333333333</v>
      </c>
      <c r="AE95" s="55">
        <v>7.04111111111111</v>
      </c>
      <c r="AF95" s="55">
        <v>19.0</v>
      </c>
    </row>
    <row r="96">
      <c r="A96" s="56">
        <v>46118.0</v>
      </c>
      <c r="B96" s="55" t="s">
        <v>101</v>
      </c>
      <c r="C96" s="55" t="s">
        <v>151</v>
      </c>
      <c r="D96" s="55">
        <v>0.0</v>
      </c>
      <c r="E96" s="55">
        <v>7.0</v>
      </c>
      <c r="F96" s="55">
        <v>5.0</v>
      </c>
      <c r="G96" s="55">
        <v>10.0</v>
      </c>
      <c r="H96" s="55">
        <v>19.0</v>
      </c>
      <c r="I96" s="55">
        <v>13.0</v>
      </c>
      <c r="J96" s="55">
        <v>13.0</v>
      </c>
      <c r="K96" s="55">
        <v>3.0</v>
      </c>
      <c r="L96" s="55">
        <v>2.0</v>
      </c>
      <c r="M96" s="55">
        <v>16.0</v>
      </c>
      <c r="N96" s="55">
        <v>15.0</v>
      </c>
      <c r="O96" s="55">
        <v>7.0</v>
      </c>
      <c r="P96" s="55">
        <v>15.0</v>
      </c>
      <c r="Q96" s="55">
        <v>0.0</v>
      </c>
      <c r="R96" s="55">
        <v>0.0</v>
      </c>
      <c r="S96" s="55">
        <v>16950.0</v>
      </c>
      <c r="T96" s="55">
        <v>1.05361111111111</v>
      </c>
      <c r="U96" s="55">
        <v>1.05361111111111</v>
      </c>
      <c r="V96" s="55">
        <v>1.91222222222222</v>
      </c>
      <c r="W96" s="55">
        <v>3.70277777777777</v>
      </c>
      <c r="X96" s="55">
        <v>2.61277777777777</v>
      </c>
      <c r="Y96" s="55">
        <v>2.36916666666666</v>
      </c>
      <c r="Z96" s="55">
        <v>0.554166666666666</v>
      </c>
      <c r="AA96" s="55">
        <v>0.360277777777777</v>
      </c>
      <c r="AB96" s="55">
        <v>2.96416666666666</v>
      </c>
      <c r="AC96" s="55">
        <v>2.7775</v>
      </c>
      <c r="AD96" s="55">
        <v>1.52083333333333</v>
      </c>
      <c r="AE96" s="55">
        <v>2.7775</v>
      </c>
      <c r="AF96" s="55">
        <v>5.0</v>
      </c>
    </row>
    <row r="97">
      <c r="A97" s="56">
        <v>46118.0</v>
      </c>
      <c r="B97" s="55" t="s">
        <v>30</v>
      </c>
      <c r="C97" s="55" t="s">
        <v>153</v>
      </c>
      <c r="D97" s="55">
        <v>32.0</v>
      </c>
      <c r="E97" s="55">
        <v>34.0</v>
      </c>
      <c r="F97" s="55">
        <v>6.0</v>
      </c>
      <c r="G97" s="55">
        <v>0.0</v>
      </c>
      <c r="H97" s="55">
        <v>20.0</v>
      </c>
      <c r="I97" s="55">
        <v>15.0</v>
      </c>
      <c r="J97" s="55">
        <v>20.0</v>
      </c>
      <c r="K97" s="55">
        <v>4.0</v>
      </c>
      <c r="L97" s="55">
        <v>0.0</v>
      </c>
      <c r="M97" s="55">
        <v>22.0</v>
      </c>
      <c r="N97" s="55">
        <v>22.0</v>
      </c>
      <c r="O97" s="55">
        <v>6.0</v>
      </c>
      <c r="P97" s="55">
        <v>22.0</v>
      </c>
      <c r="Q97" s="55">
        <v>0.0</v>
      </c>
      <c r="R97" s="55">
        <v>71804.0</v>
      </c>
      <c r="S97" s="55">
        <v>76453.0</v>
      </c>
      <c r="T97" s="55">
        <v>4.07</v>
      </c>
      <c r="U97" s="55">
        <v>1.4025</v>
      </c>
      <c r="V97" s="55">
        <v>0.0</v>
      </c>
      <c r="W97" s="55">
        <v>4.5225</v>
      </c>
      <c r="X97" s="55">
        <v>3.37166666666666</v>
      </c>
      <c r="Y97" s="55">
        <v>4.54138888888888</v>
      </c>
      <c r="Z97" s="55">
        <v>0.926666666666666</v>
      </c>
      <c r="AA97" s="55">
        <v>0.0</v>
      </c>
      <c r="AB97" s="55">
        <v>4.98055555555555</v>
      </c>
      <c r="AC97" s="55">
        <v>4.98055555555555</v>
      </c>
      <c r="AD97" s="55">
        <v>1.25861111111111</v>
      </c>
      <c r="AE97" s="55">
        <v>4.98055555555555</v>
      </c>
      <c r="AF97" s="55">
        <v>18.0</v>
      </c>
    </row>
    <row r="98">
      <c r="A98" s="56">
        <v>46118.0</v>
      </c>
      <c r="B98" s="55" t="s">
        <v>90</v>
      </c>
      <c r="C98" s="55" t="s">
        <v>163</v>
      </c>
      <c r="D98" s="55">
        <v>0.0</v>
      </c>
      <c r="E98" s="55">
        <v>10.0</v>
      </c>
      <c r="F98" s="55">
        <v>14.0</v>
      </c>
      <c r="G98" s="55">
        <v>21.0</v>
      </c>
      <c r="H98" s="55">
        <v>21.0</v>
      </c>
      <c r="I98" s="55">
        <v>0.0</v>
      </c>
      <c r="J98" s="55">
        <v>21.0</v>
      </c>
      <c r="K98" s="55">
        <v>4.0</v>
      </c>
      <c r="L98" s="55">
        <v>3.0</v>
      </c>
      <c r="M98" s="55">
        <v>11.0</v>
      </c>
      <c r="N98" s="55">
        <v>21.0</v>
      </c>
      <c r="O98" s="55">
        <v>3.0</v>
      </c>
      <c r="P98" s="55">
        <v>21.0</v>
      </c>
      <c r="Q98" s="55">
        <v>0.0</v>
      </c>
      <c r="R98" s="55">
        <v>0.0</v>
      </c>
      <c r="S98" s="55">
        <v>20635.0</v>
      </c>
      <c r="T98" s="55">
        <v>3.71611111111111</v>
      </c>
      <c r="U98" s="55">
        <v>3.71611111111111</v>
      </c>
      <c r="V98" s="55">
        <v>5.34722222222222</v>
      </c>
      <c r="W98" s="55">
        <v>5.34722222222222</v>
      </c>
      <c r="X98" s="55">
        <v>0.0</v>
      </c>
      <c r="Y98" s="55">
        <v>5.35305555555555</v>
      </c>
      <c r="Z98" s="55">
        <v>0.998333333333333</v>
      </c>
      <c r="AA98" s="55">
        <v>0.682222222222222</v>
      </c>
      <c r="AB98" s="55">
        <v>2.91305555555555</v>
      </c>
      <c r="AC98" s="55">
        <v>5.32805555555555</v>
      </c>
      <c r="AD98" s="55">
        <v>0.916111111111111</v>
      </c>
      <c r="AE98" s="55">
        <v>5.32805555555555</v>
      </c>
      <c r="AF98" s="55">
        <v>14.0</v>
      </c>
    </row>
    <row r="99">
      <c r="A99" s="56">
        <v>46118.0</v>
      </c>
      <c r="B99" s="55" t="s">
        <v>63</v>
      </c>
      <c r="C99" s="55" t="s">
        <v>157</v>
      </c>
      <c r="D99" s="55">
        <v>11.0</v>
      </c>
      <c r="E99" s="55">
        <v>8.0</v>
      </c>
      <c r="F99" s="55">
        <v>3.0</v>
      </c>
      <c r="G99" s="55">
        <v>0.0</v>
      </c>
      <c r="H99" s="55">
        <v>5.0</v>
      </c>
      <c r="I99" s="55">
        <v>5.0</v>
      </c>
      <c r="J99" s="55">
        <v>5.0</v>
      </c>
      <c r="K99" s="55">
        <v>1.0</v>
      </c>
      <c r="L99" s="55">
        <v>0.0</v>
      </c>
      <c r="M99" s="55">
        <v>1.0</v>
      </c>
      <c r="N99" s="55">
        <v>1.0</v>
      </c>
      <c r="O99" s="55">
        <v>7.0</v>
      </c>
      <c r="P99" s="55">
        <v>1.0</v>
      </c>
      <c r="Q99" s="55">
        <v>0.0</v>
      </c>
      <c r="R99" s="55">
        <v>23106.0</v>
      </c>
      <c r="S99" s="55">
        <v>17385.0</v>
      </c>
      <c r="T99" s="55">
        <v>1.83388888888888</v>
      </c>
      <c r="U99" s="55">
        <v>0.67</v>
      </c>
      <c r="V99" s="55">
        <v>0.0</v>
      </c>
      <c r="W99" s="55">
        <v>1.10833333333333</v>
      </c>
      <c r="X99" s="55">
        <v>1.10833333333333</v>
      </c>
      <c r="Y99" s="55">
        <v>1.115</v>
      </c>
      <c r="Z99" s="55">
        <v>0.223055555555555</v>
      </c>
      <c r="AA99" s="55">
        <v>0.0</v>
      </c>
      <c r="AB99" s="55">
        <v>0.2175</v>
      </c>
      <c r="AC99" s="55">
        <v>0.2175</v>
      </c>
      <c r="AD99" s="55">
        <v>1.77916666666666</v>
      </c>
      <c r="AE99" s="55">
        <v>0.2175</v>
      </c>
      <c r="AF99" s="55">
        <v>8.0</v>
      </c>
    </row>
    <row r="100">
      <c r="A100" s="56">
        <v>46118.0</v>
      </c>
      <c r="B100" s="55" t="s">
        <v>35</v>
      </c>
      <c r="C100" s="55" t="s">
        <v>158</v>
      </c>
      <c r="D100" s="55">
        <v>10.0</v>
      </c>
      <c r="E100" s="55">
        <v>9.0</v>
      </c>
      <c r="F100" s="55">
        <v>16.0</v>
      </c>
      <c r="G100" s="55">
        <v>15.0</v>
      </c>
      <c r="H100" s="55">
        <v>16.0</v>
      </c>
      <c r="I100" s="55">
        <v>1.0</v>
      </c>
      <c r="J100" s="55">
        <v>15.0</v>
      </c>
      <c r="K100" s="55">
        <v>17.0</v>
      </c>
      <c r="L100" s="55">
        <v>3.0</v>
      </c>
      <c r="M100" s="55">
        <v>21.0</v>
      </c>
      <c r="N100" s="55">
        <v>21.0</v>
      </c>
      <c r="O100" s="55">
        <v>7.0</v>
      </c>
      <c r="P100" s="55">
        <v>21.0</v>
      </c>
      <c r="Q100" s="55">
        <v>0.0</v>
      </c>
      <c r="R100" s="55">
        <v>23022.0</v>
      </c>
      <c r="S100" s="55">
        <v>21107.0</v>
      </c>
      <c r="T100" s="55">
        <v>3.23305555555555</v>
      </c>
      <c r="U100" s="55">
        <v>4.51083333333333</v>
      </c>
      <c r="V100" s="55">
        <v>4.22166666666666</v>
      </c>
      <c r="W100" s="55">
        <v>4.49388888888888</v>
      </c>
      <c r="X100" s="55">
        <v>0.272222222222222</v>
      </c>
      <c r="Y100" s="55">
        <v>4.22388888888888</v>
      </c>
      <c r="Z100" s="55">
        <v>4.88083333333333</v>
      </c>
      <c r="AA100" s="55">
        <v>0.846666666666666</v>
      </c>
      <c r="AB100" s="55">
        <v>6.00138888888888</v>
      </c>
      <c r="AC100" s="55">
        <v>6.00138888888888</v>
      </c>
      <c r="AD100" s="55">
        <v>1.94388888888888</v>
      </c>
      <c r="AE100" s="55">
        <v>6.00138888888888</v>
      </c>
      <c r="AF100" s="55">
        <v>12.0</v>
      </c>
    </row>
    <row r="101">
      <c r="A101" s="56">
        <v>46118.0</v>
      </c>
      <c r="B101" s="55" t="s">
        <v>54</v>
      </c>
      <c r="C101" s="55" t="s">
        <v>160</v>
      </c>
      <c r="D101" s="55">
        <v>14.0</v>
      </c>
      <c r="E101" s="55">
        <v>11.0</v>
      </c>
      <c r="F101" s="55">
        <v>0.0</v>
      </c>
      <c r="G101" s="55">
        <v>0.0</v>
      </c>
      <c r="H101" s="55">
        <v>0.0</v>
      </c>
      <c r="I101" s="55">
        <v>0.0</v>
      </c>
      <c r="J101" s="55">
        <v>0.0</v>
      </c>
      <c r="K101" s="55">
        <v>0.0</v>
      </c>
      <c r="L101" s="55">
        <v>0.0</v>
      </c>
      <c r="M101" s="55">
        <v>0.0</v>
      </c>
      <c r="N101" s="55">
        <v>0.0</v>
      </c>
      <c r="O101" s="55">
        <v>0.0</v>
      </c>
      <c r="P101" s="55">
        <v>0.0</v>
      </c>
      <c r="Q101" s="55">
        <v>0.0</v>
      </c>
      <c r="R101" s="55">
        <v>30293.0</v>
      </c>
      <c r="S101" s="55">
        <v>22759.0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55">
        <v>0.0</v>
      </c>
      <c r="Z101" s="55">
        <v>0.0</v>
      </c>
      <c r="AA101" s="55">
        <v>0.0</v>
      </c>
      <c r="AB101" s="55">
        <v>0.0</v>
      </c>
      <c r="AC101" s="55">
        <v>0.0</v>
      </c>
      <c r="AD101" s="55">
        <v>0.0</v>
      </c>
      <c r="AE101" s="55">
        <v>0.0</v>
      </c>
      <c r="AF101" s="55">
        <v>0.0</v>
      </c>
    </row>
    <row r="102">
      <c r="A102" s="56">
        <v>46118.0</v>
      </c>
      <c r="B102" s="55" t="s">
        <v>88</v>
      </c>
      <c r="C102" s="55" t="s">
        <v>165</v>
      </c>
      <c r="D102" s="55">
        <v>0.0</v>
      </c>
      <c r="E102" s="55">
        <v>12.0</v>
      </c>
      <c r="F102" s="55">
        <v>11.0</v>
      </c>
      <c r="G102" s="55">
        <v>12.0</v>
      </c>
      <c r="H102" s="55">
        <v>20.0</v>
      </c>
      <c r="I102" s="55">
        <v>10.0</v>
      </c>
      <c r="J102" s="55">
        <v>18.0</v>
      </c>
      <c r="K102" s="55">
        <v>14.0</v>
      </c>
      <c r="L102" s="55">
        <v>10.0</v>
      </c>
      <c r="M102" s="55">
        <v>20.0</v>
      </c>
      <c r="N102" s="55">
        <v>19.0</v>
      </c>
      <c r="O102" s="55">
        <v>7.0</v>
      </c>
      <c r="P102" s="55">
        <v>19.0</v>
      </c>
      <c r="Q102" s="55">
        <v>0.0</v>
      </c>
      <c r="R102" s="55">
        <v>0.0</v>
      </c>
      <c r="S102" s="55">
        <v>27665.0</v>
      </c>
      <c r="T102" s="55">
        <v>2.41972222222222</v>
      </c>
      <c r="U102" s="55">
        <v>2.12805555555555</v>
      </c>
      <c r="V102" s="55">
        <v>2.03</v>
      </c>
      <c r="W102" s="55">
        <v>3.62166666666666</v>
      </c>
      <c r="X102" s="55">
        <v>2.03749999999999</v>
      </c>
      <c r="Y102" s="55">
        <v>3.10888888888888</v>
      </c>
      <c r="Z102" s="55">
        <v>2.26333333333333</v>
      </c>
      <c r="AA102" s="55">
        <v>1.59583333333333</v>
      </c>
      <c r="AB102" s="55">
        <v>3.29944444444444</v>
      </c>
      <c r="AC102" s="55">
        <v>3.07944444444444</v>
      </c>
      <c r="AD102" s="55">
        <v>1.11833333333333</v>
      </c>
      <c r="AE102" s="55">
        <v>3.07944444444444</v>
      </c>
      <c r="AF102" s="55">
        <v>12.0</v>
      </c>
    </row>
    <row r="103">
      <c r="A103" s="56">
        <v>46118.0</v>
      </c>
      <c r="B103" s="55" t="s">
        <v>82</v>
      </c>
      <c r="C103" s="55" t="s">
        <v>167</v>
      </c>
      <c r="D103" s="55">
        <v>0.0</v>
      </c>
      <c r="E103" s="55">
        <v>0.0</v>
      </c>
      <c r="F103" s="55">
        <v>3.0</v>
      </c>
      <c r="G103" s="55">
        <v>4.0</v>
      </c>
      <c r="H103" s="55">
        <v>5.0</v>
      </c>
      <c r="I103" s="55">
        <v>1.0</v>
      </c>
      <c r="J103" s="55">
        <v>5.0</v>
      </c>
      <c r="K103" s="55">
        <v>4.0</v>
      </c>
      <c r="L103" s="55">
        <v>2.0</v>
      </c>
      <c r="M103" s="55">
        <v>5.0</v>
      </c>
      <c r="N103" s="55">
        <v>5.0</v>
      </c>
      <c r="O103" s="55">
        <v>5.0</v>
      </c>
      <c r="P103" s="55">
        <v>5.0</v>
      </c>
      <c r="Q103" s="55">
        <v>0.0</v>
      </c>
      <c r="R103" s="55">
        <v>0.0</v>
      </c>
      <c r="S103" s="55">
        <v>0.0</v>
      </c>
      <c r="T103" s="55">
        <v>0.943333333333333</v>
      </c>
      <c r="U103" s="55">
        <v>0.685</v>
      </c>
      <c r="V103" s="55">
        <v>0.929722222222222</v>
      </c>
      <c r="W103" s="55">
        <v>1.18805555555555</v>
      </c>
      <c r="X103" s="55">
        <v>0.258333333333333</v>
      </c>
      <c r="Y103" s="55">
        <v>1.18805555555555</v>
      </c>
      <c r="Z103" s="55">
        <v>0.979722222222222</v>
      </c>
      <c r="AA103" s="55">
        <v>0.472777777777777</v>
      </c>
      <c r="AB103" s="55">
        <v>1.18888888888888</v>
      </c>
      <c r="AC103" s="55">
        <v>1.18888888888888</v>
      </c>
      <c r="AD103" s="55">
        <v>1.19361111111111</v>
      </c>
      <c r="AE103" s="55">
        <v>1.18888888888888</v>
      </c>
      <c r="AF103" s="55">
        <v>4.0</v>
      </c>
    </row>
    <row r="104">
      <c r="A104" s="56">
        <v>46118.0</v>
      </c>
      <c r="B104" s="55" t="s">
        <v>24</v>
      </c>
      <c r="C104" s="55" t="s">
        <v>161</v>
      </c>
      <c r="D104" s="55">
        <v>30.0</v>
      </c>
      <c r="E104" s="55">
        <v>26.0</v>
      </c>
      <c r="F104" s="55">
        <v>6.0</v>
      </c>
      <c r="G104" s="55">
        <v>9.0</v>
      </c>
      <c r="H104" s="55">
        <v>31.0</v>
      </c>
      <c r="I104" s="55">
        <v>23.0</v>
      </c>
      <c r="J104" s="55">
        <v>30.0</v>
      </c>
      <c r="K104" s="55">
        <v>2.0</v>
      </c>
      <c r="L104" s="55">
        <v>2.0</v>
      </c>
      <c r="M104" s="55">
        <v>31.0</v>
      </c>
      <c r="N104" s="55">
        <v>36.0</v>
      </c>
      <c r="O104" s="55">
        <v>5.0</v>
      </c>
      <c r="P104" s="55">
        <v>36.0</v>
      </c>
      <c r="Q104" s="55">
        <v>0.0</v>
      </c>
      <c r="R104" s="55">
        <v>58302.0</v>
      </c>
      <c r="S104" s="55">
        <v>57888.0</v>
      </c>
      <c r="T104" s="55">
        <v>5.83416666666666</v>
      </c>
      <c r="U104" s="55">
        <v>1.13694444444444</v>
      </c>
      <c r="V104" s="55">
        <v>1.76333333333333</v>
      </c>
      <c r="W104" s="55">
        <v>6.08222222222222</v>
      </c>
      <c r="X104" s="55">
        <v>4.48777777777777</v>
      </c>
      <c r="Y104" s="55">
        <v>5.87277777777777</v>
      </c>
      <c r="Z104" s="55">
        <v>0.375</v>
      </c>
      <c r="AA104" s="55">
        <v>0.375</v>
      </c>
      <c r="AB104" s="55">
        <v>6.03277777777777</v>
      </c>
      <c r="AC104" s="55">
        <v>6.98444444444444</v>
      </c>
      <c r="AD104" s="55">
        <v>0.943333333333333</v>
      </c>
      <c r="AE104" s="55">
        <v>6.98444444444444</v>
      </c>
      <c r="AF104" s="55">
        <v>30.0</v>
      </c>
    </row>
    <row r="105">
      <c r="A105" s="56">
        <v>46118.0</v>
      </c>
      <c r="B105" s="55" t="s">
        <v>60</v>
      </c>
      <c r="C105" s="55" t="s">
        <v>61</v>
      </c>
      <c r="D105" s="55">
        <v>18.0</v>
      </c>
      <c r="E105" s="55">
        <v>3.0</v>
      </c>
      <c r="F105" s="55">
        <v>0.0</v>
      </c>
      <c r="G105" s="55">
        <v>0.0</v>
      </c>
      <c r="H105" s="55">
        <v>14.0</v>
      </c>
      <c r="I105" s="55">
        <v>13.0</v>
      </c>
      <c r="J105" s="55">
        <v>15.0</v>
      </c>
      <c r="K105" s="55">
        <v>3.0</v>
      </c>
      <c r="L105" s="55">
        <v>0.0</v>
      </c>
      <c r="M105" s="55">
        <v>17.0</v>
      </c>
      <c r="N105" s="55">
        <v>17.0</v>
      </c>
      <c r="O105" s="55">
        <v>7.0</v>
      </c>
      <c r="P105" s="55">
        <v>17.0</v>
      </c>
      <c r="Q105" s="55">
        <v>0.0</v>
      </c>
      <c r="R105" s="55">
        <v>43531.0</v>
      </c>
      <c r="S105" s="55">
        <v>6380.0</v>
      </c>
      <c r="T105" s="55">
        <v>3.45222222222222</v>
      </c>
      <c r="U105" s="55">
        <v>0.0</v>
      </c>
      <c r="V105" s="55">
        <v>0.0</v>
      </c>
      <c r="W105" s="55">
        <v>3.02999999999999</v>
      </c>
      <c r="X105" s="55">
        <v>2.81055555555555</v>
      </c>
      <c r="Y105" s="55">
        <v>3.25888888888888</v>
      </c>
      <c r="Z105" s="55">
        <v>0.693611111111111</v>
      </c>
      <c r="AA105" s="55">
        <v>0.0</v>
      </c>
      <c r="AB105" s="55">
        <v>3.72138888888888</v>
      </c>
      <c r="AC105" s="55">
        <v>3.72138888888888</v>
      </c>
      <c r="AD105" s="55">
        <v>1.49361111111111</v>
      </c>
      <c r="AE105" s="55">
        <v>3.72138888888888</v>
      </c>
      <c r="AF105" s="55">
        <v>16.0</v>
      </c>
    </row>
    <row r="106">
      <c r="A106" s="56">
        <v>46111.0</v>
      </c>
      <c r="B106" s="55" t="s">
        <v>95</v>
      </c>
      <c r="C106" s="55" t="s">
        <v>164</v>
      </c>
      <c r="D106" s="55">
        <v>11.0</v>
      </c>
      <c r="E106" s="55">
        <v>10.0</v>
      </c>
      <c r="F106" s="55">
        <v>4.0</v>
      </c>
      <c r="G106" s="55">
        <v>4.0</v>
      </c>
      <c r="H106" s="55">
        <v>9.0</v>
      </c>
      <c r="I106" s="55">
        <v>5.0</v>
      </c>
      <c r="J106" s="55">
        <v>5.0</v>
      </c>
      <c r="K106" s="55">
        <v>1.0</v>
      </c>
      <c r="L106" s="55">
        <v>0.0</v>
      </c>
      <c r="M106" s="55">
        <v>1.0</v>
      </c>
      <c r="N106" s="55">
        <v>1.0</v>
      </c>
      <c r="O106" s="55">
        <v>1.0</v>
      </c>
      <c r="P106" s="55">
        <v>1.0</v>
      </c>
      <c r="Q106" s="55">
        <v>0.0</v>
      </c>
      <c r="R106" s="55">
        <v>24207.0</v>
      </c>
      <c r="S106" s="55">
        <v>22024.0</v>
      </c>
      <c r="T106" s="55">
        <v>1.77277777777777</v>
      </c>
      <c r="U106" s="55">
        <v>0.971388888888889</v>
      </c>
      <c r="V106" s="55">
        <v>0.975833333333333</v>
      </c>
      <c r="W106" s="55">
        <v>2.03444444444444</v>
      </c>
      <c r="X106" s="55">
        <v>1.05861111111111</v>
      </c>
      <c r="Y106" s="55">
        <v>1.13</v>
      </c>
      <c r="Z106" s="55">
        <v>0.264444444444444</v>
      </c>
      <c r="AA106" s="55">
        <v>0.0</v>
      </c>
      <c r="AB106" s="55">
        <v>0.264444444444444</v>
      </c>
      <c r="AC106" s="55">
        <v>0.264444444444444</v>
      </c>
      <c r="AD106" s="55">
        <v>0.264444444444444</v>
      </c>
      <c r="AE106" s="55">
        <v>0.264444444444444</v>
      </c>
      <c r="AF106" s="55">
        <v>8.0</v>
      </c>
    </row>
    <row r="107">
      <c r="A107" s="56">
        <v>46111.0</v>
      </c>
      <c r="B107" s="55" t="s">
        <v>69</v>
      </c>
      <c r="C107" s="55" t="s">
        <v>149</v>
      </c>
      <c r="D107" s="55">
        <v>5.0</v>
      </c>
      <c r="E107" s="55">
        <v>7.0</v>
      </c>
      <c r="F107" s="55">
        <v>15.0</v>
      </c>
      <c r="G107" s="55">
        <v>14.0</v>
      </c>
      <c r="H107" s="55">
        <v>14.0</v>
      </c>
      <c r="I107" s="55">
        <v>0.0</v>
      </c>
      <c r="J107" s="55">
        <v>14.0</v>
      </c>
      <c r="K107" s="55">
        <v>9.0</v>
      </c>
      <c r="L107" s="55">
        <v>2.0</v>
      </c>
      <c r="M107" s="55">
        <v>12.0</v>
      </c>
      <c r="N107" s="55">
        <v>11.0</v>
      </c>
      <c r="O107" s="55">
        <v>5.0</v>
      </c>
      <c r="P107" s="55">
        <v>11.0</v>
      </c>
      <c r="Q107" s="55">
        <v>0.0</v>
      </c>
      <c r="R107" s="55">
        <v>13460.0</v>
      </c>
      <c r="S107" s="55">
        <v>18774.0</v>
      </c>
      <c r="T107" s="55">
        <v>3.68611111111111</v>
      </c>
      <c r="U107" s="55">
        <v>3.68611111111111</v>
      </c>
      <c r="V107" s="55">
        <v>3.45361111111111</v>
      </c>
      <c r="W107" s="55">
        <v>3.45361111111111</v>
      </c>
      <c r="X107" s="55">
        <v>0.0</v>
      </c>
      <c r="Y107" s="55">
        <v>3.45888888888888</v>
      </c>
      <c r="Z107" s="55">
        <v>2.23083333333333</v>
      </c>
      <c r="AA107" s="55">
        <v>0.494166666666666</v>
      </c>
      <c r="AB107" s="55">
        <v>2.95555555555555</v>
      </c>
      <c r="AC107" s="55">
        <v>2.72027777777777</v>
      </c>
      <c r="AD107" s="55">
        <v>1.46583333333333</v>
      </c>
      <c r="AE107" s="55">
        <v>2.72027777777777</v>
      </c>
      <c r="AF107" s="55">
        <v>15.0</v>
      </c>
    </row>
    <row r="108">
      <c r="A108" s="56">
        <v>46111.0</v>
      </c>
      <c r="B108" s="55" t="s">
        <v>74</v>
      </c>
      <c r="C108" s="55" t="s">
        <v>150</v>
      </c>
      <c r="D108" s="55">
        <v>22.0</v>
      </c>
      <c r="E108" s="55">
        <v>26.0</v>
      </c>
      <c r="F108" s="55">
        <v>20.0</v>
      </c>
      <c r="G108" s="55">
        <v>16.0</v>
      </c>
      <c r="H108" s="55">
        <v>16.0</v>
      </c>
      <c r="I108" s="55">
        <v>1.0</v>
      </c>
      <c r="J108" s="55">
        <v>22.0</v>
      </c>
      <c r="K108" s="55">
        <v>6.0</v>
      </c>
      <c r="L108" s="55">
        <v>5.0</v>
      </c>
      <c r="M108" s="55">
        <v>20.0</v>
      </c>
      <c r="N108" s="55">
        <v>19.0</v>
      </c>
      <c r="O108" s="55">
        <v>6.0</v>
      </c>
      <c r="P108" s="55">
        <v>19.0</v>
      </c>
      <c r="Q108" s="55">
        <v>0.0</v>
      </c>
      <c r="R108" s="55">
        <v>63173.0</v>
      </c>
      <c r="S108" s="55">
        <v>75712.0</v>
      </c>
      <c r="T108" s="55">
        <v>5.98777777777777</v>
      </c>
      <c r="U108" s="55">
        <v>5.71916666666666</v>
      </c>
      <c r="V108" s="55">
        <v>4.36333333333333</v>
      </c>
      <c r="W108" s="55">
        <v>4.35388888888888</v>
      </c>
      <c r="X108" s="55">
        <v>0.268611111111111</v>
      </c>
      <c r="Y108" s="55">
        <v>6.00222222222222</v>
      </c>
      <c r="Z108" s="55">
        <v>1.69833333333333</v>
      </c>
      <c r="AA108" s="55">
        <v>1.41916666666666</v>
      </c>
      <c r="AB108" s="55">
        <v>5.42999999999999</v>
      </c>
      <c r="AC108" s="55">
        <v>5.16055555555555</v>
      </c>
      <c r="AD108" s="55">
        <v>1.41805555555555</v>
      </c>
      <c r="AE108" s="55">
        <v>5.16055555555555</v>
      </c>
      <c r="AF108" s="55">
        <v>21.0</v>
      </c>
    </row>
    <row r="109">
      <c r="A109" s="56">
        <v>46111.0</v>
      </c>
      <c r="B109" s="55" t="s">
        <v>101</v>
      </c>
      <c r="C109" s="55" t="s">
        <v>151</v>
      </c>
      <c r="D109" s="55">
        <v>7.0</v>
      </c>
      <c r="E109" s="55">
        <v>14.0</v>
      </c>
      <c r="F109" s="55">
        <v>15.0</v>
      </c>
      <c r="G109" s="55">
        <v>6.0</v>
      </c>
      <c r="H109" s="55">
        <v>9.0</v>
      </c>
      <c r="I109" s="55">
        <v>3.0</v>
      </c>
      <c r="J109" s="55">
        <v>16.0</v>
      </c>
      <c r="K109" s="55">
        <v>2.0</v>
      </c>
      <c r="L109" s="55">
        <v>0.0</v>
      </c>
      <c r="M109" s="55">
        <v>15.0</v>
      </c>
      <c r="N109" s="55">
        <v>15.0</v>
      </c>
      <c r="O109" s="55">
        <v>5.0</v>
      </c>
      <c r="P109" s="55">
        <v>15.0</v>
      </c>
      <c r="Q109" s="55">
        <v>0.0</v>
      </c>
      <c r="R109" s="55">
        <v>16950.0</v>
      </c>
      <c r="S109" s="55">
        <v>30476.0</v>
      </c>
      <c r="T109" s="55">
        <v>2.64361111111111</v>
      </c>
      <c r="U109" s="55">
        <v>2.83916666666666</v>
      </c>
      <c r="V109" s="55">
        <v>1.31833333333333</v>
      </c>
      <c r="W109" s="55">
        <v>1.82222222222222</v>
      </c>
      <c r="X109" s="55">
        <v>0.533055555555555</v>
      </c>
      <c r="Y109" s="55">
        <v>3.40333333333333</v>
      </c>
      <c r="Z109" s="55">
        <v>0.434166666666666</v>
      </c>
      <c r="AA109" s="55">
        <v>0.0</v>
      </c>
      <c r="AB109" s="55">
        <v>3.18333333333333</v>
      </c>
      <c r="AC109" s="55">
        <v>3.18333333333333</v>
      </c>
      <c r="AD109" s="55">
        <v>1.02805555555555</v>
      </c>
      <c r="AE109" s="55">
        <v>3.18333333333333</v>
      </c>
      <c r="AF109" s="55">
        <v>14.0</v>
      </c>
    </row>
    <row r="110">
      <c r="A110" s="56">
        <v>46111.0</v>
      </c>
      <c r="B110" s="55" t="s">
        <v>97</v>
      </c>
      <c r="C110" s="55" t="s">
        <v>152</v>
      </c>
      <c r="D110" s="55">
        <v>1.0</v>
      </c>
      <c r="E110" s="55">
        <v>1.0</v>
      </c>
      <c r="F110" s="55">
        <v>0.0</v>
      </c>
      <c r="G110" s="55">
        <v>0.0</v>
      </c>
      <c r="H110" s="55">
        <v>0.0</v>
      </c>
      <c r="I110" s="55">
        <v>0.0</v>
      </c>
      <c r="J110" s="55">
        <v>0.0</v>
      </c>
      <c r="K110" s="55">
        <v>0.0</v>
      </c>
      <c r="L110" s="55">
        <v>0.0</v>
      </c>
      <c r="M110" s="55">
        <v>0.0</v>
      </c>
      <c r="N110" s="55">
        <v>0.0</v>
      </c>
      <c r="O110" s="55">
        <v>0.0</v>
      </c>
      <c r="P110" s="55">
        <v>0.0</v>
      </c>
      <c r="Q110" s="55">
        <v>0.0</v>
      </c>
      <c r="R110" s="55">
        <v>2454.0</v>
      </c>
      <c r="S110" s="55">
        <v>2454.0</v>
      </c>
      <c r="T110" s="55">
        <v>0.0</v>
      </c>
      <c r="U110" s="55">
        <v>0.0</v>
      </c>
      <c r="V110" s="55">
        <v>0.0</v>
      </c>
      <c r="W110" s="55">
        <v>0.0</v>
      </c>
      <c r="X110" s="55">
        <v>0.0</v>
      </c>
      <c r="Y110" s="55">
        <v>0.0</v>
      </c>
      <c r="Z110" s="55">
        <v>0.0</v>
      </c>
      <c r="AA110" s="55">
        <v>0.0</v>
      </c>
      <c r="AB110" s="55">
        <v>0.0</v>
      </c>
      <c r="AC110" s="55">
        <v>0.0</v>
      </c>
      <c r="AD110" s="55">
        <v>0.0</v>
      </c>
      <c r="AE110" s="55">
        <v>0.0</v>
      </c>
      <c r="AF110" s="55">
        <v>0.0</v>
      </c>
    </row>
    <row r="111">
      <c r="A111" s="56">
        <v>46111.0</v>
      </c>
      <c r="B111" s="55" t="s">
        <v>30</v>
      </c>
      <c r="C111" s="55" t="s">
        <v>153</v>
      </c>
      <c r="D111" s="55">
        <v>21.0</v>
      </c>
      <c r="E111" s="55">
        <v>11.0</v>
      </c>
      <c r="F111" s="55">
        <v>7.0</v>
      </c>
      <c r="G111" s="55">
        <v>0.0</v>
      </c>
      <c r="H111" s="55">
        <v>18.0</v>
      </c>
      <c r="I111" s="55">
        <v>11.0</v>
      </c>
      <c r="J111" s="55">
        <v>19.0</v>
      </c>
      <c r="K111" s="55">
        <v>4.0</v>
      </c>
      <c r="L111" s="55">
        <v>0.0</v>
      </c>
      <c r="M111" s="55">
        <v>17.0</v>
      </c>
      <c r="N111" s="55">
        <v>17.0</v>
      </c>
      <c r="O111" s="55">
        <v>6.0</v>
      </c>
      <c r="P111" s="55">
        <v>17.0</v>
      </c>
      <c r="Q111" s="55">
        <v>0.0</v>
      </c>
      <c r="R111" s="55">
        <v>46898.0</v>
      </c>
      <c r="S111" s="55">
        <v>25837.0</v>
      </c>
      <c r="T111" s="55">
        <v>4.83777777777777</v>
      </c>
      <c r="U111" s="55">
        <v>1.62694444444444</v>
      </c>
      <c r="V111" s="55">
        <v>0.0</v>
      </c>
      <c r="W111" s="55">
        <v>4.13861111111111</v>
      </c>
      <c r="X111" s="55">
        <v>2.51444444444444</v>
      </c>
      <c r="Y111" s="55">
        <v>4.38972222222222</v>
      </c>
      <c r="Z111" s="55">
        <v>0.920555555555555</v>
      </c>
      <c r="AA111" s="55">
        <v>0.0</v>
      </c>
      <c r="AB111" s="55">
        <v>3.94277777777777</v>
      </c>
      <c r="AC111" s="55">
        <v>3.94277777777777</v>
      </c>
      <c r="AD111" s="55">
        <v>1.34861111111111</v>
      </c>
      <c r="AE111" s="55">
        <v>3.94277777777777</v>
      </c>
      <c r="AF111" s="55">
        <v>21.0</v>
      </c>
    </row>
    <row r="112">
      <c r="A112" s="56">
        <v>46111.0</v>
      </c>
      <c r="B112" s="55" t="s">
        <v>90</v>
      </c>
      <c r="C112" s="55" t="s">
        <v>163</v>
      </c>
      <c r="D112" s="55">
        <v>4.0</v>
      </c>
      <c r="E112" s="55">
        <v>17.0</v>
      </c>
      <c r="F112" s="55">
        <v>10.0</v>
      </c>
      <c r="G112" s="55">
        <v>0.0</v>
      </c>
      <c r="H112" s="55">
        <v>1.0</v>
      </c>
      <c r="I112" s="55">
        <v>0.0</v>
      </c>
      <c r="J112" s="55">
        <v>1.0</v>
      </c>
      <c r="K112" s="55">
        <v>0.0</v>
      </c>
      <c r="L112" s="55">
        <v>0.0</v>
      </c>
      <c r="M112" s="55">
        <v>1.0</v>
      </c>
      <c r="N112" s="55">
        <v>1.0</v>
      </c>
      <c r="O112" s="55">
        <v>1.0</v>
      </c>
      <c r="P112" s="55">
        <v>1.0</v>
      </c>
      <c r="Q112" s="55">
        <v>0.0</v>
      </c>
      <c r="R112" s="55">
        <v>8289.0</v>
      </c>
      <c r="S112" s="55">
        <v>35448.0</v>
      </c>
      <c r="T112" s="55">
        <v>2.89777777777777</v>
      </c>
      <c r="U112" s="55">
        <v>2.89777777777777</v>
      </c>
      <c r="V112" s="55">
        <v>0.0</v>
      </c>
      <c r="W112" s="55">
        <v>0.25</v>
      </c>
      <c r="X112" s="55">
        <v>0.0</v>
      </c>
      <c r="Y112" s="55">
        <v>0.25</v>
      </c>
      <c r="Z112" s="55">
        <v>0.0</v>
      </c>
      <c r="AA112" s="55">
        <v>0.0</v>
      </c>
      <c r="AB112" s="55">
        <v>0.25</v>
      </c>
      <c r="AC112" s="55">
        <v>0.25</v>
      </c>
      <c r="AD112" s="55">
        <v>0.25</v>
      </c>
      <c r="AE112" s="55">
        <v>0.25</v>
      </c>
      <c r="AF112" s="55">
        <v>10.0</v>
      </c>
    </row>
    <row r="113">
      <c r="A113" s="56">
        <v>46111.0</v>
      </c>
      <c r="B113" s="55" t="s">
        <v>63</v>
      </c>
      <c r="C113" s="55" t="s">
        <v>157</v>
      </c>
      <c r="D113" s="55">
        <v>4.0</v>
      </c>
      <c r="E113" s="55">
        <v>2.0</v>
      </c>
      <c r="F113" s="55">
        <v>0.0</v>
      </c>
      <c r="G113" s="55">
        <v>1.0</v>
      </c>
      <c r="H113" s="55">
        <v>1.0</v>
      </c>
      <c r="I113" s="55">
        <v>0.0</v>
      </c>
      <c r="J113" s="55">
        <v>3.0</v>
      </c>
      <c r="K113" s="55">
        <v>5.0</v>
      </c>
      <c r="L113" s="55">
        <v>3.0</v>
      </c>
      <c r="M113" s="55">
        <v>9.0</v>
      </c>
      <c r="N113" s="55">
        <v>10.0</v>
      </c>
      <c r="O113" s="55">
        <v>5.0</v>
      </c>
      <c r="P113" s="55">
        <v>10.0</v>
      </c>
      <c r="Q113" s="55">
        <v>0.0</v>
      </c>
      <c r="R113" s="55">
        <v>8814.0</v>
      </c>
      <c r="S113" s="55">
        <v>4335.0</v>
      </c>
      <c r="T113" s="55">
        <v>0.0</v>
      </c>
      <c r="U113" s="55">
        <v>0.0</v>
      </c>
      <c r="V113" s="55">
        <v>0.233888888888888</v>
      </c>
      <c r="W113" s="55">
        <v>0.233888888888888</v>
      </c>
      <c r="X113" s="55">
        <v>0.0</v>
      </c>
      <c r="Y113" s="55">
        <v>0.736944444444444</v>
      </c>
      <c r="Z113" s="55">
        <v>1.26805555555555</v>
      </c>
      <c r="AA113" s="55">
        <v>0.779444444444444</v>
      </c>
      <c r="AB113" s="55">
        <v>2.23083333333333</v>
      </c>
      <c r="AC113" s="55">
        <v>2.47138888888888</v>
      </c>
      <c r="AD113" s="55">
        <v>1.24472222222222</v>
      </c>
      <c r="AE113" s="55">
        <v>2.47138888888888</v>
      </c>
      <c r="AF113" s="55">
        <v>0.0</v>
      </c>
    </row>
    <row r="114">
      <c r="A114" s="56">
        <v>46111.0</v>
      </c>
      <c r="B114" s="55" t="s">
        <v>35</v>
      </c>
      <c r="C114" s="55" t="s">
        <v>158</v>
      </c>
      <c r="D114" s="55">
        <v>15.0</v>
      </c>
      <c r="E114" s="55">
        <v>21.0</v>
      </c>
      <c r="F114" s="55">
        <v>16.0</v>
      </c>
      <c r="G114" s="55">
        <v>14.0</v>
      </c>
      <c r="H114" s="55">
        <v>15.0</v>
      </c>
      <c r="I114" s="55">
        <v>1.0</v>
      </c>
      <c r="J114" s="55">
        <v>15.0</v>
      </c>
      <c r="K114" s="55">
        <v>8.0</v>
      </c>
      <c r="L114" s="55">
        <v>3.0</v>
      </c>
      <c r="M114" s="55">
        <v>9.0</v>
      </c>
      <c r="N114" s="55">
        <v>10.0</v>
      </c>
      <c r="O114" s="55">
        <v>6.0</v>
      </c>
      <c r="P114" s="55">
        <v>10.0</v>
      </c>
      <c r="Q114" s="55">
        <v>0.0</v>
      </c>
      <c r="R114" s="55">
        <v>32906.0</v>
      </c>
      <c r="S114" s="55">
        <v>48614.0</v>
      </c>
      <c r="T114" s="55">
        <v>6.92083333333333</v>
      </c>
      <c r="U114" s="55">
        <v>4.56722222222222</v>
      </c>
      <c r="V114" s="55">
        <v>4.00638888888888</v>
      </c>
      <c r="W114" s="55">
        <v>4.30138888888888</v>
      </c>
      <c r="X114" s="55">
        <v>0.295</v>
      </c>
      <c r="Y114" s="55">
        <v>4.30138888888888</v>
      </c>
      <c r="Z114" s="55">
        <v>2.215</v>
      </c>
      <c r="AA114" s="55">
        <v>0.861388888888888</v>
      </c>
      <c r="AB114" s="55">
        <v>2.52388888888888</v>
      </c>
      <c r="AC114" s="55">
        <v>2.81833333333333</v>
      </c>
      <c r="AD114" s="55">
        <v>1.69944444444444</v>
      </c>
      <c r="AE114" s="55">
        <v>2.81833333333333</v>
      </c>
      <c r="AF114" s="55">
        <v>24.0</v>
      </c>
    </row>
    <row r="115">
      <c r="A115" s="56">
        <v>46111.0</v>
      </c>
      <c r="B115" s="55" t="s">
        <v>54</v>
      </c>
      <c r="C115" s="55" t="s">
        <v>160</v>
      </c>
      <c r="D115" s="55">
        <v>5.0</v>
      </c>
      <c r="E115" s="55">
        <v>0.0</v>
      </c>
      <c r="F115" s="55">
        <v>0.0</v>
      </c>
      <c r="G115" s="55">
        <v>0.0</v>
      </c>
      <c r="H115" s="55">
        <v>0.0</v>
      </c>
      <c r="I115" s="55">
        <v>0.0</v>
      </c>
      <c r="J115" s="55">
        <v>0.0</v>
      </c>
      <c r="K115" s="55">
        <v>0.0</v>
      </c>
      <c r="L115" s="55">
        <v>0.0</v>
      </c>
      <c r="M115" s="55">
        <v>0.0</v>
      </c>
      <c r="N115" s="55">
        <v>0.0</v>
      </c>
      <c r="O115" s="55">
        <v>0.0</v>
      </c>
      <c r="P115" s="55">
        <v>0.0</v>
      </c>
      <c r="Q115" s="55">
        <v>0.0</v>
      </c>
      <c r="R115" s="55">
        <v>10462.0</v>
      </c>
      <c r="S115" s="55">
        <v>0.0</v>
      </c>
      <c r="T115" s="55">
        <v>0.0</v>
      </c>
      <c r="U115" s="55">
        <v>0.0</v>
      </c>
      <c r="V115" s="55">
        <v>0.0</v>
      </c>
      <c r="W115" s="55">
        <v>0.0</v>
      </c>
      <c r="X115" s="55">
        <v>0.0</v>
      </c>
      <c r="Y115" s="55">
        <v>0.0</v>
      </c>
      <c r="Z115" s="55">
        <v>0.0</v>
      </c>
      <c r="AA115" s="55">
        <v>0.0</v>
      </c>
      <c r="AB115" s="55">
        <v>0.0</v>
      </c>
      <c r="AC115" s="55">
        <v>0.0</v>
      </c>
      <c r="AD115" s="55">
        <v>0.0</v>
      </c>
      <c r="AE115" s="55">
        <v>0.0</v>
      </c>
      <c r="AF115" s="55">
        <v>0.0</v>
      </c>
    </row>
    <row r="116">
      <c r="A116" s="56">
        <v>46111.0</v>
      </c>
      <c r="B116" s="55" t="s">
        <v>88</v>
      </c>
      <c r="C116" s="55" t="s">
        <v>165</v>
      </c>
      <c r="D116" s="55">
        <v>20.0</v>
      </c>
      <c r="E116" s="55">
        <v>15.0</v>
      </c>
      <c r="F116" s="55">
        <v>16.0</v>
      </c>
      <c r="G116" s="55">
        <v>12.0</v>
      </c>
      <c r="H116" s="55">
        <v>14.0</v>
      </c>
      <c r="I116" s="55">
        <v>2.0</v>
      </c>
      <c r="J116" s="55">
        <v>12.0</v>
      </c>
      <c r="K116" s="55">
        <v>7.0</v>
      </c>
      <c r="L116" s="55">
        <v>7.0</v>
      </c>
      <c r="M116" s="55">
        <v>7.0</v>
      </c>
      <c r="N116" s="55">
        <v>8.0</v>
      </c>
      <c r="O116" s="55">
        <v>3.0</v>
      </c>
      <c r="P116" s="55">
        <v>8.0</v>
      </c>
      <c r="Q116" s="55">
        <v>0.0</v>
      </c>
      <c r="R116" s="55">
        <v>41492.0</v>
      </c>
      <c r="S116" s="55">
        <v>30309.0</v>
      </c>
      <c r="T116" s="55">
        <v>2.69972222222222</v>
      </c>
      <c r="U116" s="55">
        <v>2.47111111111111</v>
      </c>
      <c r="V116" s="55">
        <v>1.88138888888888</v>
      </c>
      <c r="W116" s="55">
        <v>2.23527777777777</v>
      </c>
      <c r="X116" s="55">
        <v>0.353888888888888</v>
      </c>
      <c r="Y116" s="55">
        <v>1.92611111111111</v>
      </c>
      <c r="Z116" s="55">
        <v>1.16388888888888</v>
      </c>
      <c r="AA116" s="55">
        <v>1.16388888888888</v>
      </c>
      <c r="AB116" s="55">
        <v>1.16388888888888</v>
      </c>
      <c r="AC116" s="55">
        <v>1.38916666666666</v>
      </c>
      <c r="AD116" s="55">
        <v>0.569166666666666</v>
      </c>
      <c r="AE116" s="55">
        <v>1.38916666666666</v>
      </c>
      <c r="AF116" s="55">
        <v>15.0</v>
      </c>
    </row>
    <row r="117">
      <c r="A117" s="56">
        <v>46111.0</v>
      </c>
      <c r="B117" s="55" t="s">
        <v>82</v>
      </c>
      <c r="C117" s="55" t="s">
        <v>167</v>
      </c>
      <c r="D117" s="55">
        <v>8.0</v>
      </c>
      <c r="E117" s="55">
        <v>5.0</v>
      </c>
      <c r="F117" s="55">
        <v>7.0</v>
      </c>
      <c r="G117" s="55">
        <v>6.0</v>
      </c>
      <c r="H117" s="55">
        <v>6.0</v>
      </c>
      <c r="I117" s="55">
        <v>0.0</v>
      </c>
      <c r="J117" s="55">
        <v>6.0</v>
      </c>
      <c r="K117" s="55">
        <v>0.0</v>
      </c>
      <c r="L117" s="55">
        <v>0.0</v>
      </c>
      <c r="M117" s="55">
        <v>10.0</v>
      </c>
      <c r="N117" s="55">
        <v>10.0</v>
      </c>
      <c r="O117" s="55">
        <v>5.0</v>
      </c>
      <c r="P117" s="55">
        <v>10.0</v>
      </c>
      <c r="Q117" s="55">
        <v>0.0</v>
      </c>
      <c r="R117" s="55">
        <v>18803.0</v>
      </c>
      <c r="S117" s="55">
        <v>11309.0</v>
      </c>
      <c r="T117" s="55">
        <v>1.87722222222222</v>
      </c>
      <c r="U117" s="55">
        <v>1.87722222222222</v>
      </c>
      <c r="V117" s="55">
        <v>1.62944444444444</v>
      </c>
      <c r="W117" s="55">
        <v>1.62944444444444</v>
      </c>
      <c r="X117" s="55">
        <v>0.0</v>
      </c>
      <c r="Y117" s="55">
        <v>1.62944444444444</v>
      </c>
      <c r="Z117" s="55">
        <v>0.0</v>
      </c>
      <c r="AA117" s="55">
        <v>0.0</v>
      </c>
      <c r="AB117" s="55">
        <v>2.62444444444444</v>
      </c>
      <c r="AC117" s="55">
        <v>2.62444444444444</v>
      </c>
      <c r="AD117" s="55">
        <v>1.365</v>
      </c>
      <c r="AE117" s="55">
        <v>2.62444444444444</v>
      </c>
      <c r="AF117" s="55">
        <v>7.0</v>
      </c>
    </row>
    <row r="118">
      <c r="A118" s="56">
        <v>46111.0</v>
      </c>
      <c r="B118" s="55" t="s">
        <v>24</v>
      </c>
      <c r="C118" s="55" t="s">
        <v>161</v>
      </c>
      <c r="D118" s="55">
        <v>30.0</v>
      </c>
      <c r="E118" s="55">
        <v>34.0</v>
      </c>
      <c r="F118" s="55">
        <v>8.0</v>
      </c>
      <c r="G118" s="55">
        <v>9.0</v>
      </c>
      <c r="H118" s="55">
        <v>31.0</v>
      </c>
      <c r="I118" s="55">
        <v>22.0</v>
      </c>
      <c r="J118" s="55">
        <v>31.0</v>
      </c>
      <c r="K118" s="55">
        <v>3.0</v>
      </c>
      <c r="L118" s="55">
        <v>3.0</v>
      </c>
      <c r="M118" s="55">
        <v>28.0</v>
      </c>
      <c r="N118" s="55">
        <v>28.0</v>
      </c>
      <c r="O118" s="55">
        <v>7.0</v>
      </c>
      <c r="P118" s="55">
        <v>28.0</v>
      </c>
      <c r="Q118" s="55">
        <v>0.0</v>
      </c>
      <c r="R118" s="55">
        <v>67365.0</v>
      </c>
      <c r="S118" s="55">
        <v>76860.0</v>
      </c>
      <c r="T118" s="55">
        <v>5.92722222222222</v>
      </c>
      <c r="U118" s="55">
        <v>1.56166666666666</v>
      </c>
      <c r="V118" s="55">
        <v>1.79166666666666</v>
      </c>
      <c r="W118" s="55">
        <v>6.20722222222222</v>
      </c>
      <c r="X118" s="55">
        <v>4.41555555555555</v>
      </c>
      <c r="Y118" s="55">
        <v>6.27305555555555</v>
      </c>
      <c r="Z118" s="55">
        <v>0.608333333333333</v>
      </c>
      <c r="AA118" s="55">
        <v>0.608333333333333</v>
      </c>
      <c r="AB118" s="55">
        <v>5.66694444444444</v>
      </c>
      <c r="AC118" s="55">
        <v>5.66694444444444</v>
      </c>
      <c r="AD118" s="55">
        <v>1.39361111111111</v>
      </c>
      <c r="AE118" s="55">
        <v>5.66694444444444</v>
      </c>
      <c r="AF118" s="55">
        <v>30.0</v>
      </c>
    </row>
    <row r="119">
      <c r="A119" s="56">
        <v>46111.0</v>
      </c>
      <c r="B119" s="55" t="s">
        <v>60</v>
      </c>
      <c r="C119" s="55" t="s">
        <v>61</v>
      </c>
      <c r="D119" s="55">
        <v>14.0</v>
      </c>
      <c r="E119" s="55">
        <v>22.0</v>
      </c>
      <c r="F119" s="55">
        <v>0.0</v>
      </c>
      <c r="G119" s="55">
        <v>0.0</v>
      </c>
      <c r="H119" s="55">
        <v>13.0</v>
      </c>
      <c r="I119" s="55">
        <v>13.0</v>
      </c>
      <c r="J119" s="55">
        <v>14.0</v>
      </c>
      <c r="K119" s="55">
        <v>4.0</v>
      </c>
      <c r="L119" s="55">
        <v>0.0</v>
      </c>
      <c r="M119" s="55">
        <v>13.0</v>
      </c>
      <c r="N119" s="55">
        <v>13.0</v>
      </c>
      <c r="O119" s="55">
        <v>6.0</v>
      </c>
      <c r="P119" s="55">
        <v>13.0</v>
      </c>
      <c r="Q119" s="55">
        <v>0.0</v>
      </c>
      <c r="R119" s="55">
        <v>35431.0</v>
      </c>
      <c r="S119" s="55">
        <v>50038.0</v>
      </c>
      <c r="T119" s="55">
        <v>3.32388888888888</v>
      </c>
      <c r="U119" s="55">
        <v>0.0</v>
      </c>
      <c r="V119" s="55">
        <v>0.0</v>
      </c>
      <c r="W119" s="55">
        <v>2.91472222222222</v>
      </c>
      <c r="X119" s="55">
        <v>2.91472222222222</v>
      </c>
      <c r="Y119" s="55">
        <v>3.14333333333333</v>
      </c>
      <c r="Z119" s="55">
        <v>0.867777777777777</v>
      </c>
      <c r="AA119" s="55">
        <v>0.0</v>
      </c>
      <c r="AB119" s="55">
        <v>2.8975</v>
      </c>
      <c r="AC119" s="55">
        <v>2.8975</v>
      </c>
      <c r="AD119" s="55">
        <v>1.46333333333333</v>
      </c>
      <c r="AE119" s="55">
        <v>2.8975</v>
      </c>
      <c r="AF119" s="55">
        <v>15.0</v>
      </c>
    </row>
    <row r="120">
      <c r="A120" s="56">
        <v>46111.0</v>
      </c>
      <c r="B120" s="55" t="s">
        <v>86</v>
      </c>
      <c r="C120" s="55" t="s">
        <v>162</v>
      </c>
      <c r="D120" s="55">
        <v>1.0</v>
      </c>
      <c r="E120" s="55">
        <v>1.0</v>
      </c>
      <c r="F120" s="55">
        <v>0.0</v>
      </c>
      <c r="G120" s="55">
        <v>0.0</v>
      </c>
      <c r="H120" s="55">
        <v>0.0</v>
      </c>
      <c r="I120" s="55">
        <v>0.0</v>
      </c>
      <c r="J120" s="55">
        <v>0.0</v>
      </c>
      <c r="K120" s="55">
        <v>0.0</v>
      </c>
      <c r="L120" s="55">
        <v>0.0</v>
      </c>
      <c r="M120" s="55">
        <v>0.0</v>
      </c>
      <c r="N120" s="55">
        <v>0.0</v>
      </c>
      <c r="O120" s="55">
        <v>0.0</v>
      </c>
      <c r="P120" s="55">
        <v>0.0</v>
      </c>
      <c r="Q120" s="55">
        <v>0.0</v>
      </c>
      <c r="R120" s="55">
        <v>3317.0</v>
      </c>
      <c r="S120" s="55">
        <v>3317.0</v>
      </c>
      <c r="T120" s="55">
        <v>0.0</v>
      </c>
      <c r="U120" s="55">
        <v>0.0</v>
      </c>
      <c r="V120" s="55">
        <v>0.0</v>
      </c>
      <c r="W120" s="55">
        <v>0.0</v>
      </c>
      <c r="X120" s="55">
        <v>0.0</v>
      </c>
      <c r="Y120" s="55">
        <v>0.0</v>
      </c>
      <c r="Z120" s="55">
        <v>0.0</v>
      </c>
      <c r="AA120" s="55">
        <v>0.0</v>
      </c>
      <c r="AB120" s="55">
        <v>0.0</v>
      </c>
      <c r="AC120" s="55">
        <v>0.0</v>
      </c>
      <c r="AD120" s="55">
        <v>0.0</v>
      </c>
      <c r="AE120" s="55">
        <v>0.0</v>
      </c>
      <c r="AF120" s="55">
        <v>0.0</v>
      </c>
    </row>
    <row r="121">
      <c r="A121" s="56">
        <v>46104.0</v>
      </c>
      <c r="B121" s="55" t="s">
        <v>77</v>
      </c>
      <c r="C121" s="55" t="s">
        <v>148</v>
      </c>
      <c r="D121" s="55">
        <v>0.0</v>
      </c>
      <c r="E121" s="55">
        <v>0.0</v>
      </c>
      <c r="F121" s="55">
        <v>3.0</v>
      </c>
      <c r="G121" s="55">
        <v>3.0</v>
      </c>
      <c r="H121" s="55">
        <v>4.0</v>
      </c>
      <c r="I121" s="55">
        <v>1.0</v>
      </c>
      <c r="J121" s="55">
        <v>4.0</v>
      </c>
      <c r="K121" s="55">
        <v>8.0</v>
      </c>
      <c r="L121" s="55">
        <v>8.0</v>
      </c>
      <c r="M121" s="55">
        <v>8.0</v>
      </c>
      <c r="N121" s="55">
        <v>8.0</v>
      </c>
      <c r="O121" s="55">
        <v>4.0</v>
      </c>
      <c r="P121" s="55">
        <v>8.0</v>
      </c>
      <c r="Q121" s="55">
        <v>0.0</v>
      </c>
      <c r="R121" s="55">
        <v>0.0</v>
      </c>
      <c r="S121" s="55">
        <v>0.0</v>
      </c>
      <c r="T121" s="55">
        <v>0.376944444444444</v>
      </c>
      <c r="U121" s="55">
        <v>0.552777777777777</v>
      </c>
      <c r="V121" s="55">
        <v>0.548055555555555</v>
      </c>
      <c r="W121" s="55">
        <v>0.743055555555555</v>
      </c>
      <c r="X121" s="55">
        <v>0.195</v>
      </c>
      <c r="Y121" s="55">
        <v>0.742222222222222</v>
      </c>
      <c r="Z121" s="55">
        <v>1.45555555555555</v>
      </c>
      <c r="AA121" s="55">
        <v>1.45555555555555</v>
      </c>
      <c r="AB121" s="55">
        <v>1.45555555555555</v>
      </c>
      <c r="AC121" s="55">
        <v>1.45555555555555</v>
      </c>
      <c r="AD121" s="55">
        <v>0.801666666666666</v>
      </c>
      <c r="AE121" s="55">
        <v>1.45555555555555</v>
      </c>
      <c r="AF121" s="55">
        <v>2.0</v>
      </c>
    </row>
    <row r="122">
      <c r="A122" s="56">
        <v>46104.0</v>
      </c>
      <c r="B122" s="55" t="s">
        <v>95</v>
      </c>
      <c r="C122" s="55" t="s">
        <v>164</v>
      </c>
      <c r="D122" s="55">
        <v>9.0</v>
      </c>
      <c r="E122" s="55">
        <v>9.0</v>
      </c>
      <c r="F122" s="55">
        <v>0.0</v>
      </c>
      <c r="G122" s="55">
        <v>0.0</v>
      </c>
      <c r="H122" s="55">
        <v>0.0</v>
      </c>
      <c r="I122" s="55">
        <v>0.0</v>
      </c>
      <c r="J122" s="55">
        <v>0.0</v>
      </c>
      <c r="K122" s="55">
        <v>0.0</v>
      </c>
      <c r="L122" s="55">
        <v>0.0</v>
      </c>
      <c r="M122" s="55">
        <v>0.0</v>
      </c>
      <c r="N122" s="55">
        <v>0.0</v>
      </c>
      <c r="O122" s="55">
        <v>0.0</v>
      </c>
      <c r="P122" s="55">
        <v>0.0</v>
      </c>
      <c r="Q122" s="55">
        <v>0.0</v>
      </c>
      <c r="R122" s="55">
        <v>19275.0</v>
      </c>
      <c r="S122" s="55">
        <v>19275.0</v>
      </c>
      <c r="T122" s="55">
        <v>0.257222222222222</v>
      </c>
      <c r="U122" s="55">
        <v>0.0</v>
      </c>
      <c r="V122" s="55">
        <v>0.0</v>
      </c>
      <c r="W122" s="55">
        <v>0.0</v>
      </c>
      <c r="X122" s="55">
        <v>0.0</v>
      </c>
      <c r="Y122" s="55">
        <v>0.0</v>
      </c>
      <c r="Z122" s="55">
        <v>0.0</v>
      </c>
      <c r="AA122" s="55">
        <v>0.0</v>
      </c>
      <c r="AB122" s="55">
        <v>0.0</v>
      </c>
      <c r="AC122" s="55">
        <v>0.0</v>
      </c>
      <c r="AD122" s="55">
        <v>0.0</v>
      </c>
      <c r="AE122" s="55">
        <v>0.0</v>
      </c>
      <c r="AF122" s="55">
        <v>1.0</v>
      </c>
    </row>
    <row r="123">
      <c r="A123" s="56">
        <v>46104.0</v>
      </c>
      <c r="B123" s="55" t="s">
        <v>69</v>
      </c>
      <c r="C123" s="55" t="s">
        <v>149</v>
      </c>
      <c r="D123" s="55">
        <v>11.0</v>
      </c>
      <c r="E123" s="55">
        <v>14.0</v>
      </c>
      <c r="F123" s="55">
        <v>15.0</v>
      </c>
      <c r="G123" s="55">
        <v>10.0</v>
      </c>
      <c r="H123" s="55">
        <v>13.0</v>
      </c>
      <c r="I123" s="55">
        <v>2.0</v>
      </c>
      <c r="J123" s="55">
        <v>12.0</v>
      </c>
      <c r="K123" s="55">
        <v>10.0</v>
      </c>
      <c r="L123" s="55">
        <v>1.0</v>
      </c>
      <c r="M123" s="55">
        <v>13.0</v>
      </c>
      <c r="N123" s="55">
        <v>14.0</v>
      </c>
      <c r="O123" s="55">
        <v>7.0</v>
      </c>
      <c r="P123" s="55">
        <v>14.0</v>
      </c>
      <c r="Q123" s="55">
        <v>0.0</v>
      </c>
      <c r="R123" s="55">
        <v>29462.0</v>
      </c>
      <c r="S123" s="55">
        <v>37711.0</v>
      </c>
      <c r="T123" s="55">
        <v>4.2825</v>
      </c>
      <c r="U123" s="55">
        <v>3.79944444444444</v>
      </c>
      <c r="V123" s="55">
        <v>2.53805555555555</v>
      </c>
      <c r="W123" s="55">
        <v>3.26805555555555</v>
      </c>
      <c r="X123" s="55">
        <v>0.483055555555555</v>
      </c>
      <c r="Y123" s="55">
        <v>3.02861111111111</v>
      </c>
      <c r="Z123" s="55">
        <v>2.54472222222222</v>
      </c>
      <c r="AA123" s="55">
        <v>0.2675</v>
      </c>
      <c r="AB123" s="55">
        <v>3.26666666666666</v>
      </c>
      <c r="AC123" s="55">
        <v>3.51361111111111</v>
      </c>
      <c r="AD123" s="55">
        <v>1.92861111111111</v>
      </c>
      <c r="AE123" s="55">
        <v>3.51361111111111</v>
      </c>
      <c r="AF123" s="55">
        <v>17.0</v>
      </c>
    </row>
    <row r="124">
      <c r="A124" s="56">
        <v>46104.0</v>
      </c>
      <c r="B124" s="55" t="s">
        <v>74</v>
      </c>
      <c r="C124" s="55" t="s">
        <v>150</v>
      </c>
      <c r="D124" s="55">
        <v>20.0</v>
      </c>
      <c r="E124" s="55">
        <v>13.0</v>
      </c>
      <c r="F124" s="55">
        <v>19.0</v>
      </c>
      <c r="G124" s="55">
        <v>18.0</v>
      </c>
      <c r="H124" s="55">
        <v>21.0</v>
      </c>
      <c r="I124" s="55">
        <v>3.0</v>
      </c>
      <c r="J124" s="55">
        <v>15.0</v>
      </c>
      <c r="K124" s="55">
        <v>13.0</v>
      </c>
      <c r="L124" s="55">
        <v>10.0</v>
      </c>
      <c r="M124" s="55">
        <v>20.0</v>
      </c>
      <c r="N124" s="55">
        <v>23.0</v>
      </c>
      <c r="O124" s="55">
        <v>6.0</v>
      </c>
      <c r="P124" s="55">
        <v>23.0</v>
      </c>
      <c r="Q124" s="55">
        <v>0.0</v>
      </c>
      <c r="R124" s="55">
        <v>55299.0</v>
      </c>
      <c r="S124" s="55">
        <v>34641.0</v>
      </c>
      <c r="T124" s="55">
        <v>5.91638888888888</v>
      </c>
      <c r="U124" s="55">
        <v>5.29694444444444</v>
      </c>
      <c r="V124" s="55">
        <v>5.05805555555555</v>
      </c>
      <c r="W124" s="55">
        <v>5.95472222222222</v>
      </c>
      <c r="X124" s="55">
        <v>0.896666666666666</v>
      </c>
      <c r="Y124" s="55">
        <v>4.30888888888888</v>
      </c>
      <c r="Z124" s="55">
        <v>3.5975</v>
      </c>
      <c r="AA124" s="55">
        <v>2.82166666666666</v>
      </c>
      <c r="AB124" s="55">
        <v>5.54305555555555</v>
      </c>
      <c r="AC124" s="55">
        <v>6.34916666666666</v>
      </c>
      <c r="AD124" s="55">
        <v>1.43222222222222</v>
      </c>
      <c r="AE124" s="55">
        <v>6.34916666666666</v>
      </c>
      <c r="AF124" s="55">
        <v>21.0</v>
      </c>
    </row>
    <row r="125">
      <c r="A125" s="56">
        <v>46104.0</v>
      </c>
      <c r="B125" s="55" t="s">
        <v>101</v>
      </c>
      <c r="C125" s="55" t="s">
        <v>151</v>
      </c>
      <c r="D125" s="55">
        <v>16.0</v>
      </c>
      <c r="E125" s="55">
        <v>20.0</v>
      </c>
      <c r="F125" s="55">
        <v>6.0</v>
      </c>
      <c r="G125" s="55">
        <v>4.0</v>
      </c>
      <c r="H125" s="55">
        <v>21.0</v>
      </c>
      <c r="I125" s="55">
        <v>11.0</v>
      </c>
      <c r="J125" s="55">
        <v>12.0</v>
      </c>
      <c r="K125" s="55">
        <v>5.0</v>
      </c>
      <c r="L125" s="55">
        <v>3.0</v>
      </c>
      <c r="M125" s="55">
        <v>10.0</v>
      </c>
      <c r="N125" s="55">
        <v>10.0</v>
      </c>
      <c r="O125" s="55">
        <v>5.0</v>
      </c>
      <c r="P125" s="55">
        <v>10.0</v>
      </c>
      <c r="Q125" s="55">
        <v>0.0</v>
      </c>
      <c r="R125" s="55">
        <v>34964.0</v>
      </c>
      <c r="S125" s="55">
        <v>46431.0</v>
      </c>
      <c r="T125" s="55">
        <v>4.06305555555555</v>
      </c>
      <c r="U125" s="55">
        <v>1.30888888888888</v>
      </c>
      <c r="V125" s="55">
        <v>0.854166666666666</v>
      </c>
      <c r="W125" s="55">
        <v>4.33666666666666</v>
      </c>
      <c r="X125" s="55">
        <v>2.2525</v>
      </c>
      <c r="Y125" s="55">
        <v>2.5225</v>
      </c>
      <c r="Z125" s="55">
        <v>0.997499999999999</v>
      </c>
      <c r="AA125" s="55">
        <v>0.589166666666666</v>
      </c>
      <c r="AB125" s="55">
        <v>2.08361111111111</v>
      </c>
      <c r="AC125" s="55">
        <v>2.08361111111111</v>
      </c>
      <c r="AD125" s="55">
        <v>1.05555555555555</v>
      </c>
      <c r="AE125" s="55">
        <v>2.08361111111111</v>
      </c>
      <c r="AF125" s="55">
        <v>20.0</v>
      </c>
    </row>
    <row r="126">
      <c r="A126" s="56">
        <v>46104.0</v>
      </c>
      <c r="B126" s="55" t="s">
        <v>30</v>
      </c>
      <c r="C126" s="55" t="s">
        <v>153</v>
      </c>
      <c r="D126" s="55">
        <v>34.0</v>
      </c>
      <c r="E126" s="55">
        <v>24.0</v>
      </c>
      <c r="F126" s="55">
        <v>7.0</v>
      </c>
      <c r="G126" s="55">
        <v>0.0</v>
      </c>
      <c r="H126" s="55">
        <v>20.0</v>
      </c>
      <c r="I126" s="55">
        <v>13.0</v>
      </c>
      <c r="J126" s="55">
        <v>20.0</v>
      </c>
      <c r="K126" s="55">
        <v>2.0</v>
      </c>
      <c r="L126" s="55">
        <v>0.0</v>
      </c>
      <c r="M126" s="55">
        <v>20.0</v>
      </c>
      <c r="N126" s="55">
        <v>20.0</v>
      </c>
      <c r="O126" s="55">
        <v>5.0</v>
      </c>
      <c r="P126" s="55">
        <v>20.0</v>
      </c>
      <c r="Q126" s="55">
        <v>0.0</v>
      </c>
      <c r="R126" s="55">
        <v>79712.0</v>
      </c>
      <c r="S126" s="55">
        <v>58047.0</v>
      </c>
      <c r="T126" s="55">
        <v>4.72194444444444</v>
      </c>
      <c r="U126" s="55">
        <v>1.645</v>
      </c>
      <c r="V126" s="55">
        <v>0.0</v>
      </c>
      <c r="W126" s="55">
        <v>4.70805555555555</v>
      </c>
      <c r="X126" s="55">
        <v>3.06527777777777</v>
      </c>
      <c r="Y126" s="55">
        <v>4.70611111111111</v>
      </c>
      <c r="Z126" s="55">
        <v>0.501388888888888</v>
      </c>
      <c r="AA126" s="55">
        <v>0.0</v>
      </c>
      <c r="AB126" s="55">
        <v>4.69472222222222</v>
      </c>
      <c r="AC126" s="55">
        <v>4.69472222222222</v>
      </c>
      <c r="AD126" s="55">
        <v>1.03666666666666</v>
      </c>
      <c r="AE126" s="55">
        <v>4.69472222222222</v>
      </c>
      <c r="AF126" s="55">
        <v>20.0</v>
      </c>
    </row>
    <row r="127">
      <c r="A127" s="56">
        <v>46104.0</v>
      </c>
      <c r="B127" s="55" t="s">
        <v>90</v>
      </c>
      <c r="C127" s="55" t="s">
        <v>163</v>
      </c>
      <c r="D127" s="55">
        <v>8.0</v>
      </c>
      <c r="E127" s="55">
        <v>0.0</v>
      </c>
      <c r="F127" s="55">
        <v>1.0</v>
      </c>
      <c r="G127" s="55">
        <v>0.0</v>
      </c>
      <c r="H127" s="55">
        <v>0.0</v>
      </c>
      <c r="I127" s="55">
        <v>0.0</v>
      </c>
      <c r="J127" s="55">
        <v>0.0</v>
      </c>
      <c r="K127" s="55">
        <v>0.0</v>
      </c>
      <c r="L127" s="55">
        <v>0.0</v>
      </c>
      <c r="M127" s="55">
        <v>0.0</v>
      </c>
      <c r="N127" s="55">
        <v>0.0</v>
      </c>
      <c r="O127" s="55">
        <v>0.0</v>
      </c>
      <c r="P127" s="55">
        <v>0.0</v>
      </c>
      <c r="Q127" s="55">
        <v>0.0</v>
      </c>
      <c r="R127" s="55">
        <v>16701.0</v>
      </c>
      <c r="S127" s="55">
        <v>0.0</v>
      </c>
      <c r="T127" s="55">
        <v>0.271388888888888</v>
      </c>
      <c r="U127" s="55">
        <v>0.271388888888888</v>
      </c>
      <c r="V127" s="55">
        <v>0.0</v>
      </c>
      <c r="W127" s="55">
        <v>0.0</v>
      </c>
      <c r="X127" s="55">
        <v>0.0</v>
      </c>
      <c r="Y127" s="55">
        <v>0.0</v>
      </c>
      <c r="Z127" s="55">
        <v>0.0</v>
      </c>
      <c r="AA127" s="55">
        <v>0.0</v>
      </c>
      <c r="AB127" s="55">
        <v>0.0</v>
      </c>
      <c r="AC127" s="55">
        <v>0.0</v>
      </c>
      <c r="AD127" s="55">
        <v>0.0</v>
      </c>
      <c r="AE127" s="55">
        <v>0.0</v>
      </c>
      <c r="AF127" s="55">
        <v>1.0</v>
      </c>
    </row>
    <row r="128">
      <c r="A128" s="56">
        <v>46104.0</v>
      </c>
      <c r="B128" s="55" t="s">
        <v>63</v>
      </c>
      <c r="C128" s="55" t="s">
        <v>157</v>
      </c>
      <c r="D128" s="55">
        <v>0.0</v>
      </c>
      <c r="E128" s="55">
        <v>0.0</v>
      </c>
      <c r="F128" s="55">
        <v>7.0</v>
      </c>
      <c r="G128" s="55">
        <v>7.0</v>
      </c>
      <c r="H128" s="55">
        <v>17.0</v>
      </c>
      <c r="I128" s="55">
        <v>7.0</v>
      </c>
      <c r="J128" s="55">
        <v>15.0</v>
      </c>
      <c r="K128" s="55">
        <v>17.0</v>
      </c>
      <c r="L128" s="55">
        <v>9.0</v>
      </c>
      <c r="M128" s="55">
        <v>15.0</v>
      </c>
      <c r="N128" s="55">
        <v>14.0</v>
      </c>
      <c r="O128" s="55">
        <v>7.0</v>
      </c>
      <c r="P128" s="55">
        <v>14.0</v>
      </c>
      <c r="Q128" s="55">
        <v>0.0</v>
      </c>
      <c r="R128" s="55">
        <v>0.0</v>
      </c>
      <c r="S128" s="55">
        <v>0.0</v>
      </c>
      <c r="T128" s="55">
        <v>2.71</v>
      </c>
      <c r="U128" s="55">
        <v>1.82861111111111</v>
      </c>
      <c r="V128" s="55">
        <v>1.75916666666666</v>
      </c>
      <c r="W128" s="55">
        <v>4.25611111111111</v>
      </c>
      <c r="X128" s="55">
        <v>1.70055555555555</v>
      </c>
      <c r="Y128" s="55">
        <v>3.76222222222222</v>
      </c>
      <c r="Z128" s="55">
        <v>4.30194444444444</v>
      </c>
      <c r="AA128" s="55">
        <v>2.32583333333333</v>
      </c>
      <c r="AB128" s="55">
        <v>3.80944444444444</v>
      </c>
      <c r="AC128" s="55">
        <v>3.56888888888888</v>
      </c>
      <c r="AD128" s="55">
        <v>2.10861111111111</v>
      </c>
      <c r="AE128" s="55">
        <v>3.56888888888888</v>
      </c>
      <c r="AF128" s="55">
        <v>11.0</v>
      </c>
    </row>
    <row r="129">
      <c r="A129" s="56">
        <v>46104.0</v>
      </c>
      <c r="B129" s="55" t="s">
        <v>35</v>
      </c>
      <c r="C129" s="55" t="s">
        <v>158</v>
      </c>
      <c r="D129" s="55">
        <v>15.0</v>
      </c>
      <c r="E129" s="55">
        <v>18.0</v>
      </c>
      <c r="F129" s="55">
        <v>8.0</v>
      </c>
      <c r="G129" s="55">
        <v>8.0</v>
      </c>
      <c r="H129" s="55">
        <v>9.0</v>
      </c>
      <c r="I129" s="55">
        <v>1.0</v>
      </c>
      <c r="J129" s="55">
        <v>11.0</v>
      </c>
      <c r="K129" s="55">
        <v>9.0</v>
      </c>
      <c r="L129" s="55">
        <v>2.0</v>
      </c>
      <c r="M129" s="55">
        <v>14.0</v>
      </c>
      <c r="N129" s="55">
        <v>13.0</v>
      </c>
      <c r="O129" s="55">
        <v>6.0</v>
      </c>
      <c r="P129" s="55">
        <v>13.0</v>
      </c>
      <c r="Q129" s="55">
        <v>0.0</v>
      </c>
      <c r="R129" s="55">
        <v>37186.0</v>
      </c>
      <c r="S129" s="55">
        <v>44989.0</v>
      </c>
      <c r="T129" s="55">
        <v>3.46472222222222</v>
      </c>
      <c r="U129" s="55">
        <v>2.40222222222222</v>
      </c>
      <c r="V129" s="55">
        <v>2.36666666666666</v>
      </c>
      <c r="W129" s="55">
        <v>2.66111111111111</v>
      </c>
      <c r="X129" s="55">
        <v>0.294444444444444</v>
      </c>
      <c r="Y129" s="55">
        <v>3.18916666666666</v>
      </c>
      <c r="Z129" s="55">
        <v>2.66111111111111</v>
      </c>
      <c r="AA129" s="55">
        <v>0.626111111111111</v>
      </c>
      <c r="AB129" s="55">
        <v>4.03833333333333</v>
      </c>
      <c r="AC129" s="55">
        <v>3.74388888888888</v>
      </c>
      <c r="AD129" s="55">
        <v>1.61333333333333</v>
      </c>
      <c r="AE129" s="55">
        <v>3.74388888888888</v>
      </c>
      <c r="AF129" s="55">
        <v>12.0</v>
      </c>
    </row>
    <row r="130">
      <c r="A130" s="56">
        <v>46104.0</v>
      </c>
      <c r="B130" s="55" t="s">
        <v>88</v>
      </c>
      <c r="C130" s="55" t="s">
        <v>165</v>
      </c>
      <c r="D130" s="55">
        <v>0.0</v>
      </c>
      <c r="E130" s="55">
        <v>7.0</v>
      </c>
      <c r="F130" s="55">
        <v>0.0</v>
      </c>
      <c r="G130" s="55">
        <v>0.0</v>
      </c>
      <c r="H130" s="55">
        <v>1.0</v>
      </c>
      <c r="I130" s="55">
        <v>1.0</v>
      </c>
      <c r="J130" s="55">
        <v>1.0</v>
      </c>
      <c r="K130" s="55">
        <v>1.0</v>
      </c>
      <c r="L130" s="55">
        <v>1.0</v>
      </c>
      <c r="M130" s="55">
        <v>1.0</v>
      </c>
      <c r="N130" s="55">
        <v>0.0</v>
      </c>
      <c r="O130" s="55">
        <v>0.0</v>
      </c>
      <c r="P130" s="55">
        <v>0.0</v>
      </c>
      <c r="Q130" s="55">
        <v>0.0</v>
      </c>
      <c r="R130" s="55">
        <v>0.0</v>
      </c>
      <c r="S130" s="55">
        <v>12307.0</v>
      </c>
      <c r="T130" s="55">
        <v>2.47527777777777</v>
      </c>
      <c r="U130" s="55">
        <v>0.0</v>
      </c>
      <c r="V130" s="55">
        <v>0.0</v>
      </c>
      <c r="W130" s="55">
        <v>0.221944444444444</v>
      </c>
      <c r="X130" s="55">
        <v>0.221944444444444</v>
      </c>
      <c r="Y130" s="55">
        <v>0.223611111111111</v>
      </c>
      <c r="Z130" s="55">
        <v>0.223611111111111</v>
      </c>
      <c r="AA130" s="55">
        <v>0.223611111111111</v>
      </c>
      <c r="AB130" s="55">
        <v>0.225277777777777</v>
      </c>
      <c r="AC130" s="55">
        <v>0.0</v>
      </c>
      <c r="AD130" s="55">
        <v>0.0</v>
      </c>
      <c r="AE130" s="55">
        <v>0.0</v>
      </c>
      <c r="AF130" s="55">
        <v>15.0</v>
      </c>
    </row>
    <row r="131">
      <c r="A131" s="56">
        <v>46104.0</v>
      </c>
      <c r="B131" s="55" t="s">
        <v>82</v>
      </c>
      <c r="C131" s="55" t="s">
        <v>167</v>
      </c>
      <c r="D131" s="55">
        <v>10.0</v>
      </c>
      <c r="E131" s="55">
        <v>9.0</v>
      </c>
      <c r="F131" s="55">
        <v>14.0</v>
      </c>
      <c r="G131" s="55">
        <v>14.0</v>
      </c>
      <c r="H131" s="55">
        <v>14.0</v>
      </c>
      <c r="I131" s="55">
        <v>1.0</v>
      </c>
      <c r="J131" s="55">
        <v>14.0</v>
      </c>
      <c r="K131" s="55">
        <v>2.0</v>
      </c>
      <c r="L131" s="55">
        <v>1.0</v>
      </c>
      <c r="M131" s="55">
        <v>14.0</v>
      </c>
      <c r="N131" s="55">
        <v>14.0</v>
      </c>
      <c r="O131" s="55">
        <v>7.0</v>
      </c>
      <c r="P131" s="55">
        <v>14.0</v>
      </c>
      <c r="Q131" s="55">
        <v>0.0</v>
      </c>
      <c r="R131" s="55">
        <v>23340.0</v>
      </c>
      <c r="S131" s="55">
        <v>21172.0</v>
      </c>
      <c r="T131" s="55">
        <v>2.03111111111111</v>
      </c>
      <c r="U131" s="55">
        <v>3.46666666666666</v>
      </c>
      <c r="V131" s="55">
        <v>3.40444444444444</v>
      </c>
      <c r="W131" s="55">
        <v>3.40444444444444</v>
      </c>
      <c r="X131" s="55">
        <v>0.236111111111111</v>
      </c>
      <c r="Y131" s="55">
        <v>3.39916666666666</v>
      </c>
      <c r="Z131" s="55">
        <v>0.503055555555555</v>
      </c>
      <c r="AA131" s="55">
        <v>0.246111111111111</v>
      </c>
      <c r="AB131" s="55">
        <v>3.52305555555555</v>
      </c>
      <c r="AC131" s="55">
        <v>3.52305555555555</v>
      </c>
      <c r="AD131" s="55">
        <v>2.00361111111111</v>
      </c>
      <c r="AE131" s="55">
        <v>3.52305555555555</v>
      </c>
      <c r="AF131" s="55">
        <v>8.0</v>
      </c>
    </row>
    <row r="132">
      <c r="A132" s="56">
        <v>46104.0</v>
      </c>
      <c r="B132" s="55" t="s">
        <v>24</v>
      </c>
      <c r="C132" s="55" t="s">
        <v>161</v>
      </c>
      <c r="D132" s="55">
        <v>30.0</v>
      </c>
      <c r="E132" s="55">
        <v>30.0</v>
      </c>
      <c r="F132" s="55">
        <v>14.0</v>
      </c>
      <c r="G132" s="55">
        <v>13.0</v>
      </c>
      <c r="H132" s="55">
        <v>31.0</v>
      </c>
      <c r="I132" s="55">
        <v>19.0</v>
      </c>
      <c r="J132" s="55">
        <v>28.0</v>
      </c>
      <c r="K132" s="55">
        <v>2.0</v>
      </c>
      <c r="L132" s="55">
        <v>1.0</v>
      </c>
      <c r="M132" s="55">
        <v>30.0</v>
      </c>
      <c r="N132" s="55">
        <v>30.0</v>
      </c>
      <c r="O132" s="55">
        <v>6.0</v>
      </c>
      <c r="P132" s="55">
        <v>30.0</v>
      </c>
      <c r="Q132" s="55">
        <v>0.0</v>
      </c>
      <c r="R132" s="55">
        <v>64247.0</v>
      </c>
      <c r="S132" s="55">
        <v>68039.0</v>
      </c>
      <c r="T132" s="55">
        <v>6.13861111111111</v>
      </c>
      <c r="U132" s="55">
        <v>2.88888888888888</v>
      </c>
      <c r="V132" s="55">
        <v>2.79416666666666</v>
      </c>
      <c r="W132" s="55">
        <v>6.56472222222222</v>
      </c>
      <c r="X132" s="55">
        <v>3.98527777777777</v>
      </c>
      <c r="Y132" s="55">
        <v>6.07666666666666</v>
      </c>
      <c r="Z132" s="55">
        <v>0.39</v>
      </c>
      <c r="AA132" s="55">
        <v>0.214722222222222</v>
      </c>
      <c r="AB132" s="55">
        <v>6.59027777777777</v>
      </c>
      <c r="AC132" s="55">
        <v>6.59027777777777</v>
      </c>
      <c r="AD132" s="55">
        <v>1.22333333333333</v>
      </c>
      <c r="AE132" s="55">
        <v>6.59027777777777</v>
      </c>
      <c r="AF132" s="55">
        <v>30.0</v>
      </c>
    </row>
    <row r="133">
      <c r="A133" s="56">
        <v>46104.0</v>
      </c>
      <c r="B133" s="55" t="s">
        <v>60</v>
      </c>
      <c r="C133" s="55" t="s">
        <v>61</v>
      </c>
      <c r="D133" s="55">
        <v>14.0</v>
      </c>
      <c r="E133" s="55">
        <v>14.0</v>
      </c>
      <c r="F133" s="55">
        <v>0.0</v>
      </c>
      <c r="G133" s="55">
        <v>0.0</v>
      </c>
      <c r="H133" s="55">
        <v>12.0</v>
      </c>
      <c r="I133" s="55">
        <v>12.0</v>
      </c>
      <c r="J133" s="55">
        <v>13.0</v>
      </c>
      <c r="K133" s="55">
        <v>4.0</v>
      </c>
      <c r="L133" s="55">
        <v>0.0</v>
      </c>
      <c r="M133" s="55">
        <v>12.0</v>
      </c>
      <c r="N133" s="55">
        <v>12.0</v>
      </c>
      <c r="O133" s="55">
        <v>6.0</v>
      </c>
      <c r="P133" s="55">
        <v>12.0</v>
      </c>
      <c r="Q133" s="55">
        <v>0.0</v>
      </c>
      <c r="R133" s="55">
        <v>30796.0</v>
      </c>
      <c r="S133" s="55">
        <v>33967.0</v>
      </c>
      <c r="T133" s="55">
        <v>1.70916666666666</v>
      </c>
      <c r="U133" s="55">
        <v>0.0</v>
      </c>
      <c r="V133" s="55">
        <v>0.0</v>
      </c>
      <c r="W133" s="55">
        <v>2.55777777777777</v>
      </c>
      <c r="X133" s="55">
        <v>2.55777777777777</v>
      </c>
      <c r="Y133" s="55">
        <v>2.83055555555555</v>
      </c>
      <c r="Z133" s="55">
        <v>0.866944444444444</v>
      </c>
      <c r="AA133" s="55">
        <v>0.0</v>
      </c>
      <c r="AB133" s="55">
        <v>2.61444444444444</v>
      </c>
      <c r="AC133" s="55">
        <v>2.61444444444444</v>
      </c>
      <c r="AD133" s="55">
        <v>1.40027777777777</v>
      </c>
      <c r="AE133" s="55">
        <v>2.61444444444444</v>
      </c>
      <c r="AF133" s="55">
        <v>8.0</v>
      </c>
    </row>
    <row r="134">
      <c r="A134" s="56">
        <v>46097.0</v>
      </c>
      <c r="B134" s="55" t="s">
        <v>77</v>
      </c>
      <c r="C134" s="55" t="s">
        <v>148</v>
      </c>
      <c r="D134" s="55">
        <v>0.0</v>
      </c>
      <c r="E134" s="55">
        <v>3.0</v>
      </c>
      <c r="F134" s="55">
        <v>10.0</v>
      </c>
      <c r="G134" s="55">
        <v>11.0</v>
      </c>
      <c r="H134" s="55">
        <v>13.0</v>
      </c>
      <c r="I134" s="55">
        <v>2.0</v>
      </c>
      <c r="J134" s="55">
        <v>13.0</v>
      </c>
      <c r="K134" s="55">
        <v>10.0</v>
      </c>
      <c r="L134" s="55">
        <v>10.0</v>
      </c>
      <c r="M134" s="55">
        <v>14.0</v>
      </c>
      <c r="N134" s="55">
        <v>14.0</v>
      </c>
      <c r="O134" s="55">
        <v>6.0</v>
      </c>
      <c r="P134" s="55">
        <v>14.0</v>
      </c>
      <c r="Q134" s="55">
        <v>0.0</v>
      </c>
      <c r="R134" s="55">
        <v>0.0</v>
      </c>
      <c r="S134" s="55">
        <v>6557.0</v>
      </c>
      <c r="T134" s="55">
        <v>2.69833333333333</v>
      </c>
      <c r="U134" s="55">
        <v>1.90194444444444</v>
      </c>
      <c r="V134" s="55">
        <v>2.06333333333333</v>
      </c>
      <c r="W134" s="55">
        <v>2.48888888888888</v>
      </c>
      <c r="X134" s="55">
        <v>0.425555555555555</v>
      </c>
      <c r="Y134" s="55">
        <v>2.48694444444444</v>
      </c>
      <c r="Z134" s="55">
        <v>1.85</v>
      </c>
      <c r="AA134" s="55">
        <v>1.84999999999999</v>
      </c>
      <c r="AB134" s="55">
        <v>2.67388888888888</v>
      </c>
      <c r="AC134" s="55">
        <v>2.67388888888888</v>
      </c>
      <c r="AD134" s="55">
        <v>1.11972222222222</v>
      </c>
      <c r="AE134" s="55">
        <v>2.67388888888888</v>
      </c>
      <c r="AF134" s="55">
        <v>14.0</v>
      </c>
    </row>
    <row r="135">
      <c r="A135" s="56">
        <v>46097.0</v>
      </c>
      <c r="B135" s="55" t="s">
        <v>69</v>
      </c>
      <c r="C135" s="55" t="s">
        <v>149</v>
      </c>
      <c r="D135" s="55">
        <v>7.0</v>
      </c>
      <c r="E135" s="55">
        <v>13.0</v>
      </c>
      <c r="F135" s="55">
        <v>9.0</v>
      </c>
      <c r="G135" s="55">
        <v>10.0</v>
      </c>
      <c r="H135" s="55">
        <v>15.0</v>
      </c>
      <c r="I135" s="55">
        <v>3.0</v>
      </c>
      <c r="J135" s="55">
        <v>15.0</v>
      </c>
      <c r="K135" s="55">
        <v>4.0</v>
      </c>
      <c r="L135" s="55">
        <v>3.0</v>
      </c>
      <c r="M135" s="55">
        <v>14.0</v>
      </c>
      <c r="N135" s="55">
        <v>14.0</v>
      </c>
      <c r="O135" s="55">
        <v>6.0</v>
      </c>
      <c r="P135" s="55">
        <v>14.0</v>
      </c>
      <c r="Q135" s="55">
        <v>0.0</v>
      </c>
      <c r="R135" s="55">
        <v>19157.0</v>
      </c>
      <c r="S135" s="55">
        <v>35056.0</v>
      </c>
      <c r="T135" s="55">
        <v>3.11361111111111</v>
      </c>
      <c r="U135" s="55">
        <v>2.36611111111111</v>
      </c>
      <c r="V135" s="55">
        <v>2.71</v>
      </c>
      <c r="W135" s="55">
        <v>4.005</v>
      </c>
      <c r="X135" s="55">
        <v>0.734166666666666</v>
      </c>
      <c r="Y135" s="55">
        <v>4.00722222222222</v>
      </c>
      <c r="Z135" s="55">
        <v>1.03305555555555</v>
      </c>
      <c r="AA135" s="55">
        <v>0.747222222222222</v>
      </c>
      <c r="AB135" s="55">
        <v>3.78833333333333</v>
      </c>
      <c r="AC135" s="55">
        <v>3.78833333333333</v>
      </c>
      <c r="AD135" s="55">
        <v>1.75666666666666</v>
      </c>
      <c r="AE135" s="55">
        <v>3.78833333333333</v>
      </c>
      <c r="AF135" s="55">
        <v>12.0</v>
      </c>
    </row>
    <row r="136">
      <c r="A136" s="56">
        <v>46097.0</v>
      </c>
      <c r="B136" s="55" t="s">
        <v>74</v>
      </c>
      <c r="C136" s="55" t="s">
        <v>150</v>
      </c>
      <c r="D136" s="55">
        <v>18.0</v>
      </c>
      <c r="E136" s="55">
        <v>18.0</v>
      </c>
      <c r="F136" s="55">
        <v>19.0</v>
      </c>
      <c r="G136" s="55">
        <v>17.0</v>
      </c>
      <c r="H136" s="55">
        <v>18.0</v>
      </c>
      <c r="I136" s="55">
        <v>2.0</v>
      </c>
      <c r="J136" s="55">
        <v>18.0</v>
      </c>
      <c r="K136" s="55">
        <v>3.0</v>
      </c>
      <c r="L136" s="55">
        <v>2.0</v>
      </c>
      <c r="M136" s="55">
        <v>13.0</v>
      </c>
      <c r="N136" s="55">
        <v>10.0</v>
      </c>
      <c r="O136" s="55">
        <v>7.0</v>
      </c>
      <c r="P136" s="55">
        <v>10.0</v>
      </c>
      <c r="Q136" s="55">
        <v>0.0</v>
      </c>
      <c r="R136" s="55">
        <v>49276.0</v>
      </c>
      <c r="S136" s="55">
        <v>51085.0</v>
      </c>
      <c r="T136" s="55">
        <v>5.59888888888888</v>
      </c>
      <c r="U136" s="55">
        <v>5.33777777777777</v>
      </c>
      <c r="V136" s="55">
        <v>4.76472222222222</v>
      </c>
      <c r="W136" s="55">
        <v>5.02527777777777</v>
      </c>
      <c r="X136" s="55">
        <v>0.563333333333333</v>
      </c>
      <c r="Y136" s="55">
        <v>5.02666666666666</v>
      </c>
      <c r="Z136" s="55">
        <v>0.911111111111111</v>
      </c>
      <c r="AA136" s="55">
        <v>0.635277777777777</v>
      </c>
      <c r="AB136" s="55">
        <v>3.795</v>
      </c>
      <c r="AC136" s="55">
        <v>2.98888888888888</v>
      </c>
      <c r="AD136" s="55">
        <v>1.73999999999999</v>
      </c>
      <c r="AE136" s="55">
        <v>2.98888888888888</v>
      </c>
      <c r="AF136" s="55">
        <v>20.0</v>
      </c>
    </row>
    <row r="137">
      <c r="A137" s="56">
        <v>46097.0</v>
      </c>
      <c r="B137" s="55" t="s">
        <v>101</v>
      </c>
      <c r="C137" s="55" t="s">
        <v>151</v>
      </c>
      <c r="D137" s="55">
        <v>13.0</v>
      </c>
      <c r="E137" s="55">
        <v>6.0</v>
      </c>
      <c r="F137" s="55">
        <v>10.0</v>
      </c>
      <c r="G137" s="55">
        <v>0.0</v>
      </c>
      <c r="H137" s="55">
        <v>1.0</v>
      </c>
      <c r="I137" s="55">
        <v>1.0</v>
      </c>
      <c r="J137" s="55">
        <v>0.0</v>
      </c>
      <c r="K137" s="55">
        <v>0.0</v>
      </c>
      <c r="L137" s="55">
        <v>0.0</v>
      </c>
      <c r="M137" s="55">
        <v>0.0</v>
      </c>
      <c r="N137" s="55">
        <v>0.0</v>
      </c>
      <c r="O137" s="55">
        <v>0.0</v>
      </c>
      <c r="P137" s="55">
        <v>0.0</v>
      </c>
      <c r="Q137" s="55">
        <v>0.0</v>
      </c>
      <c r="R137" s="55">
        <v>29587.0</v>
      </c>
      <c r="S137" s="55">
        <v>14473.0</v>
      </c>
      <c r="T137" s="55">
        <v>2.28388888888888</v>
      </c>
      <c r="U137" s="55">
        <v>2.06305555555555</v>
      </c>
      <c r="V137" s="55">
        <v>0.0</v>
      </c>
      <c r="W137" s="55">
        <v>0.220833333333333</v>
      </c>
      <c r="X137" s="55">
        <v>0.220833333333333</v>
      </c>
      <c r="Y137" s="55">
        <v>0.0</v>
      </c>
      <c r="Z137" s="55">
        <v>0.0</v>
      </c>
      <c r="AA137" s="55">
        <v>0.0</v>
      </c>
      <c r="AB137" s="55">
        <v>0.0</v>
      </c>
      <c r="AC137" s="55">
        <v>0.0</v>
      </c>
      <c r="AD137" s="55">
        <v>0.0</v>
      </c>
      <c r="AE137" s="55">
        <v>0.0</v>
      </c>
      <c r="AF137" s="55">
        <v>11.0</v>
      </c>
    </row>
    <row r="138">
      <c r="A138" s="56">
        <v>46097.0</v>
      </c>
      <c r="B138" s="55" t="s">
        <v>30</v>
      </c>
      <c r="C138" s="55" t="s">
        <v>153</v>
      </c>
      <c r="D138" s="55">
        <v>28.0</v>
      </c>
      <c r="E138" s="55">
        <v>19.0</v>
      </c>
      <c r="F138" s="55">
        <v>7.0</v>
      </c>
      <c r="G138" s="55">
        <v>0.0</v>
      </c>
      <c r="H138" s="55">
        <v>16.0</v>
      </c>
      <c r="I138" s="55">
        <v>9.0</v>
      </c>
      <c r="J138" s="55">
        <v>16.0</v>
      </c>
      <c r="K138" s="55">
        <v>4.0</v>
      </c>
      <c r="L138" s="55">
        <v>0.0</v>
      </c>
      <c r="M138" s="55">
        <v>16.0</v>
      </c>
      <c r="N138" s="55">
        <v>16.0</v>
      </c>
      <c r="O138" s="55">
        <v>5.0</v>
      </c>
      <c r="P138" s="55">
        <v>16.0</v>
      </c>
      <c r="Q138" s="55">
        <v>0.0</v>
      </c>
      <c r="R138" s="55">
        <v>63339.0</v>
      </c>
      <c r="S138" s="55">
        <v>44352.0</v>
      </c>
      <c r="T138" s="55">
        <v>3.66583333333333</v>
      </c>
      <c r="U138" s="55">
        <v>1.5875</v>
      </c>
      <c r="V138" s="55">
        <v>0.0</v>
      </c>
      <c r="W138" s="55">
        <v>3.66194444444444</v>
      </c>
      <c r="X138" s="55">
        <v>2.07833333333333</v>
      </c>
      <c r="Y138" s="55">
        <v>3.67222222222222</v>
      </c>
      <c r="Z138" s="55">
        <v>0.88</v>
      </c>
      <c r="AA138" s="55">
        <v>0.0</v>
      </c>
      <c r="AB138" s="55">
        <v>3.67222222222222</v>
      </c>
      <c r="AC138" s="55">
        <v>3.67222222222222</v>
      </c>
      <c r="AD138" s="55">
        <v>1.09888888888888</v>
      </c>
      <c r="AE138" s="55">
        <v>3.67222222222222</v>
      </c>
      <c r="AF138" s="55">
        <v>16.0</v>
      </c>
    </row>
    <row r="139">
      <c r="A139" s="56">
        <v>46097.0</v>
      </c>
      <c r="B139" s="55" t="s">
        <v>90</v>
      </c>
      <c r="C139" s="55" t="s">
        <v>163</v>
      </c>
      <c r="D139" s="55">
        <v>20.0</v>
      </c>
      <c r="E139" s="55">
        <v>5.0</v>
      </c>
      <c r="F139" s="55">
        <v>0.0</v>
      </c>
      <c r="G139" s="55">
        <v>0.0</v>
      </c>
      <c r="H139" s="55">
        <v>0.0</v>
      </c>
      <c r="I139" s="55">
        <v>0.0</v>
      </c>
      <c r="J139" s="55">
        <v>0.0</v>
      </c>
      <c r="K139" s="55">
        <v>0.0</v>
      </c>
      <c r="L139" s="55">
        <v>0.0</v>
      </c>
      <c r="M139" s="55">
        <v>0.0</v>
      </c>
      <c r="N139" s="55">
        <v>0.0</v>
      </c>
      <c r="O139" s="55">
        <v>0.0</v>
      </c>
      <c r="P139" s="55">
        <v>0.0</v>
      </c>
      <c r="Q139" s="55">
        <v>0.0</v>
      </c>
      <c r="R139" s="55">
        <v>41532.0</v>
      </c>
      <c r="S139" s="55">
        <v>12151.0</v>
      </c>
      <c r="T139" s="55">
        <v>0.0</v>
      </c>
      <c r="U139" s="55">
        <v>0.0</v>
      </c>
      <c r="V139" s="55">
        <v>0.0</v>
      </c>
      <c r="W139" s="55">
        <v>0.0</v>
      </c>
      <c r="X139" s="55">
        <v>0.0</v>
      </c>
      <c r="Y139" s="55">
        <v>0.0</v>
      </c>
      <c r="Z139" s="55">
        <v>0.0</v>
      </c>
      <c r="AA139" s="55">
        <v>0.0</v>
      </c>
      <c r="AB139" s="55">
        <v>0.0</v>
      </c>
      <c r="AC139" s="55">
        <v>0.0</v>
      </c>
      <c r="AD139" s="55">
        <v>0.0</v>
      </c>
      <c r="AE139" s="55">
        <v>0.0</v>
      </c>
      <c r="AF139" s="55">
        <v>0.0</v>
      </c>
    </row>
    <row r="140">
      <c r="A140" s="56">
        <v>46097.0</v>
      </c>
      <c r="B140" s="55" t="s">
        <v>63</v>
      </c>
      <c r="C140" s="55" t="s">
        <v>157</v>
      </c>
      <c r="D140" s="55">
        <v>0.0</v>
      </c>
      <c r="E140" s="55">
        <v>15.0</v>
      </c>
      <c r="F140" s="55">
        <v>15.0</v>
      </c>
      <c r="G140" s="55">
        <v>9.0</v>
      </c>
      <c r="H140" s="55">
        <v>9.0</v>
      </c>
      <c r="I140" s="55">
        <v>4.0</v>
      </c>
      <c r="J140" s="55">
        <v>9.0</v>
      </c>
      <c r="K140" s="55">
        <v>5.0</v>
      </c>
      <c r="L140" s="55">
        <v>10.0</v>
      </c>
      <c r="M140" s="55">
        <v>15.0</v>
      </c>
      <c r="N140" s="55">
        <v>16.0</v>
      </c>
      <c r="O140" s="55">
        <v>6.0</v>
      </c>
      <c r="P140" s="55">
        <v>16.0</v>
      </c>
      <c r="Q140" s="55">
        <v>0.0</v>
      </c>
      <c r="R140" s="55">
        <v>0.0</v>
      </c>
      <c r="S140" s="55">
        <v>36681.0</v>
      </c>
      <c r="T140" s="55">
        <v>4.015</v>
      </c>
      <c r="U140" s="55">
        <v>3.91833333333333</v>
      </c>
      <c r="V140" s="55">
        <v>2.46805555555555</v>
      </c>
      <c r="W140" s="55">
        <v>2.27222222222222</v>
      </c>
      <c r="X140" s="55">
        <v>1.02888888888888</v>
      </c>
      <c r="Y140" s="55">
        <v>2.27305555555555</v>
      </c>
      <c r="Z140" s="55">
        <v>1.44638888888888</v>
      </c>
      <c r="AA140" s="55">
        <v>2.59166666666666</v>
      </c>
      <c r="AB140" s="55">
        <v>4.07138888888888</v>
      </c>
      <c r="AC140" s="55">
        <v>4.35055555555555</v>
      </c>
      <c r="AD140" s="55">
        <v>1.5125</v>
      </c>
      <c r="AE140" s="55">
        <v>4.35055555555555</v>
      </c>
      <c r="AF140" s="55">
        <v>16.0</v>
      </c>
    </row>
    <row r="141">
      <c r="A141" s="56">
        <v>46097.0</v>
      </c>
      <c r="B141" s="55" t="s">
        <v>35</v>
      </c>
      <c r="C141" s="55" t="s">
        <v>158</v>
      </c>
      <c r="D141" s="55">
        <v>12.0</v>
      </c>
      <c r="E141" s="55">
        <v>10.0</v>
      </c>
      <c r="F141" s="55">
        <v>7.0</v>
      </c>
      <c r="G141" s="55">
        <v>15.0</v>
      </c>
      <c r="H141" s="55">
        <v>17.0</v>
      </c>
      <c r="I141" s="55">
        <v>2.0</v>
      </c>
      <c r="J141" s="55">
        <v>16.0</v>
      </c>
      <c r="K141" s="55">
        <v>2.0</v>
      </c>
      <c r="L141" s="55">
        <v>1.0</v>
      </c>
      <c r="M141" s="55">
        <v>16.0</v>
      </c>
      <c r="N141" s="55">
        <v>16.0</v>
      </c>
      <c r="O141" s="55">
        <v>5.0</v>
      </c>
      <c r="P141" s="55">
        <v>16.0</v>
      </c>
      <c r="Q141" s="55">
        <v>0.0</v>
      </c>
      <c r="R141" s="55">
        <v>29498.0</v>
      </c>
      <c r="S141" s="55">
        <v>25147.0</v>
      </c>
      <c r="T141" s="55">
        <v>2.50583333333333</v>
      </c>
      <c r="U141" s="55">
        <v>1.9775</v>
      </c>
      <c r="V141" s="55">
        <v>4.3375</v>
      </c>
      <c r="W141" s="55">
        <v>4.86583333333333</v>
      </c>
      <c r="X141" s="55">
        <v>0.528333333333333</v>
      </c>
      <c r="Y141" s="55">
        <v>4.63861111111111</v>
      </c>
      <c r="Z141" s="55">
        <v>0.587777777777777</v>
      </c>
      <c r="AA141" s="55">
        <v>0.315</v>
      </c>
      <c r="AB141" s="55">
        <v>4.71777777777777</v>
      </c>
      <c r="AC141" s="55">
        <v>4.71694444444444</v>
      </c>
      <c r="AD141" s="55">
        <v>1.37416666666666</v>
      </c>
      <c r="AE141" s="55">
        <v>4.71694444444444</v>
      </c>
      <c r="AF141" s="55">
        <v>9.0</v>
      </c>
    </row>
    <row r="142">
      <c r="A142" s="56">
        <v>46097.0</v>
      </c>
      <c r="B142" s="55" t="s">
        <v>88</v>
      </c>
      <c r="C142" s="55" t="s">
        <v>165</v>
      </c>
      <c r="D142" s="55">
        <v>22.0</v>
      </c>
      <c r="E142" s="55">
        <v>8.0</v>
      </c>
      <c r="F142" s="55">
        <v>0.0</v>
      </c>
      <c r="G142" s="55">
        <v>0.0</v>
      </c>
      <c r="H142" s="55">
        <v>0.0</v>
      </c>
      <c r="I142" s="55">
        <v>0.0</v>
      </c>
      <c r="J142" s="55">
        <v>0.0</v>
      </c>
      <c r="K142" s="55">
        <v>0.0</v>
      </c>
      <c r="L142" s="55">
        <v>0.0</v>
      </c>
      <c r="M142" s="55">
        <v>0.0</v>
      </c>
      <c r="N142" s="55">
        <v>0.0</v>
      </c>
      <c r="O142" s="55">
        <v>0.0</v>
      </c>
      <c r="P142" s="55">
        <v>0.0</v>
      </c>
      <c r="Q142" s="55">
        <v>0.0</v>
      </c>
      <c r="R142" s="55">
        <v>43469.0</v>
      </c>
      <c r="S142" s="55">
        <v>15879.0</v>
      </c>
      <c r="T142" s="55">
        <v>0.0</v>
      </c>
      <c r="U142" s="55">
        <v>0.0</v>
      </c>
      <c r="V142" s="55">
        <v>0.0</v>
      </c>
      <c r="W142" s="55">
        <v>0.0</v>
      </c>
      <c r="X142" s="55">
        <v>0.0</v>
      </c>
      <c r="Y142" s="55">
        <v>0.0</v>
      </c>
      <c r="Z142" s="55">
        <v>0.0</v>
      </c>
      <c r="AA142" s="55">
        <v>0.0</v>
      </c>
      <c r="AB142" s="55">
        <v>0.0</v>
      </c>
      <c r="AC142" s="55">
        <v>0.0</v>
      </c>
      <c r="AD142" s="55">
        <v>0.0</v>
      </c>
      <c r="AE142" s="55">
        <v>0.0</v>
      </c>
      <c r="AF142" s="55">
        <v>0.0</v>
      </c>
    </row>
    <row r="143">
      <c r="A143" s="56">
        <v>46097.0</v>
      </c>
      <c r="B143" s="55" t="s">
        <v>82</v>
      </c>
      <c r="C143" s="55" t="s">
        <v>167</v>
      </c>
      <c r="D143" s="55">
        <v>5.0</v>
      </c>
      <c r="E143" s="55">
        <v>9.0</v>
      </c>
      <c r="F143" s="55">
        <v>11.0</v>
      </c>
      <c r="G143" s="55">
        <v>12.0</v>
      </c>
      <c r="H143" s="55">
        <v>12.0</v>
      </c>
      <c r="I143" s="55">
        <v>0.0</v>
      </c>
      <c r="J143" s="55">
        <v>12.0</v>
      </c>
      <c r="K143" s="55">
        <v>5.0</v>
      </c>
      <c r="L143" s="55">
        <v>5.0</v>
      </c>
      <c r="M143" s="55">
        <v>10.0</v>
      </c>
      <c r="N143" s="55">
        <v>13.0</v>
      </c>
      <c r="O143" s="55">
        <v>6.0</v>
      </c>
      <c r="P143" s="55">
        <v>13.0</v>
      </c>
      <c r="Q143" s="55">
        <v>0.0</v>
      </c>
      <c r="R143" s="55">
        <v>11407.0</v>
      </c>
      <c r="S143" s="55">
        <v>20420.0</v>
      </c>
      <c r="T143" s="55">
        <v>2.8975</v>
      </c>
      <c r="U143" s="55">
        <v>3.16638888888888</v>
      </c>
      <c r="V143" s="55">
        <v>3.39777777777777</v>
      </c>
      <c r="W143" s="55">
        <v>3.39777777777777</v>
      </c>
      <c r="X143" s="55">
        <v>0.0</v>
      </c>
      <c r="Y143" s="55">
        <v>3.3975</v>
      </c>
      <c r="Z143" s="55">
        <v>1.3425</v>
      </c>
      <c r="AA143" s="55">
        <v>1.34583333333333</v>
      </c>
      <c r="AB143" s="55">
        <v>2.78805555555555</v>
      </c>
      <c r="AC143" s="55">
        <v>3.65472222222222</v>
      </c>
      <c r="AD143" s="55">
        <v>1.65111111111111</v>
      </c>
      <c r="AE143" s="55">
        <v>3.65472222222222</v>
      </c>
      <c r="AF143" s="55">
        <v>11.0</v>
      </c>
    </row>
    <row r="144">
      <c r="A144" s="56">
        <v>46097.0</v>
      </c>
      <c r="B144" s="55" t="s">
        <v>24</v>
      </c>
      <c r="C144" s="55" t="s">
        <v>161</v>
      </c>
      <c r="D144" s="55">
        <v>22.0</v>
      </c>
      <c r="E144" s="55">
        <v>30.0</v>
      </c>
      <c r="F144" s="55">
        <v>10.0</v>
      </c>
      <c r="G144" s="55">
        <v>10.0</v>
      </c>
      <c r="H144" s="55">
        <v>28.0</v>
      </c>
      <c r="I144" s="55">
        <v>18.0</v>
      </c>
      <c r="J144" s="55">
        <v>25.0</v>
      </c>
      <c r="K144" s="55">
        <v>5.0</v>
      </c>
      <c r="L144" s="55">
        <v>5.0</v>
      </c>
      <c r="M144" s="55">
        <v>30.0</v>
      </c>
      <c r="N144" s="55">
        <v>36.0</v>
      </c>
      <c r="O144" s="55">
        <v>6.0</v>
      </c>
      <c r="P144" s="55">
        <v>36.0</v>
      </c>
      <c r="Q144" s="55">
        <v>0.0</v>
      </c>
      <c r="R144" s="55">
        <v>47145.0</v>
      </c>
      <c r="S144" s="55">
        <v>71015.0</v>
      </c>
      <c r="T144" s="55">
        <v>6.51138888888889</v>
      </c>
      <c r="U144" s="55">
        <v>2.19833333333333</v>
      </c>
      <c r="V144" s="55">
        <v>2.08249999999999</v>
      </c>
      <c r="W144" s="55">
        <v>5.875</v>
      </c>
      <c r="X144" s="55">
        <v>3.7925</v>
      </c>
      <c r="Y144" s="55">
        <v>5.13138888888888</v>
      </c>
      <c r="Z144" s="55">
        <v>0.980277777777777</v>
      </c>
      <c r="AA144" s="55">
        <v>0.980277777777777</v>
      </c>
      <c r="AB144" s="55">
        <v>6.1125</v>
      </c>
      <c r="AC144" s="55">
        <v>7.43722222222222</v>
      </c>
      <c r="AD144" s="55">
        <v>1.19555555555555</v>
      </c>
      <c r="AE144" s="55">
        <v>7.43722222222222</v>
      </c>
      <c r="AF144" s="55">
        <v>30.0</v>
      </c>
    </row>
    <row r="145">
      <c r="A145" s="56">
        <v>46097.0</v>
      </c>
      <c r="B145" s="55" t="s">
        <v>60</v>
      </c>
      <c r="C145" s="55" t="s">
        <v>61</v>
      </c>
      <c r="D145" s="55">
        <v>22.0</v>
      </c>
      <c r="E145" s="55">
        <v>2.0</v>
      </c>
      <c r="F145" s="55">
        <v>0.0</v>
      </c>
      <c r="G145" s="55">
        <v>0.0</v>
      </c>
      <c r="H145" s="55">
        <v>14.0</v>
      </c>
      <c r="I145" s="55">
        <v>13.0</v>
      </c>
      <c r="J145" s="55">
        <v>11.0</v>
      </c>
      <c r="K145" s="55">
        <v>3.0</v>
      </c>
      <c r="L145" s="55">
        <v>0.0</v>
      </c>
      <c r="M145" s="55">
        <v>11.0</v>
      </c>
      <c r="N145" s="55">
        <v>13.0</v>
      </c>
      <c r="O145" s="55">
        <v>7.0</v>
      </c>
      <c r="P145" s="55">
        <v>13.0</v>
      </c>
      <c r="Q145" s="55">
        <v>0.0</v>
      </c>
      <c r="R145" s="55">
        <v>51401.0</v>
      </c>
      <c r="S145" s="55">
        <v>4881.0</v>
      </c>
      <c r="T145" s="55">
        <v>3.21833333333333</v>
      </c>
      <c r="U145" s="55">
        <v>0.0</v>
      </c>
      <c r="V145" s="55">
        <v>0.0</v>
      </c>
      <c r="W145" s="55">
        <v>2.78222222222222</v>
      </c>
      <c r="X145" s="55">
        <v>2.60027777777777</v>
      </c>
      <c r="Y145" s="55">
        <v>2.16444444444444</v>
      </c>
      <c r="Z145" s="55">
        <v>0.593333333333333</v>
      </c>
      <c r="AA145" s="55">
        <v>0.0</v>
      </c>
      <c r="AB145" s="55">
        <v>2.16416666666666</v>
      </c>
      <c r="AC145" s="55">
        <v>2.63527777777777</v>
      </c>
      <c r="AD145" s="55">
        <v>1.63944444444444</v>
      </c>
      <c r="AE145" s="55">
        <v>2.63527777777777</v>
      </c>
      <c r="AF145" s="55">
        <v>16.0</v>
      </c>
    </row>
    <row r="146">
      <c r="A146" s="56">
        <v>46090.0</v>
      </c>
      <c r="B146" s="55" t="s">
        <v>77</v>
      </c>
      <c r="C146" s="55" t="s">
        <v>148</v>
      </c>
      <c r="D146" s="55">
        <v>0.0</v>
      </c>
      <c r="E146" s="55">
        <v>2.0</v>
      </c>
      <c r="F146" s="55">
        <v>9.0</v>
      </c>
      <c r="G146" s="55">
        <v>10.0</v>
      </c>
      <c r="H146" s="55">
        <v>17.0</v>
      </c>
      <c r="I146" s="55">
        <v>7.0</v>
      </c>
      <c r="J146" s="55">
        <v>17.0</v>
      </c>
      <c r="K146" s="55">
        <v>10.0</v>
      </c>
      <c r="L146" s="55">
        <v>10.0</v>
      </c>
      <c r="M146" s="55">
        <v>12.0</v>
      </c>
      <c r="N146" s="55">
        <v>12.0</v>
      </c>
      <c r="O146" s="55">
        <v>7.0</v>
      </c>
      <c r="P146" s="55">
        <v>12.0</v>
      </c>
      <c r="Q146" s="55">
        <v>0.0</v>
      </c>
      <c r="R146" s="55">
        <v>0.0</v>
      </c>
      <c r="S146" s="55">
        <v>4052.0</v>
      </c>
      <c r="T146" s="55">
        <v>2.08055555555555</v>
      </c>
      <c r="U146" s="55">
        <v>1.75222222222222</v>
      </c>
      <c r="V146" s="55">
        <v>1.86333333333333</v>
      </c>
      <c r="W146" s="55">
        <v>3.1125</v>
      </c>
      <c r="X146" s="55">
        <v>1.24916666666666</v>
      </c>
      <c r="Y146" s="55">
        <v>3.10916666666666</v>
      </c>
      <c r="Z146" s="55">
        <v>1.89527777777777</v>
      </c>
      <c r="AA146" s="55">
        <v>1.89527777777777</v>
      </c>
      <c r="AB146" s="55">
        <v>2.20888888888888</v>
      </c>
      <c r="AC146" s="55">
        <v>2.20888888888888</v>
      </c>
      <c r="AD146" s="55">
        <v>1.32527777777777</v>
      </c>
      <c r="AE146" s="55">
        <v>2.20888888888888</v>
      </c>
      <c r="AF146" s="55">
        <v>11.0</v>
      </c>
    </row>
    <row r="147">
      <c r="A147" s="56">
        <v>46090.0</v>
      </c>
      <c r="B147" s="55" t="s">
        <v>69</v>
      </c>
      <c r="C147" s="55" t="s">
        <v>149</v>
      </c>
      <c r="D147" s="55">
        <v>7.0</v>
      </c>
      <c r="E147" s="55">
        <v>14.0</v>
      </c>
      <c r="F147" s="55">
        <v>15.0</v>
      </c>
      <c r="G147" s="55">
        <v>15.0</v>
      </c>
      <c r="H147" s="55">
        <v>17.0</v>
      </c>
      <c r="I147" s="55">
        <v>3.0</v>
      </c>
      <c r="J147" s="55">
        <v>18.0</v>
      </c>
      <c r="K147" s="55">
        <v>1.0</v>
      </c>
      <c r="L147" s="55">
        <v>1.0</v>
      </c>
      <c r="M147" s="55">
        <v>17.0</v>
      </c>
      <c r="N147" s="55">
        <v>17.0</v>
      </c>
      <c r="O147" s="55">
        <v>6.0</v>
      </c>
      <c r="P147" s="55">
        <v>17.0</v>
      </c>
      <c r="Q147" s="55">
        <v>0.0</v>
      </c>
      <c r="R147" s="55">
        <v>18779.0</v>
      </c>
      <c r="S147" s="55">
        <v>40461.0</v>
      </c>
      <c r="T147" s="55">
        <v>4.79527777777777</v>
      </c>
      <c r="U147" s="55">
        <v>4.25249999999999</v>
      </c>
      <c r="V147" s="55">
        <v>4.17944444444444</v>
      </c>
      <c r="W147" s="55">
        <v>4.72138888888888</v>
      </c>
      <c r="X147" s="55">
        <v>0.815</v>
      </c>
      <c r="Y147" s="55">
        <v>5.00277777777777</v>
      </c>
      <c r="Z147" s="55">
        <v>0.271111111111111</v>
      </c>
      <c r="AA147" s="55">
        <v>0.278888888888888</v>
      </c>
      <c r="AB147" s="55">
        <v>4.73583333333333</v>
      </c>
      <c r="AC147" s="55">
        <v>4.73583333333333</v>
      </c>
      <c r="AD147" s="55">
        <v>1.64</v>
      </c>
      <c r="AE147" s="55">
        <v>4.73583333333333</v>
      </c>
      <c r="AF147" s="55">
        <v>17.0</v>
      </c>
    </row>
    <row r="148">
      <c r="A148" s="56">
        <v>46090.0</v>
      </c>
      <c r="B148" s="55" t="s">
        <v>74</v>
      </c>
      <c r="C148" s="55" t="s">
        <v>150</v>
      </c>
      <c r="D148" s="55">
        <v>20.0</v>
      </c>
      <c r="E148" s="55">
        <v>18.0</v>
      </c>
      <c r="F148" s="55">
        <v>14.0</v>
      </c>
      <c r="G148" s="55">
        <v>18.0</v>
      </c>
      <c r="H148" s="55">
        <v>20.0</v>
      </c>
      <c r="I148" s="55">
        <v>3.0</v>
      </c>
      <c r="J148" s="55">
        <v>20.0</v>
      </c>
      <c r="K148" s="55">
        <v>5.0</v>
      </c>
      <c r="L148" s="55">
        <v>2.0</v>
      </c>
      <c r="M148" s="55">
        <v>18.0</v>
      </c>
      <c r="N148" s="55">
        <v>18.0</v>
      </c>
      <c r="O148" s="55">
        <v>6.0</v>
      </c>
      <c r="P148" s="55">
        <v>18.0</v>
      </c>
      <c r="Q148" s="55">
        <v>0.0</v>
      </c>
      <c r="R148" s="55">
        <v>57331.0</v>
      </c>
      <c r="S148" s="55">
        <v>51682.0</v>
      </c>
      <c r="T148" s="55">
        <v>4.27222222222222</v>
      </c>
      <c r="U148" s="55">
        <v>3.74361111111111</v>
      </c>
      <c r="V148" s="55">
        <v>4.73861111111111</v>
      </c>
      <c r="W148" s="55">
        <v>5.26666666666666</v>
      </c>
      <c r="X148" s="55">
        <v>0.809444444444444</v>
      </c>
      <c r="Y148" s="55">
        <v>5.26861111111111</v>
      </c>
      <c r="Z148" s="55">
        <v>1.34111111111111</v>
      </c>
      <c r="AA148" s="55">
        <v>0.536111111111111</v>
      </c>
      <c r="AB148" s="55">
        <v>4.67166666666666</v>
      </c>
      <c r="AC148" s="55">
        <v>4.67166666666666</v>
      </c>
      <c r="AD148" s="55">
        <v>1.60583333333333</v>
      </c>
      <c r="AE148" s="55">
        <v>4.67166666666666</v>
      </c>
      <c r="AF148" s="55">
        <v>16.0</v>
      </c>
    </row>
    <row r="149">
      <c r="A149" s="56">
        <v>46090.0</v>
      </c>
      <c r="B149" s="55" t="s">
        <v>101</v>
      </c>
      <c r="C149" s="55" t="s">
        <v>151</v>
      </c>
      <c r="D149" s="55">
        <v>12.0</v>
      </c>
      <c r="E149" s="55">
        <v>5.0</v>
      </c>
      <c r="F149" s="55">
        <v>0.0</v>
      </c>
      <c r="G149" s="55">
        <v>0.0</v>
      </c>
      <c r="H149" s="55">
        <v>0.0</v>
      </c>
      <c r="I149" s="55">
        <v>0.0</v>
      </c>
      <c r="J149" s="55">
        <v>0.0</v>
      </c>
      <c r="K149" s="55">
        <v>0.0</v>
      </c>
      <c r="L149" s="55">
        <v>0.0</v>
      </c>
      <c r="M149" s="55">
        <v>0.0</v>
      </c>
      <c r="N149" s="55">
        <v>0.0</v>
      </c>
      <c r="O149" s="55">
        <v>0.0</v>
      </c>
      <c r="P149" s="55">
        <v>0.0</v>
      </c>
      <c r="Q149" s="55">
        <v>0.0</v>
      </c>
      <c r="R149" s="55">
        <v>29449.0</v>
      </c>
      <c r="S149" s="55">
        <v>12222.0</v>
      </c>
      <c r="T149" s="55">
        <v>0.0</v>
      </c>
      <c r="U149" s="55">
        <v>0.0</v>
      </c>
      <c r="V149" s="55">
        <v>0.0</v>
      </c>
      <c r="W149" s="55">
        <v>0.0</v>
      </c>
      <c r="X149" s="55">
        <v>0.0</v>
      </c>
      <c r="Y149" s="55">
        <v>0.0</v>
      </c>
      <c r="Z149" s="55">
        <v>0.0</v>
      </c>
      <c r="AA149" s="55">
        <v>0.0</v>
      </c>
      <c r="AB149" s="55">
        <v>0.0</v>
      </c>
      <c r="AC149" s="55">
        <v>0.0</v>
      </c>
      <c r="AD149" s="55">
        <v>0.0</v>
      </c>
      <c r="AE149" s="55">
        <v>0.0</v>
      </c>
      <c r="AF149" s="55">
        <v>0.0</v>
      </c>
    </row>
    <row r="150">
      <c r="A150" s="56">
        <v>46090.0</v>
      </c>
      <c r="B150" s="55" t="s">
        <v>30</v>
      </c>
      <c r="C150" s="55" t="s">
        <v>153</v>
      </c>
      <c r="D150" s="55">
        <v>29.0</v>
      </c>
      <c r="E150" s="55">
        <v>20.0</v>
      </c>
      <c r="F150" s="55">
        <v>12.0</v>
      </c>
      <c r="G150" s="55">
        <v>3.0</v>
      </c>
      <c r="H150" s="55">
        <v>16.0</v>
      </c>
      <c r="I150" s="55">
        <v>6.0</v>
      </c>
      <c r="J150" s="55">
        <v>15.0</v>
      </c>
      <c r="K150" s="55">
        <v>1.0</v>
      </c>
      <c r="L150" s="55">
        <v>0.0</v>
      </c>
      <c r="M150" s="55">
        <v>16.0</v>
      </c>
      <c r="N150" s="55">
        <v>16.0</v>
      </c>
      <c r="O150" s="55">
        <v>5.0</v>
      </c>
      <c r="P150" s="55">
        <v>16.0</v>
      </c>
      <c r="Q150" s="55">
        <v>0.0</v>
      </c>
      <c r="R150" s="55">
        <v>71031.0</v>
      </c>
      <c r="S150" s="55">
        <v>49519.0</v>
      </c>
      <c r="T150" s="55">
        <v>3.73555555555555</v>
      </c>
      <c r="U150" s="55">
        <v>2.80416666666666</v>
      </c>
      <c r="V150" s="55">
        <v>0.706944444444444</v>
      </c>
      <c r="W150" s="55">
        <v>3.74666666666666</v>
      </c>
      <c r="X150" s="55">
        <v>1.40083333333333</v>
      </c>
      <c r="Y150" s="55">
        <v>3.50444444444444</v>
      </c>
      <c r="Z150" s="55">
        <v>0.228888888888888</v>
      </c>
      <c r="AA150" s="55">
        <v>0.0</v>
      </c>
      <c r="AB150" s="55">
        <v>3.74</v>
      </c>
      <c r="AC150" s="55">
        <v>3.74</v>
      </c>
      <c r="AD150" s="55">
        <v>1.09027777777777</v>
      </c>
      <c r="AE150" s="55">
        <v>3.74</v>
      </c>
      <c r="AF150" s="55">
        <v>16.0</v>
      </c>
    </row>
    <row r="151">
      <c r="A151" s="56">
        <v>46090.0</v>
      </c>
      <c r="B151" s="55" t="s">
        <v>90</v>
      </c>
      <c r="C151" s="55" t="s">
        <v>163</v>
      </c>
      <c r="D151" s="55">
        <v>2.0</v>
      </c>
      <c r="E151" s="55">
        <v>0.0</v>
      </c>
      <c r="F151" s="55">
        <v>0.0</v>
      </c>
      <c r="G151" s="55">
        <v>0.0</v>
      </c>
      <c r="H151" s="55">
        <v>0.0</v>
      </c>
      <c r="I151" s="55">
        <v>0.0</v>
      </c>
      <c r="J151" s="55">
        <v>0.0</v>
      </c>
      <c r="K151" s="55">
        <v>0.0</v>
      </c>
      <c r="L151" s="55">
        <v>0.0</v>
      </c>
      <c r="M151" s="55">
        <v>0.0</v>
      </c>
      <c r="N151" s="55">
        <v>0.0</v>
      </c>
      <c r="O151" s="55">
        <v>0.0</v>
      </c>
      <c r="P151" s="55">
        <v>0.0</v>
      </c>
      <c r="Q151" s="55">
        <v>0.0</v>
      </c>
      <c r="R151" s="55">
        <v>5075.0</v>
      </c>
      <c r="S151" s="55">
        <v>0.0</v>
      </c>
      <c r="T151" s="55">
        <v>0.0</v>
      </c>
      <c r="U151" s="55">
        <v>0.0</v>
      </c>
      <c r="V151" s="55">
        <v>0.0</v>
      </c>
      <c r="W151" s="55">
        <v>0.0</v>
      </c>
      <c r="X151" s="55">
        <v>0.0</v>
      </c>
      <c r="Y151" s="55">
        <v>0.0</v>
      </c>
      <c r="Z151" s="55">
        <v>0.0</v>
      </c>
      <c r="AA151" s="55">
        <v>0.0</v>
      </c>
      <c r="AB151" s="55">
        <v>0.0</v>
      </c>
      <c r="AC151" s="55">
        <v>0.0</v>
      </c>
      <c r="AD151" s="55">
        <v>0.0</v>
      </c>
      <c r="AE151" s="55">
        <v>0.0</v>
      </c>
      <c r="AF151" s="55">
        <v>0.0</v>
      </c>
    </row>
    <row r="152">
      <c r="A152" s="56">
        <v>46090.0</v>
      </c>
      <c r="B152" s="55" t="s">
        <v>63</v>
      </c>
      <c r="C152" s="55" t="s">
        <v>157</v>
      </c>
      <c r="D152" s="55">
        <v>25.0</v>
      </c>
      <c r="E152" s="55">
        <v>25.0</v>
      </c>
      <c r="F152" s="55">
        <v>4.0</v>
      </c>
      <c r="G152" s="55">
        <v>5.0</v>
      </c>
      <c r="H152" s="55">
        <v>9.0</v>
      </c>
      <c r="I152" s="55">
        <v>3.0</v>
      </c>
      <c r="J152" s="55">
        <v>11.0</v>
      </c>
      <c r="K152" s="55">
        <v>9.0</v>
      </c>
      <c r="L152" s="55">
        <v>0.0</v>
      </c>
      <c r="M152" s="55">
        <v>1.0</v>
      </c>
      <c r="N152" s="55">
        <v>0.0</v>
      </c>
      <c r="O152" s="55">
        <v>0.0</v>
      </c>
      <c r="P152" s="55">
        <v>0.0</v>
      </c>
      <c r="Q152" s="55">
        <v>0.0</v>
      </c>
      <c r="R152" s="55">
        <v>62271.0</v>
      </c>
      <c r="S152" s="55">
        <v>59336.0</v>
      </c>
      <c r="T152" s="55">
        <v>0.827777777777778</v>
      </c>
      <c r="U152" s="55">
        <v>1.09694444444444</v>
      </c>
      <c r="V152" s="55">
        <v>1.40027777777777</v>
      </c>
      <c r="W152" s="55">
        <v>2.48777777777777</v>
      </c>
      <c r="X152" s="55">
        <v>0.816666666666666</v>
      </c>
      <c r="Y152" s="55">
        <v>3.22305555555555</v>
      </c>
      <c r="Z152" s="55">
        <v>2.47777777777777</v>
      </c>
      <c r="AA152" s="55">
        <v>0.0</v>
      </c>
      <c r="AB152" s="55">
        <v>0.280277777777777</v>
      </c>
      <c r="AC152" s="55">
        <v>0.0</v>
      </c>
      <c r="AD152" s="55">
        <v>0.0</v>
      </c>
      <c r="AE152" s="55">
        <v>0.0</v>
      </c>
      <c r="AF152" s="55">
        <v>3.0</v>
      </c>
    </row>
    <row r="153">
      <c r="A153" s="56">
        <v>46090.0</v>
      </c>
      <c r="B153" s="55" t="s">
        <v>35</v>
      </c>
      <c r="C153" s="55" t="s">
        <v>158</v>
      </c>
      <c r="D153" s="55">
        <v>15.0</v>
      </c>
      <c r="E153" s="55">
        <v>11.0</v>
      </c>
      <c r="F153" s="55">
        <v>20.0</v>
      </c>
      <c r="G153" s="55">
        <v>15.0</v>
      </c>
      <c r="H153" s="55">
        <v>15.0</v>
      </c>
      <c r="I153" s="55">
        <v>1.0</v>
      </c>
      <c r="J153" s="55">
        <v>17.0</v>
      </c>
      <c r="K153" s="55">
        <v>7.0</v>
      </c>
      <c r="L153" s="55">
        <v>4.0</v>
      </c>
      <c r="M153" s="55">
        <v>15.0</v>
      </c>
      <c r="N153" s="55">
        <v>15.0</v>
      </c>
      <c r="O153" s="55">
        <v>6.0</v>
      </c>
      <c r="P153" s="55">
        <v>15.0</v>
      </c>
      <c r="Q153" s="55">
        <v>0.0</v>
      </c>
      <c r="R153" s="55">
        <v>37958.0</v>
      </c>
      <c r="S153" s="55">
        <v>28063.0</v>
      </c>
      <c r="T153" s="55">
        <v>3.25472222222222</v>
      </c>
      <c r="U153" s="55">
        <v>5.88055555555555</v>
      </c>
      <c r="V153" s="55">
        <v>4.36722222222222</v>
      </c>
      <c r="W153" s="55">
        <v>4.36722222222222</v>
      </c>
      <c r="X153" s="55">
        <v>0.303611111111111</v>
      </c>
      <c r="Y153" s="55">
        <v>4.93722222222222</v>
      </c>
      <c r="Z153" s="55">
        <v>1.98305555555555</v>
      </c>
      <c r="AA153" s="55">
        <v>1.13333333333333</v>
      </c>
      <c r="AB153" s="55">
        <v>4.3025</v>
      </c>
      <c r="AC153" s="55">
        <v>4.30249999999999</v>
      </c>
      <c r="AD153" s="55">
        <v>1.56999999999999</v>
      </c>
      <c r="AE153" s="55">
        <v>4.3025</v>
      </c>
      <c r="AF153" s="55">
        <v>11.0</v>
      </c>
    </row>
    <row r="154">
      <c r="A154" s="56">
        <v>46090.0</v>
      </c>
      <c r="B154" s="55" t="s">
        <v>88</v>
      </c>
      <c r="C154" s="55" t="s">
        <v>165</v>
      </c>
      <c r="D154" s="55">
        <v>5.0</v>
      </c>
      <c r="E154" s="55">
        <v>0.0</v>
      </c>
      <c r="F154" s="55">
        <v>0.0</v>
      </c>
      <c r="G154" s="55">
        <v>0.0</v>
      </c>
      <c r="H154" s="55">
        <v>0.0</v>
      </c>
      <c r="I154" s="55">
        <v>0.0</v>
      </c>
      <c r="J154" s="55">
        <v>0.0</v>
      </c>
      <c r="K154" s="55">
        <v>0.0</v>
      </c>
      <c r="L154" s="55">
        <v>0.0</v>
      </c>
      <c r="M154" s="55">
        <v>0.0</v>
      </c>
      <c r="N154" s="55">
        <v>0.0</v>
      </c>
      <c r="O154" s="55">
        <v>0.0</v>
      </c>
      <c r="P154" s="55">
        <v>0.0</v>
      </c>
      <c r="Q154" s="55">
        <v>0.0</v>
      </c>
      <c r="R154" s="55">
        <v>10364.0</v>
      </c>
      <c r="S154" s="55">
        <v>0.0</v>
      </c>
      <c r="T154" s="55">
        <v>0.0</v>
      </c>
      <c r="U154" s="55">
        <v>0.0</v>
      </c>
      <c r="V154" s="55">
        <v>0.0</v>
      </c>
      <c r="W154" s="55">
        <v>0.0</v>
      </c>
      <c r="X154" s="55">
        <v>0.0</v>
      </c>
      <c r="Y154" s="55">
        <v>0.0</v>
      </c>
      <c r="Z154" s="55">
        <v>0.0</v>
      </c>
      <c r="AA154" s="55">
        <v>0.0</v>
      </c>
      <c r="AB154" s="55">
        <v>0.0</v>
      </c>
      <c r="AC154" s="55">
        <v>0.0</v>
      </c>
      <c r="AD154" s="55">
        <v>0.0</v>
      </c>
      <c r="AE154" s="55">
        <v>0.0</v>
      </c>
      <c r="AF154" s="55">
        <v>0.0</v>
      </c>
    </row>
    <row r="155">
      <c r="A155" s="56">
        <v>46090.0</v>
      </c>
      <c r="B155" s="55" t="s">
        <v>79</v>
      </c>
      <c r="C155" s="55" t="s">
        <v>168</v>
      </c>
      <c r="D155" s="55">
        <v>0.0</v>
      </c>
      <c r="E155" s="55">
        <v>0.0</v>
      </c>
      <c r="F155" s="55">
        <v>0.0</v>
      </c>
      <c r="G155" s="55">
        <v>2.0</v>
      </c>
      <c r="H155" s="55">
        <v>6.0</v>
      </c>
      <c r="I155" s="55">
        <v>4.0</v>
      </c>
      <c r="J155" s="55">
        <v>7.0</v>
      </c>
      <c r="K155" s="55">
        <v>6.0</v>
      </c>
      <c r="L155" s="55">
        <v>1.0</v>
      </c>
      <c r="M155" s="55">
        <v>10.0</v>
      </c>
      <c r="N155" s="55">
        <v>10.0</v>
      </c>
      <c r="O155" s="55">
        <v>5.0</v>
      </c>
      <c r="P155" s="55">
        <v>10.0</v>
      </c>
      <c r="Q155" s="55">
        <v>0.0</v>
      </c>
      <c r="R155" s="55">
        <v>0.0</v>
      </c>
      <c r="S155" s="55">
        <v>0.0</v>
      </c>
      <c r="T155" s="55">
        <v>0.344166666666666</v>
      </c>
      <c r="U155" s="55">
        <v>0.0</v>
      </c>
      <c r="V155" s="55">
        <v>0.428055555555555</v>
      </c>
      <c r="W155" s="55">
        <v>1.17472222222222</v>
      </c>
      <c r="X155" s="55">
        <v>0.746666666666666</v>
      </c>
      <c r="Y155" s="55">
        <v>1.39333333333333</v>
      </c>
      <c r="Z155" s="55">
        <v>1.14888888888888</v>
      </c>
      <c r="AA155" s="55">
        <v>0.190833333333333</v>
      </c>
      <c r="AB155" s="55">
        <v>1.93194444444444</v>
      </c>
      <c r="AC155" s="55">
        <v>1.93194444444444</v>
      </c>
      <c r="AD155" s="55">
        <v>0.951388888888889</v>
      </c>
      <c r="AE155" s="55">
        <v>1.93194444444444</v>
      </c>
      <c r="AF155" s="55">
        <v>2.0</v>
      </c>
    </row>
    <row r="156">
      <c r="A156" s="56">
        <v>46090.0</v>
      </c>
      <c r="B156" s="55" t="s">
        <v>82</v>
      </c>
      <c r="C156" s="55" t="s">
        <v>167</v>
      </c>
      <c r="D156" s="55">
        <v>8.0</v>
      </c>
      <c r="E156" s="55">
        <v>10.0</v>
      </c>
      <c r="F156" s="55">
        <v>6.0</v>
      </c>
      <c r="G156" s="55">
        <v>5.0</v>
      </c>
      <c r="H156" s="55">
        <v>5.0</v>
      </c>
      <c r="I156" s="55">
        <v>0.0</v>
      </c>
      <c r="J156" s="55">
        <v>5.0</v>
      </c>
      <c r="K156" s="55">
        <v>0.0</v>
      </c>
      <c r="L156" s="55">
        <v>0.0</v>
      </c>
      <c r="M156" s="55">
        <v>3.0</v>
      </c>
      <c r="N156" s="55">
        <v>0.0</v>
      </c>
      <c r="O156" s="55">
        <v>0.0</v>
      </c>
      <c r="P156" s="55">
        <v>0.0</v>
      </c>
      <c r="Q156" s="55">
        <v>0.0</v>
      </c>
      <c r="R156" s="55">
        <v>18154.0</v>
      </c>
      <c r="S156" s="55">
        <v>24023.0</v>
      </c>
      <c r="T156" s="55">
        <v>3.05305555555555</v>
      </c>
      <c r="U156" s="55">
        <v>1.65138888888888</v>
      </c>
      <c r="V156" s="55">
        <v>1.37277777777777</v>
      </c>
      <c r="W156" s="55">
        <v>1.37277777777777</v>
      </c>
      <c r="X156" s="55">
        <v>0.0</v>
      </c>
      <c r="Y156" s="55">
        <v>1.37277777777777</v>
      </c>
      <c r="Z156" s="55">
        <v>0.0</v>
      </c>
      <c r="AA156" s="55">
        <v>0.0</v>
      </c>
      <c r="AB156" s="55">
        <v>0.866666666666666</v>
      </c>
      <c r="AC156" s="55">
        <v>0.0</v>
      </c>
      <c r="AD156" s="55">
        <v>0.0</v>
      </c>
      <c r="AE156" s="55">
        <v>0.0</v>
      </c>
      <c r="AF156" s="55">
        <v>11.0</v>
      </c>
    </row>
    <row r="157">
      <c r="A157" s="56">
        <v>46090.0</v>
      </c>
      <c r="B157" s="55" t="s">
        <v>24</v>
      </c>
      <c r="C157" s="55" t="s">
        <v>161</v>
      </c>
      <c r="D157" s="55">
        <v>37.0</v>
      </c>
      <c r="E157" s="55">
        <v>32.0</v>
      </c>
      <c r="F157" s="55">
        <v>8.0</v>
      </c>
      <c r="G157" s="55">
        <v>5.0</v>
      </c>
      <c r="H157" s="55">
        <v>27.0</v>
      </c>
      <c r="I157" s="55">
        <v>22.0</v>
      </c>
      <c r="J157" s="55">
        <v>27.0</v>
      </c>
      <c r="K157" s="55">
        <v>8.0</v>
      </c>
      <c r="L157" s="55">
        <v>8.0</v>
      </c>
      <c r="M157" s="55">
        <v>27.0</v>
      </c>
      <c r="N157" s="55">
        <v>24.0</v>
      </c>
      <c r="O157" s="55">
        <v>6.0</v>
      </c>
      <c r="P157" s="55">
        <v>24.0</v>
      </c>
      <c r="Q157" s="55">
        <v>0.0</v>
      </c>
      <c r="R157" s="55">
        <v>85240.0</v>
      </c>
      <c r="S157" s="55">
        <v>79694.0</v>
      </c>
      <c r="T157" s="55">
        <v>6.22138888888888</v>
      </c>
      <c r="U157" s="55">
        <v>1.58972222222222</v>
      </c>
      <c r="V157" s="55">
        <v>1.0</v>
      </c>
      <c r="W157" s="55">
        <v>5.63166666666666</v>
      </c>
      <c r="X157" s="55">
        <v>4.63166666666666</v>
      </c>
      <c r="Y157" s="55">
        <v>5.66027777777777</v>
      </c>
      <c r="Z157" s="55">
        <v>1.71861111111111</v>
      </c>
      <c r="AA157" s="55">
        <v>1.71194444444444</v>
      </c>
      <c r="AB157" s="55">
        <v>5.54</v>
      </c>
      <c r="AC157" s="55">
        <v>4.88944444444444</v>
      </c>
      <c r="AD157" s="55">
        <v>1.18611111111111</v>
      </c>
      <c r="AE157" s="55">
        <v>4.88944444444444</v>
      </c>
      <c r="AF157" s="55">
        <v>30.0</v>
      </c>
    </row>
    <row r="158">
      <c r="A158" s="56">
        <v>46090.0</v>
      </c>
      <c r="B158" s="55" t="s">
        <v>60</v>
      </c>
      <c r="C158" s="55" t="s">
        <v>61</v>
      </c>
      <c r="D158" s="55">
        <v>17.0</v>
      </c>
      <c r="E158" s="55">
        <v>14.0</v>
      </c>
      <c r="F158" s="55">
        <v>0.0</v>
      </c>
      <c r="G158" s="55">
        <v>0.0</v>
      </c>
      <c r="H158" s="55">
        <v>13.0</v>
      </c>
      <c r="I158" s="55">
        <v>11.0</v>
      </c>
      <c r="J158" s="55">
        <v>14.0</v>
      </c>
      <c r="K158" s="55">
        <v>5.0</v>
      </c>
      <c r="L158" s="55">
        <v>0.0</v>
      </c>
      <c r="M158" s="55">
        <v>14.0</v>
      </c>
      <c r="N158" s="55">
        <v>12.0</v>
      </c>
      <c r="O158" s="55">
        <v>7.0</v>
      </c>
      <c r="P158" s="55">
        <v>12.0</v>
      </c>
      <c r="Q158" s="55">
        <v>0.0</v>
      </c>
      <c r="R158" s="55">
        <v>41499.0</v>
      </c>
      <c r="S158" s="55">
        <v>31487.0</v>
      </c>
      <c r="T158" s="55">
        <v>1.49305555555555</v>
      </c>
      <c r="U158" s="55">
        <v>0.0</v>
      </c>
      <c r="V158" s="55">
        <v>0.0</v>
      </c>
      <c r="W158" s="55">
        <v>2.66083333333333</v>
      </c>
      <c r="X158" s="55">
        <v>2.25722222222222</v>
      </c>
      <c r="Y158" s="55">
        <v>2.91055555555555</v>
      </c>
      <c r="Z158" s="55">
        <v>1.10444444444444</v>
      </c>
      <c r="AA158" s="55">
        <v>0.0</v>
      </c>
      <c r="AB158" s="55">
        <v>2.92388888888888</v>
      </c>
      <c r="AC158" s="55">
        <v>2.45027777777777</v>
      </c>
      <c r="AD158" s="55">
        <v>1.8075</v>
      </c>
      <c r="AE158" s="55">
        <v>2.45027777777777</v>
      </c>
      <c r="AF158" s="55">
        <v>7.0</v>
      </c>
    </row>
    <row r="159">
      <c r="A159" s="56">
        <v>46083.0</v>
      </c>
      <c r="B159" s="55" t="s">
        <v>77</v>
      </c>
      <c r="C159" s="55" t="s">
        <v>148</v>
      </c>
      <c r="D159" s="55">
        <v>0.0</v>
      </c>
      <c r="E159" s="55">
        <v>5.0</v>
      </c>
      <c r="F159" s="55">
        <v>7.0</v>
      </c>
      <c r="G159" s="55">
        <v>6.0</v>
      </c>
      <c r="H159" s="55">
        <v>10.0</v>
      </c>
      <c r="I159" s="55">
        <v>4.0</v>
      </c>
      <c r="J159" s="55">
        <v>11.0</v>
      </c>
      <c r="K159" s="55">
        <v>6.0</v>
      </c>
      <c r="L159" s="55">
        <v>6.0</v>
      </c>
      <c r="M159" s="55">
        <v>12.0</v>
      </c>
      <c r="N159" s="55">
        <v>12.0</v>
      </c>
      <c r="O159" s="55">
        <v>7.0</v>
      </c>
      <c r="P159" s="55">
        <v>12.0</v>
      </c>
      <c r="Q159" s="55">
        <v>0.0</v>
      </c>
      <c r="R159" s="55">
        <v>0.0</v>
      </c>
      <c r="S159" s="55">
        <v>10695.0</v>
      </c>
      <c r="T159" s="55">
        <v>3.00611111111111</v>
      </c>
      <c r="U159" s="55">
        <v>1.29722222222222</v>
      </c>
      <c r="V159" s="55">
        <v>1.16222222222222</v>
      </c>
      <c r="W159" s="55">
        <v>1.95027777777777</v>
      </c>
      <c r="X159" s="55">
        <v>0.788055555555555</v>
      </c>
      <c r="Y159" s="55">
        <v>2.13472222222222</v>
      </c>
      <c r="Z159" s="55">
        <v>1.20111111111111</v>
      </c>
      <c r="AA159" s="55">
        <v>1.20111111111111</v>
      </c>
      <c r="AB159" s="55">
        <v>2.315</v>
      </c>
      <c r="AC159" s="55">
        <v>2.315</v>
      </c>
      <c r="AD159" s="55">
        <v>1.19166666666666</v>
      </c>
      <c r="AE159" s="55">
        <v>2.315</v>
      </c>
      <c r="AF159" s="55">
        <v>16.0</v>
      </c>
    </row>
    <row r="160">
      <c r="A160" s="56">
        <v>46083.0</v>
      </c>
      <c r="B160" s="55" t="s">
        <v>69</v>
      </c>
      <c r="C160" s="55" t="s">
        <v>149</v>
      </c>
      <c r="D160" s="55">
        <v>8.0</v>
      </c>
      <c r="E160" s="55">
        <v>13.0</v>
      </c>
      <c r="F160" s="55">
        <v>6.0</v>
      </c>
      <c r="G160" s="55">
        <v>6.0</v>
      </c>
      <c r="H160" s="55">
        <v>7.0</v>
      </c>
      <c r="I160" s="55">
        <v>1.0</v>
      </c>
      <c r="J160" s="55">
        <v>6.0</v>
      </c>
      <c r="K160" s="55">
        <v>1.0</v>
      </c>
      <c r="L160" s="55">
        <v>0.0</v>
      </c>
      <c r="M160" s="55">
        <v>10.0</v>
      </c>
      <c r="N160" s="55">
        <v>10.0</v>
      </c>
      <c r="O160" s="55">
        <v>5.0</v>
      </c>
      <c r="P160" s="55">
        <v>10.0</v>
      </c>
      <c r="Q160" s="55">
        <v>0.0</v>
      </c>
      <c r="R160" s="55">
        <v>21396.0</v>
      </c>
      <c r="S160" s="55">
        <v>40930.0</v>
      </c>
      <c r="T160" s="55">
        <v>1.92555555555555</v>
      </c>
      <c r="U160" s="55">
        <v>1.655</v>
      </c>
      <c r="V160" s="55">
        <v>1.67722222222222</v>
      </c>
      <c r="W160" s="55">
        <v>1.94777777777777</v>
      </c>
      <c r="X160" s="55">
        <v>0.270555555555555</v>
      </c>
      <c r="Y160" s="55">
        <v>1.67722222222222</v>
      </c>
      <c r="Z160" s="55">
        <v>0.277777777777777</v>
      </c>
      <c r="AA160" s="55">
        <v>0.0</v>
      </c>
      <c r="AB160" s="55">
        <v>2.79555555555555</v>
      </c>
      <c r="AC160" s="55">
        <v>2.79555555555555</v>
      </c>
      <c r="AD160" s="55">
        <v>1.30666666666666</v>
      </c>
      <c r="AE160" s="55">
        <v>2.79555555555555</v>
      </c>
      <c r="AF160" s="55">
        <v>7.0</v>
      </c>
    </row>
    <row r="161">
      <c r="A161" s="56">
        <v>46083.0</v>
      </c>
      <c r="B161" s="55" t="s">
        <v>74</v>
      </c>
      <c r="C161" s="55" t="s">
        <v>150</v>
      </c>
      <c r="D161" s="55">
        <v>14.0</v>
      </c>
      <c r="E161" s="55">
        <v>16.0</v>
      </c>
      <c r="F161" s="55">
        <v>6.0</v>
      </c>
      <c r="G161" s="55">
        <v>9.0</v>
      </c>
      <c r="H161" s="55">
        <v>9.0</v>
      </c>
      <c r="I161" s="55">
        <v>0.0</v>
      </c>
      <c r="J161" s="55">
        <v>13.0</v>
      </c>
      <c r="K161" s="55">
        <v>2.0</v>
      </c>
      <c r="L161" s="55">
        <v>2.0</v>
      </c>
      <c r="M161" s="55">
        <v>13.0</v>
      </c>
      <c r="N161" s="55">
        <v>13.0</v>
      </c>
      <c r="O161" s="55">
        <v>5.0</v>
      </c>
      <c r="P161" s="55">
        <v>13.0</v>
      </c>
      <c r="Q161" s="55">
        <v>0.0</v>
      </c>
      <c r="R161" s="55">
        <v>41500.0</v>
      </c>
      <c r="S161" s="55">
        <v>43253.0</v>
      </c>
      <c r="T161" s="55">
        <v>1.51861111111111</v>
      </c>
      <c r="U161" s="55">
        <v>1.51861111111111</v>
      </c>
      <c r="V161" s="55">
        <v>2.46694444444444</v>
      </c>
      <c r="W161" s="55">
        <v>2.46694444444444</v>
      </c>
      <c r="X161" s="55">
        <v>0.0</v>
      </c>
      <c r="Y161" s="55">
        <v>3.49555555555555</v>
      </c>
      <c r="Z161" s="55">
        <v>0.553333333333333</v>
      </c>
      <c r="AA161" s="55">
        <v>0.553333333333333</v>
      </c>
      <c r="AB161" s="55">
        <v>3.49555555555555</v>
      </c>
      <c r="AC161" s="55">
        <v>3.49555555555555</v>
      </c>
      <c r="AD161" s="55">
        <v>1.20416666666666</v>
      </c>
      <c r="AE161" s="55">
        <v>3.49555555555555</v>
      </c>
      <c r="AF161" s="55">
        <v>6.0</v>
      </c>
    </row>
    <row r="162">
      <c r="A162" s="56">
        <v>46083.0</v>
      </c>
      <c r="B162" s="55" t="s">
        <v>101</v>
      </c>
      <c r="C162" s="55" t="s">
        <v>151</v>
      </c>
      <c r="D162" s="55">
        <v>4.0</v>
      </c>
      <c r="E162" s="55">
        <v>0.0</v>
      </c>
      <c r="F162" s="55">
        <v>0.0</v>
      </c>
      <c r="G162" s="55">
        <v>0.0</v>
      </c>
      <c r="H162" s="55">
        <v>0.0</v>
      </c>
      <c r="I162" s="55">
        <v>0.0</v>
      </c>
      <c r="J162" s="55">
        <v>0.0</v>
      </c>
      <c r="K162" s="55">
        <v>0.0</v>
      </c>
      <c r="L162" s="55">
        <v>0.0</v>
      </c>
      <c r="M162" s="55">
        <v>0.0</v>
      </c>
      <c r="N162" s="55">
        <v>0.0</v>
      </c>
      <c r="O162" s="55">
        <v>0.0</v>
      </c>
      <c r="P162" s="55">
        <v>0.0</v>
      </c>
      <c r="Q162" s="55">
        <v>0.0</v>
      </c>
      <c r="R162" s="55">
        <v>9602.0</v>
      </c>
      <c r="S162" s="55">
        <v>0.0</v>
      </c>
      <c r="T162" s="55">
        <v>0.0</v>
      </c>
      <c r="U162" s="55">
        <v>0.0</v>
      </c>
      <c r="V162" s="55">
        <v>0.0</v>
      </c>
      <c r="W162" s="55">
        <v>0.0</v>
      </c>
      <c r="X162" s="55">
        <v>0.0</v>
      </c>
      <c r="Y162" s="55">
        <v>0.0</v>
      </c>
      <c r="Z162" s="55">
        <v>0.0</v>
      </c>
      <c r="AA162" s="55">
        <v>0.0</v>
      </c>
      <c r="AB162" s="55">
        <v>0.0</v>
      </c>
      <c r="AC162" s="55">
        <v>0.0</v>
      </c>
      <c r="AD162" s="55">
        <v>0.0</v>
      </c>
      <c r="AE162" s="55">
        <v>0.0</v>
      </c>
      <c r="AF162" s="55">
        <v>0.0</v>
      </c>
    </row>
    <row r="163">
      <c r="A163" s="56">
        <v>46083.0</v>
      </c>
      <c r="B163" s="55" t="s">
        <v>30</v>
      </c>
      <c r="C163" s="55" t="s">
        <v>153</v>
      </c>
      <c r="D163" s="55">
        <v>10.0</v>
      </c>
      <c r="E163" s="55">
        <v>12.0</v>
      </c>
      <c r="F163" s="55">
        <v>7.0</v>
      </c>
      <c r="G163" s="55">
        <v>0.0</v>
      </c>
      <c r="H163" s="55">
        <v>16.0</v>
      </c>
      <c r="I163" s="55">
        <v>8.0</v>
      </c>
      <c r="J163" s="55">
        <v>18.0</v>
      </c>
      <c r="K163" s="55">
        <v>0.0</v>
      </c>
      <c r="L163" s="55">
        <v>0.0</v>
      </c>
      <c r="M163" s="55">
        <v>17.0</v>
      </c>
      <c r="N163" s="55">
        <v>17.0</v>
      </c>
      <c r="O163" s="55">
        <v>5.0</v>
      </c>
      <c r="P163" s="55">
        <v>17.0</v>
      </c>
      <c r="Q163" s="55">
        <v>0.0</v>
      </c>
      <c r="R163" s="55">
        <v>25198.0</v>
      </c>
      <c r="S163" s="55">
        <v>30307.0</v>
      </c>
      <c r="T163" s="55">
        <v>3.57416666666666</v>
      </c>
      <c r="U163" s="55">
        <v>1.66444444444444</v>
      </c>
      <c r="V163" s="55">
        <v>0.0</v>
      </c>
      <c r="W163" s="55">
        <v>3.81833333333333</v>
      </c>
      <c r="X163" s="55">
        <v>1.90972222222222</v>
      </c>
      <c r="Y163" s="55">
        <v>4.26944444444444</v>
      </c>
      <c r="Z163" s="55">
        <v>0.0</v>
      </c>
      <c r="AA163" s="55">
        <v>0.0</v>
      </c>
      <c r="AB163" s="55">
        <v>4.03388888888888</v>
      </c>
      <c r="AC163" s="55">
        <v>4.03388888888888</v>
      </c>
      <c r="AD163" s="55">
        <v>1.05277777777777</v>
      </c>
      <c r="AE163" s="55">
        <v>4.03388888888888</v>
      </c>
      <c r="AF163" s="55">
        <v>15.0</v>
      </c>
    </row>
    <row r="164">
      <c r="A164" s="56">
        <v>46083.0</v>
      </c>
      <c r="B164" s="55" t="s">
        <v>63</v>
      </c>
      <c r="C164" s="55" t="s">
        <v>157</v>
      </c>
      <c r="D164" s="55">
        <v>7.0</v>
      </c>
      <c r="E164" s="55">
        <v>0.0</v>
      </c>
      <c r="F164" s="55">
        <v>4.0</v>
      </c>
      <c r="G164" s="55">
        <v>2.0</v>
      </c>
      <c r="H164" s="55">
        <v>4.0</v>
      </c>
      <c r="I164" s="55">
        <v>2.0</v>
      </c>
      <c r="J164" s="55">
        <v>2.0</v>
      </c>
      <c r="K164" s="55">
        <v>0.0</v>
      </c>
      <c r="L164" s="55">
        <v>0.0</v>
      </c>
      <c r="M164" s="55">
        <v>0.0</v>
      </c>
      <c r="N164" s="55">
        <v>0.0</v>
      </c>
      <c r="O164" s="55">
        <v>0.0</v>
      </c>
      <c r="P164" s="55">
        <v>0.0</v>
      </c>
      <c r="Q164" s="55">
        <v>0.0</v>
      </c>
      <c r="R164" s="55">
        <v>16612.0</v>
      </c>
      <c r="S164" s="55">
        <v>0.0</v>
      </c>
      <c r="T164" s="55">
        <v>2.64388888888888</v>
      </c>
      <c r="U164" s="55">
        <v>1.10055555555555</v>
      </c>
      <c r="V164" s="55">
        <v>0.545555555555555</v>
      </c>
      <c r="W164" s="55">
        <v>1.08888888888888</v>
      </c>
      <c r="X164" s="55">
        <v>0.543333333333333</v>
      </c>
      <c r="Y164" s="55">
        <v>0.548055555555555</v>
      </c>
      <c r="Z164" s="55">
        <v>0.0</v>
      </c>
      <c r="AA164" s="55">
        <v>0.0</v>
      </c>
      <c r="AB164" s="55">
        <v>0.0</v>
      </c>
      <c r="AC164" s="55">
        <v>0.0</v>
      </c>
      <c r="AD164" s="55">
        <v>0.0</v>
      </c>
      <c r="AE164" s="55">
        <v>0.0</v>
      </c>
      <c r="AF164" s="55">
        <v>9.0</v>
      </c>
    </row>
    <row r="165">
      <c r="A165" s="56">
        <v>46083.0</v>
      </c>
      <c r="B165" s="55" t="s">
        <v>35</v>
      </c>
      <c r="C165" s="55" t="s">
        <v>158</v>
      </c>
      <c r="D165" s="55">
        <v>17.0</v>
      </c>
      <c r="E165" s="55">
        <v>13.0</v>
      </c>
      <c r="F165" s="55">
        <v>16.0</v>
      </c>
      <c r="G165" s="55">
        <v>14.0</v>
      </c>
      <c r="H165" s="55">
        <v>14.0</v>
      </c>
      <c r="I165" s="55">
        <v>1.0</v>
      </c>
      <c r="J165" s="55">
        <v>11.0</v>
      </c>
      <c r="K165" s="55">
        <v>8.0</v>
      </c>
      <c r="L165" s="55">
        <v>7.0</v>
      </c>
      <c r="M165" s="55">
        <v>11.0</v>
      </c>
      <c r="N165" s="55">
        <v>12.0</v>
      </c>
      <c r="O165" s="55">
        <v>7.0</v>
      </c>
      <c r="P165" s="55">
        <v>12.0</v>
      </c>
      <c r="Q165" s="55">
        <v>0.0</v>
      </c>
      <c r="R165" s="55">
        <v>44301.0</v>
      </c>
      <c r="S165" s="55">
        <v>33235.0</v>
      </c>
      <c r="T165" s="55">
        <v>7.19833333333333</v>
      </c>
      <c r="U165" s="55">
        <v>4.57361111111111</v>
      </c>
      <c r="V165" s="55">
        <v>3.96194444444444</v>
      </c>
      <c r="W165" s="55">
        <v>3.9625</v>
      </c>
      <c r="X165" s="55">
        <v>0.29</v>
      </c>
      <c r="Y165" s="55">
        <v>3.09055555555555</v>
      </c>
      <c r="Z165" s="55">
        <v>2.21833333333333</v>
      </c>
      <c r="AA165" s="55">
        <v>1.92583333333333</v>
      </c>
      <c r="AB165" s="55">
        <v>3.055</v>
      </c>
      <c r="AC165" s="55">
        <v>3.29027777777777</v>
      </c>
      <c r="AD165" s="55">
        <v>1.85055555555555</v>
      </c>
      <c r="AE165" s="55">
        <v>3.29027777777777</v>
      </c>
      <c r="AF165" s="55">
        <v>25.0</v>
      </c>
    </row>
    <row r="166">
      <c r="A166" s="56">
        <v>46083.0</v>
      </c>
      <c r="B166" s="55" t="s">
        <v>79</v>
      </c>
      <c r="C166" s="55" t="s">
        <v>168</v>
      </c>
      <c r="D166" s="55">
        <v>0.0</v>
      </c>
      <c r="E166" s="55">
        <v>5.0</v>
      </c>
      <c r="F166" s="55">
        <v>7.0</v>
      </c>
      <c r="G166" s="55">
        <v>5.0</v>
      </c>
      <c r="H166" s="55">
        <v>14.0</v>
      </c>
      <c r="I166" s="55">
        <v>9.0</v>
      </c>
      <c r="J166" s="55">
        <v>13.0</v>
      </c>
      <c r="K166" s="55">
        <v>5.0</v>
      </c>
      <c r="L166" s="55">
        <v>2.0</v>
      </c>
      <c r="M166" s="55">
        <v>10.0</v>
      </c>
      <c r="N166" s="55">
        <v>10.0</v>
      </c>
      <c r="O166" s="55">
        <v>6.0</v>
      </c>
      <c r="P166" s="55">
        <v>10.0</v>
      </c>
      <c r="Q166" s="55">
        <v>0.0</v>
      </c>
      <c r="R166" s="55">
        <v>0.0</v>
      </c>
      <c r="S166" s="55">
        <v>10362.0</v>
      </c>
      <c r="T166" s="55">
        <v>3.3425</v>
      </c>
      <c r="U166" s="55">
        <v>1.35222222222222</v>
      </c>
      <c r="V166" s="55">
        <v>0.938611111111111</v>
      </c>
      <c r="W166" s="55">
        <v>2.67861111111111</v>
      </c>
      <c r="X166" s="55">
        <v>1.74</v>
      </c>
      <c r="Y166" s="55">
        <v>2.48722222222222</v>
      </c>
      <c r="Z166" s="55">
        <v>0.986388888888889</v>
      </c>
      <c r="AA166" s="55">
        <v>0.3925</v>
      </c>
      <c r="AB166" s="55">
        <v>1.94861111111111</v>
      </c>
      <c r="AC166" s="55">
        <v>1.94861111111111</v>
      </c>
      <c r="AD166" s="55">
        <v>1.16333333333333</v>
      </c>
      <c r="AE166" s="55">
        <v>1.94861111111111</v>
      </c>
      <c r="AF166" s="55">
        <v>17.0</v>
      </c>
    </row>
    <row r="167">
      <c r="A167" s="56">
        <v>46083.0</v>
      </c>
      <c r="B167" s="55" t="s">
        <v>82</v>
      </c>
      <c r="C167" s="55" t="s">
        <v>167</v>
      </c>
      <c r="D167" s="55">
        <v>5.0</v>
      </c>
      <c r="E167" s="55">
        <v>9.0</v>
      </c>
      <c r="F167" s="55">
        <v>0.0</v>
      </c>
      <c r="G167" s="55">
        <v>0.0</v>
      </c>
      <c r="H167" s="55">
        <v>0.0</v>
      </c>
      <c r="I167" s="55">
        <v>0.0</v>
      </c>
      <c r="J167" s="55">
        <v>0.0</v>
      </c>
      <c r="K167" s="55">
        <v>0.0</v>
      </c>
      <c r="L167" s="55">
        <v>0.0</v>
      </c>
      <c r="M167" s="55">
        <v>0.0</v>
      </c>
      <c r="N167" s="55">
        <v>0.0</v>
      </c>
      <c r="O167" s="55">
        <v>0.0</v>
      </c>
      <c r="P167" s="55">
        <v>0.0</v>
      </c>
      <c r="Q167" s="55">
        <v>0.0</v>
      </c>
      <c r="R167" s="55">
        <v>12240.0</v>
      </c>
      <c r="S167" s="55">
        <v>23539.0</v>
      </c>
      <c r="T167" s="55">
        <v>0.318888888888888</v>
      </c>
      <c r="U167" s="55">
        <v>0.0</v>
      </c>
      <c r="V167" s="55">
        <v>0.0</v>
      </c>
      <c r="W167" s="55">
        <v>0.0</v>
      </c>
      <c r="X167" s="55">
        <v>0.0</v>
      </c>
      <c r="Y167" s="55">
        <v>0.0</v>
      </c>
      <c r="Z167" s="55">
        <v>0.0</v>
      </c>
      <c r="AA167" s="55">
        <v>0.0</v>
      </c>
      <c r="AB167" s="55">
        <v>0.0</v>
      </c>
      <c r="AC167" s="55">
        <v>0.0</v>
      </c>
      <c r="AD167" s="55">
        <v>0.0</v>
      </c>
      <c r="AE167" s="55">
        <v>0.0</v>
      </c>
      <c r="AF167" s="55">
        <v>1.0</v>
      </c>
    </row>
    <row r="168">
      <c r="A168" s="56">
        <v>46083.0</v>
      </c>
      <c r="B168" s="55" t="s">
        <v>24</v>
      </c>
      <c r="C168" s="55" t="s">
        <v>161</v>
      </c>
      <c r="D168" s="55">
        <v>21.0</v>
      </c>
      <c r="E168" s="55">
        <v>28.0</v>
      </c>
      <c r="F168" s="55">
        <v>11.0</v>
      </c>
      <c r="G168" s="55">
        <v>12.0</v>
      </c>
      <c r="H168" s="55">
        <v>31.0</v>
      </c>
      <c r="I168" s="55">
        <v>19.0</v>
      </c>
      <c r="J168" s="55">
        <v>29.0</v>
      </c>
      <c r="K168" s="55">
        <v>4.0</v>
      </c>
      <c r="L168" s="55">
        <v>11.0</v>
      </c>
      <c r="M168" s="55">
        <v>28.0</v>
      </c>
      <c r="N168" s="55">
        <v>25.0</v>
      </c>
      <c r="O168" s="55">
        <v>6.0</v>
      </c>
      <c r="P168" s="55">
        <v>25.0</v>
      </c>
      <c r="Q168" s="55">
        <v>0.0</v>
      </c>
      <c r="R168" s="55">
        <v>46178.0</v>
      </c>
      <c r="S168" s="55">
        <v>68067.0</v>
      </c>
      <c r="T168" s="55">
        <v>6.22305555555555</v>
      </c>
      <c r="U168" s="55">
        <v>2.39611111111111</v>
      </c>
      <c r="V168" s="55">
        <v>2.60694444444444</v>
      </c>
      <c r="W168" s="55">
        <v>6.43388888888888</v>
      </c>
      <c r="X168" s="55">
        <v>3.82694444444444</v>
      </c>
      <c r="Y168" s="55">
        <v>6.03972222222222</v>
      </c>
      <c r="Z168" s="55">
        <v>0.876111111111111</v>
      </c>
      <c r="AA168" s="55">
        <v>2.29083333333333</v>
      </c>
      <c r="AB168" s="55">
        <v>5.89194444444444</v>
      </c>
      <c r="AC168" s="55">
        <v>5.21833333333333</v>
      </c>
      <c r="AD168" s="55">
        <v>1.15694444444444</v>
      </c>
      <c r="AE168" s="55">
        <v>5.21833333333333</v>
      </c>
      <c r="AF168" s="55">
        <v>30.0</v>
      </c>
    </row>
    <row r="169">
      <c r="A169" s="56">
        <v>46083.0</v>
      </c>
      <c r="B169" s="55" t="s">
        <v>60</v>
      </c>
      <c r="C169" s="55" t="s">
        <v>61</v>
      </c>
      <c r="D169" s="55">
        <v>9.0</v>
      </c>
      <c r="E169" s="55">
        <v>2.0</v>
      </c>
      <c r="F169" s="55">
        <v>6.0</v>
      </c>
      <c r="G169" s="55">
        <v>0.0</v>
      </c>
      <c r="H169" s="55">
        <v>12.0</v>
      </c>
      <c r="I169" s="55">
        <v>1.0</v>
      </c>
      <c r="J169" s="55">
        <v>14.0</v>
      </c>
      <c r="K169" s="55">
        <v>8.0</v>
      </c>
      <c r="L169" s="55">
        <v>0.0</v>
      </c>
      <c r="M169" s="55">
        <v>16.0</v>
      </c>
      <c r="N169" s="55">
        <v>16.0</v>
      </c>
      <c r="O169" s="55">
        <v>5.0</v>
      </c>
      <c r="P169" s="55">
        <v>16.0</v>
      </c>
      <c r="Q169" s="55">
        <v>0.0</v>
      </c>
      <c r="R169" s="55">
        <v>20705.0</v>
      </c>
      <c r="S169" s="55">
        <v>4623.0</v>
      </c>
      <c r="T169" s="55">
        <v>2.54833333333333</v>
      </c>
      <c r="U169" s="55">
        <v>1.1925</v>
      </c>
      <c r="V169" s="55">
        <v>0.0</v>
      </c>
      <c r="W169" s="55">
        <v>2.55333333333333</v>
      </c>
      <c r="X169" s="55">
        <v>0.181944444444444</v>
      </c>
      <c r="Y169" s="55">
        <v>3.06555555555555</v>
      </c>
      <c r="Z169" s="55">
        <v>1.76722222222222</v>
      </c>
      <c r="AA169" s="55">
        <v>0.0</v>
      </c>
      <c r="AB169" s="55">
        <v>3.58555555555555</v>
      </c>
      <c r="AC169" s="55">
        <v>3.58555555555555</v>
      </c>
      <c r="AD169" s="55">
        <v>1.19888888888888</v>
      </c>
      <c r="AE169" s="55">
        <v>3.58555555555555</v>
      </c>
      <c r="AF169" s="55">
        <v>13.0</v>
      </c>
    </row>
    <row r="170">
      <c r="A170" s="56">
        <v>46076.0</v>
      </c>
      <c r="B170" s="55" t="s">
        <v>77</v>
      </c>
      <c r="C170" s="55" t="s">
        <v>148</v>
      </c>
      <c r="D170" s="55">
        <v>0.0</v>
      </c>
      <c r="E170" s="55">
        <v>1.0</v>
      </c>
      <c r="F170" s="55">
        <v>7.0</v>
      </c>
      <c r="G170" s="55">
        <v>7.0</v>
      </c>
      <c r="H170" s="55">
        <v>15.0</v>
      </c>
      <c r="I170" s="55">
        <v>8.0</v>
      </c>
      <c r="J170" s="55">
        <v>15.0</v>
      </c>
      <c r="K170" s="55">
        <v>14.0</v>
      </c>
      <c r="L170" s="55">
        <v>14.0</v>
      </c>
      <c r="M170" s="55">
        <v>13.0</v>
      </c>
      <c r="N170" s="55">
        <v>24.0</v>
      </c>
      <c r="O170" s="55">
        <v>6.0</v>
      </c>
      <c r="P170" s="55">
        <v>24.0</v>
      </c>
      <c r="Q170" s="55">
        <v>0.0</v>
      </c>
      <c r="R170" s="55">
        <v>0.0</v>
      </c>
      <c r="S170" s="55">
        <v>2420.0</v>
      </c>
      <c r="T170" s="55">
        <v>2.28249999999999</v>
      </c>
      <c r="U170" s="55">
        <v>1.34972222222222</v>
      </c>
      <c r="V170" s="55">
        <v>1.32861111111111</v>
      </c>
      <c r="W170" s="55">
        <v>2.79388888888888</v>
      </c>
      <c r="X170" s="55">
        <v>1.46527777777777</v>
      </c>
      <c r="Y170" s="55">
        <v>2.77138888888888</v>
      </c>
      <c r="Z170" s="55">
        <v>2.60083333333333</v>
      </c>
      <c r="AA170" s="55">
        <v>2.59916666666666</v>
      </c>
      <c r="AB170" s="55">
        <v>2.30666666666666</v>
      </c>
      <c r="AC170" s="55">
        <v>4.38888888888888</v>
      </c>
      <c r="AD170" s="55">
        <v>1.13138888888888</v>
      </c>
      <c r="AE170" s="55">
        <v>4.38888888888888</v>
      </c>
      <c r="AF170" s="55">
        <v>12.0</v>
      </c>
    </row>
    <row r="171">
      <c r="A171" s="56">
        <v>46076.0</v>
      </c>
      <c r="B171" s="55" t="s">
        <v>69</v>
      </c>
      <c r="C171" s="55" t="s">
        <v>149</v>
      </c>
      <c r="D171" s="55">
        <v>3.0</v>
      </c>
      <c r="E171" s="55">
        <v>18.0</v>
      </c>
      <c r="F171" s="55">
        <v>10.0</v>
      </c>
      <c r="G171" s="55">
        <v>7.0</v>
      </c>
      <c r="H171" s="55">
        <v>8.0</v>
      </c>
      <c r="I171" s="55">
        <v>1.0</v>
      </c>
      <c r="J171" s="55">
        <v>12.0</v>
      </c>
      <c r="K171" s="55">
        <v>2.0</v>
      </c>
      <c r="L171" s="55">
        <v>2.0</v>
      </c>
      <c r="M171" s="55">
        <v>11.0</v>
      </c>
      <c r="N171" s="55">
        <v>12.0</v>
      </c>
      <c r="O171" s="55">
        <v>6.0</v>
      </c>
      <c r="P171" s="55">
        <v>12.0</v>
      </c>
      <c r="Q171" s="55">
        <v>0.0</v>
      </c>
      <c r="R171" s="55">
        <v>7954.0</v>
      </c>
      <c r="S171" s="55">
        <v>53035.0</v>
      </c>
      <c r="T171" s="55">
        <v>3.06888888888888</v>
      </c>
      <c r="U171" s="55">
        <v>2.80027777777777</v>
      </c>
      <c r="V171" s="55">
        <v>1.98388888888888</v>
      </c>
      <c r="W171" s="55">
        <v>2.2525</v>
      </c>
      <c r="X171" s="55">
        <v>0.268611111111111</v>
      </c>
      <c r="Y171" s="55">
        <v>3.32611111111111</v>
      </c>
      <c r="Z171" s="55">
        <v>0.544722222222222</v>
      </c>
      <c r="AA171" s="55">
        <v>0.545555555555555</v>
      </c>
      <c r="AB171" s="55">
        <v>2.98583333333333</v>
      </c>
      <c r="AC171" s="55">
        <v>3.25</v>
      </c>
      <c r="AD171" s="55">
        <v>1.61583333333333</v>
      </c>
      <c r="AE171" s="55">
        <v>3.25</v>
      </c>
      <c r="AF171" s="55">
        <v>11.0</v>
      </c>
    </row>
    <row r="172">
      <c r="A172" s="56">
        <v>46076.0</v>
      </c>
      <c r="B172" s="55" t="s">
        <v>74</v>
      </c>
      <c r="C172" s="55" t="s">
        <v>150</v>
      </c>
      <c r="D172" s="55">
        <v>20.0</v>
      </c>
      <c r="E172" s="55">
        <v>15.0</v>
      </c>
      <c r="F172" s="55">
        <v>16.0</v>
      </c>
      <c r="G172" s="55">
        <v>17.0</v>
      </c>
      <c r="H172" s="55">
        <v>22.0</v>
      </c>
      <c r="I172" s="55">
        <v>5.0</v>
      </c>
      <c r="J172" s="55">
        <v>18.0</v>
      </c>
      <c r="K172" s="55">
        <v>2.0</v>
      </c>
      <c r="L172" s="55">
        <v>1.0</v>
      </c>
      <c r="M172" s="55">
        <v>18.0</v>
      </c>
      <c r="N172" s="55">
        <v>18.0</v>
      </c>
      <c r="O172" s="55">
        <v>7.0</v>
      </c>
      <c r="P172" s="55">
        <v>18.0</v>
      </c>
      <c r="Q172" s="55">
        <v>0.0</v>
      </c>
      <c r="R172" s="55">
        <v>60256.0</v>
      </c>
      <c r="S172" s="55">
        <v>38874.0</v>
      </c>
      <c r="T172" s="55">
        <v>5.43388888888888</v>
      </c>
      <c r="U172" s="55">
        <v>4.42888888888888</v>
      </c>
      <c r="V172" s="55">
        <v>4.59722222222222</v>
      </c>
      <c r="W172" s="55">
        <v>5.91944444444444</v>
      </c>
      <c r="X172" s="55">
        <v>1.32222222222222</v>
      </c>
      <c r="Y172" s="55">
        <v>4.89444444444444</v>
      </c>
      <c r="Z172" s="55">
        <v>0.523055555555555</v>
      </c>
      <c r="AA172" s="55">
        <v>0.238888888888888</v>
      </c>
      <c r="AB172" s="55">
        <v>4.89444444444444</v>
      </c>
      <c r="AC172" s="55">
        <v>4.89444444444444</v>
      </c>
      <c r="AD172" s="55">
        <v>1.72722222222222</v>
      </c>
      <c r="AE172" s="55">
        <v>4.89444444444444</v>
      </c>
      <c r="AF172" s="55">
        <v>20.0</v>
      </c>
    </row>
    <row r="173">
      <c r="A173" s="56">
        <v>46076.0</v>
      </c>
      <c r="B173" s="55" t="s">
        <v>30</v>
      </c>
      <c r="C173" s="55" t="s">
        <v>153</v>
      </c>
      <c r="D173" s="55">
        <v>21.0</v>
      </c>
      <c r="E173" s="55">
        <v>21.0</v>
      </c>
      <c r="F173" s="55">
        <v>3.0</v>
      </c>
      <c r="G173" s="55">
        <v>0.0</v>
      </c>
      <c r="H173" s="55">
        <v>16.0</v>
      </c>
      <c r="I173" s="55">
        <v>14.0</v>
      </c>
      <c r="J173" s="55">
        <v>17.0</v>
      </c>
      <c r="K173" s="55">
        <v>2.0</v>
      </c>
      <c r="L173" s="55">
        <v>0.0</v>
      </c>
      <c r="M173" s="55">
        <v>19.0</v>
      </c>
      <c r="N173" s="55">
        <v>19.0</v>
      </c>
      <c r="O173" s="55">
        <v>5.0</v>
      </c>
      <c r="P173" s="55">
        <v>19.0</v>
      </c>
      <c r="Q173" s="55">
        <v>0.0</v>
      </c>
      <c r="R173" s="55">
        <v>53791.0</v>
      </c>
      <c r="S173" s="55">
        <v>53791.0</v>
      </c>
      <c r="T173" s="55">
        <v>4.23916666666666</v>
      </c>
      <c r="U173" s="55">
        <v>0.755</v>
      </c>
      <c r="V173" s="55">
        <v>0.0</v>
      </c>
      <c r="W173" s="55">
        <v>3.99472222222222</v>
      </c>
      <c r="X173" s="55">
        <v>3.48416666666666</v>
      </c>
      <c r="Y173" s="55">
        <v>4.3275</v>
      </c>
      <c r="Z173" s="55">
        <v>0.523333333333333</v>
      </c>
      <c r="AA173" s="55">
        <v>0.0</v>
      </c>
      <c r="AB173" s="55">
        <v>4.82861111111111</v>
      </c>
      <c r="AC173" s="55">
        <v>4.82861111111111</v>
      </c>
      <c r="AD173" s="55">
        <v>1.08777777777777</v>
      </c>
      <c r="AE173" s="55">
        <v>4.82861111111111</v>
      </c>
      <c r="AF173" s="55">
        <v>17.0</v>
      </c>
    </row>
    <row r="174">
      <c r="A174" s="56">
        <v>46076.0</v>
      </c>
      <c r="B174" s="55" t="s">
        <v>63</v>
      </c>
      <c r="C174" s="55" t="s">
        <v>157</v>
      </c>
      <c r="D174" s="55">
        <v>8.0</v>
      </c>
      <c r="E174" s="55">
        <v>0.0</v>
      </c>
      <c r="F174" s="55">
        <v>0.0</v>
      </c>
      <c r="G174" s="55">
        <v>0.0</v>
      </c>
      <c r="H174" s="55">
        <v>0.0</v>
      </c>
      <c r="I174" s="55">
        <v>0.0</v>
      </c>
      <c r="J174" s="55">
        <v>0.0</v>
      </c>
      <c r="K174" s="55">
        <v>0.0</v>
      </c>
      <c r="L174" s="55">
        <v>0.0</v>
      </c>
      <c r="M174" s="55">
        <v>0.0</v>
      </c>
      <c r="N174" s="55">
        <v>0.0</v>
      </c>
      <c r="O174" s="55">
        <v>0.0</v>
      </c>
      <c r="P174" s="55">
        <v>0.0</v>
      </c>
      <c r="Q174" s="55">
        <v>0.0</v>
      </c>
      <c r="R174" s="55">
        <v>19302.0</v>
      </c>
      <c r="S174" s="55">
        <v>0.0</v>
      </c>
      <c r="T174" s="55">
        <v>0.268888888888888</v>
      </c>
      <c r="U174" s="55">
        <v>0.0</v>
      </c>
      <c r="V174" s="55">
        <v>0.0</v>
      </c>
      <c r="W174" s="55">
        <v>0.0</v>
      </c>
      <c r="X174" s="55">
        <v>0.0</v>
      </c>
      <c r="Y174" s="55">
        <v>0.0</v>
      </c>
      <c r="Z174" s="55">
        <v>0.0</v>
      </c>
      <c r="AA174" s="55">
        <v>0.0</v>
      </c>
      <c r="AB174" s="55">
        <v>0.0</v>
      </c>
      <c r="AC174" s="55">
        <v>0.0</v>
      </c>
      <c r="AD174" s="55">
        <v>0.0</v>
      </c>
      <c r="AE174" s="55">
        <v>0.0</v>
      </c>
      <c r="AF174" s="55">
        <v>1.0</v>
      </c>
    </row>
    <row r="175">
      <c r="A175" s="56">
        <v>46076.0</v>
      </c>
      <c r="B175" s="55" t="s">
        <v>35</v>
      </c>
      <c r="C175" s="55" t="s">
        <v>158</v>
      </c>
      <c r="D175" s="55">
        <v>15.0</v>
      </c>
      <c r="E175" s="55">
        <v>15.0</v>
      </c>
      <c r="F175" s="55">
        <v>8.0</v>
      </c>
      <c r="G175" s="55">
        <v>8.0</v>
      </c>
      <c r="H175" s="55">
        <v>11.0</v>
      </c>
      <c r="I175" s="55">
        <v>2.0</v>
      </c>
      <c r="J175" s="55">
        <v>11.0</v>
      </c>
      <c r="K175" s="55">
        <v>1.0</v>
      </c>
      <c r="L175" s="55">
        <v>0.0</v>
      </c>
      <c r="M175" s="55">
        <v>10.0</v>
      </c>
      <c r="N175" s="55">
        <v>9.0</v>
      </c>
      <c r="O175" s="55">
        <v>5.0</v>
      </c>
      <c r="P175" s="55">
        <v>9.0</v>
      </c>
      <c r="Q175" s="55">
        <v>0.0</v>
      </c>
      <c r="R175" s="55">
        <v>37534.0</v>
      </c>
      <c r="S175" s="55">
        <v>37361.0</v>
      </c>
      <c r="T175" s="55">
        <v>1.66277777777777</v>
      </c>
      <c r="U175" s="55">
        <v>2.28611111111111</v>
      </c>
      <c r="V175" s="55">
        <v>2.28555555555555</v>
      </c>
      <c r="W175" s="55">
        <v>3.03249999999999</v>
      </c>
      <c r="X175" s="55">
        <v>0.511666666666666</v>
      </c>
      <c r="Y175" s="55">
        <v>3.02472222222222</v>
      </c>
      <c r="Z175" s="55">
        <v>0.281388888888888</v>
      </c>
      <c r="AA175" s="55">
        <v>0.0</v>
      </c>
      <c r="AB175" s="55">
        <v>2.76638888888888</v>
      </c>
      <c r="AC175" s="55">
        <v>2.53111111111111</v>
      </c>
      <c r="AD175" s="55">
        <v>1.38333333333333</v>
      </c>
      <c r="AE175" s="55">
        <v>2.53111111111111</v>
      </c>
      <c r="AF175" s="55">
        <v>6.0</v>
      </c>
    </row>
    <row r="176">
      <c r="A176" s="56">
        <v>46076.0</v>
      </c>
      <c r="B176" s="55" t="s">
        <v>79</v>
      </c>
      <c r="C176" s="55" t="s">
        <v>168</v>
      </c>
      <c r="D176" s="55">
        <v>5.0</v>
      </c>
      <c r="E176" s="55">
        <v>19.0</v>
      </c>
      <c r="F176" s="55">
        <v>7.0</v>
      </c>
      <c r="G176" s="55">
        <v>8.0</v>
      </c>
      <c r="H176" s="55">
        <v>14.0</v>
      </c>
      <c r="I176" s="55">
        <v>6.0</v>
      </c>
      <c r="J176" s="55">
        <v>15.0</v>
      </c>
      <c r="K176" s="55">
        <v>6.0</v>
      </c>
      <c r="L176" s="55">
        <v>2.0</v>
      </c>
      <c r="M176" s="55">
        <v>15.0</v>
      </c>
      <c r="N176" s="55">
        <v>37.0</v>
      </c>
      <c r="O176" s="55">
        <v>6.0</v>
      </c>
      <c r="P176" s="55">
        <v>37.0</v>
      </c>
      <c r="Q176" s="55">
        <v>0.0</v>
      </c>
      <c r="R176" s="55">
        <v>10362.0</v>
      </c>
      <c r="S176" s="55">
        <v>41786.0</v>
      </c>
      <c r="T176" s="55">
        <v>2.18444444444444</v>
      </c>
      <c r="U176" s="55">
        <v>1.45888888888888</v>
      </c>
      <c r="V176" s="55">
        <v>1.70805555555555</v>
      </c>
      <c r="W176" s="55">
        <v>3.03861111111111</v>
      </c>
      <c r="X176" s="55">
        <v>1.33055555555555</v>
      </c>
      <c r="Y176" s="55">
        <v>3.26944444444444</v>
      </c>
      <c r="Z176" s="55">
        <v>1.29388888888888</v>
      </c>
      <c r="AA176" s="55">
        <v>0.434444444444444</v>
      </c>
      <c r="AB176" s="55">
        <v>3.26944444444444</v>
      </c>
      <c r="AC176" s="55">
        <v>7.76305555555555</v>
      </c>
      <c r="AD176" s="55">
        <v>1.34055555555555</v>
      </c>
      <c r="AE176" s="55">
        <v>7.76305555555555</v>
      </c>
      <c r="AF176" s="55">
        <v>10.0</v>
      </c>
    </row>
    <row r="177">
      <c r="A177" s="56">
        <v>46076.0</v>
      </c>
      <c r="B177" s="55" t="s">
        <v>82</v>
      </c>
      <c r="C177" s="55" t="s">
        <v>167</v>
      </c>
      <c r="D177" s="55">
        <v>7.0</v>
      </c>
      <c r="E177" s="55">
        <v>2.0</v>
      </c>
      <c r="F177" s="55">
        <v>0.0</v>
      </c>
      <c r="G177" s="55">
        <v>0.0</v>
      </c>
      <c r="H177" s="55">
        <v>0.0</v>
      </c>
      <c r="I177" s="55">
        <v>0.0</v>
      </c>
      <c r="J177" s="55">
        <v>0.0</v>
      </c>
      <c r="K177" s="55">
        <v>0.0</v>
      </c>
      <c r="L177" s="55">
        <v>0.0</v>
      </c>
      <c r="M177" s="55">
        <v>0.0</v>
      </c>
      <c r="N177" s="55">
        <v>0.0</v>
      </c>
      <c r="O177" s="55">
        <v>0.0</v>
      </c>
      <c r="P177" s="55">
        <v>0.0</v>
      </c>
      <c r="Q177" s="55">
        <v>0.0</v>
      </c>
      <c r="R177" s="55">
        <v>17293.0</v>
      </c>
      <c r="S177" s="55">
        <v>5129.0</v>
      </c>
      <c r="T177" s="55">
        <v>0.0</v>
      </c>
      <c r="U177" s="55">
        <v>0.0</v>
      </c>
      <c r="V177" s="55">
        <v>0.0</v>
      </c>
      <c r="W177" s="55">
        <v>0.0</v>
      </c>
      <c r="X177" s="55">
        <v>0.0</v>
      </c>
      <c r="Y177" s="55">
        <v>0.0</v>
      </c>
      <c r="Z177" s="55">
        <v>0.0</v>
      </c>
      <c r="AA177" s="55">
        <v>0.0</v>
      </c>
      <c r="AB177" s="55">
        <v>0.0</v>
      </c>
      <c r="AC177" s="55">
        <v>0.0</v>
      </c>
      <c r="AD177" s="55">
        <v>0.0</v>
      </c>
      <c r="AE177" s="55">
        <v>0.0</v>
      </c>
      <c r="AF177" s="55">
        <v>0.0</v>
      </c>
    </row>
    <row r="178">
      <c r="A178" s="56">
        <v>46076.0</v>
      </c>
      <c r="B178" s="55" t="s">
        <v>24</v>
      </c>
      <c r="C178" s="55" t="s">
        <v>161</v>
      </c>
      <c r="D178" s="55">
        <v>29.0</v>
      </c>
      <c r="E178" s="55">
        <v>30.0</v>
      </c>
      <c r="F178" s="55">
        <v>13.0</v>
      </c>
      <c r="G178" s="55">
        <v>12.0</v>
      </c>
      <c r="H178" s="55">
        <v>29.0</v>
      </c>
      <c r="I178" s="55">
        <v>17.0</v>
      </c>
      <c r="J178" s="55">
        <v>29.0</v>
      </c>
      <c r="K178" s="55">
        <v>9.0</v>
      </c>
      <c r="L178" s="55">
        <v>2.0</v>
      </c>
      <c r="M178" s="55">
        <v>20.0</v>
      </c>
      <c r="N178" s="55">
        <v>22.0</v>
      </c>
      <c r="O178" s="55">
        <v>5.0</v>
      </c>
      <c r="P178" s="55">
        <v>22.0</v>
      </c>
      <c r="Q178" s="55">
        <v>0.0</v>
      </c>
      <c r="R178" s="55">
        <v>63011.0</v>
      </c>
      <c r="S178" s="55">
        <v>72651.0</v>
      </c>
      <c r="T178" s="55">
        <v>5.95277777777777</v>
      </c>
      <c r="U178" s="55">
        <v>2.55805555555555</v>
      </c>
      <c r="V178" s="55">
        <v>2.35638888888888</v>
      </c>
      <c r="W178" s="55">
        <v>5.75111111111111</v>
      </c>
      <c r="X178" s="55">
        <v>3.39472222222222</v>
      </c>
      <c r="Y178" s="55">
        <v>5.75277777777777</v>
      </c>
      <c r="Z178" s="55">
        <v>1.80916666666666</v>
      </c>
      <c r="AA178" s="55">
        <v>0.43</v>
      </c>
      <c r="AB178" s="55">
        <v>3.93194444444444</v>
      </c>
      <c r="AC178" s="55">
        <v>4.34055555555555</v>
      </c>
      <c r="AD178" s="55">
        <v>1.01916666666666</v>
      </c>
      <c r="AE178" s="55">
        <v>4.34055555555555</v>
      </c>
      <c r="AF178" s="55">
        <v>30.0</v>
      </c>
    </row>
    <row r="179">
      <c r="A179" s="56">
        <v>46076.0</v>
      </c>
      <c r="B179" s="55" t="s">
        <v>60</v>
      </c>
      <c r="C179" s="55" t="s">
        <v>61</v>
      </c>
      <c r="D179" s="55">
        <v>0.0</v>
      </c>
      <c r="E179" s="55">
        <v>15.0</v>
      </c>
      <c r="F179" s="55">
        <v>17.0</v>
      </c>
      <c r="G179" s="55">
        <v>0.0</v>
      </c>
      <c r="H179" s="55">
        <v>18.0</v>
      </c>
      <c r="I179" s="55">
        <v>8.0</v>
      </c>
      <c r="J179" s="55">
        <v>16.0</v>
      </c>
      <c r="K179" s="55">
        <v>3.0</v>
      </c>
      <c r="L179" s="55">
        <v>1.0</v>
      </c>
      <c r="M179" s="55">
        <v>15.0</v>
      </c>
      <c r="N179" s="55">
        <v>15.0</v>
      </c>
      <c r="O179" s="55">
        <v>6.0</v>
      </c>
      <c r="P179" s="55">
        <v>15.0</v>
      </c>
      <c r="Q179" s="55">
        <v>0.0</v>
      </c>
      <c r="R179" s="55">
        <v>0.0</v>
      </c>
      <c r="S179" s="55">
        <v>34463.0</v>
      </c>
      <c r="T179" s="55">
        <v>3.86166666666666</v>
      </c>
      <c r="U179" s="55">
        <v>3.84555555555555</v>
      </c>
      <c r="V179" s="55">
        <v>0.0</v>
      </c>
      <c r="W179" s="55">
        <v>4.24138888888888</v>
      </c>
      <c r="X179" s="55">
        <v>1.84416666666666</v>
      </c>
      <c r="Y179" s="55">
        <v>3.79</v>
      </c>
      <c r="Z179" s="55">
        <v>0.720833333333333</v>
      </c>
      <c r="AA179" s="55">
        <v>0.257777777777777</v>
      </c>
      <c r="AB179" s="55">
        <v>3.52805555555555</v>
      </c>
      <c r="AC179" s="55">
        <v>3.52777777777777</v>
      </c>
      <c r="AD179" s="55">
        <v>1.34055555555555</v>
      </c>
      <c r="AE179" s="55">
        <v>3.52777777777777</v>
      </c>
      <c r="AF179" s="55">
        <v>17.0</v>
      </c>
    </row>
    <row r="180">
      <c r="A180" s="56">
        <v>46069.0</v>
      </c>
      <c r="B180" s="55" t="s">
        <v>77</v>
      </c>
      <c r="C180" s="55" t="s">
        <v>148</v>
      </c>
      <c r="D180" s="55">
        <v>14.0</v>
      </c>
      <c r="E180" s="55">
        <v>24.0</v>
      </c>
      <c r="F180" s="55">
        <v>5.0</v>
      </c>
      <c r="G180" s="55">
        <v>4.0</v>
      </c>
      <c r="H180" s="55">
        <v>8.0</v>
      </c>
      <c r="I180" s="55">
        <v>4.0</v>
      </c>
      <c r="J180" s="55">
        <v>7.0</v>
      </c>
      <c r="K180" s="55">
        <v>6.0</v>
      </c>
      <c r="L180" s="55">
        <v>7.0</v>
      </c>
      <c r="M180" s="55">
        <v>6.0</v>
      </c>
      <c r="N180" s="55">
        <v>0.0</v>
      </c>
      <c r="O180" s="55">
        <v>0.0</v>
      </c>
      <c r="P180" s="55">
        <v>0.0</v>
      </c>
      <c r="Q180" s="55">
        <v>0.0</v>
      </c>
      <c r="R180" s="55">
        <v>29868.0</v>
      </c>
      <c r="S180" s="55">
        <v>50801.0</v>
      </c>
      <c r="T180" s="55">
        <v>1.85111111111111</v>
      </c>
      <c r="U180" s="55">
        <v>0.831388888888888</v>
      </c>
      <c r="V180" s="55">
        <v>0.651666666666666</v>
      </c>
      <c r="W180" s="55">
        <v>1.30555555555555</v>
      </c>
      <c r="X180" s="55">
        <v>0.653888888888889</v>
      </c>
      <c r="Y180" s="55">
        <v>1.13361111111111</v>
      </c>
      <c r="Z180" s="55">
        <v>0.955277777777777</v>
      </c>
      <c r="AA180" s="55">
        <v>1.14972222222222</v>
      </c>
      <c r="AB180" s="55">
        <v>0.998611111111111</v>
      </c>
      <c r="AC180" s="55">
        <v>0.0</v>
      </c>
      <c r="AD180" s="55">
        <v>0.0</v>
      </c>
      <c r="AE180" s="55">
        <v>0.0</v>
      </c>
      <c r="AF180" s="55">
        <v>11.0</v>
      </c>
    </row>
    <row r="181">
      <c r="A181" s="56">
        <v>46069.0</v>
      </c>
      <c r="B181" s="55" t="s">
        <v>69</v>
      </c>
      <c r="C181" s="55" t="s">
        <v>149</v>
      </c>
      <c r="D181" s="55">
        <v>0.0</v>
      </c>
      <c r="E181" s="55">
        <v>6.0</v>
      </c>
      <c r="F181" s="55">
        <v>12.0</v>
      </c>
      <c r="G181" s="55">
        <v>13.0</v>
      </c>
      <c r="H181" s="55">
        <v>18.0</v>
      </c>
      <c r="I181" s="55">
        <v>5.0</v>
      </c>
      <c r="J181" s="55">
        <v>14.0</v>
      </c>
      <c r="K181" s="55">
        <v>6.0</v>
      </c>
      <c r="L181" s="55">
        <v>6.0</v>
      </c>
      <c r="M181" s="55">
        <v>12.0</v>
      </c>
      <c r="N181" s="55">
        <v>12.0</v>
      </c>
      <c r="O181" s="55">
        <v>6.0</v>
      </c>
      <c r="P181" s="55">
        <v>12.0</v>
      </c>
      <c r="Q181" s="55">
        <v>0.0</v>
      </c>
      <c r="R181" s="55">
        <v>0.0</v>
      </c>
      <c r="S181" s="55">
        <v>18746.0</v>
      </c>
      <c r="T181" s="55">
        <v>4.46972222222222</v>
      </c>
      <c r="U181" s="55">
        <v>3.16888888888888</v>
      </c>
      <c r="V181" s="55">
        <v>3.42555555555555</v>
      </c>
      <c r="W181" s="55">
        <v>4.72638888888888</v>
      </c>
      <c r="X181" s="55">
        <v>1.30083333333333</v>
      </c>
      <c r="Y181" s="55">
        <v>3.6725</v>
      </c>
      <c r="Z181" s="55">
        <v>1.60833333333333</v>
      </c>
      <c r="AA181" s="55">
        <v>1.60861111111111</v>
      </c>
      <c r="AB181" s="55">
        <v>3.15222222222222</v>
      </c>
      <c r="AC181" s="55">
        <v>3.15277777777777</v>
      </c>
      <c r="AD181" s="55">
        <v>1.73388888888888</v>
      </c>
      <c r="AE181" s="55">
        <v>3.15277777777777</v>
      </c>
      <c r="AF181" s="55">
        <v>17.0</v>
      </c>
    </row>
    <row r="182">
      <c r="A182" s="56">
        <v>46069.0</v>
      </c>
      <c r="B182" s="55" t="s">
        <v>74</v>
      </c>
      <c r="C182" s="55" t="s">
        <v>150</v>
      </c>
      <c r="D182" s="55">
        <v>20.0</v>
      </c>
      <c r="E182" s="55">
        <v>22.0</v>
      </c>
      <c r="F182" s="55">
        <v>20.0</v>
      </c>
      <c r="G182" s="55">
        <v>18.0</v>
      </c>
      <c r="H182" s="55">
        <v>18.0</v>
      </c>
      <c r="I182" s="55">
        <v>0.0</v>
      </c>
      <c r="J182" s="55">
        <v>18.0</v>
      </c>
      <c r="K182" s="55">
        <v>9.0</v>
      </c>
      <c r="L182" s="55">
        <v>9.0</v>
      </c>
      <c r="M182" s="55">
        <v>20.0</v>
      </c>
      <c r="N182" s="55">
        <v>20.0</v>
      </c>
      <c r="O182" s="55">
        <v>6.0</v>
      </c>
      <c r="P182" s="55">
        <v>20.0</v>
      </c>
      <c r="Q182" s="55">
        <v>0.0</v>
      </c>
      <c r="R182" s="55">
        <v>54096.0</v>
      </c>
      <c r="S182" s="55">
        <v>61561.0</v>
      </c>
      <c r="T182" s="55">
        <v>6.32111111111111</v>
      </c>
      <c r="U182" s="55">
        <v>6.00388888888888</v>
      </c>
      <c r="V182" s="55">
        <v>5.77888888888889</v>
      </c>
      <c r="W182" s="55">
        <v>5.77888888888889</v>
      </c>
      <c r="X182" s="55">
        <v>0.0</v>
      </c>
      <c r="Y182" s="55">
        <v>5.77888888888888</v>
      </c>
      <c r="Z182" s="55">
        <v>2.92638888888888</v>
      </c>
      <c r="AA182" s="55">
        <v>2.925</v>
      </c>
      <c r="AB182" s="55">
        <v>6.385</v>
      </c>
      <c r="AC182" s="55">
        <v>6.385</v>
      </c>
      <c r="AD182" s="55">
        <v>1.39194444444444</v>
      </c>
      <c r="AE182" s="55">
        <v>6.38499999999999</v>
      </c>
      <c r="AF182" s="55">
        <v>21.0</v>
      </c>
    </row>
    <row r="183">
      <c r="A183" s="56">
        <v>46069.0</v>
      </c>
      <c r="B183" s="55" t="s">
        <v>30</v>
      </c>
      <c r="C183" s="55" t="s">
        <v>153</v>
      </c>
      <c r="D183" s="55">
        <v>15.0</v>
      </c>
      <c r="E183" s="55">
        <v>15.0</v>
      </c>
      <c r="F183" s="55">
        <v>2.0</v>
      </c>
      <c r="G183" s="55">
        <v>1.0</v>
      </c>
      <c r="H183" s="55">
        <v>24.0</v>
      </c>
      <c r="I183" s="55">
        <v>23.0</v>
      </c>
      <c r="J183" s="55">
        <v>21.0</v>
      </c>
      <c r="K183" s="55">
        <v>3.0</v>
      </c>
      <c r="L183" s="55">
        <v>0.0</v>
      </c>
      <c r="M183" s="55">
        <v>20.0</v>
      </c>
      <c r="N183" s="55">
        <v>20.0</v>
      </c>
      <c r="O183" s="55">
        <v>5.0</v>
      </c>
      <c r="P183" s="55">
        <v>20.0</v>
      </c>
      <c r="Q183" s="55">
        <v>0.0</v>
      </c>
      <c r="R183" s="55">
        <v>39584.0</v>
      </c>
      <c r="S183" s="55">
        <v>39584.0</v>
      </c>
      <c r="T183" s="55">
        <v>6.27305555555555</v>
      </c>
      <c r="U183" s="55">
        <v>0.533888888888888</v>
      </c>
      <c r="V183" s="55">
        <v>0.266666666666666</v>
      </c>
      <c r="W183" s="55">
        <v>6.27</v>
      </c>
      <c r="X183" s="55">
        <v>6.00583333333333</v>
      </c>
      <c r="Y183" s="55">
        <v>5.48972222222222</v>
      </c>
      <c r="Z183" s="55">
        <v>0.803333333333333</v>
      </c>
      <c r="AA183" s="55">
        <v>0.0</v>
      </c>
      <c r="AB183" s="55">
        <v>5.26444444444444</v>
      </c>
      <c r="AC183" s="55">
        <v>5.26444444444444</v>
      </c>
      <c r="AD183" s="55">
        <v>1.07888888888888</v>
      </c>
      <c r="AE183" s="55">
        <v>5.26444444444444</v>
      </c>
      <c r="AF183" s="55">
        <v>24.0</v>
      </c>
    </row>
    <row r="184">
      <c r="A184" s="56">
        <v>46069.0</v>
      </c>
      <c r="B184" s="55" t="s">
        <v>35</v>
      </c>
      <c r="C184" s="55" t="s">
        <v>158</v>
      </c>
      <c r="D184" s="55">
        <v>13.0</v>
      </c>
      <c r="E184" s="55">
        <v>19.0</v>
      </c>
      <c r="F184" s="55">
        <v>9.0</v>
      </c>
      <c r="G184" s="55">
        <v>6.0</v>
      </c>
      <c r="H184" s="55">
        <v>10.0</v>
      </c>
      <c r="I184" s="55">
        <v>4.0</v>
      </c>
      <c r="J184" s="55">
        <v>10.0</v>
      </c>
      <c r="K184" s="55">
        <v>2.0</v>
      </c>
      <c r="L184" s="55">
        <v>2.0</v>
      </c>
      <c r="M184" s="55">
        <v>13.0</v>
      </c>
      <c r="N184" s="55">
        <v>13.0</v>
      </c>
      <c r="O184" s="55">
        <v>7.0</v>
      </c>
      <c r="P184" s="55">
        <v>13.0</v>
      </c>
      <c r="Q184" s="55">
        <v>0.0</v>
      </c>
      <c r="R184" s="55">
        <v>31816.0</v>
      </c>
      <c r="S184" s="55">
        <v>45961.0</v>
      </c>
      <c r="T184" s="55">
        <v>3.30305555555555</v>
      </c>
      <c r="U184" s="55">
        <v>2.48722222222222</v>
      </c>
      <c r="V184" s="55">
        <v>1.61222222222222</v>
      </c>
      <c r="W184" s="55">
        <v>2.63444444444444</v>
      </c>
      <c r="X184" s="55">
        <v>1.02222222222222</v>
      </c>
      <c r="Y184" s="55">
        <v>2.61611111111111</v>
      </c>
      <c r="Z184" s="55">
        <v>0.519722222222222</v>
      </c>
      <c r="AA184" s="55">
        <v>0.516388888888888</v>
      </c>
      <c r="AB184" s="55">
        <v>3.37555555555555</v>
      </c>
      <c r="AC184" s="55">
        <v>3.37555555555555</v>
      </c>
      <c r="AD184" s="55">
        <v>1.79694444444444</v>
      </c>
      <c r="AE184" s="55">
        <v>3.37555555555555</v>
      </c>
      <c r="AF184" s="55">
        <v>12.0</v>
      </c>
    </row>
    <row r="185">
      <c r="A185" s="56">
        <v>46069.0</v>
      </c>
      <c r="B185" s="55" t="s">
        <v>79</v>
      </c>
      <c r="C185" s="55" t="s">
        <v>168</v>
      </c>
      <c r="D185" s="55">
        <v>13.0</v>
      </c>
      <c r="E185" s="55">
        <v>13.0</v>
      </c>
      <c r="F185" s="55">
        <v>7.0</v>
      </c>
      <c r="G185" s="55">
        <v>5.0</v>
      </c>
      <c r="H185" s="55">
        <v>12.0</v>
      </c>
      <c r="I185" s="55">
        <v>7.0</v>
      </c>
      <c r="J185" s="55">
        <v>12.0</v>
      </c>
      <c r="K185" s="55">
        <v>3.0</v>
      </c>
      <c r="L185" s="55">
        <v>1.0</v>
      </c>
      <c r="M185" s="55">
        <v>13.0</v>
      </c>
      <c r="N185" s="55">
        <v>0.0</v>
      </c>
      <c r="O185" s="55">
        <v>0.0</v>
      </c>
      <c r="P185" s="55">
        <v>0.0</v>
      </c>
      <c r="Q185" s="55">
        <v>0.0</v>
      </c>
      <c r="R185" s="55">
        <v>27707.0</v>
      </c>
      <c r="S185" s="55">
        <v>30802.0</v>
      </c>
      <c r="T185" s="55">
        <v>3.42222222222222</v>
      </c>
      <c r="U185" s="55">
        <v>1.39972222222222</v>
      </c>
      <c r="V185" s="55">
        <v>0.983055555555555</v>
      </c>
      <c r="W185" s="55">
        <v>2.35916666666666</v>
      </c>
      <c r="X185" s="55">
        <v>1.37611111111111</v>
      </c>
      <c r="Y185" s="55">
        <v>2.35083333333333</v>
      </c>
      <c r="Z185" s="55">
        <v>0.557222222222222</v>
      </c>
      <c r="AA185" s="55">
        <v>0.181944444444444</v>
      </c>
      <c r="AB185" s="55">
        <v>2.53249999999999</v>
      </c>
      <c r="AC185" s="55">
        <v>0.0</v>
      </c>
      <c r="AD185" s="55">
        <v>0.0</v>
      </c>
      <c r="AE185" s="55">
        <v>0.0</v>
      </c>
      <c r="AF185" s="55">
        <v>17.0</v>
      </c>
    </row>
    <row r="186">
      <c r="A186" s="56">
        <v>46069.0</v>
      </c>
      <c r="B186" s="55" t="s">
        <v>82</v>
      </c>
      <c r="C186" s="55" t="s">
        <v>167</v>
      </c>
      <c r="D186" s="55">
        <v>9.0</v>
      </c>
      <c r="E186" s="55">
        <v>0.0</v>
      </c>
      <c r="F186" s="55">
        <v>0.0</v>
      </c>
      <c r="G186" s="55">
        <v>0.0</v>
      </c>
      <c r="H186" s="55">
        <v>0.0</v>
      </c>
      <c r="I186" s="55">
        <v>0.0</v>
      </c>
      <c r="J186" s="55">
        <v>0.0</v>
      </c>
      <c r="K186" s="55">
        <v>0.0</v>
      </c>
      <c r="L186" s="55">
        <v>0.0</v>
      </c>
      <c r="M186" s="55">
        <v>0.0</v>
      </c>
      <c r="N186" s="55">
        <v>0.0</v>
      </c>
      <c r="O186" s="55">
        <v>0.0</v>
      </c>
      <c r="P186" s="55">
        <v>0.0</v>
      </c>
      <c r="Q186" s="55">
        <v>0.0</v>
      </c>
      <c r="R186" s="55">
        <v>23158.0</v>
      </c>
      <c r="S186" s="55">
        <v>0.0</v>
      </c>
      <c r="T186" s="55">
        <v>0.0</v>
      </c>
      <c r="U186" s="55">
        <v>0.0</v>
      </c>
      <c r="V186" s="55">
        <v>0.0</v>
      </c>
      <c r="W186" s="55">
        <v>0.0</v>
      </c>
      <c r="X186" s="55">
        <v>0.0</v>
      </c>
      <c r="Y186" s="55">
        <v>0.0</v>
      </c>
      <c r="Z186" s="55">
        <v>0.0</v>
      </c>
      <c r="AA186" s="55">
        <v>0.0</v>
      </c>
      <c r="AB186" s="55">
        <v>0.0</v>
      </c>
      <c r="AC186" s="55">
        <v>0.0</v>
      </c>
      <c r="AD186" s="55">
        <v>0.0</v>
      </c>
      <c r="AE186" s="55">
        <v>0.0</v>
      </c>
      <c r="AF186" s="55">
        <v>0.0</v>
      </c>
    </row>
    <row r="187">
      <c r="A187" s="56">
        <v>46069.0</v>
      </c>
      <c r="B187" s="55" t="s">
        <v>24</v>
      </c>
      <c r="C187" s="55" t="s">
        <v>161</v>
      </c>
      <c r="D187" s="55">
        <v>31.0</v>
      </c>
      <c r="E187" s="55">
        <v>30.0</v>
      </c>
      <c r="F187" s="55">
        <v>8.0</v>
      </c>
      <c r="G187" s="55">
        <v>9.0</v>
      </c>
      <c r="H187" s="55">
        <v>21.0</v>
      </c>
      <c r="I187" s="55">
        <v>12.0</v>
      </c>
      <c r="J187" s="55">
        <v>21.0</v>
      </c>
      <c r="K187" s="55">
        <v>5.0</v>
      </c>
      <c r="L187" s="55">
        <v>5.0</v>
      </c>
      <c r="M187" s="55">
        <v>22.0</v>
      </c>
      <c r="N187" s="55">
        <v>20.0</v>
      </c>
      <c r="O187" s="55">
        <v>6.0</v>
      </c>
      <c r="P187" s="55">
        <v>20.0</v>
      </c>
      <c r="Q187" s="55">
        <v>0.0</v>
      </c>
      <c r="R187" s="55">
        <v>70108.0</v>
      </c>
      <c r="S187" s="55">
        <v>68001.0</v>
      </c>
      <c r="T187" s="55">
        <v>3.60361111111111</v>
      </c>
      <c r="U187" s="55">
        <v>1.49222222222222</v>
      </c>
      <c r="V187" s="55">
        <v>1.67638888888888</v>
      </c>
      <c r="W187" s="55">
        <v>3.78777777777777</v>
      </c>
      <c r="X187" s="55">
        <v>2.11138888888888</v>
      </c>
      <c r="Y187" s="55">
        <v>3.79333333333333</v>
      </c>
      <c r="Z187" s="55">
        <v>0.868055555555555</v>
      </c>
      <c r="AA187" s="55">
        <v>0.868611111111111</v>
      </c>
      <c r="AB187" s="55">
        <v>3.97916666666666</v>
      </c>
      <c r="AC187" s="55">
        <v>3.57055555555555</v>
      </c>
      <c r="AD187" s="55">
        <v>1.11638888888888</v>
      </c>
      <c r="AE187" s="55">
        <v>3.57055555555555</v>
      </c>
      <c r="AF187" s="55">
        <v>20.0</v>
      </c>
    </row>
    <row r="188">
      <c r="A188" s="56">
        <v>46069.0</v>
      </c>
      <c r="B188" s="55" t="s">
        <v>60</v>
      </c>
      <c r="C188" s="55" t="s">
        <v>61</v>
      </c>
      <c r="D188" s="55">
        <v>16.0</v>
      </c>
      <c r="E188" s="55">
        <v>14.0</v>
      </c>
      <c r="F188" s="55">
        <v>8.0</v>
      </c>
      <c r="G188" s="55">
        <v>5.0</v>
      </c>
      <c r="H188" s="55">
        <v>14.0</v>
      </c>
      <c r="I188" s="55">
        <v>4.0</v>
      </c>
      <c r="J188" s="55">
        <v>13.0</v>
      </c>
      <c r="K188" s="55">
        <v>2.0</v>
      </c>
      <c r="L188" s="55">
        <v>1.0</v>
      </c>
      <c r="M188" s="55">
        <v>12.0</v>
      </c>
      <c r="N188" s="55">
        <v>12.0</v>
      </c>
      <c r="O188" s="55">
        <v>7.0</v>
      </c>
      <c r="P188" s="55">
        <v>12.0</v>
      </c>
      <c r="Q188" s="55">
        <v>0.0</v>
      </c>
      <c r="R188" s="55">
        <v>37006.0</v>
      </c>
      <c r="S188" s="55">
        <v>33418.0</v>
      </c>
      <c r="T188" s="55">
        <v>4.34916666666666</v>
      </c>
      <c r="U188" s="55">
        <v>1.98583333333333</v>
      </c>
      <c r="V188" s="55">
        <v>1.23833333333333</v>
      </c>
      <c r="W188" s="55">
        <v>3.48083333333333</v>
      </c>
      <c r="X188" s="55">
        <v>0.934444444444444</v>
      </c>
      <c r="Y188" s="55">
        <v>3.31111111111111</v>
      </c>
      <c r="Z188" s="55">
        <v>0.5</v>
      </c>
      <c r="AA188" s="55">
        <v>0.25</v>
      </c>
      <c r="AB188" s="55">
        <v>3.05333333333333</v>
      </c>
      <c r="AC188" s="55">
        <v>3.05333333333333</v>
      </c>
      <c r="AD188" s="55">
        <v>1.59</v>
      </c>
      <c r="AE188" s="55">
        <v>3.05333333333333</v>
      </c>
      <c r="AF188" s="55">
        <v>18.0</v>
      </c>
    </row>
    <row r="189">
      <c r="A189" s="56">
        <v>46062.0</v>
      </c>
      <c r="B189" s="55" t="s">
        <v>77</v>
      </c>
      <c r="C189" s="55" t="s">
        <v>148</v>
      </c>
      <c r="D189" s="55">
        <v>15.0</v>
      </c>
      <c r="E189" s="55">
        <v>6.0</v>
      </c>
      <c r="F189" s="55">
        <v>1.0</v>
      </c>
      <c r="G189" s="55">
        <v>0.0</v>
      </c>
      <c r="H189" s="55">
        <v>2.0</v>
      </c>
      <c r="I189" s="55">
        <v>2.0</v>
      </c>
      <c r="J189" s="55">
        <v>3.0</v>
      </c>
      <c r="K189" s="55">
        <v>3.0</v>
      </c>
      <c r="L189" s="55">
        <v>2.0</v>
      </c>
      <c r="M189" s="55">
        <v>2.0</v>
      </c>
      <c r="N189" s="55">
        <v>0.0</v>
      </c>
      <c r="O189" s="55">
        <v>0.0</v>
      </c>
      <c r="P189" s="55">
        <v>0.0</v>
      </c>
      <c r="Q189" s="55">
        <v>0.0</v>
      </c>
      <c r="R189" s="55">
        <v>32594.0</v>
      </c>
      <c r="S189" s="55">
        <v>13218.0</v>
      </c>
      <c r="T189" s="55">
        <v>0.565</v>
      </c>
      <c r="U189" s="55">
        <v>0.167222222222222</v>
      </c>
      <c r="V189" s="55">
        <v>0.0</v>
      </c>
      <c r="W189" s="55">
        <v>0.397777777777777</v>
      </c>
      <c r="X189" s="55">
        <v>0.397777777777777</v>
      </c>
      <c r="Y189" s="55">
        <v>0.666666666666666</v>
      </c>
      <c r="Z189" s="55">
        <v>0.666666666666666</v>
      </c>
      <c r="AA189" s="55">
        <v>0.471944444444444</v>
      </c>
      <c r="AB189" s="55">
        <v>0.471944444444444</v>
      </c>
      <c r="AC189" s="55">
        <v>0.0</v>
      </c>
      <c r="AD189" s="55">
        <v>0.0</v>
      </c>
      <c r="AE189" s="55">
        <v>0.0</v>
      </c>
      <c r="AF189" s="55">
        <v>3.0</v>
      </c>
    </row>
    <row r="190">
      <c r="A190" s="56">
        <v>46062.0</v>
      </c>
      <c r="B190" s="55" t="s">
        <v>69</v>
      </c>
      <c r="C190" s="55" t="s">
        <v>149</v>
      </c>
      <c r="D190" s="55">
        <v>4.0</v>
      </c>
      <c r="E190" s="55">
        <v>18.0</v>
      </c>
      <c r="F190" s="55">
        <v>8.0</v>
      </c>
      <c r="G190" s="55">
        <v>9.0</v>
      </c>
      <c r="H190" s="55">
        <v>12.0</v>
      </c>
      <c r="I190" s="55">
        <v>3.0</v>
      </c>
      <c r="J190" s="55">
        <v>13.0</v>
      </c>
      <c r="K190" s="55">
        <v>4.0</v>
      </c>
      <c r="L190" s="55">
        <v>2.0</v>
      </c>
      <c r="M190" s="55">
        <v>13.0</v>
      </c>
      <c r="N190" s="55">
        <v>12.0</v>
      </c>
      <c r="O190" s="55">
        <v>6.0</v>
      </c>
      <c r="P190" s="55">
        <v>12.0</v>
      </c>
      <c r="Q190" s="55">
        <v>0.0</v>
      </c>
      <c r="R190" s="55">
        <v>12350.0</v>
      </c>
      <c r="S190" s="55">
        <v>55984.0</v>
      </c>
      <c r="T190" s="55">
        <v>3.03305555555555</v>
      </c>
      <c r="U190" s="55">
        <v>2.21388888888888</v>
      </c>
      <c r="V190" s="55">
        <v>2.5475</v>
      </c>
      <c r="W190" s="55">
        <v>3.38083333333333</v>
      </c>
      <c r="X190" s="55">
        <v>0.833333333333333</v>
      </c>
      <c r="Y190" s="55">
        <v>3.64305555555555</v>
      </c>
      <c r="Z190" s="55">
        <v>1.1025</v>
      </c>
      <c r="AA190" s="55">
        <v>0.558333333333333</v>
      </c>
      <c r="AB190" s="55">
        <v>3.64</v>
      </c>
      <c r="AC190" s="55">
        <v>3.37527777777777</v>
      </c>
      <c r="AD190" s="55">
        <v>1.68611111111111</v>
      </c>
      <c r="AE190" s="55">
        <v>3.37527777777777</v>
      </c>
      <c r="AF190" s="55">
        <v>11.0</v>
      </c>
    </row>
    <row r="191">
      <c r="A191" s="56">
        <v>46062.0</v>
      </c>
      <c r="B191" s="55" t="s">
        <v>74</v>
      </c>
      <c r="C191" s="55" t="s">
        <v>150</v>
      </c>
      <c r="D191" s="55">
        <v>20.0</v>
      </c>
      <c r="E191" s="55">
        <v>18.0</v>
      </c>
      <c r="F191" s="55">
        <v>20.0</v>
      </c>
      <c r="G191" s="55">
        <v>19.0</v>
      </c>
      <c r="H191" s="55">
        <v>20.0</v>
      </c>
      <c r="I191" s="55">
        <v>3.0</v>
      </c>
      <c r="J191" s="55">
        <v>21.0</v>
      </c>
      <c r="K191" s="55">
        <v>3.0</v>
      </c>
      <c r="L191" s="55">
        <v>1.0</v>
      </c>
      <c r="M191" s="55">
        <v>19.0</v>
      </c>
      <c r="N191" s="55">
        <v>19.0</v>
      </c>
      <c r="O191" s="55">
        <v>6.0</v>
      </c>
      <c r="P191" s="55">
        <v>19.0</v>
      </c>
      <c r="Q191" s="55">
        <v>0.0</v>
      </c>
      <c r="R191" s="55">
        <v>57236.0</v>
      </c>
      <c r="S191" s="55">
        <v>58119.0</v>
      </c>
      <c r="T191" s="55">
        <v>6.47666666666666</v>
      </c>
      <c r="U191" s="55">
        <v>6.18027777777777</v>
      </c>
      <c r="V191" s="55">
        <v>5.74861111111111</v>
      </c>
      <c r="W191" s="55">
        <v>6.04333333333333</v>
      </c>
      <c r="X191" s="55">
        <v>0.849444444444444</v>
      </c>
      <c r="Y191" s="55">
        <v>6.31277777777777</v>
      </c>
      <c r="Z191" s="55">
        <v>0.909444444444444</v>
      </c>
      <c r="AA191" s="55">
        <v>0.266944444444444</v>
      </c>
      <c r="AB191" s="55">
        <v>5.70527777777777</v>
      </c>
      <c r="AC191" s="55">
        <v>5.70527777777777</v>
      </c>
      <c r="AD191" s="55">
        <v>1.43555555555555</v>
      </c>
      <c r="AE191" s="55">
        <v>5.70527777777777</v>
      </c>
      <c r="AF191" s="55">
        <v>21.0</v>
      </c>
    </row>
    <row r="192">
      <c r="A192" s="56">
        <v>46062.0</v>
      </c>
      <c r="B192" s="55" t="s">
        <v>30</v>
      </c>
      <c r="C192" s="55" t="s">
        <v>153</v>
      </c>
      <c r="D192" s="55">
        <v>1.0</v>
      </c>
      <c r="E192" s="55">
        <v>13.0</v>
      </c>
      <c r="F192" s="55">
        <v>8.0</v>
      </c>
      <c r="G192" s="55">
        <v>0.0</v>
      </c>
      <c r="H192" s="55">
        <v>21.0</v>
      </c>
      <c r="I192" s="55">
        <v>13.0</v>
      </c>
      <c r="J192" s="55">
        <v>21.0</v>
      </c>
      <c r="K192" s="55">
        <v>0.0</v>
      </c>
      <c r="L192" s="55">
        <v>0.0</v>
      </c>
      <c r="M192" s="55">
        <v>20.0</v>
      </c>
      <c r="N192" s="55">
        <v>20.0</v>
      </c>
      <c r="O192" s="55">
        <v>5.0</v>
      </c>
      <c r="P192" s="55">
        <v>20.0</v>
      </c>
      <c r="Q192" s="55">
        <v>0.0</v>
      </c>
      <c r="R192" s="55">
        <v>2686.0</v>
      </c>
      <c r="S192" s="55">
        <v>34804.0</v>
      </c>
      <c r="T192" s="55">
        <v>5.25</v>
      </c>
      <c r="U192" s="55">
        <v>2.02833333333333</v>
      </c>
      <c r="V192" s="55">
        <v>0.0</v>
      </c>
      <c r="W192" s="55">
        <v>5.24111111111111</v>
      </c>
      <c r="X192" s="55">
        <v>3.22166666666666</v>
      </c>
      <c r="Y192" s="55">
        <v>5.24194444444444</v>
      </c>
      <c r="Z192" s="55">
        <v>0.0</v>
      </c>
      <c r="AA192" s="55">
        <v>0.0</v>
      </c>
      <c r="AB192" s="55">
        <v>4.96611111111111</v>
      </c>
      <c r="AC192" s="55">
        <v>4.96611111111111</v>
      </c>
      <c r="AD192" s="55">
        <v>1.09888888888888</v>
      </c>
      <c r="AE192" s="55">
        <v>4.96611111111111</v>
      </c>
      <c r="AF192" s="55">
        <v>21.0</v>
      </c>
    </row>
    <row r="193">
      <c r="A193" s="56">
        <v>46062.0</v>
      </c>
      <c r="B193" s="55" t="s">
        <v>35</v>
      </c>
      <c r="C193" s="55" t="s">
        <v>158</v>
      </c>
      <c r="D193" s="55">
        <v>7.0</v>
      </c>
      <c r="E193" s="55">
        <v>8.0</v>
      </c>
      <c r="F193" s="55">
        <v>8.0</v>
      </c>
      <c r="G193" s="55">
        <v>12.0</v>
      </c>
      <c r="H193" s="55">
        <v>13.0</v>
      </c>
      <c r="I193" s="55">
        <v>3.0</v>
      </c>
      <c r="J193" s="55">
        <v>19.0</v>
      </c>
      <c r="K193" s="55">
        <v>1.0</v>
      </c>
      <c r="L193" s="55">
        <v>1.0</v>
      </c>
      <c r="M193" s="55">
        <v>18.0</v>
      </c>
      <c r="N193" s="55">
        <v>18.0</v>
      </c>
      <c r="O193" s="55">
        <v>6.0</v>
      </c>
      <c r="P193" s="55">
        <v>18.0</v>
      </c>
      <c r="Q193" s="55">
        <v>0.0</v>
      </c>
      <c r="R193" s="55">
        <v>16941.0</v>
      </c>
      <c r="S193" s="55">
        <v>18626.0</v>
      </c>
      <c r="T193" s="55">
        <v>2.37305555555555</v>
      </c>
      <c r="U193" s="55">
        <v>2.16444444444444</v>
      </c>
      <c r="V193" s="55">
        <v>3.16222222222222</v>
      </c>
      <c r="W193" s="55">
        <v>3.44722222222222</v>
      </c>
      <c r="X193" s="55">
        <v>0.748333333333333</v>
      </c>
      <c r="Y193" s="55">
        <v>4.89861111111111</v>
      </c>
      <c r="Z193" s="55">
        <v>0.2525</v>
      </c>
      <c r="AA193" s="55">
        <v>0.2525</v>
      </c>
      <c r="AB193" s="55">
        <v>4.62805555555555</v>
      </c>
      <c r="AC193" s="55">
        <v>4.62805555555555</v>
      </c>
      <c r="AD193" s="55">
        <v>1.45805555555555</v>
      </c>
      <c r="AE193" s="55">
        <v>4.62805555555555</v>
      </c>
      <c r="AF193" s="55">
        <v>9.0</v>
      </c>
    </row>
    <row r="194">
      <c r="A194" s="56">
        <v>46062.0</v>
      </c>
      <c r="B194" s="55" t="s">
        <v>79</v>
      </c>
      <c r="C194" s="55" t="s">
        <v>168</v>
      </c>
      <c r="D194" s="55">
        <v>17.0</v>
      </c>
      <c r="E194" s="55">
        <v>8.0</v>
      </c>
      <c r="F194" s="55">
        <v>3.0</v>
      </c>
      <c r="G194" s="55">
        <v>6.0</v>
      </c>
      <c r="H194" s="55">
        <v>8.0</v>
      </c>
      <c r="I194" s="55">
        <v>2.0</v>
      </c>
      <c r="J194" s="55">
        <v>10.0</v>
      </c>
      <c r="K194" s="55">
        <v>0.0</v>
      </c>
      <c r="L194" s="55">
        <v>0.0</v>
      </c>
      <c r="M194" s="55">
        <v>9.0</v>
      </c>
      <c r="N194" s="55">
        <v>0.0</v>
      </c>
      <c r="O194" s="55">
        <v>0.0</v>
      </c>
      <c r="P194" s="55">
        <v>0.0</v>
      </c>
      <c r="Q194" s="55">
        <v>0.0</v>
      </c>
      <c r="R194" s="55">
        <v>40086.0</v>
      </c>
      <c r="S194" s="55">
        <v>17205.0</v>
      </c>
      <c r="T194" s="55">
        <v>0.964166666666666</v>
      </c>
      <c r="U194" s="55">
        <v>0.593888888888888</v>
      </c>
      <c r="V194" s="55">
        <v>1.305</v>
      </c>
      <c r="W194" s="55">
        <v>1.67527777777777</v>
      </c>
      <c r="X194" s="55">
        <v>0.370277777777777</v>
      </c>
      <c r="Y194" s="55">
        <v>2.14277777777777</v>
      </c>
      <c r="Z194" s="55">
        <v>0.0</v>
      </c>
      <c r="AA194" s="55">
        <v>0.0</v>
      </c>
      <c r="AB194" s="55">
        <v>1.96111111111111</v>
      </c>
      <c r="AC194" s="55">
        <v>0.0</v>
      </c>
      <c r="AD194" s="55">
        <v>0.0</v>
      </c>
      <c r="AE194" s="55">
        <v>0.0</v>
      </c>
      <c r="AF194" s="55">
        <v>5.0</v>
      </c>
    </row>
    <row r="195">
      <c r="A195" s="56">
        <v>46062.0</v>
      </c>
      <c r="B195" s="55" t="s">
        <v>24</v>
      </c>
      <c r="C195" s="55" t="s">
        <v>161</v>
      </c>
      <c r="D195" s="55">
        <v>31.0</v>
      </c>
      <c r="E195" s="55">
        <v>24.0</v>
      </c>
      <c r="F195" s="55">
        <v>7.0</v>
      </c>
      <c r="G195" s="55">
        <v>7.0</v>
      </c>
      <c r="H195" s="55">
        <v>20.0</v>
      </c>
      <c r="I195" s="55">
        <v>13.0</v>
      </c>
      <c r="J195" s="55">
        <v>21.0</v>
      </c>
      <c r="K195" s="55">
        <v>3.0</v>
      </c>
      <c r="L195" s="55">
        <v>3.0</v>
      </c>
      <c r="M195" s="55">
        <v>20.0</v>
      </c>
      <c r="N195" s="55">
        <v>20.0</v>
      </c>
      <c r="O195" s="55">
        <v>6.0</v>
      </c>
      <c r="P195" s="55">
        <v>20.0</v>
      </c>
      <c r="Q195" s="55">
        <v>0.0</v>
      </c>
      <c r="R195" s="55">
        <v>68998.0</v>
      </c>
      <c r="S195" s="55">
        <v>50258.0</v>
      </c>
      <c r="T195" s="55">
        <v>3.68583333333333</v>
      </c>
      <c r="U195" s="55">
        <v>1.325</v>
      </c>
      <c r="V195" s="55">
        <v>1.33666666666666</v>
      </c>
      <c r="W195" s="55">
        <v>3.6975</v>
      </c>
      <c r="X195" s="55">
        <v>2.36083333333333</v>
      </c>
      <c r="Y195" s="55">
        <v>3.885</v>
      </c>
      <c r="Z195" s="55">
        <v>0.5575</v>
      </c>
      <c r="AA195" s="55">
        <v>0.567222222222222</v>
      </c>
      <c r="AB195" s="55">
        <v>3.70916666666666</v>
      </c>
      <c r="AC195" s="55">
        <v>3.69861111111111</v>
      </c>
      <c r="AD195" s="55">
        <v>1.07611111111111</v>
      </c>
      <c r="AE195" s="55">
        <v>3.69861111111111</v>
      </c>
      <c r="AF195" s="55">
        <v>20.0</v>
      </c>
    </row>
    <row r="196">
      <c r="A196" s="56">
        <v>46062.0</v>
      </c>
      <c r="B196" s="55" t="s">
        <v>60</v>
      </c>
      <c r="C196" s="55" t="s">
        <v>61</v>
      </c>
      <c r="D196" s="55">
        <v>10.0</v>
      </c>
      <c r="E196" s="55">
        <v>8.0</v>
      </c>
      <c r="F196" s="55">
        <v>12.0</v>
      </c>
      <c r="G196" s="55">
        <v>6.0</v>
      </c>
      <c r="H196" s="55">
        <v>12.0</v>
      </c>
      <c r="I196" s="55">
        <v>0.0</v>
      </c>
      <c r="J196" s="55">
        <v>14.0</v>
      </c>
      <c r="K196" s="55">
        <v>14.0</v>
      </c>
      <c r="L196" s="55">
        <v>11.0</v>
      </c>
      <c r="M196" s="55">
        <v>18.0</v>
      </c>
      <c r="N196" s="55">
        <v>22.0</v>
      </c>
      <c r="O196" s="55">
        <v>7.0</v>
      </c>
      <c r="P196" s="55">
        <v>22.0</v>
      </c>
      <c r="Q196" s="55">
        <v>0.0</v>
      </c>
      <c r="R196" s="55">
        <v>22057.0</v>
      </c>
      <c r="S196" s="55">
        <v>21257.0</v>
      </c>
      <c r="T196" s="55">
        <v>2.28388888888888</v>
      </c>
      <c r="U196" s="55">
        <v>2.68166666666666</v>
      </c>
      <c r="V196" s="55">
        <v>1.31138888888888</v>
      </c>
      <c r="W196" s="55">
        <v>2.67416666666666</v>
      </c>
      <c r="X196" s="55">
        <v>0.0</v>
      </c>
      <c r="Y196" s="55">
        <v>3.12055555555555</v>
      </c>
      <c r="Z196" s="55">
        <v>3.16722222222222</v>
      </c>
      <c r="AA196" s="55">
        <v>2.48583333333333</v>
      </c>
      <c r="AB196" s="55">
        <v>4.08666666666666</v>
      </c>
      <c r="AC196" s="55">
        <v>5.03777777777777</v>
      </c>
      <c r="AD196" s="55">
        <v>1.65722222222222</v>
      </c>
      <c r="AE196" s="55">
        <v>5.03777777777777</v>
      </c>
      <c r="AF196" s="55">
        <v>10.0</v>
      </c>
    </row>
    <row r="197">
      <c r="A197" s="56">
        <v>46055.0</v>
      </c>
      <c r="B197" s="55" t="s">
        <v>77</v>
      </c>
      <c r="C197" s="55" t="s">
        <v>148</v>
      </c>
      <c r="D197" s="55">
        <v>12.0</v>
      </c>
      <c r="E197" s="55">
        <v>17.0</v>
      </c>
      <c r="F197" s="55">
        <v>0.0</v>
      </c>
      <c r="G197" s="55">
        <v>0.0</v>
      </c>
      <c r="H197" s="55">
        <v>1.0</v>
      </c>
      <c r="I197" s="55">
        <v>1.0</v>
      </c>
      <c r="J197" s="55">
        <v>0.0</v>
      </c>
      <c r="K197" s="55">
        <v>0.0</v>
      </c>
      <c r="L197" s="55">
        <v>0.0</v>
      </c>
      <c r="M197" s="55">
        <v>0.0</v>
      </c>
      <c r="N197" s="55">
        <v>0.0</v>
      </c>
      <c r="O197" s="55">
        <v>0.0</v>
      </c>
      <c r="P197" s="55">
        <v>0.0</v>
      </c>
      <c r="Q197" s="55">
        <v>0.0</v>
      </c>
      <c r="R197" s="55">
        <v>25281.0</v>
      </c>
      <c r="S197" s="55">
        <v>35408.0</v>
      </c>
      <c r="T197" s="55">
        <v>0.269444444444444</v>
      </c>
      <c r="U197" s="55">
        <v>0.0</v>
      </c>
      <c r="V197" s="55">
        <v>0.0</v>
      </c>
      <c r="W197" s="55">
        <v>0.269444444444444</v>
      </c>
      <c r="X197" s="55">
        <v>0.269444444444444</v>
      </c>
      <c r="Y197" s="55">
        <v>0.0</v>
      </c>
      <c r="Z197" s="55">
        <v>0.0</v>
      </c>
      <c r="AA197" s="55">
        <v>0.0</v>
      </c>
      <c r="AB197" s="55">
        <v>0.0</v>
      </c>
      <c r="AC197" s="55">
        <v>0.0</v>
      </c>
      <c r="AD197" s="55">
        <v>0.0</v>
      </c>
      <c r="AE197" s="55">
        <v>0.0</v>
      </c>
      <c r="AF197" s="55">
        <v>1.0</v>
      </c>
    </row>
    <row r="198">
      <c r="A198" s="56">
        <v>46055.0</v>
      </c>
      <c r="B198" s="55" t="s">
        <v>69</v>
      </c>
      <c r="C198" s="55" t="s">
        <v>149</v>
      </c>
      <c r="D198" s="55">
        <v>19.0</v>
      </c>
      <c r="E198" s="55">
        <v>9.0</v>
      </c>
      <c r="F198" s="55">
        <v>15.0</v>
      </c>
      <c r="G198" s="55">
        <v>14.0</v>
      </c>
      <c r="H198" s="55">
        <v>16.0</v>
      </c>
      <c r="I198" s="55">
        <v>3.0</v>
      </c>
      <c r="J198" s="55">
        <v>15.0</v>
      </c>
      <c r="K198" s="55">
        <v>2.0</v>
      </c>
      <c r="L198" s="55">
        <v>2.0</v>
      </c>
      <c r="M198" s="55">
        <v>14.0</v>
      </c>
      <c r="N198" s="55">
        <v>14.0</v>
      </c>
      <c r="O198" s="55">
        <v>6.0</v>
      </c>
      <c r="P198" s="55">
        <v>14.0</v>
      </c>
      <c r="Q198" s="55">
        <v>0.0</v>
      </c>
      <c r="R198" s="55">
        <v>59595.0</v>
      </c>
      <c r="S198" s="55">
        <v>28711.0</v>
      </c>
      <c r="T198" s="55">
        <v>4.26861111111111</v>
      </c>
      <c r="U198" s="55">
        <v>4.31666666666666</v>
      </c>
      <c r="V198" s="55">
        <v>4.02805555555555</v>
      </c>
      <c r="W198" s="55">
        <v>4.54333333333333</v>
      </c>
      <c r="X198" s="55">
        <v>0.798055555555555</v>
      </c>
      <c r="Y198" s="55">
        <v>4.28472222222222</v>
      </c>
      <c r="Z198" s="55">
        <v>0.606111111111111</v>
      </c>
      <c r="AA198" s="55">
        <v>0.606111111111111</v>
      </c>
      <c r="AB198" s="55">
        <v>4.01361111111111</v>
      </c>
      <c r="AC198" s="55">
        <v>4.01361111111111</v>
      </c>
      <c r="AD198" s="55">
        <v>1.59944444444444</v>
      </c>
      <c r="AE198" s="55">
        <v>4.01361111111111</v>
      </c>
      <c r="AF198" s="55">
        <v>15.0</v>
      </c>
    </row>
    <row r="199">
      <c r="A199" s="56">
        <v>46055.0</v>
      </c>
      <c r="B199" s="55" t="s">
        <v>74</v>
      </c>
      <c r="C199" s="55" t="s">
        <v>150</v>
      </c>
      <c r="D199" s="55">
        <v>22.0</v>
      </c>
      <c r="E199" s="55">
        <v>16.0</v>
      </c>
      <c r="F199" s="55">
        <v>20.0</v>
      </c>
      <c r="G199" s="55">
        <v>17.0</v>
      </c>
      <c r="H199" s="55">
        <v>18.0</v>
      </c>
      <c r="I199" s="55">
        <v>1.0</v>
      </c>
      <c r="J199" s="55">
        <v>21.0</v>
      </c>
      <c r="K199" s="55">
        <v>7.0</v>
      </c>
      <c r="L199" s="55">
        <v>6.0</v>
      </c>
      <c r="M199" s="55">
        <v>21.0</v>
      </c>
      <c r="N199" s="55">
        <v>21.0</v>
      </c>
      <c r="O199" s="55">
        <v>7.0</v>
      </c>
      <c r="P199" s="55">
        <v>21.0</v>
      </c>
      <c r="Q199" s="55">
        <v>0.0</v>
      </c>
      <c r="R199" s="55">
        <v>63226.0</v>
      </c>
      <c r="S199" s="55">
        <v>51443.0</v>
      </c>
      <c r="T199" s="55">
        <v>5.37555555555555</v>
      </c>
      <c r="U199" s="55">
        <v>5.10972222222222</v>
      </c>
      <c r="V199" s="55">
        <v>4.19416666666666</v>
      </c>
      <c r="W199" s="55">
        <v>4.46</v>
      </c>
      <c r="X199" s="55">
        <v>0.265833333333333</v>
      </c>
      <c r="Y199" s="55">
        <v>5.14888888888888</v>
      </c>
      <c r="Z199" s="55">
        <v>1.76555555555555</v>
      </c>
      <c r="AA199" s="55">
        <v>1.51972222222222</v>
      </c>
      <c r="AB199" s="55">
        <v>5.14861111111111</v>
      </c>
      <c r="AC199" s="55">
        <v>5.14861111111111</v>
      </c>
      <c r="AD199" s="55">
        <v>1.72444444444444</v>
      </c>
      <c r="AE199" s="55">
        <v>5.14861111111111</v>
      </c>
      <c r="AF199" s="55">
        <v>21.0</v>
      </c>
    </row>
    <row r="200">
      <c r="A200" s="56">
        <v>46055.0</v>
      </c>
      <c r="B200" s="55" t="s">
        <v>30</v>
      </c>
      <c r="C200" s="55" t="s">
        <v>153</v>
      </c>
      <c r="D200" s="55">
        <v>0.0</v>
      </c>
      <c r="E200" s="55">
        <v>18.0</v>
      </c>
      <c r="F200" s="55">
        <v>3.0</v>
      </c>
      <c r="G200" s="55">
        <v>0.0</v>
      </c>
      <c r="H200" s="55">
        <v>16.0</v>
      </c>
      <c r="I200" s="55">
        <v>12.0</v>
      </c>
      <c r="J200" s="55">
        <v>16.0</v>
      </c>
      <c r="K200" s="55">
        <v>0.0</v>
      </c>
      <c r="L200" s="55">
        <v>0.0</v>
      </c>
      <c r="M200" s="55">
        <v>18.0</v>
      </c>
      <c r="N200" s="55">
        <v>18.0</v>
      </c>
      <c r="O200" s="55">
        <v>6.0</v>
      </c>
      <c r="P200" s="55">
        <v>18.0</v>
      </c>
      <c r="Q200" s="55">
        <v>0.0</v>
      </c>
      <c r="R200" s="55">
        <v>0.0</v>
      </c>
      <c r="S200" s="55">
        <v>47375.0</v>
      </c>
      <c r="T200" s="55">
        <v>2.34583333333333</v>
      </c>
      <c r="U200" s="55">
        <v>0.7325</v>
      </c>
      <c r="V200" s="55">
        <v>0.0</v>
      </c>
      <c r="W200" s="55">
        <v>4.09833333333333</v>
      </c>
      <c r="X200" s="55">
        <v>3.08388888888888</v>
      </c>
      <c r="Y200" s="55">
        <v>4.10972222222222</v>
      </c>
      <c r="Z200" s="55">
        <v>0.0</v>
      </c>
      <c r="AA200" s="55">
        <v>0.0</v>
      </c>
      <c r="AB200" s="55">
        <v>4.63388888888888</v>
      </c>
      <c r="AC200" s="55">
        <v>4.63388888888888</v>
      </c>
      <c r="AD200" s="55">
        <v>1.30861111111111</v>
      </c>
      <c r="AE200" s="55">
        <v>4.63388888888888</v>
      </c>
      <c r="AF200" s="55">
        <v>9.0</v>
      </c>
    </row>
    <row r="201">
      <c r="A201" s="56">
        <v>46055.0</v>
      </c>
      <c r="B201" s="55" t="s">
        <v>90</v>
      </c>
      <c r="C201" s="55" t="s">
        <v>163</v>
      </c>
      <c r="D201" s="55">
        <v>3.0</v>
      </c>
      <c r="E201" s="55">
        <v>0.0</v>
      </c>
      <c r="F201" s="55">
        <v>0.0</v>
      </c>
      <c r="G201" s="55">
        <v>0.0</v>
      </c>
      <c r="H201" s="55">
        <v>0.0</v>
      </c>
      <c r="I201" s="55">
        <v>0.0</v>
      </c>
      <c r="J201" s="55">
        <v>0.0</v>
      </c>
      <c r="K201" s="55">
        <v>0.0</v>
      </c>
      <c r="L201" s="55">
        <v>0.0</v>
      </c>
      <c r="M201" s="55">
        <v>0.0</v>
      </c>
      <c r="N201" s="55">
        <v>0.0</v>
      </c>
      <c r="O201" s="55">
        <v>0.0</v>
      </c>
      <c r="P201" s="55">
        <v>0.0</v>
      </c>
      <c r="Q201" s="55">
        <v>0.0</v>
      </c>
      <c r="R201" s="55">
        <v>7076.0</v>
      </c>
      <c r="S201" s="55">
        <v>0.0</v>
      </c>
      <c r="T201" s="55">
        <v>0.0</v>
      </c>
      <c r="U201" s="55">
        <v>0.0</v>
      </c>
      <c r="V201" s="55">
        <v>0.0</v>
      </c>
      <c r="W201" s="55">
        <v>0.0</v>
      </c>
      <c r="X201" s="55">
        <v>0.0</v>
      </c>
      <c r="Y201" s="55">
        <v>0.0</v>
      </c>
      <c r="Z201" s="55">
        <v>0.0</v>
      </c>
      <c r="AA201" s="55">
        <v>0.0</v>
      </c>
      <c r="AB201" s="55">
        <v>0.0</v>
      </c>
      <c r="AC201" s="55">
        <v>0.0</v>
      </c>
      <c r="AD201" s="55">
        <v>0.0</v>
      </c>
      <c r="AE201" s="55">
        <v>0.0</v>
      </c>
      <c r="AF201" s="55">
        <v>0.0</v>
      </c>
    </row>
    <row r="202">
      <c r="A202" s="56">
        <v>46055.0</v>
      </c>
      <c r="B202" s="55" t="s">
        <v>35</v>
      </c>
      <c r="C202" s="55" t="s">
        <v>158</v>
      </c>
      <c r="D202" s="55">
        <v>0.0</v>
      </c>
      <c r="E202" s="55">
        <v>10.0</v>
      </c>
      <c r="F202" s="55">
        <v>10.0</v>
      </c>
      <c r="G202" s="55">
        <v>8.0</v>
      </c>
      <c r="H202" s="55">
        <v>14.0</v>
      </c>
      <c r="I202" s="55">
        <v>6.0</v>
      </c>
      <c r="J202" s="55">
        <v>8.0</v>
      </c>
      <c r="K202" s="55">
        <v>1.0</v>
      </c>
      <c r="L202" s="55">
        <v>1.0</v>
      </c>
      <c r="M202" s="55">
        <v>6.0</v>
      </c>
      <c r="N202" s="55">
        <v>6.0</v>
      </c>
      <c r="O202" s="55">
        <v>6.0</v>
      </c>
      <c r="P202" s="55">
        <v>6.0</v>
      </c>
      <c r="Q202" s="55">
        <v>0.0</v>
      </c>
      <c r="R202" s="55">
        <v>0.0</v>
      </c>
      <c r="S202" s="55">
        <v>24586.0</v>
      </c>
      <c r="T202" s="55">
        <v>4.26222222222222</v>
      </c>
      <c r="U202" s="55">
        <v>2.59833333333333</v>
      </c>
      <c r="V202" s="55">
        <v>2.03388888888888</v>
      </c>
      <c r="W202" s="55">
        <v>3.53194444444444</v>
      </c>
      <c r="X202" s="55">
        <v>1.49805555555555</v>
      </c>
      <c r="Y202" s="55">
        <v>2.04944444444444</v>
      </c>
      <c r="Z202" s="55">
        <v>0.28</v>
      </c>
      <c r="AA202" s="55">
        <v>0.28</v>
      </c>
      <c r="AB202" s="55">
        <v>1.55527777777777</v>
      </c>
      <c r="AC202" s="55">
        <v>1.55527777777777</v>
      </c>
      <c r="AD202" s="55">
        <v>1.53638888888888</v>
      </c>
      <c r="AE202" s="55">
        <v>1.55527777777777</v>
      </c>
      <c r="AF202" s="55">
        <v>16.0</v>
      </c>
    </row>
    <row r="203">
      <c r="A203" s="56">
        <v>46055.0</v>
      </c>
      <c r="B203" s="55" t="s">
        <v>79</v>
      </c>
      <c r="C203" s="55" t="s">
        <v>168</v>
      </c>
      <c r="D203" s="55">
        <v>13.0</v>
      </c>
      <c r="E203" s="55">
        <v>7.0</v>
      </c>
      <c r="F203" s="55">
        <v>3.0</v>
      </c>
      <c r="G203" s="55">
        <v>0.0</v>
      </c>
      <c r="H203" s="55">
        <v>3.0</v>
      </c>
      <c r="I203" s="55">
        <v>3.0</v>
      </c>
      <c r="J203" s="55">
        <v>0.0</v>
      </c>
      <c r="K203" s="55">
        <v>0.0</v>
      </c>
      <c r="L203" s="55">
        <v>0.0</v>
      </c>
      <c r="M203" s="55">
        <v>0.0</v>
      </c>
      <c r="N203" s="55">
        <v>0.0</v>
      </c>
      <c r="O203" s="55">
        <v>0.0</v>
      </c>
      <c r="P203" s="55">
        <v>0.0</v>
      </c>
      <c r="Q203" s="55">
        <v>0.0</v>
      </c>
      <c r="R203" s="55">
        <v>28431.0</v>
      </c>
      <c r="S203" s="55">
        <v>15742.0</v>
      </c>
      <c r="T203" s="55">
        <v>1.31777777777777</v>
      </c>
      <c r="U203" s="55">
        <v>0.678055555555555</v>
      </c>
      <c r="V203" s="55">
        <v>0.0</v>
      </c>
      <c r="W203" s="55">
        <v>0.639722222222222</v>
      </c>
      <c r="X203" s="55">
        <v>0.639722222222222</v>
      </c>
      <c r="Y203" s="55">
        <v>0.0</v>
      </c>
      <c r="Z203" s="55">
        <v>0.0</v>
      </c>
      <c r="AA203" s="55">
        <v>0.0</v>
      </c>
      <c r="AB203" s="55">
        <v>0.0</v>
      </c>
      <c r="AC203" s="55">
        <v>0.0</v>
      </c>
      <c r="AD203" s="55">
        <v>0.0</v>
      </c>
      <c r="AE203" s="55">
        <v>0.0</v>
      </c>
      <c r="AF203" s="55">
        <v>6.0</v>
      </c>
    </row>
    <row r="204">
      <c r="A204" s="56">
        <v>46055.0</v>
      </c>
      <c r="B204" s="55" t="s">
        <v>24</v>
      </c>
      <c r="C204" s="55" t="s">
        <v>161</v>
      </c>
      <c r="D204" s="55">
        <v>26.0</v>
      </c>
      <c r="E204" s="55">
        <v>27.0</v>
      </c>
      <c r="F204" s="55">
        <v>5.0</v>
      </c>
      <c r="G204" s="55">
        <v>4.0</v>
      </c>
      <c r="H204" s="55">
        <v>19.0</v>
      </c>
      <c r="I204" s="55">
        <v>15.0</v>
      </c>
      <c r="J204" s="55">
        <v>23.0</v>
      </c>
      <c r="K204" s="55">
        <v>2.0</v>
      </c>
      <c r="L204" s="55">
        <v>0.0</v>
      </c>
      <c r="M204" s="55">
        <v>23.0</v>
      </c>
      <c r="N204" s="55">
        <v>23.0</v>
      </c>
      <c r="O204" s="55">
        <v>6.0</v>
      </c>
      <c r="P204" s="55">
        <v>23.0</v>
      </c>
      <c r="Q204" s="55">
        <v>0.0</v>
      </c>
      <c r="R204" s="55">
        <v>56476.0</v>
      </c>
      <c r="S204" s="55">
        <v>57140.0</v>
      </c>
      <c r="T204" s="55">
        <v>3.85666666666666</v>
      </c>
      <c r="U204" s="55">
        <v>0.966111111111111</v>
      </c>
      <c r="V204" s="55">
        <v>0.756944444444444</v>
      </c>
      <c r="W204" s="55">
        <v>3.6475</v>
      </c>
      <c r="X204" s="55">
        <v>2.89055555555555</v>
      </c>
      <c r="Y204" s="55">
        <v>4.51055555555555</v>
      </c>
      <c r="Z204" s="55">
        <v>0.358055555555555</v>
      </c>
      <c r="AA204" s="55">
        <v>0.0</v>
      </c>
      <c r="AB204" s="55">
        <v>4.49222222222222</v>
      </c>
      <c r="AC204" s="55">
        <v>4.49222222222222</v>
      </c>
      <c r="AD204" s="55">
        <v>1.14722222222222</v>
      </c>
      <c r="AE204" s="55">
        <v>4.49222222222222</v>
      </c>
      <c r="AF204" s="55">
        <v>20.0</v>
      </c>
    </row>
    <row r="205">
      <c r="A205" s="56">
        <v>46055.0</v>
      </c>
      <c r="B205" s="55" t="s">
        <v>60</v>
      </c>
      <c r="C205" s="55" t="s">
        <v>61</v>
      </c>
      <c r="D205" s="55">
        <v>20.0</v>
      </c>
      <c r="E205" s="55">
        <v>19.0</v>
      </c>
      <c r="F205" s="55">
        <v>10.0</v>
      </c>
      <c r="G205" s="55">
        <v>7.0</v>
      </c>
      <c r="H205" s="55">
        <v>10.0</v>
      </c>
      <c r="I205" s="55">
        <v>4.0</v>
      </c>
      <c r="J205" s="55">
        <v>8.0</v>
      </c>
      <c r="K205" s="55">
        <v>3.0</v>
      </c>
      <c r="L205" s="55">
        <v>2.0</v>
      </c>
      <c r="M205" s="55">
        <v>4.0</v>
      </c>
      <c r="N205" s="55">
        <v>0.0</v>
      </c>
      <c r="O205" s="55">
        <v>0.0</v>
      </c>
      <c r="P205" s="55">
        <v>0.0</v>
      </c>
      <c r="Q205" s="55">
        <v>0.0</v>
      </c>
      <c r="R205" s="55">
        <v>50397.0</v>
      </c>
      <c r="S205" s="55">
        <v>47577.0</v>
      </c>
      <c r="T205" s="55">
        <v>3.6725</v>
      </c>
      <c r="U205" s="55">
        <v>2.32416666666666</v>
      </c>
      <c r="V205" s="55">
        <v>1.66249999999999</v>
      </c>
      <c r="W205" s="55">
        <v>2.33694444444444</v>
      </c>
      <c r="X205" s="55">
        <v>0.893611111111111</v>
      </c>
      <c r="Y205" s="55">
        <v>1.91722222222222</v>
      </c>
      <c r="Z205" s="55">
        <v>0.704166666666666</v>
      </c>
      <c r="AA205" s="55">
        <v>0.498333333333333</v>
      </c>
      <c r="AB205" s="55">
        <v>0.951111111111111</v>
      </c>
      <c r="AC205" s="55">
        <v>0.0</v>
      </c>
      <c r="AD205" s="55">
        <v>0.0</v>
      </c>
      <c r="AE205" s="55">
        <v>0.0</v>
      </c>
      <c r="AF205" s="55">
        <v>16.0</v>
      </c>
    </row>
    <row r="206">
      <c r="A206" s="56">
        <v>46048.0</v>
      </c>
      <c r="B206" s="55" t="s">
        <v>77</v>
      </c>
      <c r="C206" s="55" t="s">
        <v>148</v>
      </c>
      <c r="D206" s="55">
        <v>6.0</v>
      </c>
      <c r="E206" s="55">
        <v>11.0</v>
      </c>
      <c r="F206" s="55">
        <v>0.0</v>
      </c>
      <c r="G206" s="55">
        <v>0.0</v>
      </c>
      <c r="H206" s="55">
        <v>0.0</v>
      </c>
      <c r="I206" s="55">
        <v>0.0</v>
      </c>
      <c r="J206" s="55">
        <v>0.0</v>
      </c>
      <c r="K206" s="55">
        <v>0.0</v>
      </c>
      <c r="L206" s="55">
        <v>0.0</v>
      </c>
      <c r="M206" s="55">
        <v>0.0</v>
      </c>
      <c r="N206" s="55">
        <v>0.0</v>
      </c>
      <c r="O206" s="55">
        <v>0.0</v>
      </c>
      <c r="P206" s="55">
        <v>0.0</v>
      </c>
      <c r="Q206" s="55">
        <v>0.0</v>
      </c>
      <c r="R206" s="55">
        <v>13407.0</v>
      </c>
      <c r="S206" s="55">
        <v>18487.0</v>
      </c>
      <c r="T206" s="55">
        <v>0.0</v>
      </c>
      <c r="U206" s="55">
        <v>0.0</v>
      </c>
      <c r="V206" s="55">
        <v>0.0</v>
      </c>
      <c r="W206" s="55">
        <v>0.0</v>
      </c>
      <c r="X206" s="55">
        <v>0.0</v>
      </c>
      <c r="Y206" s="55">
        <v>0.0</v>
      </c>
      <c r="Z206" s="55">
        <v>0.0</v>
      </c>
      <c r="AA206" s="55">
        <v>0.0</v>
      </c>
      <c r="AB206" s="55">
        <v>0.0</v>
      </c>
      <c r="AC206" s="55">
        <v>0.0</v>
      </c>
      <c r="AD206" s="55">
        <v>0.0</v>
      </c>
      <c r="AE206" s="55">
        <v>0.0</v>
      </c>
      <c r="AF206" s="55">
        <v>0.0</v>
      </c>
    </row>
    <row r="207">
      <c r="A207" s="56">
        <v>46048.0</v>
      </c>
      <c r="B207" s="55" t="s">
        <v>69</v>
      </c>
      <c r="C207" s="55" t="s">
        <v>149</v>
      </c>
      <c r="D207" s="55">
        <v>26.0</v>
      </c>
      <c r="E207" s="55">
        <v>20.0</v>
      </c>
      <c r="F207" s="55">
        <v>8.0</v>
      </c>
      <c r="G207" s="55">
        <v>5.0</v>
      </c>
      <c r="H207" s="55">
        <v>8.0</v>
      </c>
      <c r="I207" s="55">
        <v>2.0</v>
      </c>
      <c r="J207" s="55">
        <v>8.0</v>
      </c>
      <c r="K207" s="55">
        <v>10.0</v>
      </c>
      <c r="L207" s="55">
        <v>5.0</v>
      </c>
      <c r="M207" s="55">
        <v>16.0</v>
      </c>
      <c r="N207" s="55">
        <v>16.0</v>
      </c>
      <c r="O207" s="55">
        <v>7.0</v>
      </c>
      <c r="P207" s="55">
        <v>16.0</v>
      </c>
      <c r="Q207" s="55">
        <v>0.0</v>
      </c>
      <c r="R207" s="55">
        <v>78039.0</v>
      </c>
      <c r="S207" s="55">
        <v>63368.0</v>
      </c>
      <c r="T207" s="55">
        <v>3.31111111111111</v>
      </c>
      <c r="U207" s="55">
        <v>2.19416666666666</v>
      </c>
      <c r="V207" s="55">
        <v>1.34416666666666</v>
      </c>
      <c r="W207" s="55">
        <v>2.175</v>
      </c>
      <c r="X207" s="55">
        <v>0.553333333333333</v>
      </c>
      <c r="Y207" s="55">
        <v>2.17638888888888</v>
      </c>
      <c r="Z207" s="55">
        <v>2.69305555555555</v>
      </c>
      <c r="AA207" s="55">
        <v>1.33666666666666</v>
      </c>
      <c r="AB207" s="55">
        <v>4.34472222222222</v>
      </c>
      <c r="AC207" s="55">
        <v>4.34472222222222</v>
      </c>
      <c r="AD207" s="55">
        <v>1.79333333333333</v>
      </c>
      <c r="AE207" s="55">
        <v>4.34472222222222</v>
      </c>
      <c r="AF207" s="55">
        <v>12.0</v>
      </c>
    </row>
    <row r="208">
      <c r="A208" s="56">
        <v>46048.0</v>
      </c>
      <c r="B208" s="55" t="s">
        <v>74</v>
      </c>
      <c r="C208" s="55" t="s">
        <v>150</v>
      </c>
      <c r="D208" s="55">
        <v>22.0</v>
      </c>
      <c r="E208" s="55">
        <v>22.0</v>
      </c>
      <c r="F208" s="55">
        <v>12.0</v>
      </c>
      <c r="G208" s="55">
        <v>10.0</v>
      </c>
      <c r="H208" s="55">
        <v>20.0</v>
      </c>
      <c r="I208" s="55">
        <v>10.0</v>
      </c>
      <c r="J208" s="55">
        <v>16.0</v>
      </c>
      <c r="K208" s="55">
        <v>1.0</v>
      </c>
      <c r="L208" s="55">
        <v>1.0</v>
      </c>
      <c r="M208" s="55">
        <v>17.0</v>
      </c>
      <c r="N208" s="55">
        <v>17.0</v>
      </c>
      <c r="O208" s="55">
        <v>5.0</v>
      </c>
      <c r="P208" s="55">
        <v>17.0</v>
      </c>
      <c r="Q208" s="55">
        <v>0.0</v>
      </c>
      <c r="R208" s="55">
        <v>64884.0</v>
      </c>
      <c r="S208" s="55">
        <v>53190.0</v>
      </c>
      <c r="T208" s="55">
        <v>5.21555555555555</v>
      </c>
      <c r="U208" s="55">
        <v>2.86888888888888</v>
      </c>
      <c r="V208" s="55">
        <v>2.39194444444444</v>
      </c>
      <c r="W208" s="55">
        <v>4.73944444444444</v>
      </c>
      <c r="X208" s="55">
        <v>2.3475</v>
      </c>
      <c r="Y208" s="55">
        <v>3.79083333333333</v>
      </c>
      <c r="Z208" s="55">
        <v>0.236666666666666</v>
      </c>
      <c r="AA208" s="55">
        <v>0.236666666666666</v>
      </c>
      <c r="AB208" s="55">
        <v>4.01805555555555</v>
      </c>
      <c r="AC208" s="55">
        <v>4.01805555555555</v>
      </c>
      <c r="AD208" s="55">
        <v>1.21083333333333</v>
      </c>
      <c r="AE208" s="55">
        <v>4.01805555555555</v>
      </c>
      <c r="AF208" s="55">
        <v>22.0</v>
      </c>
    </row>
    <row r="209">
      <c r="A209" s="56">
        <v>46048.0</v>
      </c>
      <c r="B209" s="55" t="s">
        <v>30</v>
      </c>
      <c r="C209" s="55" t="s">
        <v>153</v>
      </c>
      <c r="D209" s="55">
        <v>0.0</v>
      </c>
      <c r="E209" s="55">
        <v>15.0</v>
      </c>
      <c r="F209" s="55">
        <v>6.0</v>
      </c>
      <c r="G209" s="55">
        <v>0.0</v>
      </c>
      <c r="H209" s="55">
        <v>14.0</v>
      </c>
      <c r="I209" s="55">
        <v>9.0</v>
      </c>
      <c r="J209" s="55">
        <v>15.0</v>
      </c>
      <c r="K209" s="55">
        <v>1.0</v>
      </c>
      <c r="L209" s="55">
        <v>0.0</v>
      </c>
      <c r="M209" s="55">
        <v>14.0</v>
      </c>
      <c r="N209" s="55">
        <v>14.0</v>
      </c>
      <c r="O209" s="55">
        <v>6.0</v>
      </c>
      <c r="P209" s="55">
        <v>14.0</v>
      </c>
      <c r="Q209" s="55">
        <v>0.0</v>
      </c>
      <c r="R209" s="55">
        <v>0.0</v>
      </c>
      <c r="S209" s="55">
        <v>38916.0</v>
      </c>
      <c r="T209" s="55">
        <v>5.26472222222222</v>
      </c>
      <c r="U209" s="55">
        <v>1.51194444444444</v>
      </c>
      <c r="V209" s="55">
        <v>0.0</v>
      </c>
      <c r="W209" s="55">
        <v>3.54388888888888</v>
      </c>
      <c r="X209" s="55">
        <v>2.28222222222222</v>
      </c>
      <c r="Y209" s="55">
        <v>3.80222222222222</v>
      </c>
      <c r="Z209" s="55">
        <v>0.270277777777777</v>
      </c>
      <c r="AA209" s="55">
        <v>0.0</v>
      </c>
      <c r="AB209" s="55">
        <v>3.54833333333333</v>
      </c>
      <c r="AC209" s="55">
        <v>3.54833333333333</v>
      </c>
      <c r="AD209" s="55">
        <v>1.26638888888888</v>
      </c>
      <c r="AE209" s="55">
        <v>3.54833333333333</v>
      </c>
      <c r="AF209" s="55">
        <v>21.0</v>
      </c>
    </row>
    <row r="210">
      <c r="A210" s="56">
        <v>46048.0</v>
      </c>
      <c r="B210" s="55" t="s">
        <v>35</v>
      </c>
      <c r="C210" s="55" t="s">
        <v>158</v>
      </c>
      <c r="D210" s="55">
        <v>2.0</v>
      </c>
      <c r="E210" s="55">
        <v>17.0</v>
      </c>
      <c r="F210" s="55">
        <v>2.0</v>
      </c>
      <c r="G210" s="55">
        <v>3.0</v>
      </c>
      <c r="H210" s="55">
        <v>6.0</v>
      </c>
      <c r="I210" s="55">
        <v>3.0</v>
      </c>
      <c r="J210" s="55">
        <v>6.0</v>
      </c>
      <c r="K210" s="55">
        <v>0.0</v>
      </c>
      <c r="L210" s="55">
        <v>0.0</v>
      </c>
      <c r="M210" s="55">
        <v>7.0</v>
      </c>
      <c r="N210" s="55">
        <v>7.0</v>
      </c>
      <c r="O210" s="55">
        <v>5.0</v>
      </c>
      <c r="P210" s="55">
        <v>7.0</v>
      </c>
      <c r="Q210" s="55">
        <v>0.0</v>
      </c>
      <c r="R210" s="55">
        <v>5037.0</v>
      </c>
      <c r="S210" s="55">
        <v>39958.0</v>
      </c>
      <c r="T210" s="55">
        <v>2.5625</v>
      </c>
      <c r="U210" s="55">
        <v>0.535</v>
      </c>
      <c r="V210" s="55">
        <v>0.803055555555555</v>
      </c>
      <c r="W210" s="55">
        <v>1.57638888888888</v>
      </c>
      <c r="X210" s="55">
        <v>0.773333333333333</v>
      </c>
      <c r="Y210" s="55">
        <v>1.57861111111111</v>
      </c>
      <c r="Z210" s="55">
        <v>0.0</v>
      </c>
      <c r="AA210" s="55">
        <v>0.0</v>
      </c>
      <c r="AB210" s="55">
        <v>1.85305555555555</v>
      </c>
      <c r="AC210" s="55">
        <v>1.85305555555555</v>
      </c>
      <c r="AD210" s="55">
        <v>1.34527777777777</v>
      </c>
      <c r="AE210" s="55">
        <v>1.85305555555555</v>
      </c>
      <c r="AF210" s="55">
        <v>10.0</v>
      </c>
    </row>
    <row r="211">
      <c r="A211" s="56">
        <v>46048.0</v>
      </c>
      <c r="B211" s="55" t="s">
        <v>79</v>
      </c>
      <c r="C211" s="55" t="s">
        <v>168</v>
      </c>
      <c r="D211" s="55">
        <v>8.0</v>
      </c>
      <c r="E211" s="55">
        <v>5.0</v>
      </c>
      <c r="F211" s="55">
        <v>0.0</v>
      </c>
      <c r="G211" s="55">
        <v>0.0</v>
      </c>
      <c r="H211" s="55">
        <v>0.0</v>
      </c>
      <c r="I211" s="55">
        <v>0.0</v>
      </c>
      <c r="J211" s="55">
        <v>0.0</v>
      </c>
      <c r="K211" s="55">
        <v>0.0</v>
      </c>
      <c r="L211" s="55">
        <v>0.0</v>
      </c>
      <c r="M211" s="55">
        <v>0.0</v>
      </c>
      <c r="N211" s="55">
        <v>0.0</v>
      </c>
      <c r="O211" s="55">
        <v>0.0</v>
      </c>
      <c r="P211" s="55">
        <v>0.0</v>
      </c>
      <c r="Q211" s="55">
        <v>0.0</v>
      </c>
      <c r="R211" s="55">
        <v>18915.0</v>
      </c>
      <c r="S211" s="55">
        <v>12002.0</v>
      </c>
      <c r="T211" s="55">
        <v>0.0</v>
      </c>
      <c r="U211" s="55">
        <v>0.0</v>
      </c>
      <c r="V211" s="55">
        <v>0.0</v>
      </c>
      <c r="W211" s="55">
        <v>0.0</v>
      </c>
      <c r="X211" s="55">
        <v>0.0</v>
      </c>
      <c r="Y211" s="55">
        <v>0.0</v>
      </c>
      <c r="Z211" s="55">
        <v>0.0</v>
      </c>
      <c r="AA211" s="55">
        <v>0.0</v>
      </c>
      <c r="AB211" s="55">
        <v>0.0</v>
      </c>
      <c r="AC211" s="55">
        <v>0.0</v>
      </c>
      <c r="AD211" s="55">
        <v>0.0</v>
      </c>
      <c r="AE211" s="55">
        <v>0.0</v>
      </c>
      <c r="AF211" s="55">
        <v>0.0</v>
      </c>
    </row>
    <row r="212">
      <c r="A212" s="56">
        <v>46048.0</v>
      </c>
      <c r="B212" s="55" t="s">
        <v>24</v>
      </c>
      <c r="C212" s="55" t="s">
        <v>161</v>
      </c>
      <c r="D212" s="55">
        <v>20.0</v>
      </c>
      <c r="E212" s="55">
        <v>20.0</v>
      </c>
      <c r="F212" s="55">
        <v>3.0</v>
      </c>
      <c r="G212" s="55">
        <v>2.0</v>
      </c>
      <c r="H212" s="55">
        <v>21.0</v>
      </c>
      <c r="I212" s="55">
        <v>19.0</v>
      </c>
      <c r="J212" s="55">
        <v>16.0</v>
      </c>
      <c r="K212" s="55">
        <v>0.0</v>
      </c>
      <c r="L212" s="55">
        <v>0.0</v>
      </c>
      <c r="M212" s="55">
        <v>16.0</v>
      </c>
      <c r="N212" s="55">
        <v>16.0</v>
      </c>
      <c r="O212" s="55">
        <v>5.0</v>
      </c>
      <c r="P212" s="55">
        <v>16.0</v>
      </c>
      <c r="Q212" s="55">
        <v>0.0</v>
      </c>
      <c r="R212" s="55">
        <v>45113.0</v>
      </c>
      <c r="S212" s="55">
        <v>45270.0</v>
      </c>
      <c r="T212" s="55">
        <v>4.815</v>
      </c>
      <c r="U212" s="55">
        <v>0.862222222222222</v>
      </c>
      <c r="V212" s="55">
        <v>0.556111111111111</v>
      </c>
      <c r="W212" s="55">
        <v>4.81611111111111</v>
      </c>
      <c r="X212" s="55">
        <v>4.26</v>
      </c>
      <c r="Y212" s="55">
        <v>3.81916666666666</v>
      </c>
      <c r="Z212" s="55">
        <v>0.0</v>
      </c>
      <c r="AA212" s="55">
        <v>0.0</v>
      </c>
      <c r="AB212" s="55">
        <v>3.81916666666666</v>
      </c>
      <c r="AC212" s="55">
        <v>3.81916666666666</v>
      </c>
      <c r="AD212" s="55">
        <v>0.951944444444444</v>
      </c>
      <c r="AE212" s="55">
        <v>3.81916666666666</v>
      </c>
      <c r="AF212" s="55">
        <v>21.0</v>
      </c>
    </row>
    <row r="213">
      <c r="A213" s="56">
        <v>46048.0</v>
      </c>
      <c r="B213" s="55" t="s">
        <v>60</v>
      </c>
      <c r="C213" s="55" t="s">
        <v>61</v>
      </c>
      <c r="D213" s="55">
        <v>18.0</v>
      </c>
      <c r="E213" s="55">
        <v>18.0</v>
      </c>
      <c r="F213" s="55">
        <v>1.0</v>
      </c>
      <c r="G213" s="55">
        <v>1.0</v>
      </c>
      <c r="H213" s="55">
        <v>1.0</v>
      </c>
      <c r="I213" s="55">
        <v>1.0</v>
      </c>
      <c r="J213" s="55">
        <v>1.0</v>
      </c>
      <c r="K213" s="55">
        <v>0.0</v>
      </c>
      <c r="L213" s="55">
        <v>0.0</v>
      </c>
      <c r="M213" s="55">
        <v>1.0</v>
      </c>
      <c r="N213" s="55">
        <v>1.0</v>
      </c>
      <c r="O213" s="55">
        <v>1.0</v>
      </c>
      <c r="P213" s="55">
        <v>1.0</v>
      </c>
      <c r="Q213" s="55">
        <v>0.0</v>
      </c>
      <c r="R213" s="55">
        <v>48263.0</v>
      </c>
      <c r="S213" s="55">
        <v>43386.0</v>
      </c>
      <c r="T213" s="55">
        <v>0.0</v>
      </c>
      <c r="U213" s="55">
        <v>0.253333333333333</v>
      </c>
      <c r="V213" s="55">
        <v>0.251388888888888</v>
      </c>
      <c r="W213" s="55">
        <v>0.253333333333333</v>
      </c>
      <c r="X213" s="55">
        <v>0.253333333333333</v>
      </c>
      <c r="Y213" s="55">
        <v>0.251388888888888</v>
      </c>
      <c r="Z213" s="55">
        <v>0.0</v>
      </c>
      <c r="AA213" s="55">
        <v>0.0</v>
      </c>
      <c r="AB213" s="55">
        <v>0.251388888888888</v>
      </c>
      <c r="AC213" s="55">
        <v>0.251388888888888</v>
      </c>
      <c r="AD213" s="55">
        <v>0.251388888888888</v>
      </c>
      <c r="AE213" s="55">
        <v>0.251388888888888</v>
      </c>
      <c r="AF213" s="55">
        <v>0.0</v>
      </c>
    </row>
    <row r="214">
      <c r="A214" s="56">
        <v>46041.0</v>
      </c>
      <c r="B214" s="55" t="s">
        <v>77</v>
      </c>
      <c r="C214" s="55" t="s">
        <v>148</v>
      </c>
      <c r="D214" s="55">
        <v>16.0</v>
      </c>
      <c r="E214" s="55">
        <v>1.0</v>
      </c>
      <c r="F214" s="55">
        <v>0.0</v>
      </c>
      <c r="G214" s="55">
        <v>0.0</v>
      </c>
      <c r="H214" s="55">
        <v>0.0</v>
      </c>
      <c r="I214" s="55">
        <v>0.0</v>
      </c>
      <c r="J214" s="55">
        <v>0.0</v>
      </c>
      <c r="K214" s="55">
        <v>0.0</v>
      </c>
      <c r="L214" s="55">
        <v>0.0</v>
      </c>
      <c r="M214" s="55">
        <v>0.0</v>
      </c>
      <c r="N214" s="55">
        <v>0.0</v>
      </c>
      <c r="O214" s="55">
        <v>0.0</v>
      </c>
      <c r="P214" s="55">
        <v>0.0</v>
      </c>
      <c r="Q214" s="55">
        <v>0.0</v>
      </c>
      <c r="R214" s="55">
        <v>29500.0</v>
      </c>
      <c r="S214" s="55">
        <v>2581.0</v>
      </c>
      <c r="T214" s="55">
        <v>0.0</v>
      </c>
      <c r="U214" s="55">
        <v>0.0</v>
      </c>
      <c r="V214" s="55">
        <v>0.0</v>
      </c>
      <c r="W214" s="55">
        <v>0.0</v>
      </c>
      <c r="X214" s="55">
        <v>0.0</v>
      </c>
      <c r="Y214" s="55">
        <v>0.0</v>
      </c>
      <c r="Z214" s="55">
        <v>0.0</v>
      </c>
      <c r="AA214" s="55">
        <v>0.0</v>
      </c>
      <c r="AB214" s="55">
        <v>0.0</v>
      </c>
      <c r="AC214" s="55">
        <v>0.0</v>
      </c>
      <c r="AD214" s="55">
        <v>0.0</v>
      </c>
      <c r="AE214" s="55">
        <v>0.0</v>
      </c>
      <c r="AF214" s="55">
        <v>0.0</v>
      </c>
    </row>
    <row r="215">
      <c r="A215" s="56">
        <v>46041.0</v>
      </c>
      <c r="B215" s="55" t="s">
        <v>69</v>
      </c>
      <c r="C215" s="55" t="s">
        <v>149</v>
      </c>
      <c r="D215" s="55">
        <v>30.0</v>
      </c>
      <c r="E215" s="55">
        <v>11.0</v>
      </c>
      <c r="F215" s="55">
        <v>12.0</v>
      </c>
      <c r="G215" s="55">
        <v>14.0</v>
      </c>
      <c r="H215" s="55">
        <v>15.0</v>
      </c>
      <c r="I215" s="55">
        <v>1.0</v>
      </c>
      <c r="J215" s="55">
        <v>15.0</v>
      </c>
      <c r="K215" s="55">
        <v>2.0</v>
      </c>
      <c r="L215" s="55">
        <v>3.0</v>
      </c>
      <c r="M215" s="55">
        <v>8.0</v>
      </c>
      <c r="N215" s="55">
        <v>11.0</v>
      </c>
      <c r="O215" s="55">
        <v>7.0</v>
      </c>
      <c r="P215" s="55">
        <v>11.0</v>
      </c>
      <c r="Q215" s="55">
        <v>0.0</v>
      </c>
      <c r="R215" s="55">
        <v>94314.0</v>
      </c>
      <c r="S215" s="55">
        <v>34418.0</v>
      </c>
      <c r="T215" s="55">
        <v>3.49666666666666</v>
      </c>
      <c r="U215" s="55">
        <v>3.22527777777777</v>
      </c>
      <c r="V215" s="55">
        <v>3.76611111111111</v>
      </c>
      <c r="W215" s="55">
        <v>4.03777777777777</v>
      </c>
      <c r="X215" s="55">
        <v>0.271666666666666</v>
      </c>
      <c r="Y215" s="55">
        <v>4.03833333333333</v>
      </c>
      <c r="Z215" s="55">
        <v>0.486111111111111</v>
      </c>
      <c r="AA215" s="55">
        <v>0.785</v>
      </c>
      <c r="AB215" s="55">
        <v>2.16888888888888</v>
      </c>
      <c r="AC215" s="55">
        <v>3.06333333333333</v>
      </c>
      <c r="AD215" s="55">
        <v>1.72111111111111</v>
      </c>
      <c r="AE215" s="55">
        <v>3.06333333333333</v>
      </c>
      <c r="AF215" s="55">
        <v>13.0</v>
      </c>
    </row>
    <row r="216">
      <c r="A216" s="56">
        <v>46041.0</v>
      </c>
      <c r="B216" s="55" t="s">
        <v>74</v>
      </c>
      <c r="C216" s="55" t="s">
        <v>150</v>
      </c>
      <c r="D216" s="55">
        <v>20.0</v>
      </c>
      <c r="E216" s="55">
        <v>20.0</v>
      </c>
      <c r="F216" s="55">
        <v>12.0</v>
      </c>
      <c r="G216" s="55">
        <v>13.0</v>
      </c>
      <c r="H216" s="55">
        <v>22.0</v>
      </c>
      <c r="I216" s="55">
        <v>9.0</v>
      </c>
      <c r="J216" s="55">
        <v>22.0</v>
      </c>
      <c r="K216" s="55">
        <v>0.0</v>
      </c>
      <c r="L216" s="55">
        <v>0.0</v>
      </c>
      <c r="M216" s="55">
        <v>21.0</v>
      </c>
      <c r="N216" s="55">
        <v>21.0</v>
      </c>
      <c r="O216" s="55">
        <v>6.0</v>
      </c>
      <c r="P216" s="55">
        <v>21.0</v>
      </c>
      <c r="Q216" s="55">
        <v>0.0</v>
      </c>
      <c r="R216" s="55">
        <v>67016.0</v>
      </c>
      <c r="S216" s="55">
        <v>49704.0</v>
      </c>
      <c r="T216" s="55">
        <v>5.01861111111111</v>
      </c>
      <c r="U216" s="55">
        <v>2.87888888888888</v>
      </c>
      <c r="V216" s="55">
        <v>3.12333333333333</v>
      </c>
      <c r="W216" s="55">
        <v>5.26305555555555</v>
      </c>
      <c r="X216" s="55">
        <v>2.13972222222222</v>
      </c>
      <c r="Y216" s="55">
        <v>5.27111111111111</v>
      </c>
      <c r="Z216" s="55">
        <v>0.0</v>
      </c>
      <c r="AA216" s="55">
        <v>0.0</v>
      </c>
      <c r="AB216" s="55">
        <v>5.04388888888888</v>
      </c>
      <c r="AC216" s="55">
        <v>5.04388888888888</v>
      </c>
      <c r="AD216" s="55">
        <v>1.42916666666666</v>
      </c>
      <c r="AE216" s="55">
        <v>5.04388888888888</v>
      </c>
      <c r="AF216" s="55">
        <v>21.0</v>
      </c>
    </row>
    <row r="217">
      <c r="A217" s="56">
        <v>46041.0</v>
      </c>
      <c r="B217" s="55" t="s">
        <v>30</v>
      </c>
      <c r="C217" s="55" t="s">
        <v>153</v>
      </c>
      <c r="D217" s="55">
        <v>0.0</v>
      </c>
      <c r="E217" s="55">
        <v>24.0</v>
      </c>
      <c r="F217" s="55">
        <v>1.0</v>
      </c>
      <c r="G217" s="55">
        <v>0.0</v>
      </c>
      <c r="H217" s="55">
        <v>18.0</v>
      </c>
      <c r="I217" s="55">
        <v>17.0</v>
      </c>
      <c r="J217" s="55">
        <v>17.0</v>
      </c>
      <c r="K217" s="55">
        <v>1.0</v>
      </c>
      <c r="L217" s="55">
        <v>0.0</v>
      </c>
      <c r="M217" s="55">
        <v>18.0</v>
      </c>
      <c r="N217" s="55">
        <v>18.0</v>
      </c>
      <c r="O217" s="55">
        <v>5.0</v>
      </c>
      <c r="P217" s="55">
        <v>18.0</v>
      </c>
      <c r="Q217" s="55">
        <v>0.0</v>
      </c>
      <c r="R217" s="55">
        <v>0.0</v>
      </c>
      <c r="S217" s="55">
        <v>59349.0</v>
      </c>
      <c r="T217" s="55">
        <v>4.44555555555555</v>
      </c>
      <c r="U217" s="55">
        <v>0.270277777777777</v>
      </c>
      <c r="V217" s="55">
        <v>0.0</v>
      </c>
      <c r="W217" s="55">
        <v>4.44555555555555</v>
      </c>
      <c r="X217" s="55">
        <v>4.17527777777777</v>
      </c>
      <c r="Y217" s="55">
        <v>4.21027777777777</v>
      </c>
      <c r="Z217" s="55">
        <v>0.238611111111111</v>
      </c>
      <c r="AA217" s="55">
        <v>0.0</v>
      </c>
      <c r="AB217" s="55">
        <v>4.39972222222222</v>
      </c>
      <c r="AC217" s="55">
        <v>4.39972222222222</v>
      </c>
      <c r="AD217" s="55">
        <v>1.04083333333333</v>
      </c>
      <c r="AE217" s="55">
        <v>4.39972222222222</v>
      </c>
      <c r="AF217" s="55">
        <v>18.0</v>
      </c>
    </row>
    <row r="218">
      <c r="A218" s="56">
        <v>46041.0</v>
      </c>
      <c r="B218" s="55" t="s">
        <v>35</v>
      </c>
      <c r="C218" s="55" t="s">
        <v>158</v>
      </c>
      <c r="D218" s="55">
        <v>31.0</v>
      </c>
      <c r="E218" s="55">
        <v>3.0</v>
      </c>
      <c r="F218" s="55">
        <v>9.0</v>
      </c>
      <c r="G218" s="55">
        <v>6.0</v>
      </c>
      <c r="H218" s="55">
        <v>7.0</v>
      </c>
      <c r="I218" s="55">
        <v>1.0</v>
      </c>
      <c r="J218" s="55">
        <v>7.0</v>
      </c>
      <c r="K218" s="55">
        <v>1.0</v>
      </c>
      <c r="L218" s="55">
        <v>1.0</v>
      </c>
      <c r="M218" s="55">
        <v>6.0</v>
      </c>
      <c r="N218" s="55">
        <v>6.0</v>
      </c>
      <c r="O218" s="55">
        <v>5.0</v>
      </c>
      <c r="P218" s="55">
        <v>6.0</v>
      </c>
      <c r="Q218" s="55">
        <v>0.0</v>
      </c>
      <c r="R218" s="55">
        <v>66294.0</v>
      </c>
      <c r="S218" s="55">
        <v>7538.0</v>
      </c>
      <c r="T218" s="55">
        <v>2.58583333333333</v>
      </c>
      <c r="U218" s="55">
        <v>2.58583333333333</v>
      </c>
      <c r="V218" s="55">
        <v>1.67194444444444</v>
      </c>
      <c r="W218" s="55">
        <v>1.96944444444444</v>
      </c>
      <c r="X218" s="55">
        <v>0.2975</v>
      </c>
      <c r="Y218" s="55">
        <v>1.95333333333333</v>
      </c>
      <c r="Z218" s="55">
        <v>0.276666666666666</v>
      </c>
      <c r="AA218" s="55">
        <v>0.276666666666666</v>
      </c>
      <c r="AB218" s="55">
        <v>1.67888888888888</v>
      </c>
      <c r="AC218" s="55">
        <v>1.67888888888888</v>
      </c>
      <c r="AD218" s="55">
        <v>1.38972222222222</v>
      </c>
      <c r="AE218" s="55">
        <v>1.67888888888888</v>
      </c>
      <c r="AF218" s="55">
        <v>9.0</v>
      </c>
    </row>
    <row r="219">
      <c r="A219" s="56">
        <v>46041.0</v>
      </c>
      <c r="B219" s="55" t="s">
        <v>79</v>
      </c>
      <c r="C219" s="55" t="s">
        <v>168</v>
      </c>
      <c r="D219" s="55">
        <v>1.0</v>
      </c>
      <c r="E219" s="55">
        <v>0.0</v>
      </c>
      <c r="F219" s="55">
        <v>0.0</v>
      </c>
      <c r="G219" s="55">
        <v>0.0</v>
      </c>
      <c r="H219" s="55">
        <v>0.0</v>
      </c>
      <c r="I219" s="55">
        <v>0.0</v>
      </c>
      <c r="J219" s="55">
        <v>0.0</v>
      </c>
      <c r="K219" s="55">
        <v>0.0</v>
      </c>
      <c r="L219" s="55">
        <v>0.0</v>
      </c>
      <c r="M219" s="55">
        <v>0.0</v>
      </c>
      <c r="N219" s="55">
        <v>0.0</v>
      </c>
      <c r="O219" s="55">
        <v>0.0</v>
      </c>
      <c r="P219" s="55">
        <v>0.0</v>
      </c>
      <c r="Q219" s="55">
        <v>0.0</v>
      </c>
      <c r="R219" s="55">
        <v>2398.0</v>
      </c>
      <c r="S219" s="55">
        <v>0.0</v>
      </c>
      <c r="T219" s="55">
        <v>0.0</v>
      </c>
      <c r="U219" s="55">
        <v>0.0</v>
      </c>
      <c r="V219" s="55">
        <v>0.0</v>
      </c>
      <c r="W219" s="55">
        <v>0.0</v>
      </c>
      <c r="X219" s="55">
        <v>0.0</v>
      </c>
      <c r="Y219" s="55">
        <v>0.0</v>
      </c>
      <c r="Z219" s="55">
        <v>0.0</v>
      </c>
      <c r="AA219" s="55">
        <v>0.0</v>
      </c>
      <c r="AB219" s="55">
        <v>0.0</v>
      </c>
      <c r="AC219" s="55">
        <v>0.0</v>
      </c>
      <c r="AD219" s="55">
        <v>0.0</v>
      </c>
      <c r="AE219" s="55">
        <v>0.0</v>
      </c>
      <c r="AF219" s="55">
        <v>0.0</v>
      </c>
    </row>
    <row r="220">
      <c r="A220" s="56">
        <v>46041.0</v>
      </c>
      <c r="B220" s="55" t="s">
        <v>24</v>
      </c>
      <c r="C220" s="55" t="s">
        <v>161</v>
      </c>
      <c r="D220" s="55">
        <v>25.0</v>
      </c>
      <c r="E220" s="55">
        <v>19.0</v>
      </c>
      <c r="F220" s="55">
        <v>9.0</v>
      </c>
      <c r="G220" s="55">
        <v>9.0</v>
      </c>
      <c r="H220" s="55">
        <v>20.0</v>
      </c>
      <c r="I220" s="55">
        <v>11.0</v>
      </c>
      <c r="J220" s="55">
        <v>20.0</v>
      </c>
      <c r="K220" s="55">
        <v>4.0</v>
      </c>
      <c r="L220" s="55">
        <v>4.0</v>
      </c>
      <c r="M220" s="55">
        <v>21.0</v>
      </c>
      <c r="N220" s="55">
        <v>21.0</v>
      </c>
      <c r="O220" s="55">
        <v>6.0</v>
      </c>
      <c r="P220" s="55">
        <v>21.0</v>
      </c>
      <c r="Q220" s="55">
        <v>0.0</v>
      </c>
      <c r="R220" s="55">
        <v>59142.0</v>
      </c>
      <c r="S220" s="55">
        <v>48547.0</v>
      </c>
      <c r="T220" s="55">
        <v>4.72777777777777</v>
      </c>
      <c r="U220" s="55">
        <v>2.34361111111111</v>
      </c>
      <c r="V220" s="55">
        <v>2.34888888888888</v>
      </c>
      <c r="W220" s="55">
        <v>4.73305555555555</v>
      </c>
      <c r="X220" s="55">
        <v>2.38416666666666</v>
      </c>
      <c r="Y220" s="55">
        <v>4.74333333333333</v>
      </c>
      <c r="Z220" s="55">
        <v>1.15055555555555</v>
      </c>
      <c r="AA220" s="55">
        <v>1.15055555555555</v>
      </c>
      <c r="AB220" s="55">
        <v>4.92305555555555</v>
      </c>
      <c r="AC220" s="55">
        <v>4.92305555555555</v>
      </c>
      <c r="AD220" s="55">
        <v>1.18222222222222</v>
      </c>
      <c r="AE220" s="55">
        <v>4.92305555555555</v>
      </c>
      <c r="AF220" s="55">
        <v>20.0</v>
      </c>
    </row>
    <row r="221">
      <c r="A221" s="56">
        <v>46041.0</v>
      </c>
      <c r="B221" s="55" t="s">
        <v>60</v>
      </c>
      <c r="C221" s="55" t="s">
        <v>61</v>
      </c>
      <c r="D221" s="55">
        <v>9.0</v>
      </c>
      <c r="E221" s="55">
        <v>1.0</v>
      </c>
      <c r="F221" s="55">
        <v>0.0</v>
      </c>
      <c r="G221" s="55">
        <v>0.0</v>
      </c>
      <c r="H221" s="55">
        <v>0.0</v>
      </c>
      <c r="I221" s="55">
        <v>0.0</v>
      </c>
      <c r="J221" s="55">
        <v>0.0</v>
      </c>
      <c r="K221" s="55">
        <v>0.0</v>
      </c>
      <c r="L221" s="55">
        <v>0.0</v>
      </c>
      <c r="M221" s="55">
        <v>0.0</v>
      </c>
      <c r="N221" s="55">
        <v>0.0</v>
      </c>
      <c r="O221" s="55">
        <v>0.0</v>
      </c>
      <c r="P221" s="55">
        <v>0.0</v>
      </c>
      <c r="Q221" s="55">
        <v>0.0</v>
      </c>
      <c r="R221" s="55">
        <v>23099.0</v>
      </c>
      <c r="S221" s="55">
        <v>2514.0</v>
      </c>
      <c r="T221" s="55">
        <v>0.253333333333333</v>
      </c>
      <c r="U221" s="55">
        <v>0.0</v>
      </c>
      <c r="V221" s="55">
        <v>0.0</v>
      </c>
      <c r="W221" s="55">
        <v>0.0</v>
      </c>
      <c r="X221" s="55">
        <v>0.0</v>
      </c>
      <c r="Y221" s="55">
        <v>0.0</v>
      </c>
      <c r="Z221" s="55">
        <v>0.0</v>
      </c>
      <c r="AA221" s="55">
        <v>0.0</v>
      </c>
      <c r="AB221" s="55">
        <v>0.0</v>
      </c>
      <c r="AC221" s="55">
        <v>0.0</v>
      </c>
      <c r="AD221" s="55">
        <v>0.0</v>
      </c>
      <c r="AE221" s="55">
        <v>0.0</v>
      </c>
      <c r="AF221" s="55">
        <v>1.0</v>
      </c>
    </row>
    <row r="222">
      <c r="A222" s="56">
        <v>46034.0</v>
      </c>
      <c r="B222" s="55" t="s">
        <v>77</v>
      </c>
      <c r="C222" s="55" t="s">
        <v>148</v>
      </c>
      <c r="D222" s="55">
        <v>7.0</v>
      </c>
      <c r="E222" s="55">
        <v>0.0</v>
      </c>
      <c r="F222" s="55">
        <v>0.0</v>
      </c>
      <c r="G222" s="55">
        <v>0.0</v>
      </c>
      <c r="H222" s="55">
        <v>0.0</v>
      </c>
      <c r="I222" s="55">
        <v>0.0</v>
      </c>
      <c r="J222" s="55">
        <v>0.0</v>
      </c>
      <c r="K222" s="55">
        <v>0.0</v>
      </c>
      <c r="L222" s="55">
        <v>0.0</v>
      </c>
      <c r="M222" s="55">
        <v>0.0</v>
      </c>
      <c r="N222" s="55">
        <v>0.0</v>
      </c>
      <c r="O222" s="55">
        <v>0.0</v>
      </c>
      <c r="P222" s="55">
        <v>0.0</v>
      </c>
      <c r="Q222" s="55">
        <v>0.0</v>
      </c>
      <c r="R222" s="55">
        <v>13569.0</v>
      </c>
      <c r="S222" s="55">
        <v>0.0</v>
      </c>
      <c r="T222" s="55">
        <v>0.0</v>
      </c>
      <c r="U222" s="55">
        <v>0.0</v>
      </c>
      <c r="V222" s="55">
        <v>0.0</v>
      </c>
      <c r="W222" s="55">
        <v>0.0</v>
      </c>
      <c r="X222" s="55">
        <v>0.0</v>
      </c>
      <c r="Y222" s="55">
        <v>0.0</v>
      </c>
      <c r="Z222" s="55">
        <v>0.0</v>
      </c>
      <c r="AA222" s="55">
        <v>0.0</v>
      </c>
      <c r="AB222" s="55">
        <v>0.0</v>
      </c>
      <c r="AC222" s="55">
        <v>0.0</v>
      </c>
      <c r="AD222" s="55">
        <v>0.0</v>
      </c>
      <c r="AE222" s="55">
        <v>0.0</v>
      </c>
      <c r="AF222" s="55">
        <v>0.0</v>
      </c>
    </row>
    <row r="223">
      <c r="A223" s="56">
        <v>46034.0</v>
      </c>
      <c r="B223" s="55" t="s">
        <v>69</v>
      </c>
      <c r="C223" s="55" t="s">
        <v>149</v>
      </c>
      <c r="D223" s="55">
        <v>25.0</v>
      </c>
      <c r="E223" s="55">
        <v>9.0</v>
      </c>
      <c r="F223" s="55">
        <v>14.0</v>
      </c>
      <c r="G223" s="55">
        <v>17.0</v>
      </c>
      <c r="H223" s="55">
        <v>18.0</v>
      </c>
      <c r="I223" s="55">
        <v>1.0</v>
      </c>
      <c r="J223" s="55">
        <v>18.0</v>
      </c>
      <c r="K223" s="55">
        <v>6.0</v>
      </c>
      <c r="L223" s="55">
        <v>5.0</v>
      </c>
      <c r="M223" s="55">
        <v>17.0</v>
      </c>
      <c r="N223" s="55">
        <v>14.0</v>
      </c>
      <c r="O223" s="55">
        <v>7.0</v>
      </c>
      <c r="P223" s="55">
        <v>14.0</v>
      </c>
      <c r="Q223" s="55">
        <v>0.0</v>
      </c>
      <c r="R223" s="55">
        <v>78898.0</v>
      </c>
      <c r="S223" s="55">
        <v>28635.0</v>
      </c>
      <c r="T223" s="55">
        <v>4.19638888888888</v>
      </c>
      <c r="U223" s="55">
        <v>3.93916666666666</v>
      </c>
      <c r="V223" s="55">
        <v>4.73222222222222</v>
      </c>
      <c r="W223" s="55">
        <v>4.98944444444444</v>
      </c>
      <c r="X223" s="55">
        <v>0.257222222222222</v>
      </c>
      <c r="Y223" s="55">
        <v>4.99</v>
      </c>
      <c r="Z223" s="55">
        <v>1.69694444444444</v>
      </c>
      <c r="AA223" s="55">
        <v>1.40972222222222</v>
      </c>
      <c r="AB223" s="55">
        <v>4.70277777777777</v>
      </c>
      <c r="AC223" s="55">
        <v>3.80833333333333</v>
      </c>
      <c r="AD223" s="55">
        <v>1.79472222222222</v>
      </c>
      <c r="AE223" s="55">
        <v>3.80833333333333</v>
      </c>
      <c r="AF223" s="55">
        <v>15.0</v>
      </c>
    </row>
    <row r="224">
      <c r="A224" s="56">
        <v>46034.0</v>
      </c>
      <c r="B224" s="55" t="s">
        <v>74</v>
      </c>
      <c r="C224" s="55" t="s">
        <v>150</v>
      </c>
      <c r="D224" s="55">
        <v>19.0</v>
      </c>
      <c r="E224" s="55">
        <v>20.0</v>
      </c>
      <c r="F224" s="55">
        <v>14.0</v>
      </c>
      <c r="G224" s="55">
        <v>12.0</v>
      </c>
      <c r="H224" s="55">
        <v>21.0</v>
      </c>
      <c r="I224" s="55">
        <v>9.0</v>
      </c>
      <c r="J224" s="55">
        <v>22.0</v>
      </c>
      <c r="K224" s="55">
        <v>1.0</v>
      </c>
      <c r="L224" s="55">
        <v>1.0</v>
      </c>
      <c r="M224" s="55">
        <v>22.0</v>
      </c>
      <c r="N224" s="55">
        <v>22.0</v>
      </c>
      <c r="O224" s="55">
        <v>5.0</v>
      </c>
      <c r="P224" s="55">
        <v>22.0</v>
      </c>
      <c r="Q224" s="55">
        <v>0.0</v>
      </c>
      <c r="R224" s="55">
        <v>56265.0</v>
      </c>
      <c r="S224" s="55">
        <v>49973.0</v>
      </c>
      <c r="T224" s="55">
        <v>4.34055555555555</v>
      </c>
      <c r="U224" s="55">
        <v>3.375</v>
      </c>
      <c r="V224" s="55">
        <v>2.91583333333333</v>
      </c>
      <c r="W224" s="55">
        <v>5.10777777777777</v>
      </c>
      <c r="X224" s="55">
        <v>2.19194444444444</v>
      </c>
      <c r="Y224" s="55">
        <v>5.36888888888889</v>
      </c>
      <c r="Z224" s="55">
        <v>0.2525</v>
      </c>
      <c r="AA224" s="55">
        <v>0.2525</v>
      </c>
      <c r="AB224" s="55">
        <v>5.36888888888889</v>
      </c>
      <c r="AC224" s="55">
        <v>5.36888888888888</v>
      </c>
      <c r="AD224" s="55">
        <v>1.19527777777777</v>
      </c>
      <c r="AE224" s="55">
        <v>5.36888888888888</v>
      </c>
      <c r="AF224" s="55">
        <v>18.0</v>
      </c>
    </row>
    <row r="225">
      <c r="A225" s="56">
        <v>46034.0</v>
      </c>
      <c r="B225" s="55" t="s">
        <v>30</v>
      </c>
      <c r="C225" s="55" t="s">
        <v>153</v>
      </c>
      <c r="D225" s="55">
        <v>3.0</v>
      </c>
      <c r="E225" s="55">
        <v>24.0</v>
      </c>
      <c r="F225" s="55">
        <v>3.0</v>
      </c>
      <c r="G225" s="55">
        <v>0.0</v>
      </c>
      <c r="H225" s="55">
        <v>21.0</v>
      </c>
      <c r="I225" s="55">
        <v>18.0</v>
      </c>
      <c r="J225" s="55">
        <v>22.0</v>
      </c>
      <c r="K225" s="55">
        <v>6.0</v>
      </c>
      <c r="L225" s="55">
        <v>0.0</v>
      </c>
      <c r="M225" s="55">
        <v>20.0</v>
      </c>
      <c r="N225" s="55">
        <v>20.0</v>
      </c>
      <c r="O225" s="55">
        <v>7.0</v>
      </c>
      <c r="P225" s="55">
        <v>20.0</v>
      </c>
      <c r="Q225" s="55">
        <v>0.0</v>
      </c>
      <c r="R225" s="55">
        <v>7648.0</v>
      </c>
      <c r="S225" s="55">
        <v>61884.0</v>
      </c>
      <c r="T225" s="55">
        <v>5.17555555555555</v>
      </c>
      <c r="U225" s="55">
        <v>0.791111111111111</v>
      </c>
      <c r="V225" s="55">
        <v>0.0</v>
      </c>
      <c r="W225" s="55">
        <v>5.4375</v>
      </c>
      <c r="X225" s="55">
        <v>4.645</v>
      </c>
      <c r="Y225" s="55">
        <v>5.72083333333333</v>
      </c>
      <c r="Z225" s="55">
        <v>1.57972222222222</v>
      </c>
      <c r="AA225" s="55">
        <v>0.0</v>
      </c>
      <c r="AB225" s="55">
        <v>5.26111111111111</v>
      </c>
      <c r="AC225" s="55">
        <v>5.26111111111111</v>
      </c>
      <c r="AD225" s="55">
        <v>1.38916666666666</v>
      </c>
      <c r="AE225" s="55">
        <v>5.26111111111111</v>
      </c>
      <c r="AF225" s="55">
        <v>20.0</v>
      </c>
    </row>
    <row r="226">
      <c r="A226" s="56">
        <v>46034.0</v>
      </c>
      <c r="B226" s="55" t="s">
        <v>35</v>
      </c>
      <c r="C226" s="55" t="s">
        <v>158</v>
      </c>
      <c r="D226" s="55">
        <v>2.0</v>
      </c>
      <c r="E226" s="55">
        <v>7.0</v>
      </c>
      <c r="F226" s="55">
        <v>0.0</v>
      </c>
      <c r="G226" s="55">
        <v>0.0</v>
      </c>
      <c r="H226" s="55">
        <v>0.0</v>
      </c>
      <c r="I226" s="55">
        <v>0.0</v>
      </c>
      <c r="J226" s="55">
        <v>0.0</v>
      </c>
      <c r="K226" s="55">
        <v>0.0</v>
      </c>
      <c r="L226" s="55">
        <v>0.0</v>
      </c>
      <c r="M226" s="55">
        <v>0.0</v>
      </c>
      <c r="N226" s="55">
        <v>0.0</v>
      </c>
      <c r="O226" s="55">
        <v>0.0</v>
      </c>
      <c r="P226" s="55">
        <v>0.0</v>
      </c>
      <c r="Q226" s="55">
        <v>0.0</v>
      </c>
      <c r="R226" s="55">
        <v>4947.0</v>
      </c>
      <c r="S226" s="55">
        <v>17847.0</v>
      </c>
      <c r="T226" s="55">
        <v>0.2975</v>
      </c>
      <c r="U226" s="55">
        <v>0.0</v>
      </c>
      <c r="V226" s="55">
        <v>0.0</v>
      </c>
      <c r="W226" s="55">
        <v>0.0</v>
      </c>
      <c r="X226" s="55">
        <v>0.0</v>
      </c>
      <c r="Y226" s="55">
        <v>0.0</v>
      </c>
      <c r="Z226" s="55">
        <v>0.0</v>
      </c>
      <c r="AA226" s="55">
        <v>0.0</v>
      </c>
      <c r="AB226" s="55">
        <v>0.0</v>
      </c>
      <c r="AC226" s="55">
        <v>0.0</v>
      </c>
      <c r="AD226" s="55">
        <v>0.0</v>
      </c>
      <c r="AE226" s="55">
        <v>0.0</v>
      </c>
      <c r="AF226" s="55">
        <v>1.0</v>
      </c>
    </row>
    <row r="227">
      <c r="A227" s="56">
        <v>46034.0</v>
      </c>
      <c r="B227" s="55" t="s">
        <v>24</v>
      </c>
      <c r="C227" s="55" t="s">
        <v>161</v>
      </c>
      <c r="D227" s="55">
        <v>21.0</v>
      </c>
      <c r="E227" s="55">
        <v>23.0</v>
      </c>
      <c r="F227" s="55">
        <v>6.0</v>
      </c>
      <c r="G227" s="55">
        <v>5.0</v>
      </c>
      <c r="H227" s="55">
        <v>20.0</v>
      </c>
      <c r="I227" s="55">
        <v>15.0</v>
      </c>
      <c r="J227" s="55">
        <v>20.0</v>
      </c>
      <c r="K227" s="55">
        <v>4.0</v>
      </c>
      <c r="L227" s="55">
        <v>4.0</v>
      </c>
      <c r="M227" s="55">
        <v>19.0</v>
      </c>
      <c r="N227" s="55">
        <v>21.0</v>
      </c>
      <c r="O227" s="55">
        <v>7.0</v>
      </c>
      <c r="P227" s="55">
        <v>21.0</v>
      </c>
      <c r="Q227" s="55">
        <v>0.0</v>
      </c>
      <c r="R227" s="55">
        <v>52701.0</v>
      </c>
      <c r="S227" s="55">
        <v>55078.0</v>
      </c>
      <c r="T227" s="55">
        <v>3.86861111111111</v>
      </c>
      <c r="U227" s="55">
        <v>1.19861111111111</v>
      </c>
      <c r="V227" s="55">
        <v>0.988055555555555</v>
      </c>
      <c r="W227" s="55">
        <v>3.87361111111111</v>
      </c>
      <c r="X227" s="55">
        <v>2.88555555555555</v>
      </c>
      <c r="Y227" s="55">
        <v>3.88555555555555</v>
      </c>
      <c r="Z227" s="55">
        <v>0.761944444444444</v>
      </c>
      <c r="AA227" s="55">
        <v>0.761944444444444</v>
      </c>
      <c r="AB227" s="55">
        <v>3.70583333333333</v>
      </c>
      <c r="AC227" s="55">
        <v>4.0875</v>
      </c>
      <c r="AD227" s="55">
        <v>1.45166666666666</v>
      </c>
      <c r="AE227" s="55">
        <v>4.0875</v>
      </c>
      <c r="AF227" s="55">
        <v>20.0</v>
      </c>
    </row>
    <row r="228">
      <c r="A228" s="56">
        <v>46034.0</v>
      </c>
      <c r="B228" s="55" t="s">
        <v>60</v>
      </c>
      <c r="C228" s="55" t="s">
        <v>61</v>
      </c>
      <c r="D228" s="55">
        <v>8.0</v>
      </c>
      <c r="E228" s="55">
        <v>5.0</v>
      </c>
      <c r="F228" s="55">
        <v>0.0</v>
      </c>
      <c r="G228" s="55">
        <v>0.0</v>
      </c>
      <c r="H228" s="55">
        <v>0.0</v>
      </c>
      <c r="I228" s="55">
        <v>0.0</v>
      </c>
      <c r="J228" s="55">
        <v>0.0</v>
      </c>
      <c r="K228" s="55">
        <v>0.0</v>
      </c>
      <c r="L228" s="55">
        <v>0.0</v>
      </c>
      <c r="M228" s="55">
        <v>0.0</v>
      </c>
      <c r="N228" s="55">
        <v>0.0</v>
      </c>
      <c r="O228" s="55">
        <v>0.0</v>
      </c>
      <c r="P228" s="55">
        <v>0.0</v>
      </c>
      <c r="Q228" s="55">
        <v>0.0</v>
      </c>
      <c r="R228" s="55">
        <v>19830.0</v>
      </c>
      <c r="S228" s="55">
        <v>13230.0</v>
      </c>
      <c r="T228" s="55">
        <v>0.0</v>
      </c>
      <c r="U228" s="55">
        <v>0.0</v>
      </c>
      <c r="V228" s="55">
        <v>0.0</v>
      </c>
      <c r="W228" s="55">
        <v>0.0</v>
      </c>
      <c r="X228" s="55">
        <v>0.0</v>
      </c>
      <c r="Y228" s="55">
        <v>0.0</v>
      </c>
      <c r="Z228" s="55">
        <v>0.0</v>
      </c>
      <c r="AA228" s="55">
        <v>0.0</v>
      </c>
      <c r="AB228" s="55">
        <v>0.0</v>
      </c>
      <c r="AC228" s="55">
        <v>0.0</v>
      </c>
      <c r="AD228" s="55">
        <v>0.0</v>
      </c>
      <c r="AE228" s="55">
        <v>0.0</v>
      </c>
      <c r="AF228" s="55">
        <v>0.0</v>
      </c>
    </row>
    <row r="229">
      <c r="A229" s="56">
        <v>46027.0</v>
      </c>
      <c r="B229" s="55" t="s">
        <v>69</v>
      </c>
      <c r="C229" s="55" t="s">
        <v>149</v>
      </c>
      <c r="D229" s="55">
        <v>20.0</v>
      </c>
      <c r="E229" s="55">
        <v>14.0</v>
      </c>
      <c r="F229" s="55">
        <v>15.0</v>
      </c>
      <c r="G229" s="55">
        <v>11.0</v>
      </c>
      <c r="H229" s="55">
        <v>12.0</v>
      </c>
      <c r="I229" s="55">
        <v>1.0</v>
      </c>
      <c r="J229" s="55">
        <v>13.0</v>
      </c>
      <c r="K229" s="55">
        <v>1.0</v>
      </c>
      <c r="L229" s="55">
        <v>1.0</v>
      </c>
      <c r="M229" s="55">
        <v>14.0</v>
      </c>
      <c r="N229" s="55">
        <v>14.0</v>
      </c>
      <c r="O229" s="55">
        <v>5.0</v>
      </c>
      <c r="P229" s="55">
        <v>14.0</v>
      </c>
      <c r="Q229" s="55">
        <v>0.0</v>
      </c>
      <c r="R229" s="55">
        <v>62412.0</v>
      </c>
      <c r="S229" s="55">
        <v>42827.0</v>
      </c>
      <c r="T229" s="55">
        <v>4.09083333333333</v>
      </c>
      <c r="U229" s="55">
        <v>3.84472222222222</v>
      </c>
      <c r="V229" s="55">
        <v>2.75055555555555</v>
      </c>
      <c r="W229" s="55">
        <v>2.99666666666666</v>
      </c>
      <c r="X229" s="55">
        <v>0.246111111111111</v>
      </c>
      <c r="Y229" s="55">
        <v>3.25777777777777</v>
      </c>
      <c r="Z229" s="55">
        <v>0.261666666666666</v>
      </c>
      <c r="AA229" s="55">
        <v>0.261666666666666</v>
      </c>
      <c r="AB229" s="55">
        <v>3.51944444444444</v>
      </c>
      <c r="AC229" s="55">
        <v>3.51944444444444</v>
      </c>
      <c r="AD229" s="55">
        <v>1.27833333333333</v>
      </c>
      <c r="AE229" s="55">
        <v>3.51944444444444</v>
      </c>
      <c r="AF229" s="55">
        <v>16.0</v>
      </c>
    </row>
    <row r="230">
      <c r="A230" s="56">
        <v>46027.0</v>
      </c>
      <c r="B230" s="55" t="s">
        <v>74</v>
      </c>
      <c r="C230" s="55" t="s">
        <v>150</v>
      </c>
      <c r="D230" s="55">
        <v>19.0</v>
      </c>
      <c r="E230" s="55">
        <v>28.0</v>
      </c>
      <c r="F230" s="55">
        <v>11.0</v>
      </c>
      <c r="G230" s="55">
        <v>14.0</v>
      </c>
      <c r="H230" s="55">
        <v>18.0</v>
      </c>
      <c r="I230" s="55">
        <v>4.0</v>
      </c>
      <c r="J230" s="55">
        <v>17.0</v>
      </c>
      <c r="K230" s="55">
        <v>3.0</v>
      </c>
      <c r="L230" s="55">
        <v>3.0</v>
      </c>
      <c r="M230" s="55">
        <v>17.0</v>
      </c>
      <c r="N230" s="55">
        <v>17.0</v>
      </c>
      <c r="O230" s="55">
        <v>6.0</v>
      </c>
      <c r="P230" s="55">
        <v>17.0</v>
      </c>
      <c r="Q230" s="55">
        <v>0.0</v>
      </c>
      <c r="R230" s="55">
        <v>58795.0</v>
      </c>
      <c r="S230" s="55">
        <v>70037.0</v>
      </c>
      <c r="T230" s="55">
        <v>4.67333333333333</v>
      </c>
      <c r="U230" s="55">
        <v>2.735</v>
      </c>
      <c r="V230" s="55">
        <v>3.42361111111111</v>
      </c>
      <c r="W230" s="55">
        <v>4.39333333333333</v>
      </c>
      <c r="X230" s="55">
        <v>0.969722222222222</v>
      </c>
      <c r="Y230" s="55">
        <v>4.14444444444444</v>
      </c>
      <c r="Z230" s="55">
        <v>0.748055555555555</v>
      </c>
      <c r="AA230" s="55">
        <v>0.748055555555555</v>
      </c>
      <c r="AB230" s="55">
        <v>4.14444444444444</v>
      </c>
      <c r="AC230" s="55">
        <v>4.14444444444444</v>
      </c>
      <c r="AD230" s="55">
        <v>1.41888888888888</v>
      </c>
      <c r="AE230" s="55">
        <v>4.14444444444444</v>
      </c>
      <c r="AF230" s="55">
        <v>19.0</v>
      </c>
    </row>
    <row r="231">
      <c r="A231" s="56">
        <v>46027.0</v>
      </c>
      <c r="B231" s="55" t="s">
        <v>30</v>
      </c>
      <c r="C231" s="55" t="s">
        <v>153</v>
      </c>
      <c r="D231" s="55">
        <v>2.0</v>
      </c>
      <c r="E231" s="55">
        <v>16.0</v>
      </c>
      <c r="F231" s="55">
        <v>4.0</v>
      </c>
      <c r="G231" s="55">
        <v>0.0</v>
      </c>
      <c r="H231" s="55">
        <v>18.0</v>
      </c>
      <c r="I231" s="55">
        <v>15.0</v>
      </c>
      <c r="J231" s="55">
        <v>18.0</v>
      </c>
      <c r="K231" s="55">
        <v>1.0</v>
      </c>
      <c r="L231" s="55">
        <v>0.0</v>
      </c>
      <c r="M231" s="55">
        <v>18.0</v>
      </c>
      <c r="N231" s="55">
        <v>19.0</v>
      </c>
      <c r="O231" s="55">
        <v>5.0</v>
      </c>
      <c r="P231" s="55">
        <v>19.0</v>
      </c>
      <c r="Q231" s="55">
        <v>0.0</v>
      </c>
      <c r="R231" s="55">
        <v>5031.0</v>
      </c>
      <c r="S231" s="55">
        <v>43112.0</v>
      </c>
      <c r="T231" s="55">
        <v>5.04333333333333</v>
      </c>
      <c r="U231" s="55">
        <v>1.05666666666666</v>
      </c>
      <c r="V231" s="55">
        <v>0.0</v>
      </c>
      <c r="W231" s="55">
        <v>4.77638888888888</v>
      </c>
      <c r="X231" s="55">
        <v>3.98666666666666</v>
      </c>
      <c r="Y231" s="55">
        <v>4.74083333333333</v>
      </c>
      <c r="Z231" s="55">
        <v>0.276111111111111</v>
      </c>
      <c r="AA231" s="55">
        <v>0.0</v>
      </c>
      <c r="AB231" s="55">
        <v>4.74083333333333</v>
      </c>
      <c r="AC231" s="55">
        <v>4.99777777777777</v>
      </c>
      <c r="AD231" s="55">
        <v>1.14194444444444</v>
      </c>
      <c r="AE231" s="55">
        <v>4.99777777777777</v>
      </c>
      <c r="AF231" s="55">
        <v>19.0</v>
      </c>
    </row>
    <row r="232">
      <c r="A232" s="56">
        <v>46027.0</v>
      </c>
      <c r="B232" s="55" t="s">
        <v>24</v>
      </c>
      <c r="C232" s="55" t="s">
        <v>161</v>
      </c>
      <c r="D232" s="55">
        <v>20.0</v>
      </c>
      <c r="E232" s="55">
        <v>17.0</v>
      </c>
      <c r="F232" s="55">
        <v>4.0</v>
      </c>
      <c r="G232" s="55">
        <v>4.0</v>
      </c>
      <c r="H232" s="55">
        <v>12.0</v>
      </c>
      <c r="I232" s="55">
        <v>8.0</v>
      </c>
      <c r="J232" s="55">
        <v>14.0</v>
      </c>
      <c r="K232" s="55">
        <v>3.0</v>
      </c>
      <c r="L232" s="55">
        <v>3.0</v>
      </c>
      <c r="M232" s="55">
        <v>14.0</v>
      </c>
      <c r="N232" s="55">
        <v>15.0</v>
      </c>
      <c r="O232" s="55">
        <v>5.0</v>
      </c>
      <c r="P232" s="55">
        <v>15.0</v>
      </c>
      <c r="Q232" s="55">
        <v>0.0</v>
      </c>
      <c r="R232" s="55">
        <v>48018.0</v>
      </c>
      <c r="S232" s="55">
        <v>33725.0</v>
      </c>
      <c r="T232" s="55">
        <v>2.40388888888888</v>
      </c>
      <c r="U232" s="55">
        <v>0.820555555555555</v>
      </c>
      <c r="V232" s="55">
        <v>0.825555555555555</v>
      </c>
      <c r="W232" s="55">
        <v>2.40888888888888</v>
      </c>
      <c r="X232" s="55">
        <v>1.58333333333333</v>
      </c>
      <c r="Y232" s="55">
        <v>2.82027777777777</v>
      </c>
      <c r="Z232" s="55">
        <v>0.603888888888888</v>
      </c>
      <c r="AA232" s="55">
        <v>0.604166666666666</v>
      </c>
      <c r="AB232" s="55">
        <v>2.82055555555555</v>
      </c>
      <c r="AC232" s="55">
        <v>3.03777777777777</v>
      </c>
      <c r="AD232" s="55">
        <v>1.01527777777777</v>
      </c>
      <c r="AE232" s="55">
        <v>3.03777777777777</v>
      </c>
      <c r="AF232" s="55">
        <v>12.0</v>
      </c>
    </row>
    <row r="233">
      <c r="A233" s="56">
        <v>46027.0</v>
      </c>
      <c r="B233" s="55" t="s">
        <v>60</v>
      </c>
      <c r="C233" s="55" t="s">
        <v>61</v>
      </c>
      <c r="D233" s="55">
        <v>1.0</v>
      </c>
      <c r="E233" s="55">
        <v>0.0</v>
      </c>
      <c r="F233" s="55">
        <v>0.0</v>
      </c>
      <c r="G233" s="55">
        <v>0.0</v>
      </c>
      <c r="H233" s="55">
        <v>0.0</v>
      </c>
      <c r="I233" s="55">
        <v>0.0</v>
      </c>
      <c r="J233" s="55">
        <v>0.0</v>
      </c>
      <c r="K233" s="55">
        <v>0.0</v>
      </c>
      <c r="L233" s="55">
        <v>0.0</v>
      </c>
      <c r="M233" s="55">
        <v>0.0</v>
      </c>
      <c r="N233" s="55">
        <v>0.0</v>
      </c>
      <c r="O233" s="55">
        <v>0.0</v>
      </c>
      <c r="P233" s="55">
        <v>0.0</v>
      </c>
      <c r="Q233" s="55">
        <v>0.0</v>
      </c>
      <c r="R233" s="55">
        <v>2615.0</v>
      </c>
      <c r="S233" s="55">
        <v>0.0</v>
      </c>
      <c r="T233" s="55">
        <v>0.0</v>
      </c>
      <c r="U233" s="55">
        <v>0.0</v>
      </c>
      <c r="V233" s="55">
        <v>0.0</v>
      </c>
      <c r="W233" s="55">
        <v>0.0</v>
      </c>
      <c r="X233" s="55">
        <v>0.0</v>
      </c>
      <c r="Y233" s="55">
        <v>0.0</v>
      </c>
      <c r="Z233" s="55">
        <v>0.0</v>
      </c>
      <c r="AA233" s="55">
        <v>0.0</v>
      </c>
      <c r="AB233" s="55">
        <v>0.0</v>
      </c>
      <c r="AC233" s="55">
        <v>0.0</v>
      </c>
      <c r="AD233" s="55">
        <v>0.0</v>
      </c>
      <c r="AE233" s="55">
        <v>0.0</v>
      </c>
      <c r="AF233" s="55">
        <v>0.0</v>
      </c>
    </row>
    <row r="234">
      <c r="A234" s="56">
        <v>46020.0</v>
      </c>
      <c r="B234" s="55" t="s">
        <v>69</v>
      </c>
      <c r="C234" s="55" t="s">
        <v>149</v>
      </c>
      <c r="D234" s="55">
        <v>5.0</v>
      </c>
      <c r="E234" s="55">
        <v>19.0</v>
      </c>
      <c r="F234" s="55">
        <v>5.0</v>
      </c>
      <c r="G234" s="55">
        <v>6.0</v>
      </c>
      <c r="H234" s="55">
        <v>7.0</v>
      </c>
      <c r="I234" s="55">
        <v>1.0</v>
      </c>
      <c r="J234" s="55">
        <v>6.0</v>
      </c>
      <c r="K234" s="55">
        <v>0.0</v>
      </c>
      <c r="L234" s="55">
        <v>0.0</v>
      </c>
      <c r="M234" s="55">
        <v>8.0</v>
      </c>
      <c r="N234" s="55">
        <v>8.0</v>
      </c>
      <c r="O234" s="55">
        <v>4.0</v>
      </c>
      <c r="P234" s="55">
        <v>8.0</v>
      </c>
      <c r="Q234" s="55">
        <v>0.0</v>
      </c>
      <c r="R234" s="55">
        <v>14777.0</v>
      </c>
      <c r="S234" s="55">
        <v>55201.0</v>
      </c>
      <c r="T234" s="55">
        <v>1.54333333333333</v>
      </c>
      <c r="U234" s="55">
        <v>1.2825</v>
      </c>
      <c r="V234" s="55">
        <v>1.51416666666666</v>
      </c>
      <c r="W234" s="55">
        <v>1.775</v>
      </c>
      <c r="X234" s="55">
        <v>0.260833333333333</v>
      </c>
      <c r="Y234" s="55">
        <v>1.51416666666666</v>
      </c>
      <c r="Z234" s="55">
        <v>0.0</v>
      </c>
      <c r="AA234" s="55">
        <v>0.0</v>
      </c>
      <c r="AB234" s="55">
        <v>2.08111111111111</v>
      </c>
      <c r="AC234" s="55">
        <v>2.08111111111111</v>
      </c>
      <c r="AD234" s="55">
        <v>0.992777777777777</v>
      </c>
      <c r="AE234" s="55">
        <v>2.08111111111111</v>
      </c>
      <c r="AF234" s="55">
        <v>6.0</v>
      </c>
    </row>
    <row r="235">
      <c r="A235" s="56">
        <v>46020.0</v>
      </c>
      <c r="B235" s="55" t="s">
        <v>74</v>
      </c>
      <c r="C235" s="55" t="s">
        <v>150</v>
      </c>
      <c r="D235" s="55">
        <v>17.0</v>
      </c>
      <c r="E235" s="55">
        <v>11.0</v>
      </c>
      <c r="F235" s="55">
        <v>9.0</v>
      </c>
      <c r="G235" s="55">
        <v>9.0</v>
      </c>
      <c r="H235" s="55">
        <v>11.0</v>
      </c>
      <c r="I235" s="55">
        <v>2.0</v>
      </c>
      <c r="J235" s="55">
        <v>15.0</v>
      </c>
      <c r="K235" s="55">
        <v>1.0</v>
      </c>
      <c r="L235" s="55">
        <v>1.0</v>
      </c>
      <c r="M235" s="55">
        <v>17.0</v>
      </c>
      <c r="N235" s="55">
        <v>17.0</v>
      </c>
      <c r="O235" s="55">
        <v>4.0</v>
      </c>
      <c r="P235" s="55">
        <v>17.0</v>
      </c>
      <c r="Q235" s="55">
        <v>0.0</v>
      </c>
      <c r="R235" s="55">
        <v>46935.0</v>
      </c>
      <c r="S235" s="55">
        <v>27475.0</v>
      </c>
      <c r="T235" s="55">
        <v>2.09194444444444</v>
      </c>
      <c r="U235" s="55">
        <v>2.11833333333333</v>
      </c>
      <c r="V235" s="55">
        <v>2.13694444444444</v>
      </c>
      <c r="W235" s="55">
        <v>2.60833333333333</v>
      </c>
      <c r="X235" s="55">
        <v>0.471388888888888</v>
      </c>
      <c r="Y235" s="55">
        <v>3.51472222222222</v>
      </c>
      <c r="Z235" s="55">
        <v>0.242777777777777</v>
      </c>
      <c r="AA235" s="55">
        <v>0.242777777777777</v>
      </c>
      <c r="AB235" s="55">
        <v>3.965</v>
      </c>
      <c r="AC235" s="55">
        <v>3.965</v>
      </c>
      <c r="AD235" s="55">
        <v>0.951388888888889</v>
      </c>
      <c r="AE235" s="55">
        <v>3.965</v>
      </c>
      <c r="AF235" s="55">
        <v>9.0</v>
      </c>
    </row>
    <row r="236">
      <c r="A236" s="56">
        <v>46020.0</v>
      </c>
      <c r="B236" s="55" t="s">
        <v>30</v>
      </c>
      <c r="C236" s="55" t="s">
        <v>153</v>
      </c>
      <c r="D236" s="55">
        <v>0.0</v>
      </c>
      <c r="E236" s="55">
        <v>7.0</v>
      </c>
      <c r="F236" s="55">
        <v>1.0</v>
      </c>
      <c r="G236" s="55">
        <v>0.0</v>
      </c>
      <c r="H236" s="55">
        <v>11.0</v>
      </c>
      <c r="I236" s="55">
        <v>10.0</v>
      </c>
      <c r="J236" s="55">
        <v>12.0</v>
      </c>
      <c r="K236" s="55">
        <v>0.0</v>
      </c>
      <c r="L236" s="55">
        <v>0.0</v>
      </c>
      <c r="M236" s="55">
        <v>13.0</v>
      </c>
      <c r="N236" s="55">
        <v>12.0</v>
      </c>
      <c r="O236" s="55">
        <v>4.0</v>
      </c>
      <c r="P236" s="55">
        <v>12.0</v>
      </c>
      <c r="Q236" s="55">
        <v>0.0</v>
      </c>
      <c r="R236" s="55">
        <v>0.0</v>
      </c>
      <c r="S236" s="55">
        <v>18699.0</v>
      </c>
      <c r="T236" s="55">
        <v>2.81722222222222</v>
      </c>
      <c r="U236" s="55">
        <v>0.280277777777777</v>
      </c>
      <c r="V236" s="55">
        <v>0.0</v>
      </c>
      <c r="W236" s="55">
        <v>2.81527777777777</v>
      </c>
      <c r="X236" s="55">
        <v>2.53694444444444</v>
      </c>
      <c r="Y236" s="55">
        <v>3.07361111111111</v>
      </c>
      <c r="Z236" s="55">
        <v>0.0</v>
      </c>
      <c r="AA236" s="55">
        <v>0.0</v>
      </c>
      <c r="AB236" s="55">
        <v>3.34138888888888</v>
      </c>
      <c r="AC236" s="55">
        <v>3.08444444444444</v>
      </c>
      <c r="AD236" s="55">
        <v>0.915</v>
      </c>
      <c r="AE236" s="55">
        <v>3.08444444444444</v>
      </c>
      <c r="AF236" s="55">
        <v>11.0</v>
      </c>
    </row>
    <row r="237">
      <c r="A237" s="56">
        <v>46020.0</v>
      </c>
      <c r="B237" s="55" t="s">
        <v>35</v>
      </c>
      <c r="C237" s="55" t="s">
        <v>158</v>
      </c>
      <c r="D237" s="55">
        <v>15.0</v>
      </c>
      <c r="E237" s="55">
        <v>0.0</v>
      </c>
      <c r="F237" s="55">
        <v>0.0</v>
      </c>
      <c r="G237" s="55">
        <v>0.0</v>
      </c>
      <c r="H237" s="55">
        <v>0.0</v>
      </c>
      <c r="I237" s="55">
        <v>0.0</v>
      </c>
      <c r="J237" s="55">
        <v>0.0</v>
      </c>
      <c r="K237" s="55">
        <v>0.0</v>
      </c>
      <c r="L237" s="55">
        <v>0.0</v>
      </c>
      <c r="M237" s="55">
        <v>0.0</v>
      </c>
      <c r="N237" s="55">
        <v>0.0</v>
      </c>
      <c r="O237" s="55">
        <v>0.0</v>
      </c>
      <c r="P237" s="55">
        <v>0.0</v>
      </c>
      <c r="Q237" s="55">
        <v>0.0</v>
      </c>
      <c r="R237" s="55">
        <v>36635.0</v>
      </c>
      <c r="S237" s="55">
        <v>0.0</v>
      </c>
      <c r="T237" s="55">
        <v>0.0</v>
      </c>
      <c r="U237" s="55">
        <v>0.0</v>
      </c>
      <c r="V237" s="55">
        <v>0.0</v>
      </c>
      <c r="W237" s="55">
        <v>0.0</v>
      </c>
      <c r="X237" s="55">
        <v>0.0</v>
      </c>
      <c r="Y237" s="55">
        <v>0.0</v>
      </c>
      <c r="Z237" s="55">
        <v>0.0</v>
      </c>
      <c r="AA237" s="55">
        <v>0.0</v>
      </c>
      <c r="AB237" s="55">
        <v>0.0</v>
      </c>
      <c r="AC237" s="55">
        <v>0.0</v>
      </c>
      <c r="AD237" s="55">
        <v>0.0</v>
      </c>
      <c r="AE237" s="55">
        <v>0.0</v>
      </c>
      <c r="AF237" s="55">
        <v>0.0</v>
      </c>
    </row>
    <row r="238">
      <c r="A238" s="56">
        <v>46020.0</v>
      </c>
      <c r="B238" s="55" t="s">
        <v>54</v>
      </c>
      <c r="C238" s="55" t="s">
        <v>160</v>
      </c>
      <c r="D238" s="55">
        <v>0.0</v>
      </c>
      <c r="E238" s="55">
        <v>0.0</v>
      </c>
      <c r="F238" s="55">
        <v>0.0</v>
      </c>
      <c r="G238" s="55">
        <v>2.0</v>
      </c>
      <c r="H238" s="55">
        <v>2.0</v>
      </c>
      <c r="I238" s="55">
        <v>0.0</v>
      </c>
      <c r="J238" s="55">
        <v>2.0</v>
      </c>
      <c r="K238" s="55">
        <v>0.0</v>
      </c>
      <c r="L238" s="55">
        <v>0.0</v>
      </c>
      <c r="M238" s="55">
        <v>2.0</v>
      </c>
      <c r="N238" s="55">
        <v>2.0</v>
      </c>
      <c r="O238" s="55">
        <v>2.0</v>
      </c>
      <c r="P238" s="55">
        <v>2.0</v>
      </c>
      <c r="Q238" s="55">
        <v>0.0</v>
      </c>
      <c r="R238" s="55">
        <v>0.0</v>
      </c>
      <c r="S238" s="55">
        <v>0.0</v>
      </c>
      <c r="T238" s="55">
        <v>0.0</v>
      </c>
      <c r="U238" s="55">
        <v>0.0</v>
      </c>
      <c r="V238" s="55">
        <v>0.466666666666666</v>
      </c>
      <c r="W238" s="55">
        <v>0.466666666666666</v>
      </c>
      <c r="X238" s="55">
        <v>0.0</v>
      </c>
      <c r="Y238" s="55">
        <v>0.466666666666666</v>
      </c>
      <c r="Z238" s="55">
        <v>0.0</v>
      </c>
      <c r="AA238" s="55">
        <v>0.0</v>
      </c>
      <c r="AB238" s="55">
        <v>0.466666666666666</v>
      </c>
      <c r="AC238" s="55">
        <v>0.466666666666666</v>
      </c>
      <c r="AD238" s="55">
        <v>0.360555555555555</v>
      </c>
      <c r="AE238" s="55">
        <v>0.466666666666666</v>
      </c>
      <c r="AF238" s="55">
        <v>0.0</v>
      </c>
    </row>
    <row r="239">
      <c r="A239" s="56">
        <v>46020.0</v>
      </c>
      <c r="B239" s="55" t="s">
        <v>24</v>
      </c>
      <c r="C239" s="55" t="s">
        <v>161</v>
      </c>
      <c r="D239" s="55">
        <v>22.0</v>
      </c>
      <c r="E239" s="55">
        <v>11.0</v>
      </c>
      <c r="F239" s="55">
        <v>7.0</v>
      </c>
      <c r="G239" s="55">
        <v>7.0</v>
      </c>
      <c r="H239" s="55">
        <v>13.0</v>
      </c>
      <c r="I239" s="55">
        <v>6.0</v>
      </c>
      <c r="J239" s="55">
        <v>11.0</v>
      </c>
      <c r="K239" s="55">
        <v>2.0</v>
      </c>
      <c r="L239" s="55">
        <v>2.0</v>
      </c>
      <c r="M239" s="55">
        <v>11.0</v>
      </c>
      <c r="N239" s="55">
        <v>19.0</v>
      </c>
      <c r="O239" s="55">
        <v>6.0</v>
      </c>
      <c r="P239" s="55">
        <v>19.0</v>
      </c>
      <c r="Q239" s="55">
        <v>0.0</v>
      </c>
      <c r="R239" s="55">
        <v>53094.0</v>
      </c>
      <c r="S239" s="55">
        <v>23554.0</v>
      </c>
      <c r="T239" s="55">
        <v>2.55</v>
      </c>
      <c r="U239" s="55">
        <v>1.37027777777777</v>
      </c>
      <c r="V239" s="55">
        <v>1.38194444444444</v>
      </c>
      <c r="W239" s="55">
        <v>2.56166666666666</v>
      </c>
      <c r="X239" s="55">
        <v>1.17972222222222</v>
      </c>
      <c r="Y239" s="55">
        <v>2.17611111111111</v>
      </c>
      <c r="Z239" s="55">
        <v>0.376111111111111</v>
      </c>
      <c r="AA239" s="55">
        <v>0.376111111111111</v>
      </c>
      <c r="AB239" s="55">
        <v>2.18527777777777</v>
      </c>
      <c r="AC239" s="55">
        <v>3.77</v>
      </c>
      <c r="AD239" s="55">
        <v>1.2525</v>
      </c>
      <c r="AE239" s="55">
        <v>3.77</v>
      </c>
      <c r="AF239" s="55">
        <v>13.0</v>
      </c>
    </row>
    <row r="240">
      <c r="A240" s="56">
        <v>46013.0</v>
      </c>
      <c r="B240" s="55" t="s">
        <v>69</v>
      </c>
      <c r="C240" s="55" t="s">
        <v>149</v>
      </c>
      <c r="D240" s="55">
        <v>15.0</v>
      </c>
      <c r="E240" s="55">
        <v>5.0</v>
      </c>
      <c r="F240" s="55">
        <v>5.0</v>
      </c>
      <c r="G240" s="55">
        <v>3.0</v>
      </c>
      <c r="H240" s="55">
        <v>3.0</v>
      </c>
      <c r="I240" s="55">
        <v>0.0</v>
      </c>
      <c r="J240" s="55">
        <v>3.0</v>
      </c>
      <c r="K240" s="55">
        <v>0.0</v>
      </c>
      <c r="L240" s="55">
        <v>0.0</v>
      </c>
      <c r="M240" s="55">
        <v>0.0</v>
      </c>
      <c r="N240" s="55">
        <v>0.0</v>
      </c>
      <c r="O240" s="55">
        <v>7.0</v>
      </c>
      <c r="P240" s="55">
        <v>0.0</v>
      </c>
      <c r="Q240" s="55">
        <v>0.0</v>
      </c>
      <c r="R240" s="55">
        <v>43264.0</v>
      </c>
      <c r="S240" s="55">
        <v>15348.0</v>
      </c>
      <c r="T240" s="55">
        <v>1.30666666666666</v>
      </c>
      <c r="U240" s="55">
        <v>1.30666666666666</v>
      </c>
      <c r="V240" s="55">
        <v>0.828611111111111</v>
      </c>
      <c r="W240" s="55">
        <v>0.828611111111111</v>
      </c>
      <c r="X240" s="55">
        <v>0.0</v>
      </c>
      <c r="Y240" s="55">
        <v>0.828611111111111</v>
      </c>
      <c r="Z240" s="55">
        <v>0.0</v>
      </c>
      <c r="AA240" s="55">
        <v>0.0</v>
      </c>
      <c r="AB240" s="55">
        <v>0.0</v>
      </c>
      <c r="AC240" s="55">
        <v>0.0</v>
      </c>
      <c r="AD240" s="55">
        <v>1.71861111111111</v>
      </c>
      <c r="AE240" s="55">
        <v>0.0</v>
      </c>
      <c r="AF240" s="55">
        <v>5.0</v>
      </c>
    </row>
    <row r="241">
      <c r="A241" s="56">
        <v>46013.0</v>
      </c>
      <c r="B241" s="55" t="s">
        <v>74</v>
      </c>
      <c r="C241" s="55" t="s">
        <v>150</v>
      </c>
      <c r="D241" s="55">
        <v>18.0</v>
      </c>
      <c r="E241" s="55">
        <v>12.0</v>
      </c>
      <c r="F241" s="55">
        <v>14.0</v>
      </c>
      <c r="G241" s="55">
        <v>15.0</v>
      </c>
      <c r="H241" s="55">
        <v>21.0</v>
      </c>
      <c r="I241" s="55">
        <v>6.0</v>
      </c>
      <c r="J241" s="55">
        <v>19.0</v>
      </c>
      <c r="K241" s="55">
        <v>1.0</v>
      </c>
      <c r="L241" s="55">
        <v>1.0</v>
      </c>
      <c r="M241" s="55">
        <v>18.0</v>
      </c>
      <c r="N241" s="55">
        <v>18.0</v>
      </c>
      <c r="O241" s="55">
        <v>6.0</v>
      </c>
      <c r="P241" s="55">
        <v>18.0</v>
      </c>
      <c r="Q241" s="55">
        <v>0.0</v>
      </c>
      <c r="R241" s="55">
        <v>57405.0</v>
      </c>
      <c r="S241" s="55">
        <v>29579.0</v>
      </c>
      <c r="T241" s="55">
        <v>5.11083333333333</v>
      </c>
      <c r="U241" s="55">
        <v>3.2475</v>
      </c>
      <c r="V241" s="55">
        <v>3.4675</v>
      </c>
      <c r="W241" s="55">
        <v>4.83305555555555</v>
      </c>
      <c r="X241" s="55">
        <v>1.36555555555555</v>
      </c>
      <c r="Y241" s="55">
        <v>4.39583333333333</v>
      </c>
      <c r="Z241" s="55">
        <v>0.231944444444444</v>
      </c>
      <c r="AA241" s="55">
        <v>0.231944444444444</v>
      </c>
      <c r="AB241" s="55">
        <v>4.18055555555555</v>
      </c>
      <c r="AC241" s="55">
        <v>4.18055555555555</v>
      </c>
      <c r="AD241" s="55">
        <v>1.42388888888888</v>
      </c>
      <c r="AE241" s="55">
        <v>4.18055555555555</v>
      </c>
      <c r="AF241" s="55">
        <v>22.0</v>
      </c>
    </row>
    <row r="242">
      <c r="A242" s="56">
        <v>46013.0</v>
      </c>
      <c r="B242" s="55" t="s">
        <v>30</v>
      </c>
      <c r="C242" s="55" t="s">
        <v>153</v>
      </c>
      <c r="D242" s="55">
        <v>13.0</v>
      </c>
      <c r="E242" s="55">
        <v>16.0</v>
      </c>
      <c r="F242" s="55">
        <v>4.0</v>
      </c>
      <c r="G242" s="55">
        <v>0.0</v>
      </c>
      <c r="H242" s="55">
        <v>14.0</v>
      </c>
      <c r="I242" s="55">
        <v>11.0</v>
      </c>
      <c r="J242" s="55">
        <v>13.0</v>
      </c>
      <c r="K242" s="55">
        <v>1.0</v>
      </c>
      <c r="L242" s="55">
        <v>0.0</v>
      </c>
      <c r="M242" s="55">
        <v>13.0</v>
      </c>
      <c r="N242" s="55">
        <v>13.0</v>
      </c>
      <c r="O242" s="55">
        <v>5.0</v>
      </c>
      <c r="P242" s="55">
        <v>13.0</v>
      </c>
      <c r="Q242" s="55">
        <v>0.0</v>
      </c>
      <c r="R242" s="55">
        <v>32118.0</v>
      </c>
      <c r="S242" s="55">
        <v>42687.0</v>
      </c>
      <c r="T242" s="55">
        <v>3.53805555555555</v>
      </c>
      <c r="U242" s="55">
        <v>1.03888888888888</v>
      </c>
      <c r="V242" s="55">
        <v>0.0</v>
      </c>
      <c r="W242" s="55">
        <v>3.54444444444444</v>
      </c>
      <c r="X242" s="55">
        <v>2.74388888888888</v>
      </c>
      <c r="Y242" s="55">
        <v>3.27861111111111</v>
      </c>
      <c r="Z242" s="55">
        <v>0.243888888888888</v>
      </c>
      <c r="AA242" s="55">
        <v>0.0</v>
      </c>
      <c r="AB242" s="55">
        <v>3.25277777777777</v>
      </c>
      <c r="AC242" s="55">
        <v>3.25277777777777</v>
      </c>
      <c r="AD242" s="55">
        <v>1.1375</v>
      </c>
      <c r="AE242" s="55">
        <v>3.25277777777777</v>
      </c>
      <c r="AF242" s="55">
        <v>14.0</v>
      </c>
    </row>
    <row r="243">
      <c r="A243" s="56">
        <v>46013.0</v>
      </c>
      <c r="B243" s="55" t="s">
        <v>24</v>
      </c>
      <c r="C243" s="55" t="s">
        <v>161</v>
      </c>
      <c r="D243" s="55">
        <v>10.0</v>
      </c>
      <c r="E243" s="55">
        <v>11.0</v>
      </c>
      <c r="F243" s="55">
        <v>9.0</v>
      </c>
      <c r="G243" s="55">
        <v>7.0</v>
      </c>
      <c r="H243" s="55">
        <v>20.0</v>
      </c>
      <c r="I243" s="55">
        <v>11.0</v>
      </c>
      <c r="J243" s="55">
        <v>20.0</v>
      </c>
      <c r="K243" s="55">
        <v>1.0</v>
      </c>
      <c r="L243" s="55">
        <v>0.0</v>
      </c>
      <c r="M243" s="55">
        <v>19.0</v>
      </c>
      <c r="N243" s="55">
        <v>10.0</v>
      </c>
      <c r="O243" s="55">
        <v>5.0</v>
      </c>
      <c r="P243" s="55">
        <v>10.0</v>
      </c>
      <c r="Q243" s="55">
        <v>0.0</v>
      </c>
      <c r="R243" s="55">
        <v>23385.0</v>
      </c>
      <c r="S243" s="55">
        <v>23308.0</v>
      </c>
      <c r="T243" s="55">
        <v>3.83722222222222</v>
      </c>
      <c r="U243" s="55">
        <v>1.73388888888888</v>
      </c>
      <c r="V243" s="55">
        <v>1.39555555555555</v>
      </c>
      <c r="W243" s="55">
        <v>3.85611111111111</v>
      </c>
      <c r="X243" s="55">
        <v>2.10333333333333</v>
      </c>
      <c r="Y243" s="55">
        <v>3.88083333333333</v>
      </c>
      <c r="Z243" s="55">
        <v>0.193611111111111</v>
      </c>
      <c r="AA243" s="55">
        <v>0.0</v>
      </c>
      <c r="AB243" s="55">
        <v>3.6875</v>
      </c>
      <c r="AC243" s="55">
        <v>1.86333333333333</v>
      </c>
      <c r="AD243" s="55">
        <v>1.03166666666666</v>
      </c>
      <c r="AE243" s="55">
        <v>1.86333333333333</v>
      </c>
      <c r="AF243" s="55">
        <v>20.0</v>
      </c>
    </row>
    <row r="244">
      <c r="A244" s="56">
        <v>46006.0</v>
      </c>
      <c r="B244" s="55" t="s">
        <v>69</v>
      </c>
      <c r="C244" s="55" t="s">
        <v>149</v>
      </c>
      <c r="D244" s="55">
        <v>5.0</v>
      </c>
      <c r="E244" s="55">
        <v>0.0</v>
      </c>
      <c r="F244" s="55">
        <v>5.0</v>
      </c>
      <c r="G244" s="55">
        <v>5.0</v>
      </c>
      <c r="H244" s="55">
        <v>5.0</v>
      </c>
      <c r="I244" s="55">
        <v>0.0</v>
      </c>
      <c r="J244" s="55">
        <v>6.0</v>
      </c>
      <c r="K244" s="55">
        <v>2.0</v>
      </c>
      <c r="L244" s="55">
        <v>2.0</v>
      </c>
      <c r="M244" s="55">
        <v>8.0</v>
      </c>
      <c r="N244" s="55">
        <v>8.0</v>
      </c>
      <c r="O244" s="55">
        <v>5.0</v>
      </c>
      <c r="P244" s="55">
        <v>8.0</v>
      </c>
      <c r="Q244" s="55">
        <v>0.0</v>
      </c>
      <c r="R244" s="55">
        <v>15348.0</v>
      </c>
      <c r="S244" s="55">
        <v>0.0</v>
      </c>
      <c r="T244" s="55">
        <v>1.285</v>
      </c>
      <c r="U244" s="55">
        <v>1.285</v>
      </c>
      <c r="V244" s="55">
        <v>1.28166666666666</v>
      </c>
      <c r="W244" s="55">
        <v>1.28166666666666</v>
      </c>
      <c r="X244" s="55">
        <v>0.0</v>
      </c>
      <c r="Y244" s="55">
        <v>1.55666666666666</v>
      </c>
      <c r="Z244" s="55">
        <v>0.518611111111111</v>
      </c>
      <c r="AA244" s="55">
        <v>0.518611111111111</v>
      </c>
      <c r="AB244" s="55">
        <v>2.05972222222222</v>
      </c>
      <c r="AC244" s="55">
        <v>2.05638888888888</v>
      </c>
      <c r="AD244" s="55">
        <v>1.22305555555555</v>
      </c>
      <c r="AE244" s="55">
        <v>2.05638888888888</v>
      </c>
      <c r="AF244" s="55">
        <v>5.0</v>
      </c>
    </row>
    <row r="245">
      <c r="A245" s="56">
        <v>46006.0</v>
      </c>
      <c r="B245" s="55" t="s">
        <v>74</v>
      </c>
      <c r="C245" s="55" t="s">
        <v>150</v>
      </c>
      <c r="D245" s="55">
        <v>22.0</v>
      </c>
      <c r="E245" s="55">
        <v>22.0</v>
      </c>
      <c r="F245" s="55">
        <v>19.0</v>
      </c>
      <c r="G245" s="55">
        <v>16.0</v>
      </c>
      <c r="H245" s="55">
        <v>24.0</v>
      </c>
      <c r="I245" s="55">
        <v>8.0</v>
      </c>
      <c r="J245" s="55">
        <v>22.0</v>
      </c>
      <c r="K245" s="55">
        <v>4.0</v>
      </c>
      <c r="L245" s="55">
        <v>4.0</v>
      </c>
      <c r="M245" s="55">
        <v>24.0</v>
      </c>
      <c r="N245" s="55">
        <v>24.0</v>
      </c>
      <c r="O245" s="55">
        <v>6.0</v>
      </c>
      <c r="P245" s="55">
        <v>24.0</v>
      </c>
      <c r="Q245" s="55">
        <v>0.0</v>
      </c>
      <c r="R245" s="55">
        <v>63391.0</v>
      </c>
      <c r="S245" s="55">
        <v>51996.0</v>
      </c>
      <c r="T245" s="55">
        <v>6.31861111111111</v>
      </c>
      <c r="U245" s="55">
        <v>4.45</v>
      </c>
      <c r="V245" s="55">
        <v>3.76388888888888</v>
      </c>
      <c r="W245" s="55">
        <v>5.6325</v>
      </c>
      <c r="X245" s="55">
        <v>1.86861111111111</v>
      </c>
      <c r="Y245" s="55">
        <v>5.17583333333333</v>
      </c>
      <c r="Z245" s="55">
        <v>0.945555555555555</v>
      </c>
      <c r="AA245" s="55">
        <v>0.945</v>
      </c>
      <c r="AB245" s="55">
        <v>5.65</v>
      </c>
      <c r="AC245" s="55">
        <v>5.65</v>
      </c>
      <c r="AD245" s="55">
        <v>1.38611111111111</v>
      </c>
      <c r="AE245" s="55">
        <v>5.65</v>
      </c>
      <c r="AF245" s="55">
        <v>27.0</v>
      </c>
    </row>
    <row r="246">
      <c r="A246" s="56">
        <v>46006.0</v>
      </c>
      <c r="B246" s="55" t="s">
        <v>30</v>
      </c>
      <c r="C246" s="55" t="s">
        <v>153</v>
      </c>
      <c r="D246" s="55">
        <v>19.0</v>
      </c>
      <c r="E246" s="55">
        <v>16.0</v>
      </c>
      <c r="F246" s="55">
        <v>3.0</v>
      </c>
      <c r="G246" s="55">
        <v>0.0</v>
      </c>
      <c r="H246" s="55">
        <v>22.0</v>
      </c>
      <c r="I246" s="55">
        <v>18.0</v>
      </c>
      <c r="J246" s="55">
        <v>22.0</v>
      </c>
      <c r="K246" s="55">
        <v>2.0</v>
      </c>
      <c r="L246" s="55">
        <v>0.0</v>
      </c>
      <c r="M246" s="55">
        <v>25.0</v>
      </c>
      <c r="N246" s="55">
        <v>25.0</v>
      </c>
      <c r="O246" s="55">
        <v>6.0</v>
      </c>
      <c r="P246" s="55">
        <v>25.0</v>
      </c>
      <c r="Q246" s="55">
        <v>0.0</v>
      </c>
      <c r="R246" s="55">
        <v>49853.0</v>
      </c>
      <c r="S246" s="55">
        <v>42042.0</v>
      </c>
      <c r="T246" s="55">
        <v>5.00638888888888</v>
      </c>
      <c r="U246" s="55">
        <v>0.698333333333333</v>
      </c>
      <c r="V246" s="55">
        <v>0.0</v>
      </c>
      <c r="W246" s="55">
        <v>5.23833333333333</v>
      </c>
      <c r="X246" s="55">
        <v>4.30805555555555</v>
      </c>
      <c r="Y246" s="55">
        <v>5.21777777777777</v>
      </c>
      <c r="Z246" s="55">
        <v>0.485</v>
      </c>
      <c r="AA246" s="55">
        <v>0.0</v>
      </c>
      <c r="AB246" s="55">
        <v>5.8475</v>
      </c>
      <c r="AC246" s="55">
        <v>5.8475</v>
      </c>
      <c r="AD246" s="55">
        <v>1.28194444444444</v>
      </c>
      <c r="AE246" s="55">
        <v>5.8475</v>
      </c>
      <c r="AF246" s="55">
        <v>21.0</v>
      </c>
    </row>
    <row r="247">
      <c r="A247" s="56">
        <v>46006.0</v>
      </c>
      <c r="B247" s="55" t="s">
        <v>24</v>
      </c>
      <c r="C247" s="55" t="s">
        <v>161</v>
      </c>
      <c r="D247" s="55">
        <v>31.0</v>
      </c>
      <c r="E247" s="55">
        <v>18.0</v>
      </c>
      <c r="F247" s="55">
        <v>3.0</v>
      </c>
      <c r="G247" s="55">
        <v>3.0</v>
      </c>
      <c r="H247" s="55">
        <v>20.0</v>
      </c>
      <c r="I247" s="55">
        <v>17.0</v>
      </c>
      <c r="J247" s="55">
        <v>20.0</v>
      </c>
      <c r="K247" s="55">
        <v>3.0</v>
      </c>
      <c r="L247" s="55">
        <v>3.0</v>
      </c>
      <c r="M247" s="55">
        <v>21.0</v>
      </c>
      <c r="N247" s="55">
        <v>20.0</v>
      </c>
      <c r="O247" s="55">
        <v>7.0</v>
      </c>
      <c r="P247" s="55">
        <v>20.0</v>
      </c>
      <c r="Q247" s="55">
        <v>0.0</v>
      </c>
      <c r="R247" s="55">
        <v>73999.0</v>
      </c>
      <c r="S247" s="55">
        <v>37301.0</v>
      </c>
      <c r="T247" s="55">
        <v>3.77138888888888</v>
      </c>
      <c r="U247" s="55">
        <v>0.558333333333333</v>
      </c>
      <c r="V247" s="55">
        <v>0.562777777777777</v>
      </c>
      <c r="W247" s="55">
        <v>3.77583333333333</v>
      </c>
      <c r="X247" s="55">
        <v>3.21305555555555</v>
      </c>
      <c r="Y247" s="55">
        <v>3.80666666666666</v>
      </c>
      <c r="Z247" s="55">
        <v>0.586111111111111</v>
      </c>
      <c r="AA247" s="55">
        <v>0.586111111111111</v>
      </c>
      <c r="AB247" s="55">
        <v>4.01305555555555</v>
      </c>
      <c r="AC247" s="55">
        <v>3.83361111111111</v>
      </c>
      <c r="AD247" s="55">
        <v>1.41916666666666</v>
      </c>
      <c r="AE247" s="55">
        <v>3.83361111111111</v>
      </c>
      <c r="AF247" s="55">
        <v>20.0</v>
      </c>
    </row>
    <row r="248">
      <c r="A248" s="56">
        <v>45999.0</v>
      </c>
      <c r="B248" s="55" t="s">
        <v>69</v>
      </c>
      <c r="C248" s="55" t="s">
        <v>149</v>
      </c>
      <c r="D248" s="55">
        <v>5.0</v>
      </c>
      <c r="E248" s="55">
        <v>5.0</v>
      </c>
      <c r="F248" s="55">
        <v>8.0</v>
      </c>
      <c r="G248" s="55">
        <v>10.0</v>
      </c>
      <c r="H248" s="55">
        <v>14.0</v>
      </c>
      <c r="I248" s="55">
        <v>4.0</v>
      </c>
      <c r="J248" s="55">
        <v>16.0</v>
      </c>
      <c r="K248" s="55">
        <v>3.0</v>
      </c>
      <c r="L248" s="55">
        <v>3.0</v>
      </c>
      <c r="M248" s="55">
        <v>14.0</v>
      </c>
      <c r="N248" s="55">
        <v>14.0</v>
      </c>
      <c r="O248" s="55">
        <v>6.0</v>
      </c>
      <c r="P248" s="55">
        <v>14.0</v>
      </c>
      <c r="Q248" s="55">
        <v>0.0</v>
      </c>
      <c r="R248" s="55">
        <v>15001.0</v>
      </c>
      <c r="S248" s="55">
        <v>15001.0</v>
      </c>
      <c r="T248" s="55">
        <v>2.98972222222222</v>
      </c>
      <c r="U248" s="55">
        <v>1.9975</v>
      </c>
      <c r="V248" s="55">
        <v>2.5025</v>
      </c>
      <c r="W248" s="55">
        <v>3.49472222222222</v>
      </c>
      <c r="X248" s="55">
        <v>0.992222222222222</v>
      </c>
      <c r="Y248" s="55">
        <v>3.97305555555555</v>
      </c>
      <c r="Z248" s="55">
        <v>0.755833333333333</v>
      </c>
      <c r="AA248" s="55">
        <v>0.755833333333333</v>
      </c>
      <c r="AB248" s="55">
        <v>3.47</v>
      </c>
      <c r="AC248" s="55">
        <v>3.46999999999999</v>
      </c>
      <c r="AD248" s="55">
        <v>1.42777777777777</v>
      </c>
      <c r="AE248" s="55">
        <v>3.46999999999999</v>
      </c>
      <c r="AF248" s="55">
        <v>12.0</v>
      </c>
    </row>
    <row r="249">
      <c r="A249" s="56">
        <v>45999.0</v>
      </c>
      <c r="B249" s="55" t="s">
        <v>74</v>
      </c>
      <c r="C249" s="55" t="s">
        <v>150</v>
      </c>
      <c r="D249" s="55">
        <v>15.0</v>
      </c>
      <c r="E249" s="55">
        <v>18.0</v>
      </c>
      <c r="F249" s="55">
        <v>12.0</v>
      </c>
      <c r="G249" s="55">
        <v>13.0</v>
      </c>
      <c r="H249" s="55">
        <v>18.0</v>
      </c>
      <c r="I249" s="55">
        <v>5.0</v>
      </c>
      <c r="J249" s="55">
        <v>21.0</v>
      </c>
      <c r="K249" s="55">
        <v>2.0</v>
      </c>
      <c r="L249" s="55">
        <v>2.0</v>
      </c>
      <c r="M249" s="55">
        <v>18.0</v>
      </c>
      <c r="N249" s="55">
        <v>18.0</v>
      </c>
      <c r="O249" s="55">
        <v>6.0</v>
      </c>
      <c r="P249" s="55">
        <v>18.0</v>
      </c>
      <c r="Q249" s="55">
        <v>0.0</v>
      </c>
      <c r="R249" s="55">
        <v>42314.0</v>
      </c>
      <c r="S249" s="55">
        <v>44715.0</v>
      </c>
      <c r="T249" s="55">
        <v>4.16722222222222</v>
      </c>
      <c r="U249" s="55">
        <v>2.98055555555555</v>
      </c>
      <c r="V249" s="55">
        <v>3.27833333333333</v>
      </c>
      <c r="W249" s="55">
        <v>4.465</v>
      </c>
      <c r="X249" s="55">
        <v>1.18666666666666</v>
      </c>
      <c r="Y249" s="55">
        <v>5.26444444444444</v>
      </c>
      <c r="Z249" s="55">
        <v>0.503055555555555</v>
      </c>
      <c r="AA249" s="55">
        <v>0.503055555555555</v>
      </c>
      <c r="AB249" s="55">
        <v>4.55472222222222</v>
      </c>
      <c r="AC249" s="55">
        <v>4.55472222222222</v>
      </c>
      <c r="AD249" s="55">
        <v>1.40388888888888</v>
      </c>
      <c r="AE249" s="55">
        <v>4.55472222222222</v>
      </c>
      <c r="AF249" s="55">
        <v>17.0</v>
      </c>
    </row>
    <row r="250">
      <c r="A250" s="56">
        <v>45999.0</v>
      </c>
      <c r="B250" s="55" t="s">
        <v>30</v>
      </c>
      <c r="C250" s="55" t="s">
        <v>153</v>
      </c>
      <c r="D250" s="55">
        <v>27.0</v>
      </c>
      <c r="E250" s="55">
        <v>21.0</v>
      </c>
      <c r="F250" s="55">
        <v>7.0</v>
      </c>
      <c r="G250" s="55">
        <v>0.0</v>
      </c>
      <c r="H250" s="55">
        <v>26.0</v>
      </c>
      <c r="I250" s="55">
        <v>20.0</v>
      </c>
      <c r="J250" s="55">
        <v>25.0</v>
      </c>
      <c r="K250" s="55">
        <v>5.0</v>
      </c>
      <c r="L250" s="55">
        <v>0.0</v>
      </c>
      <c r="M250" s="55">
        <v>23.0</v>
      </c>
      <c r="N250" s="55">
        <v>23.0</v>
      </c>
      <c r="O250" s="55">
        <v>6.0</v>
      </c>
      <c r="P250" s="55">
        <v>23.0</v>
      </c>
      <c r="Q250" s="55">
        <v>0.0</v>
      </c>
      <c r="R250" s="55">
        <v>67042.0</v>
      </c>
      <c r="S250" s="55">
        <v>52841.0</v>
      </c>
      <c r="T250" s="55">
        <v>4.36833333333333</v>
      </c>
      <c r="U250" s="55">
        <v>1.54333333333333</v>
      </c>
      <c r="V250" s="55">
        <v>0.0</v>
      </c>
      <c r="W250" s="55">
        <v>5.62972222222222</v>
      </c>
      <c r="X250" s="55">
        <v>4.32277777777777</v>
      </c>
      <c r="Y250" s="55">
        <v>5.43722222222222</v>
      </c>
      <c r="Z250" s="55">
        <v>1.08944444444444</v>
      </c>
      <c r="AA250" s="55">
        <v>0.0</v>
      </c>
      <c r="AB250" s="55">
        <v>5.00527777777777</v>
      </c>
      <c r="AC250" s="55">
        <v>5.00527777777777</v>
      </c>
      <c r="AD250" s="55">
        <v>1.28777777777777</v>
      </c>
      <c r="AE250" s="55">
        <v>5.00527777777777</v>
      </c>
      <c r="AF250" s="55">
        <v>20.0</v>
      </c>
    </row>
    <row r="251">
      <c r="A251" s="56">
        <v>45999.0</v>
      </c>
      <c r="B251" s="55" t="s">
        <v>54</v>
      </c>
      <c r="C251" s="55" t="s">
        <v>160</v>
      </c>
      <c r="D251" s="55">
        <v>0.0</v>
      </c>
      <c r="E251" s="55">
        <v>0.0</v>
      </c>
      <c r="F251" s="55">
        <v>0.0</v>
      </c>
      <c r="G251" s="55">
        <v>0.0</v>
      </c>
      <c r="H251" s="55">
        <v>0.0</v>
      </c>
      <c r="I251" s="55">
        <v>0.0</v>
      </c>
      <c r="J251" s="55">
        <v>0.0</v>
      </c>
      <c r="K251" s="55">
        <v>0.0</v>
      </c>
      <c r="L251" s="55">
        <v>0.0</v>
      </c>
      <c r="M251" s="55">
        <v>0.0</v>
      </c>
      <c r="N251" s="55">
        <v>4.0</v>
      </c>
      <c r="O251" s="55">
        <v>1.0</v>
      </c>
      <c r="P251" s="55">
        <v>4.0</v>
      </c>
      <c r="Q251" s="55">
        <v>0.0</v>
      </c>
      <c r="R251" s="55">
        <v>0.0</v>
      </c>
      <c r="S251" s="55">
        <v>0.0</v>
      </c>
      <c r="T251" s="55">
        <v>0.0</v>
      </c>
      <c r="U251" s="55">
        <v>0.0</v>
      </c>
      <c r="V251" s="55">
        <v>0.0</v>
      </c>
      <c r="W251" s="55">
        <v>0.0</v>
      </c>
      <c r="X251" s="55">
        <v>0.0</v>
      </c>
      <c r="Y251" s="55">
        <v>0.0</v>
      </c>
      <c r="Z251" s="55">
        <v>0.0</v>
      </c>
      <c r="AA251" s="55">
        <v>0.0</v>
      </c>
      <c r="AB251" s="55">
        <v>0.0</v>
      </c>
      <c r="AC251" s="55">
        <v>0.936388888888888</v>
      </c>
      <c r="AD251" s="55">
        <v>0.159166666666666</v>
      </c>
      <c r="AE251" s="55">
        <v>0.936388888888888</v>
      </c>
      <c r="AF251" s="55">
        <v>0.0</v>
      </c>
    </row>
    <row r="252">
      <c r="A252" s="56">
        <v>45999.0</v>
      </c>
      <c r="B252" s="55" t="s">
        <v>24</v>
      </c>
      <c r="C252" s="55" t="s">
        <v>161</v>
      </c>
      <c r="D252" s="55">
        <v>29.0</v>
      </c>
      <c r="E252" s="55">
        <v>19.0</v>
      </c>
      <c r="F252" s="55">
        <v>5.0</v>
      </c>
      <c r="G252" s="55">
        <v>5.0</v>
      </c>
      <c r="H252" s="55">
        <v>20.0</v>
      </c>
      <c r="I252" s="55">
        <v>15.0</v>
      </c>
      <c r="J252" s="55">
        <v>20.0</v>
      </c>
      <c r="K252" s="55">
        <v>3.0</v>
      </c>
      <c r="L252" s="55">
        <v>3.0</v>
      </c>
      <c r="M252" s="55">
        <v>20.0</v>
      </c>
      <c r="N252" s="55">
        <v>20.0</v>
      </c>
      <c r="O252" s="55">
        <v>7.0</v>
      </c>
      <c r="P252" s="55">
        <v>20.0</v>
      </c>
      <c r="Q252" s="55">
        <v>0.0</v>
      </c>
      <c r="R252" s="55">
        <v>65994.0</v>
      </c>
      <c r="S252" s="55">
        <v>40392.0</v>
      </c>
      <c r="T252" s="55">
        <v>3.71472222222222</v>
      </c>
      <c r="U252" s="55">
        <v>0.905833333333333</v>
      </c>
      <c r="V252" s="55">
        <v>0.914444444444444</v>
      </c>
      <c r="W252" s="55">
        <v>3.72333333333333</v>
      </c>
      <c r="X252" s="55">
        <v>2.80888888888888</v>
      </c>
      <c r="Y252" s="55">
        <v>3.79111111111111</v>
      </c>
      <c r="Z252" s="55">
        <v>0.602222222222222</v>
      </c>
      <c r="AA252" s="55">
        <v>0.585</v>
      </c>
      <c r="AB252" s="55">
        <v>3.75444444444444</v>
      </c>
      <c r="AC252" s="55">
        <v>3.75444444444444</v>
      </c>
      <c r="AD252" s="55">
        <v>1.34027777777777</v>
      </c>
      <c r="AE252" s="55">
        <v>3.75444444444444</v>
      </c>
      <c r="AF252" s="55">
        <v>20.0</v>
      </c>
    </row>
    <row r="253">
      <c r="A253" s="56">
        <v>45992.0</v>
      </c>
      <c r="B253" s="55" t="s">
        <v>69</v>
      </c>
      <c r="C253" s="55" t="s">
        <v>149</v>
      </c>
      <c r="D253" s="55">
        <v>10.0</v>
      </c>
      <c r="E253" s="55">
        <v>14.0</v>
      </c>
      <c r="F253" s="55">
        <v>11.0</v>
      </c>
      <c r="G253" s="55">
        <v>12.0</v>
      </c>
      <c r="H253" s="55">
        <v>14.0</v>
      </c>
      <c r="I253" s="55">
        <v>2.0</v>
      </c>
      <c r="J253" s="55">
        <v>10.0</v>
      </c>
      <c r="K253" s="55">
        <v>5.0</v>
      </c>
      <c r="L253" s="55">
        <v>2.0</v>
      </c>
      <c r="M253" s="55">
        <v>13.0</v>
      </c>
      <c r="N253" s="55">
        <v>13.0</v>
      </c>
      <c r="O253" s="55">
        <v>2.0</v>
      </c>
      <c r="P253" s="55">
        <v>13.0</v>
      </c>
      <c r="Q253" s="55">
        <v>0.0</v>
      </c>
      <c r="R253" s="55">
        <v>29455.0</v>
      </c>
      <c r="S253" s="55">
        <v>41412.0</v>
      </c>
      <c r="T253" s="55">
        <v>2.44944444444444</v>
      </c>
      <c r="U253" s="55">
        <v>2.65305555555555</v>
      </c>
      <c r="V253" s="55">
        <v>2.87055555555555</v>
      </c>
      <c r="W253" s="55">
        <v>3.36972222222222</v>
      </c>
      <c r="X253" s="55">
        <v>0.499166666666666</v>
      </c>
      <c r="Y253" s="55">
        <v>2.36083333333333</v>
      </c>
      <c r="Z253" s="55">
        <v>1.20888888888888</v>
      </c>
      <c r="AA253" s="55">
        <v>0.449166666666666</v>
      </c>
      <c r="AB253" s="55">
        <v>3.10499999999999</v>
      </c>
      <c r="AC253" s="55">
        <v>3.105</v>
      </c>
      <c r="AD253" s="55">
        <v>0.483888888888888</v>
      </c>
      <c r="AE253" s="55">
        <v>3.105</v>
      </c>
      <c r="AF253" s="55">
        <v>10.0</v>
      </c>
    </row>
    <row r="254">
      <c r="A254" s="56">
        <v>45992.0</v>
      </c>
      <c r="B254" s="55" t="s">
        <v>74</v>
      </c>
      <c r="C254" s="55" t="s">
        <v>150</v>
      </c>
      <c r="D254" s="55">
        <v>25.0</v>
      </c>
      <c r="E254" s="55">
        <v>18.0</v>
      </c>
      <c r="F254" s="55">
        <v>17.0</v>
      </c>
      <c r="G254" s="55">
        <v>19.0</v>
      </c>
      <c r="H254" s="55">
        <v>22.0</v>
      </c>
      <c r="I254" s="55">
        <v>3.0</v>
      </c>
      <c r="J254" s="55">
        <v>22.0</v>
      </c>
      <c r="K254" s="55">
        <v>6.0</v>
      </c>
      <c r="L254" s="55">
        <v>4.0</v>
      </c>
      <c r="M254" s="55">
        <v>23.0</v>
      </c>
      <c r="N254" s="55">
        <v>23.0</v>
      </c>
      <c r="O254" s="55">
        <v>7.0</v>
      </c>
      <c r="P254" s="55">
        <v>23.0</v>
      </c>
      <c r="Q254" s="55">
        <v>0.0</v>
      </c>
      <c r="R254" s="55">
        <v>69336.0</v>
      </c>
      <c r="S254" s="55">
        <v>42093.0</v>
      </c>
      <c r="T254" s="55">
        <v>4.75222222222222</v>
      </c>
      <c r="U254" s="55">
        <v>4.27611111111111</v>
      </c>
      <c r="V254" s="55">
        <v>4.63222222222222</v>
      </c>
      <c r="W254" s="55">
        <v>5.38</v>
      </c>
      <c r="X254" s="55">
        <v>0.747777777777777</v>
      </c>
      <c r="Y254" s="55">
        <v>5.285</v>
      </c>
      <c r="Z254" s="55">
        <v>1.46861111111111</v>
      </c>
      <c r="AA254" s="55">
        <v>0.963055555555555</v>
      </c>
      <c r="AB254" s="55">
        <v>5.51472222222222</v>
      </c>
      <c r="AC254" s="55">
        <v>5.51472222222222</v>
      </c>
      <c r="AD254" s="55">
        <v>1.72333333333333</v>
      </c>
      <c r="AE254" s="55">
        <v>5.51472222222222</v>
      </c>
      <c r="AF254" s="55">
        <v>19.0</v>
      </c>
    </row>
    <row r="255">
      <c r="A255" s="56">
        <v>45992.0</v>
      </c>
      <c r="B255" s="55" t="s">
        <v>30</v>
      </c>
      <c r="C255" s="55" t="s">
        <v>153</v>
      </c>
      <c r="D255" s="55">
        <v>26.0</v>
      </c>
      <c r="E255" s="55">
        <v>27.0</v>
      </c>
      <c r="F255" s="55">
        <v>2.0</v>
      </c>
      <c r="G255" s="55">
        <v>0.0</v>
      </c>
      <c r="H255" s="55">
        <v>15.0</v>
      </c>
      <c r="I255" s="55">
        <v>12.0</v>
      </c>
      <c r="J255" s="55">
        <v>18.0</v>
      </c>
      <c r="K255" s="55">
        <v>0.0</v>
      </c>
      <c r="L255" s="55">
        <v>0.0</v>
      </c>
      <c r="M255" s="55">
        <v>24.0</v>
      </c>
      <c r="N255" s="55">
        <v>24.0</v>
      </c>
      <c r="O255" s="55">
        <v>6.0</v>
      </c>
      <c r="P255" s="55">
        <v>24.0</v>
      </c>
      <c r="Q255" s="55">
        <v>0.0</v>
      </c>
      <c r="R255" s="55">
        <v>66303.0</v>
      </c>
      <c r="S255" s="55">
        <v>59093.0</v>
      </c>
      <c r="T255" s="55">
        <v>4.53361111111111</v>
      </c>
      <c r="U255" s="55">
        <v>0.414166666666666</v>
      </c>
      <c r="V255" s="55">
        <v>0.0</v>
      </c>
      <c r="W255" s="55">
        <v>3.23638888888888</v>
      </c>
      <c r="X255" s="55">
        <v>2.62166666666666</v>
      </c>
      <c r="Y255" s="55">
        <v>3.83722222222222</v>
      </c>
      <c r="Z255" s="55">
        <v>0.0</v>
      </c>
      <c r="AA255" s="55">
        <v>0.0</v>
      </c>
      <c r="AB255" s="55">
        <v>5.06638888888888</v>
      </c>
      <c r="AC255" s="55">
        <v>5.06638888888888</v>
      </c>
      <c r="AD255" s="55">
        <v>1.26666666666666</v>
      </c>
      <c r="AE255" s="55">
        <v>5.06638888888888</v>
      </c>
      <c r="AF255" s="55">
        <v>21.0</v>
      </c>
    </row>
    <row r="256">
      <c r="A256" s="56">
        <v>45992.0</v>
      </c>
      <c r="B256" s="55" t="s">
        <v>54</v>
      </c>
      <c r="C256" s="55" t="s">
        <v>160</v>
      </c>
      <c r="D256" s="55">
        <v>0.0</v>
      </c>
      <c r="E256" s="55">
        <v>0.0</v>
      </c>
      <c r="F256" s="55">
        <v>2.0</v>
      </c>
      <c r="G256" s="55">
        <v>0.0</v>
      </c>
      <c r="H256" s="55">
        <v>10.0</v>
      </c>
      <c r="I256" s="55">
        <v>10.0</v>
      </c>
      <c r="J256" s="55">
        <v>10.0</v>
      </c>
      <c r="K256" s="55">
        <v>0.0</v>
      </c>
      <c r="L256" s="55">
        <v>0.0</v>
      </c>
      <c r="M256" s="55">
        <v>13.0</v>
      </c>
      <c r="N256" s="55">
        <v>10.0</v>
      </c>
      <c r="O256" s="55">
        <v>5.0</v>
      </c>
      <c r="P256" s="55">
        <v>10.0</v>
      </c>
      <c r="Q256" s="55">
        <v>0.0</v>
      </c>
      <c r="R256" s="55">
        <v>0.0</v>
      </c>
      <c r="S256" s="55">
        <v>0.0</v>
      </c>
      <c r="T256" s="55">
        <v>2.70527777777777</v>
      </c>
      <c r="U256" s="55">
        <v>0.465833333333333</v>
      </c>
      <c r="V256" s="55">
        <v>0.0</v>
      </c>
      <c r="W256" s="55">
        <v>2.23944444444444</v>
      </c>
      <c r="X256" s="55">
        <v>2.23944444444444</v>
      </c>
      <c r="Y256" s="55">
        <v>2.23583333333333</v>
      </c>
      <c r="Z256" s="55">
        <v>0.0</v>
      </c>
      <c r="AA256" s="55">
        <v>0.0</v>
      </c>
      <c r="AB256" s="55">
        <v>2.90194444444444</v>
      </c>
      <c r="AC256" s="55">
        <v>2.18527777777777</v>
      </c>
      <c r="AD256" s="55">
        <v>0.776111111111111</v>
      </c>
      <c r="AE256" s="55">
        <v>2.18527777777777</v>
      </c>
      <c r="AF256" s="55">
        <v>12.0</v>
      </c>
    </row>
    <row r="257">
      <c r="A257" s="56">
        <v>45992.0</v>
      </c>
      <c r="B257" s="55" t="s">
        <v>24</v>
      </c>
      <c r="C257" s="55" t="s">
        <v>161</v>
      </c>
      <c r="D257" s="55">
        <v>32.0</v>
      </c>
      <c r="E257" s="55">
        <v>20.0</v>
      </c>
      <c r="F257" s="55">
        <v>1.0</v>
      </c>
      <c r="G257" s="55">
        <v>2.0</v>
      </c>
      <c r="H257" s="55">
        <v>15.0</v>
      </c>
      <c r="I257" s="55">
        <v>13.0</v>
      </c>
      <c r="J257" s="55">
        <v>15.0</v>
      </c>
      <c r="K257" s="55">
        <v>7.0</v>
      </c>
      <c r="L257" s="55">
        <v>7.0</v>
      </c>
      <c r="M257" s="55">
        <v>18.0</v>
      </c>
      <c r="N257" s="55">
        <v>18.0</v>
      </c>
      <c r="O257" s="55">
        <v>5.0</v>
      </c>
      <c r="P257" s="55">
        <v>18.0</v>
      </c>
      <c r="Q257" s="55">
        <v>0.0</v>
      </c>
      <c r="R257" s="55">
        <v>64357.0</v>
      </c>
      <c r="S257" s="55">
        <v>43801.0</v>
      </c>
      <c r="T257" s="55">
        <v>2.45666666666666</v>
      </c>
      <c r="U257" s="55">
        <v>0.188055555555555</v>
      </c>
      <c r="V257" s="55">
        <v>0.404444444444444</v>
      </c>
      <c r="W257" s="55">
        <v>2.87722222222222</v>
      </c>
      <c r="X257" s="55">
        <v>2.47277777777777</v>
      </c>
      <c r="Y257" s="55">
        <v>2.92416666666666</v>
      </c>
      <c r="Z257" s="55">
        <v>1.39666666666666</v>
      </c>
      <c r="AA257" s="55">
        <v>1.3975</v>
      </c>
      <c r="AB257" s="55">
        <v>3.50833333333333</v>
      </c>
      <c r="AC257" s="55">
        <v>3.50833333333333</v>
      </c>
      <c r="AD257" s="55">
        <v>0.894444444444444</v>
      </c>
      <c r="AE257" s="55">
        <v>3.50833333333333</v>
      </c>
      <c r="AF257" s="55">
        <v>13.0</v>
      </c>
    </row>
    <row r="258">
      <c r="A258" s="56">
        <v>45985.0</v>
      </c>
      <c r="B258" s="55" t="s">
        <v>69</v>
      </c>
      <c r="C258" s="55" t="s">
        <v>149</v>
      </c>
      <c r="D258" s="55">
        <v>7.0</v>
      </c>
      <c r="E258" s="55">
        <v>7.0</v>
      </c>
      <c r="F258" s="55">
        <v>2.0</v>
      </c>
      <c r="G258" s="55">
        <v>2.0</v>
      </c>
      <c r="H258" s="55">
        <v>2.0</v>
      </c>
      <c r="I258" s="55">
        <v>0.0</v>
      </c>
      <c r="J258" s="55">
        <v>0.0</v>
      </c>
      <c r="K258" s="55">
        <v>0.0</v>
      </c>
      <c r="L258" s="55">
        <v>0.0</v>
      </c>
      <c r="M258" s="55">
        <v>0.0</v>
      </c>
      <c r="N258" s="55">
        <v>0.0</v>
      </c>
      <c r="O258" s="55">
        <v>0.0</v>
      </c>
      <c r="P258" s="55">
        <v>0.0</v>
      </c>
      <c r="Q258" s="55">
        <v>0.0</v>
      </c>
      <c r="R258" s="55">
        <v>20671.0</v>
      </c>
      <c r="S258" s="55">
        <v>20595.0</v>
      </c>
      <c r="T258" s="55">
        <v>0.0</v>
      </c>
      <c r="U258" s="55">
        <v>0.459722222222222</v>
      </c>
      <c r="V258" s="55">
        <v>0.484166666666666</v>
      </c>
      <c r="W258" s="55">
        <v>0.484166666666666</v>
      </c>
      <c r="X258" s="55">
        <v>0.0</v>
      </c>
      <c r="Y258" s="55">
        <v>0.0</v>
      </c>
      <c r="Z258" s="55">
        <v>0.0</v>
      </c>
      <c r="AA258" s="55">
        <v>0.0</v>
      </c>
      <c r="AB258" s="55">
        <v>0.0</v>
      </c>
      <c r="AC258" s="55">
        <v>0.0</v>
      </c>
      <c r="AD258" s="55">
        <v>0.0</v>
      </c>
      <c r="AE258" s="55">
        <v>0.0</v>
      </c>
      <c r="AF258" s="55">
        <v>0.0</v>
      </c>
    </row>
    <row r="259">
      <c r="A259" s="56">
        <v>45985.0</v>
      </c>
      <c r="B259" s="55" t="s">
        <v>74</v>
      </c>
      <c r="C259" s="55" t="s">
        <v>150</v>
      </c>
      <c r="D259" s="55">
        <v>21.0</v>
      </c>
      <c r="E259" s="55">
        <v>14.0</v>
      </c>
      <c r="F259" s="55">
        <v>16.0</v>
      </c>
      <c r="G259" s="55">
        <v>15.0</v>
      </c>
      <c r="H259" s="55">
        <v>20.0</v>
      </c>
      <c r="I259" s="55">
        <v>6.0</v>
      </c>
      <c r="J259" s="55">
        <v>23.0</v>
      </c>
      <c r="K259" s="55">
        <v>6.0</v>
      </c>
      <c r="L259" s="55">
        <v>6.0</v>
      </c>
      <c r="M259" s="55">
        <v>23.0</v>
      </c>
      <c r="N259" s="55">
        <v>23.0</v>
      </c>
      <c r="O259" s="55">
        <v>7.0</v>
      </c>
      <c r="P259" s="55">
        <v>23.0</v>
      </c>
      <c r="Q259" s="55">
        <v>0.0</v>
      </c>
      <c r="R259" s="55">
        <v>57116.0</v>
      </c>
      <c r="S259" s="55">
        <v>35997.0</v>
      </c>
      <c r="T259" s="55">
        <v>5.24527777777777</v>
      </c>
      <c r="U259" s="55">
        <v>3.77222222222222</v>
      </c>
      <c r="V259" s="55">
        <v>3.6025</v>
      </c>
      <c r="W259" s="55">
        <v>4.83888888888888</v>
      </c>
      <c r="X259" s="55">
        <v>1.47305555555555</v>
      </c>
      <c r="Y259" s="55">
        <v>5.57888888888888</v>
      </c>
      <c r="Z259" s="55">
        <v>1.46583333333333</v>
      </c>
      <c r="AA259" s="55">
        <v>1.46499999999999</v>
      </c>
      <c r="AB259" s="55">
        <v>5.58666666666666</v>
      </c>
      <c r="AC259" s="55">
        <v>5.58666666666666</v>
      </c>
      <c r="AD259" s="55">
        <v>1.65861111111111</v>
      </c>
      <c r="AE259" s="55">
        <v>5.58666666666666</v>
      </c>
      <c r="AF259" s="55">
        <v>22.0</v>
      </c>
    </row>
    <row r="260">
      <c r="A260" s="56">
        <v>45985.0</v>
      </c>
      <c r="B260" s="55" t="s">
        <v>30</v>
      </c>
      <c r="C260" s="55" t="s">
        <v>153</v>
      </c>
      <c r="D260" s="55">
        <v>23.0</v>
      </c>
      <c r="E260" s="55">
        <v>31.0</v>
      </c>
      <c r="F260" s="55">
        <v>10.0</v>
      </c>
      <c r="G260" s="55">
        <v>1.0</v>
      </c>
      <c r="H260" s="55">
        <v>32.0</v>
      </c>
      <c r="I260" s="55">
        <v>23.0</v>
      </c>
      <c r="J260" s="55">
        <v>32.0</v>
      </c>
      <c r="K260" s="55">
        <v>4.0</v>
      </c>
      <c r="L260" s="55">
        <v>0.0</v>
      </c>
      <c r="M260" s="55">
        <v>24.0</v>
      </c>
      <c r="N260" s="55">
        <v>24.0</v>
      </c>
      <c r="O260" s="55">
        <v>5.0</v>
      </c>
      <c r="P260" s="55">
        <v>24.0</v>
      </c>
      <c r="Q260" s="55">
        <v>0.0</v>
      </c>
      <c r="R260" s="55">
        <v>60823.0</v>
      </c>
      <c r="S260" s="55">
        <v>66839.0</v>
      </c>
      <c r="T260" s="55">
        <v>5.60833333333333</v>
      </c>
      <c r="U260" s="55">
        <v>2.10972222222222</v>
      </c>
      <c r="V260" s="55">
        <v>0.207222222222222</v>
      </c>
      <c r="W260" s="55">
        <v>6.86805555555555</v>
      </c>
      <c r="X260" s="55">
        <v>4.975</v>
      </c>
      <c r="Y260" s="55">
        <v>6.87444444444444</v>
      </c>
      <c r="Z260" s="55">
        <v>0.867777777777777</v>
      </c>
      <c r="AA260" s="55">
        <v>0.0</v>
      </c>
      <c r="AB260" s="55">
        <v>5.20555555555555</v>
      </c>
      <c r="AC260" s="55">
        <v>5.20555555555555</v>
      </c>
      <c r="AD260" s="55">
        <v>1.06999999999999</v>
      </c>
      <c r="AE260" s="55">
        <v>5.20555555555555</v>
      </c>
      <c r="AF260" s="55">
        <v>26.0</v>
      </c>
    </row>
    <row r="261">
      <c r="A261" s="56">
        <v>45985.0</v>
      </c>
      <c r="B261" s="55" t="s">
        <v>54</v>
      </c>
      <c r="C261" s="55" t="s">
        <v>160</v>
      </c>
      <c r="D261" s="55">
        <v>11.0</v>
      </c>
      <c r="E261" s="55">
        <v>15.0</v>
      </c>
      <c r="F261" s="55">
        <v>0.0</v>
      </c>
      <c r="G261" s="55">
        <v>1.0</v>
      </c>
      <c r="H261" s="55">
        <v>10.0</v>
      </c>
      <c r="I261" s="55">
        <v>9.0</v>
      </c>
      <c r="J261" s="55">
        <v>15.0</v>
      </c>
      <c r="K261" s="55">
        <v>0.0</v>
      </c>
      <c r="L261" s="55">
        <v>0.0</v>
      </c>
      <c r="M261" s="55">
        <v>16.0</v>
      </c>
      <c r="N261" s="55">
        <v>15.0</v>
      </c>
      <c r="O261" s="55">
        <v>5.0</v>
      </c>
      <c r="P261" s="55">
        <v>15.0</v>
      </c>
      <c r="Q261" s="55">
        <v>0.0</v>
      </c>
      <c r="R261" s="55">
        <v>23966.0</v>
      </c>
      <c r="S261" s="55">
        <v>32017.0</v>
      </c>
      <c r="T261" s="55">
        <v>1.935</v>
      </c>
      <c r="U261" s="55">
        <v>0.0</v>
      </c>
      <c r="V261" s="55">
        <v>0.215833333333333</v>
      </c>
      <c r="W261" s="55">
        <v>2.15083333333333</v>
      </c>
      <c r="X261" s="55">
        <v>1.93499999999999</v>
      </c>
      <c r="Y261" s="55">
        <v>3.28055555555555</v>
      </c>
      <c r="Z261" s="55">
        <v>0.0</v>
      </c>
      <c r="AA261" s="55">
        <v>0.0</v>
      </c>
      <c r="AB261" s="55">
        <v>3.48666666666666</v>
      </c>
      <c r="AC261" s="55">
        <v>3.26694444444444</v>
      </c>
      <c r="AD261" s="55">
        <v>0.779444444444444</v>
      </c>
      <c r="AE261" s="55">
        <v>3.26694444444444</v>
      </c>
      <c r="AF261" s="55">
        <v>9.0</v>
      </c>
    </row>
    <row r="262">
      <c r="A262" s="56">
        <v>45985.0</v>
      </c>
      <c r="B262" s="55" t="s">
        <v>24</v>
      </c>
      <c r="C262" s="55" t="s">
        <v>161</v>
      </c>
      <c r="D262" s="55">
        <v>32.0</v>
      </c>
      <c r="E262" s="55">
        <v>23.0</v>
      </c>
      <c r="F262" s="55">
        <v>5.0</v>
      </c>
      <c r="G262" s="55">
        <v>4.0</v>
      </c>
      <c r="H262" s="55">
        <v>18.0</v>
      </c>
      <c r="I262" s="55">
        <v>15.0</v>
      </c>
      <c r="J262" s="55">
        <v>18.0</v>
      </c>
      <c r="K262" s="55">
        <v>1.0</v>
      </c>
      <c r="L262" s="55">
        <v>1.0</v>
      </c>
      <c r="M262" s="55">
        <v>15.0</v>
      </c>
      <c r="N262" s="55">
        <v>17.0</v>
      </c>
      <c r="O262" s="55">
        <v>5.0</v>
      </c>
      <c r="P262" s="55">
        <v>17.0</v>
      </c>
      <c r="Q262" s="55">
        <v>0.0</v>
      </c>
      <c r="R262" s="55">
        <v>72976.0</v>
      </c>
      <c r="S262" s="55">
        <v>51840.0</v>
      </c>
      <c r="T262" s="55">
        <v>3.97055555555555</v>
      </c>
      <c r="U262" s="55">
        <v>1.015</v>
      </c>
      <c r="V262" s="55">
        <v>0.811111111111111</v>
      </c>
      <c r="W262" s="55">
        <v>3.56055555555555</v>
      </c>
      <c r="X262" s="55">
        <v>2.96722222222222</v>
      </c>
      <c r="Y262" s="55">
        <v>3.58861111111111</v>
      </c>
      <c r="Z262" s="55">
        <v>0.205833333333333</v>
      </c>
      <c r="AA262" s="55">
        <v>0.205833333333333</v>
      </c>
      <c r="AB262" s="55">
        <v>3.01666666666666</v>
      </c>
      <c r="AC262" s="55">
        <v>3.42027777777777</v>
      </c>
      <c r="AD262" s="55">
        <v>1.05583333333333</v>
      </c>
      <c r="AE262" s="55">
        <v>3.42027777777777</v>
      </c>
      <c r="AF262" s="55">
        <v>20.0</v>
      </c>
    </row>
    <row r="263">
      <c r="A263" s="56">
        <v>45978.0</v>
      </c>
      <c r="B263" s="55" t="s">
        <v>69</v>
      </c>
      <c r="C263" s="55" t="s">
        <v>149</v>
      </c>
      <c r="D263" s="55">
        <v>0.0</v>
      </c>
      <c r="E263" s="55">
        <v>9.0</v>
      </c>
      <c r="F263" s="55">
        <v>3.0</v>
      </c>
      <c r="G263" s="55">
        <v>0.0</v>
      </c>
      <c r="H263" s="55">
        <v>0.0</v>
      </c>
      <c r="I263" s="55">
        <v>0.0</v>
      </c>
      <c r="J263" s="55">
        <v>0.0</v>
      </c>
      <c r="K263" s="55">
        <v>0.0</v>
      </c>
      <c r="L263" s="55">
        <v>0.0</v>
      </c>
      <c r="M263" s="55">
        <v>0.0</v>
      </c>
      <c r="N263" s="55">
        <v>0.0</v>
      </c>
      <c r="O263" s="55">
        <v>0.0</v>
      </c>
      <c r="P263" s="55">
        <v>0.0</v>
      </c>
      <c r="Q263" s="55">
        <v>0.0</v>
      </c>
      <c r="R263" s="55">
        <v>0.0</v>
      </c>
      <c r="S263" s="55">
        <v>24328.0</v>
      </c>
      <c r="T263" s="55">
        <v>2.06444444444444</v>
      </c>
      <c r="U263" s="55">
        <v>0.799166666666666</v>
      </c>
      <c r="V263" s="55">
        <v>0.0</v>
      </c>
      <c r="W263" s="55">
        <v>0.0</v>
      </c>
      <c r="X263" s="55">
        <v>0.0</v>
      </c>
      <c r="Y263" s="55">
        <v>0.0</v>
      </c>
      <c r="Z263" s="55">
        <v>0.0</v>
      </c>
      <c r="AA263" s="55">
        <v>0.0</v>
      </c>
      <c r="AB263" s="55">
        <v>0.0</v>
      </c>
      <c r="AC263" s="55">
        <v>0.0</v>
      </c>
      <c r="AD263" s="55">
        <v>0.0</v>
      </c>
      <c r="AE263" s="55">
        <v>0.0</v>
      </c>
      <c r="AF263" s="55">
        <v>8.0</v>
      </c>
    </row>
    <row r="264">
      <c r="A264" s="56">
        <v>45978.0</v>
      </c>
      <c r="B264" s="55" t="s">
        <v>74</v>
      </c>
      <c r="C264" s="55" t="s">
        <v>150</v>
      </c>
      <c r="D264" s="55">
        <v>12.0</v>
      </c>
      <c r="E264" s="55">
        <v>15.0</v>
      </c>
      <c r="F264" s="55">
        <v>17.0</v>
      </c>
      <c r="G264" s="55">
        <v>12.0</v>
      </c>
      <c r="H264" s="55">
        <v>23.0</v>
      </c>
      <c r="I264" s="55">
        <v>11.0</v>
      </c>
      <c r="J264" s="55">
        <v>20.0</v>
      </c>
      <c r="K264" s="55">
        <v>5.0</v>
      </c>
      <c r="L264" s="55">
        <v>4.0</v>
      </c>
      <c r="M264" s="55">
        <v>24.0</v>
      </c>
      <c r="N264" s="55">
        <v>24.0</v>
      </c>
      <c r="O264" s="55">
        <v>6.0</v>
      </c>
      <c r="P264" s="55">
        <v>24.0</v>
      </c>
      <c r="Q264" s="55">
        <v>0.0</v>
      </c>
      <c r="R264" s="55">
        <v>35883.0</v>
      </c>
      <c r="S264" s="55">
        <v>37085.0</v>
      </c>
      <c r="T264" s="55">
        <v>5.73277777777777</v>
      </c>
      <c r="U264" s="55">
        <v>4.04388888888888</v>
      </c>
      <c r="V264" s="55">
        <v>2.84305555555555</v>
      </c>
      <c r="W264" s="55">
        <v>5.46777777777777</v>
      </c>
      <c r="X264" s="55">
        <v>2.62472222222222</v>
      </c>
      <c r="Y264" s="55">
        <v>4.76972222222222</v>
      </c>
      <c r="Z264" s="55">
        <v>1.17916666666666</v>
      </c>
      <c r="AA264" s="55">
        <v>0.965833333333333</v>
      </c>
      <c r="AB264" s="55">
        <v>5.71805555555555</v>
      </c>
      <c r="AC264" s="55">
        <v>5.71805555555555</v>
      </c>
      <c r="AD264" s="55">
        <v>1.44111111111111</v>
      </c>
      <c r="AE264" s="55">
        <v>5.71805555555555</v>
      </c>
      <c r="AF264" s="55">
        <v>24.0</v>
      </c>
    </row>
    <row r="265">
      <c r="A265" s="56">
        <v>45978.0</v>
      </c>
      <c r="B265" s="55" t="s">
        <v>30</v>
      </c>
      <c r="C265" s="55" t="s">
        <v>153</v>
      </c>
      <c r="D265" s="55">
        <v>21.0</v>
      </c>
      <c r="E265" s="55">
        <v>21.0</v>
      </c>
      <c r="F265" s="55">
        <v>4.0</v>
      </c>
      <c r="G265" s="55">
        <v>0.0</v>
      </c>
      <c r="H265" s="55">
        <v>22.0</v>
      </c>
      <c r="I265" s="55">
        <v>17.0</v>
      </c>
      <c r="J265" s="55">
        <v>24.0</v>
      </c>
      <c r="K265" s="55">
        <v>3.0</v>
      </c>
      <c r="L265" s="55">
        <v>0.0</v>
      </c>
      <c r="M265" s="55">
        <v>24.0</v>
      </c>
      <c r="N265" s="55">
        <v>24.0</v>
      </c>
      <c r="O265" s="55">
        <v>6.0</v>
      </c>
      <c r="P265" s="55">
        <v>24.0</v>
      </c>
      <c r="Q265" s="55">
        <v>0.0</v>
      </c>
      <c r="R265" s="55">
        <v>55125.0</v>
      </c>
      <c r="S265" s="55">
        <v>47122.0</v>
      </c>
      <c r="T265" s="55">
        <v>4.70611111111111</v>
      </c>
      <c r="U265" s="55">
        <v>0.861111111111111</v>
      </c>
      <c r="V265" s="55">
        <v>0.0</v>
      </c>
      <c r="W265" s="55">
        <v>4.73416666666666</v>
      </c>
      <c r="X265" s="55">
        <v>3.66249999999999</v>
      </c>
      <c r="Y265" s="55">
        <v>5.12777777777777</v>
      </c>
      <c r="Z265" s="55">
        <v>0.656111111111111</v>
      </c>
      <c r="AA265" s="55">
        <v>0.0</v>
      </c>
      <c r="AB265" s="55">
        <v>5.12777777777777</v>
      </c>
      <c r="AC265" s="55">
        <v>5.12777777777777</v>
      </c>
      <c r="AD265" s="55">
        <v>1.27972222222222</v>
      </c>
      <c r="AE265" s="55">
        <v>5.12777777777777</v>
      </c>
      <c r="AF265" s="55">
        <v>22.0</v>
      </c>
    </row>
    <row r="266">
      <c r="A266" s="56">
        <v>45978.0</v>
      </c>
      <c r="B266" s="55" t="s">
        <v>54</v>
      </c>
      <c r="C266" s="55" t="s">
        <v>160</v>
      </c>
      <c r="D266" s="55">
        <v>14.0</v>
      </c>
      <c r="E266" s="55">
        <v>7.0</v>
      </c>
      <c r="F266" s="55">
        <v>3.0</v>
      </c>
      <c r="G266" s="55">
        <v>2.0</v>
      </c>
      <c r="H266" s="55">
        <v>25.0</v>
      </c>
      <c r="I266" s="55">
        <v>23.0</v>
      </c>
      <c r="J266" s="55">
        <v>21.0</v>
      </c>
      <c r="K266" s="55">
        <v>0.0</v>
      </c>
      <c r="L266" s="55">
        <v>0.0</v>
      </c>
      <c r="M266" s="55">
        <v>19.0</v>
      </c>
      <c r="N266" s="55">
        <v>43.0</v>
      </c>
      <c r="O266" s="55">
        <v>5.0</v>
      </c>
      <c r="P266" s="55">
        <v>43.0</v>
      </c>
      <c r="Q266" s="55">
        <v>0.0</v>
      </c>
      <c r="R266" s="55">
        <v>29613.0</v>
      </c>
      <c r="S266" s="55">
        <v>14124.0</v>
      </c>
      <c r="T266" s="55">
        <v>5.47194444444444</v>
      </c>
      <c r="U266" s="55">
        <v>0.647222222222222</v>
      </c>
      <c r="V266" s="55">
        <v>0.430833333333333</v>
      </c>
      <c r="W266" s="55">
        <v>5.25555555555555</v>
      </c>
      <c r="X266" s="55">
        <v>4.82472222222222</v>
      </c>
      <c r="Y266" s="55">
        <v>4.36638888888888</v>
      </c>
      <c r="Z266" s="55">
        <v>0.0</v>
      </c>
      <c r="AA266" s="55">
        <v>0.0</v>
      </c>
      <c r="AB266" s="55">
        <v>3.925</v>
      </c>
      <c r="AC266" s="55">
        <v>7.87472222222222</v>
      </c>
      <c r="AD266" s="55">
        <v>0.796111111111111</v>
      </c>
      <c r="AE266" s="55">
        <v>7.87472222222222</v>
      </c>
      <c r="AF266" s="55">
        <v>26.0</v>
      </c>
    </row>
    <row r="267">
      <c r="A267" s="56">
        <v>45978.0</v>
      </c>
      <c r="B267" s="55" t="s">
        <v>24</v>
      </c>
      <c r="C267" s="55" t="s">
        <v>161</v>
      </c>
      <c r="D267" s="55">
        <v>16.0</v>
      </c>
      <c r="E267" s="55">
        <v>15.0</v>
      </c>
      <c r="F267" s="55">
        <v>2.0</v>
      </c>
      <c r="G267" s="55">
        <v>2.0</v>
      </c>
      <c r="H267" s="55">
        <v>15.0</v>
      </c>
      <c r="I267" s="55">
        <v>13.0</v>
      </c>
      <c r="J267" s="55">
        <v>15.0</v>
      </c>
      <c r="K267" s="55">
        <v>5.0</v>
      </c>
      <c r="L267" s="55">
        <v>5.0</v>
      </c>
      <c r="M267" s="55">
        <v>17.0</v>
      </c>
      <c r="N267" s="55">
        <v>15.0</v>
      </c>
      <c r="O267" s="55">
        <v>6.0</v>
      </c>
      <c r="P267" s="55">
        <v>15.0</v>
      </c>
      <c r="Q267" s="55">
        <v>0.0</v>
      </c>
      <c r="R267" s="55">
        <v>40621.0</v>
      </c>
      <c r="S267" s="55">
        <v>31910.0</v>
      </c>
      <c r="T267" s="55">
        <v>2.93833333333333</v>
      </c>
      <c r="U267" s="55">
        <v>0.393055555555555</v>
      </c>
      <c r="V267" s="55">
        <v>0.396944444444444</v>
      </c>
      <c r="W267" s="55">
        <v>2.94222222222222</v>
      </c>
      <c r="X267" s="55">
        <v>2.54527777777777</v>
      </c>
      <c r="Y267" s="55">
        <v>2.95388888888888</v>
      </c>
      <c r="Z267" s="55">
        <v>1.00916666666666</v>
      </c>
      <c r="AA267" s="55">
        <v>1.00916666666666</v>
      </c>
      <c r="AB267" s="55">
        <v>3.37888888888888</v>
      </c>
      <c r="AC267" s="55">
        <v>2.97527777777777</v>
      </c>
      <c r="AD267" s="55">
        <v>1.24111111111111</v>
      </c>
      <c r="AE267" s="55">
        <v>2.97527777777777</v>
      </c>
      <c r="AF267" s="55">
        <v>15.0</v>
      </c>
    </row>
    <row r="268">
      <c r="A268" s="56">
        <v>45971.0</v>
      </c>
      <c r="B268" s="55" t="s">
        <v>69</v>
      </c>
      <c r="C268" s="55" t="s">
        <v>149</v>
      </c>
      <c r="D268" s="55">
        <v>11.0</v>
      </c>
      <c r="E268" s="55">
        <v>0.0</v>
      </c>
      <c r="F268" s="55">
        <v>0.0</v>
      </c>
      <c r="G268" s="55">
        <v>0.0</v>
      </c>
      <c r="H268" s="55">
        <v>0.0</v>
      </c>
      <c r="I268" s="55">
        <v>0.0</v>
      </c>
      <c r="J268" s="55">
        <v>0.0</v>
      </c>
      <c r="K268" s="55">
        <v>0.0</v>
      </c>
      <c r="L268" s="55">
        <v>0.0</v>
      </c>
      <c r="M268" s="55">
        <v>0.0</v>
      </c>
      <c r="N268" s="55">
        <v>0.0</v>
      </c>
      <c r="O268" s="55">
        <v>0.0</v>
      </c>
      <c r="P268" s="55">
        <v>0.0</v>
      </c>
      <c r="Q268" s="55">
        <v>0.0</v>
      </c>
      <c r="R268" s="55">
        <v>30855.0</v>
      </c>
      <c r="S268" s="55">
        <v>0.0</v>
      </c>
      <c r="T268" s="55">
        <v>0.0</v>
      </c>
      <c r="U268" s="55">
        <v>0.0</v>
      </c>
      <c r="V268" s="55">
        <v>0.0</v>
      </c>
      <c r="W268" s="55">
        <v>0.0</v>
      </c>
      <c r="X268" s="55">
        <v>0.0</v>
      </c>
      <c r="Y268" s="55">
        <v>0.0</v>
      </c>
      <c r="Z268" s="55">
        <v>0.0</v>
      </c>
      <c r="AA268" s="55">
        <v>0.0</v>
      </c>
      <c r="AB268" s="55">
        <v>0.0</v>
      </c>
      <c r="AC268" s="55">
        <v>0.0</v>
      </c>
      <c r="AD268" s="55">
        <v>0.0</v>
      </c>
      <c r="AE268" s="55">
        <v>0.0</v>
      </c>
      <c r="AF268" s="55">
        <v>0.0</v>
      </c>
    </row>
    <row r="269">
      <c r="A269" s="56">
        <v>45971.0</v>
      </c>
      <c r="B269" s="55" t="s">
        <v>74</v>
      </c>
      <c r="C269" s="55" t="s">
        <v>150</v>
      </c>
      <c r="D269" s="55">
        <v>21.0</v>
      </c>
      <c r="E269" s="55">
        <v>30.0</v>
      </c>
      <c r="F269" s="55">
        <v>14.0</v>
      </c>
      <c r="G269" s="55">
        <v>15.0</v>
      </c>
      <c r="H269" s="55">
        <v>20.0</v>
      </c>
      <c r="I269" s="55">
        <v>6.0</v>
      </c>
      <c r="J269" s="55">
        <v>17.0</v>
      </c>
      <c r="K269" s="55">
        <v>1.0</v>
      </c>
      <c r="L269" s="55">
        <v>1.0</v>
      </c>
      <c r="M269" s="55">
        <v>15.0</v>
      </c>
      <c r="N269" s="55">
        <v>15.0</v>
      </c>
      <c r="O269" s="55">
        <v>6.0</v>
      </c>
      <c r="P269" s="55">
        <v>15.0</v>
      </c>
      <c r="Q269" s="55">
        <v>0.0</v>
      </c>
      <c r="R269" s="55">
        <v>49744.0</v>
      </c>
      <c r="S269" s="55">
        <v>71786.0</v>
      </c>
      <c r="T269" s="55">
        <v>4.23944444444444</v>
      </c>
      <c r="U269" s="55">
        <v>3.25222222222222</v>
      </c>
      <c r="V269" s="55">
        <v>3.49416666666666</v>
      </c>
      <c r="W269" s="55">
        <v>4.695</v>
      </c>
      <c r="X269" s="55">
        <v>1.41944444444444</v>
      </c>
      <c r="Y269" s="55">
        <v>3.98333333333333</v>
      </c>
      <c r="Z269" s="55">
        <v>0.235</v>
      </c>
      <c r="AA269" s="55">
        <v>0.235</v>
      </c>
      <c r="AB269" s="55">
        <v>3.49944444444444</v>
      </c>
      <c r="AC269" s="55">
        <v>3.49944444444444</v>
      </c>
      <c r="AD269" s="55">
        <v>1.46</v>
      </c>
      <c r="AE269" s="55">
        <v>3.49944444444444</v>
      </c>
      <c r="AF269" s="55">
        <v>18.0</v>
      </c>
    </row>
    <row r="270">
      <c r="A270" s="56">
        <v>45971.0</v>
      </c>
      <c r="B270" s="55" t="s">
        <v>30</v>
      </c>
      <c r="C270" s="55" t="s">
        <v>153</v>
      </c>
      <c r="D270" s="55">
        <v>20.0</v>
      </c>
      <c r="E270" s="55">
        <v>20.0</v>
      </c>
      <c r="F270" s="55">
        <v>7.0</v>
      </c>
      <c r="G270" s="55">
        <v>3.0</v>
      </c>
      <c r="H270" s="55">
        <v>24.0</v>
      </c>
      <c r="I270" s="55">
        <v>15.0</v>
      </c>
      <c r="J270" s="55">
        <v>22.0</v>
      </c>
      <c r="K270" s="55">
        <v>0.0</v>
      </c>
      <c r="L270" s="55">
        <v>0.0</v>
      </c>
      <c r="M270" s="55">
        <v>25.0</v>
      </c>
      <c r="N270" s="55">
        <v>25.0</v>
      </c>
      <c r="O270" s="55">
        <v>5.0</v>
      </c>
      <c r="P270" s="55">
        <v>25.0</v>
      </c>
      <c r="Q270" s="55">
        <v>0.0</v>
      </c>
      <c r="R270" s="55">
        <v>52998.0</v>
      </c>
      <c r="S270" s="55">
        <v>43034.0</v>
      </c>
      <c r="T270" s="55">
        <v>5.77916666666666</v>
      </c>
      <c r="U270" s="55">
        <v>1.45416666666666</v>
      </c>
      <c r="V270" s="55">
        <v>0.658055555555555</v>
      </c>
      <c r="W270" s="55">
        <v>4.93694444444444</v>
      </c>
      <c r="X270" s="55">
        <v>3.03111111111111</v>
      </c>
      <c r="Y270" s="55">
        <v>4.60861111111111</v>
      </c>
      <c r="Z270" s="55">
        <v>0.0</v>
      </c>
      <c r="AA270" s="55">
        <v>0.0</v>
      </c>
      <c r="AB270" s="55">
        <v>5.25749999999999</v>
      </c>
      <c r="AC270" s="55">
        <v>5.2575</v>
      </c>
      <c r="AD270" s="55">
        <v>1.04444444444444</v>
      </c>
      <c r="AE270" s="55">
        <v>5.2575</v>
      </c>
      <c r="AF270" s="55">
        <v>28.0</v>
      </c>
    </row>
    <row r="271">
      <c r="A271" s="56">
        <v>45971.0</v>
      </c>
      <c r="B271" s="55" t="s">
        <v>54</v>
      </c>
      <c r="C271" s="55" t="s">
        <v>160</v>
      </c>
      <c r="D271" s="55">
        <v>21.0</v>
      </c>
      <c r="E271" s="55">
        <v>18.0</v>
      </c>
      <c r="F271" s="55">
        <v>5.0</v>
      </c>
      <c r="G271" s="55">
        <v>5.0</v>
      </c>
      <c r="H271" s="55">
        <v>21.0</v>
      </c>
      <c r="I271" s="55">
        <v>4.0</v>
      </c>
      <c r="J271" s="55">
        <v>19.0</v>
      </c>
      <c r="K271" s="55">
        <v>18.0</v>
      </c>
      <c r="L271" s="55">
        <v>7.0</v>
      </c>
      <c r="M271" s="55">
        <v>23.0</v>
      </c>
      <c r="N271" s="55">
        <v>0.0</v>
      </c>
      <c r="O271" s="55">
        <v>6.0</v>
      </c>
      <c r="P271" s="55">
        <v>0.0</v>
      </c>
      <c r="Q271" s="55">
        <v>0.0</v>
      </c>
      <c r="R271" s="55">
        <v>40651.0</v>
      </c>
      <c r="S271" s="55">
        <v>35470.0</v>
      </c>
      <c r="T271" s="55">
        <v>0.8375</v>
      </c>
      <c r="U271" s="55">
        <v>1.01083333333333</v>
      </c>
      <c r="V271" s="55">
        <v>1.02388888888888</v>
      </c>
      <c r="W271" s="55">
        <v>3.65305555555555</v>
      </c>
      <c r="X271" s="55">
        <v>0.764444444444444</v>
      </c>
      <c r="Y271" s="55">
        <v>3.15361111111111</v>
      </c>
      <c r="Z271" s="55">
        <v>2.78861111111111</v>
      </c>
      <c r="AA271" s="55">
        <v>1.08777777777777</v>
      </c>
      <c r="AB271" s="55">
        <v>3.78444444444444</v>
      </c>
      <c r="AC271" s="55">
        <v>0.0</v>
      </c>
      <c r="AD271" s="55">
        <v>0.903055555555555</v>
      </c>
      <c r="AE271" s="55">
        <v>0.0</v>
      </c>
      <c r="AF271" s="55">
        <v>4.0</v>
      </c>
    </row>
    <row r="272">
      <c r="A272" s="56">
        <v>45971.0</v>
      </c>
      <c r="B272" s="55" t="s">
        <v>24</v>
      </c>
      <c r="C272" s="55" t="s">
        <v>161</v>
      </c>
      <c r="D272" s="55">
        <v>18.0</v>
      </c>
      <c r="E272" s="55">
        <v>15.0</v>
      </c>
      <c r="F272" s="55">
        <v>4.0</v>
      </c>
      <c r="G272" s="55">
        <v>3.0</v>
      </c>
      <c r="H272" s="55">
        <v>17.0</v>
      </c>
      <c r="I272" s="55">
        <v>13.0</v>
      </c>
      <c r="J272" s="55">
        <v>17.0</v>
      </c>
      <c r="K272" s="55">
        <v>4.0</v>
      </c>
      <c r="L272" s="55">
        <v>4.0</v>
      </c>
      <c r="M272" s="55">
        <v>14.0</v>
      </c>
      <c r="N272" s="55">
        <v>15.0</v>
      </c>
      <c r="O272" s="55">
        <v>5.0</v>
      </c>
      <c r="P272" s="55">
        <v>15.0</v>
      </c>
      <c r="Q272" s="55">
        <v>0.0</v>
      </c>
      <c r="R272" s="55">
        <v>45754.0</v>
      </c>
      <c r="S272" s="55">
        <v>33515.0</v>
      </c>
      <c r="T272" s="55">
        <v>3.23444444444444</v>
      </c>
      <c r="U272" s="55">
        <v>0.764166666666666</v>
      </c>
      <c r="V272" s="55">
        <v>0.558333333333333</v>
      </c>
      <c r="W272" s="55">
        <v>3.24305555555555</v>
      </c>
      <c r="X272" s="55">
        <v>2.47027777777777</v>
      </c>
      <c r="Y272" s="55">
        <v>3.26861111111111</v>
      </c>
      <c r="Z272" s="55">
        <v>0.809999999999999</v>
      </c>
      <c r="AA272" s="55">
        <v>0.809999999999999</v>
      </c>
      <c r="AB272" s="55">
        <v>2.64472222222222</v>
      </c>
      <c r="AC272" s="55">
        <v>2.82305555555555</v>
      </c>
      <c r="AD272" s="55">
        <v>0.948888888888888</v>
      </c>
      <c r="AE272" s="55">
        <v>2.82305555555555</v>
      </c>
      <c r="AF272" s="55">
        <v>17.0</v>
      </c>
    </row>
    <row r="273">
      <c r="A273" s="56">
        <v>45964.0</v>
      </c>
      <c r="B273" s="55" t="s">
        <v>74</v>
      </c>
      <c r="C273" s="55" t="s">
        <v>150</v>
      </c>
      <c r="D273" s="55">
        <v>10.0</v>
      </c>
      <c r="E273" s="55">
        <v>8.0</v>
      </c>
      <c r="F273" s="55">
        <v>4.0</v>
      </c>
      <c r="G273" s="55">
        <v>3.0</v>
      </c>
      <c r="H273" s="55">
        <v>3.0</v>
      </c>
      <c r="I273" s="55">
        <v>0.0</v>
      </c>
      <c r="J273" s="55">
        <v>3.0</v>
      </c>
      <c r="K273" s="55">
        <v>0.0</v>
      </c>
      <c r="L273" s="55">
        <v>0.0</v>
      </c>
      <c r="M273" s="55">
        <v>0.0</v>
      </c>
      <c r="N273" s="55">
        <v>0.0</v>
      </c>
      <c r="O273" s="55">
        <v>5.0</v>
      </c>
      <c r="P273" s="55">
        <v>0.0</v>
      </c>
      <c r="Q273" s="55">
        <v>0.0</v>
      </c>
      <c r="R273" s="55">
        <v>26580.0</v>
      </c>
      <c r="S273" s="55">
        <v>19853.0</v>
      </c>
      <c r="T273" s="55">
        <v>1.59444444444444</v>
      </c>
      <c r="U273" s="55">
        <v>0.919722222222222</v>
      </c>
      <c r="V273" s="55">
        <v>0.7</v>
      </c>
      <c r="W273" s="55">
        <v>0.7</v>
      </c>
      <c r="X273" s="55">
        <v>0.0</v>
      </c>
      <c r="Y273" s="55">
        <v>0.7</v>
      </c>
      <c r="Z273" s="55">
        <v>0.0</v>
      </c>
      <c r="AA273" s="55">
        <v>0.0</v>
      </c>
      <c r="AB273" s="55">
        <v>0.0</v>
      </c>
      <c r="AC273" s="55">
        <v>0.0</v>
      </c>
      <c r="AD273" s="55">
        <v>1.27277777777777</v>
      </c>
      <c r="AE273" s="55">
        <v>0.0</v>
      </c>
      <c r="AF273" s="55">
        <v>7.0</v>
      </c>
    </row>
    <row r="274">
      <c r="A274" s="56">
        <v>45964.0</v>
      </c>
      <c r="B274" s="55" t="s">
        <v>30</v>
      </c>
      <c r="C274" s="55" t="s">
        <v>153</v>
      </c>
      <c r="D274" s="55">
        <v>24.0</v>
      </c>
      <c r="E274" s="55">
        <v>28.0</v>
      </c>
      <c r="F274" s="55">
        <v>10.0</v>
      </c>
      <c r="G274" s="55">
        <v>7.0</v>
      </c>
      <c r="H274" s="55">
        <v>25.0</v>
      </c>
      <c r="I274" s="55">
        <v>18.0</v>
      </c>
      <c r="J274" s="55">
        <v>22.0</v>
      </c>
      <c r="K274" s="55">
        <v>2.0</v>
      </c>
      <c r="L274" s="55">
        <v>2.0</v>
      </c>
      <c r="M274" s="55">
        <v>23.0</v>
      </c>
      <c r="N274" s="55">
        <v>23.0</v>
      </c>
      <c r="O274" s="55">
        <v>7.0</v>
      </c>
      <c r="P274" s="55">
        <v>23.0</v>
      </c>
      <c r="Q274" s="55">
        <v>0.0</v>
      </c>
      <c r="R274" s="55">
        <v>55470.0</v>
      </c>
      <c r="S274" s="55">
        <v>61533.0</v>
      </c>
      <c r="T274" s="55">
        <v>5.60361111111111</v>
      </c>
      <c r="U274" s="55">
        <v>2.12361111111111</v>
      </c>
      <c r="V274" s="55">
        <v>1.475</v>
      </c>
      <c r="W274" s="55">
        <v>5.37888888888888</v>
      </c>
      <c r="X274" s="55">
        <v>3.90388888888888</v>
      </c>
      <c r="Y274" s="55">
        <v>4.76833333333333</v>
      </c>
      <c r="Z274" s="55">
        <v>0.448333333333333</v>
      </c>
      <c r="AA274" s="55">
        <v>0.448333333333333</v>
      </c>
      <c r="AB274" s="55">
        <v>4.99944444444444</v>
      </c>
      <c r="AC274" s="55">
        <v>4.99944444444444</v>
      </c>
      <c r="AD274" s="55">
        <v>1.51638888888888</v>
      </c>
      <c r="AE274" s="55">
        <v>4.99944444444444</v>
      </c>
      <c r="AF274" s="55">
        <v>26.0</v>
      </c>
    </row>
    <row r="275">
      <c r="A275" s="56">
        <v>45964.0</v>
      </c>
      <c r="B275" s="55" t="s">
        <v>54</v>
      </c>
      <c r="C275" s="55" t="s">
        <v>160</v>
      </c>
      <c r="D275" s="55">
        <v>64.0</v>
      </c>
      <c r="E275" s="55">
        <v>63.0</v>
      </c>
      <c r="F275" s="55">
        <v>1.0</v>
      </c>
      <c r="G275" s="55">
        <v>0.0</v>
      </c>
      <c r="H275" s="55">
        <v>3.0</v>
      </c>
      <c r="I275" s="55">
        <v>3.0</v>
      </c>
      <c r="J275" s="55">
        <v>6.0</v>
      </c>
      <c r="K275" s="55">
        <v>1.0</v>
      </c>
      <c r="L275" s="55">
        <v>0.0</v>
      </c>
      <c r="M275" s="55">
        <v>3.0</v>
      </c>
      <c r="N275" s="55">
        <v>2.0</v>
      </c>
      <c r="O275" s="55">
        <v>6.0</v>
      </c>
      <c r="P275" s="55">
        <v>2.0</v>
      </c>
      <c r="Q275" s="55">
        <v>0.0</v>
      </c>
      <c r="R275" s="55">
        <v>103454.0</v>
      </c>
      <c r="S275" s="55">
        <v>100547.0</v>
      </c>
      <c r="T275" s="55">
        <v>0.639722222222222</v>
      </c>
      <c r="U275" s="55">
        <v>0.211944444444444</v>
      </c>
      <c r="V275" s="55">
        <v>0.0</v>
      </c>
      <c r="W275" s="55">
        <v>0.625555555555555</v>
      </c>
      <c r="X275" s="55">
        <v>0.625555555555555</v>
      </c>
      <c r="Y275" s="55">
        <v>1.35722222222222</v>
      </c>
      <c r="Z275" s="55">
        <v>0.239722222222222</v>
      </c>
      <c r="AA275" s="55">
        <v>0.0</v>
      </c>
      <c r="AB275" s="55">
        <v>0.692222222222222</v>
      </c>
      <c r="AC275" s="55">
        <v>0.4525</v>
      </c>
      <c r="AD275" s="55">
        <v>1.00527777777777</v>
      </c>
      <c r="AE275" s="55">
        <v>0.309166666666666</v>
      </c>
      <c r="AF275" s="55">
        <v>3.0</v>
      </c>
    </row>
    <row r="276">
      <c r="A276" s="56">
        <v>45964.0</v>
      </c>
      <c r="B276" s="55" t="s">
        <v>24</v>
      </c>
      <c r="C276" s="55" t="s">
        <v>161</v>
      </c>
      <c r="D276" s="55">
        <v>13.0</v>
      </c>
      <c r="E276" s="55">
        <v>19.0</v>
      </c>
      <c r="F276" s="55">
        <v>6.0</v>
      </c>
      <c r="G276" s="55">
        <v>9.0</v>
      </c>
      <c r="H276" s="55">
        <v>16.0</v>
      </c>
      <c r="I276" s="55">
        <v>7.0</v>
      </c>
      <c r="J276" s="55">
        <v>16.0</v>
      </c>
      <c r="K276" s="55">
        <v>2.0</v>
      </c>
      <c r="L276" s="55">
        <v>2.0</v>
      </c>
      <c r="M276" s="55">
        <v>16.0</v>
      </c>
      <c r="N276" s="55">
        <v>15.0</v>
      </c>
      <c r="O276" s="55">
        <v>6.0</v>
      </c>
      <c r="P276" s="55">
        <v>15.0</v>
      </c>
      <c r="Q276" s="55">
        <v>0.0</v>
      </c>
      <c r="R276" s="55">
        <v>27166.0</v>
      </c>
      <c r="S276" s="55">
        <v>40058.0</v>
      </c>
      <c r="T276" s="55">
        <v>2.47555555555555</v>
      </c>
      <c r="U276" s="55">
        <v>1.08111111111111</v>
      </c>
      <c r="V276" s="55">
        <v>1.68583333333333</v>
      </c>
      <c r="W276" s="55">
        <v>3.00444444444444</v>
      </c>
      <c r="X276" s="55">
        <v>1.31861111111111</v>
      </c>
      <c r="Y276" s="55">
        <v>3.01333333333333</v>
      </c>
      <c r="Z276" s="55">
        <v>0.366388888888888</v>
      </c>
      <c r="AA276" s="55">
        <v>0.366388888888888</v>
      </c>
      <c r="AB276" s="55">
        <v>3.01333333333333</v>
      </c>
      <c r="AC276" s="55">
        <v>2.835</v>
      </c>
      <c r="AD276" s="55">
        <v>1.18944444444444</v>
      </c>
      <c r="AE276" s="55">
        <v>2.835</v>
      </c>
      <c r="AF276" s="55">
        <v>13.0</v>
      </c>
    </row>
    <row r="277">
      <c r="A277" s="56">
        <v>45957.0</v>
      </c>
      <c r="B277" s="55" t="s">
        <v>69</v>
      </c>
      <c r="C277" s="55" t="s">
        <v>149</v>
      </c>
      <c r="D277" s="55">
        <v>2.0</v>
      </c>
      <c r="E277" s="55">
        <v>0.0</v>
      </c>
      <c r="F277" s="55">
        <v>0.0</v>
      </c>
      <c r="G277" s="55">
        <v>0.0</v>
      </c>
      <c r="H277" s="55">
        <v>0.0</v>
      </c>
      <c r="I277" s="55">
        <v>0.0</v>
      </c>
      <c r="J277" s="55">
        <v>0.0</v>
      </c>
      <c r="K277" s="55">
        <v>0.0</v>
      </c>
      <c r="L277" s="55">
        <v>0.0</v>
      </c>
      <c r="M277" s="55">
        <v>0.0</v>
      </c>
      <c r="N277" s="55">
        <v>0.0</v>
      </c>
      <c r="O277" s="55">
        <v>0.0</v>
      </c>
      <c r="P277" s="55">
        <v>0.0</v>
      </c>
      <c r="Q277" s="55">
        <v>0.0</v>
      </c>
      <c r="R277" s="55">
        <v>5354.0</v>
      </c>
      <c r="S277" s="55">
        <v>0.0</v>
      </c>
      <c r="T277" s="55">
        <v>0.0</v>
      </c>
      <c r="U277" s="55">
        <v>0.0</v>
      </c>
      <c r="V277" s="55">
        <v>0.0</v>
      </c>
      <c r="W277" s="55">
        <v>0.0</v>
      </c>
      <c r="X277" s="55">
        <v>0.0</v>
      </c>
      <c r="Y277" s="55">
        <v>0.0</v>
      </c>
      <c r="Z277" s="55">
        <v>0.0</v>
      </c>
      <c r="AA277" s="55">
        <v>0.0</v>
      </c>
      <c r="AB277" s="55">
        <v>0.0</v>
      </c>
      <c r="AC277" s="55">
        <v>0.0</v>
      </c>
      <c r="AD277" s="55">
        <v>0.0</v>
      </c>
      <c r="AE277" s="55">
        <v>0.0</v>
      </c>
      <c r="AF277" s="55">
        <v>0.0</v>
      </c>
    </row>
    <row r="278">
      <c r="A278" s="56">
        <v>45957.0</v>
      </c>
      <c r="B278" s="55" t="s">
        <v>74</v>
      </c>
      <c r="C278" s="55" t="s">
        <v>150</v>
      </c>
      <c r="D278" s="55">
        <v>21.0</v>
      </c>
      <c r="E278" s="55">
        <v>27.0</v>
      </c>
      <c r="F278" s="55">
        <v>3.0</v>
      </c>
      <c r="G278" s="55">
        <v>6.0</v>
      </c>
      <c r="H278" s="55">
        <v>8.0</v>
      </c>
      <c r="I278" s="55">
        <v>3.0</v>
      </c>
      <c r="J278" s="55">
        <v>12.0</v>
      </c>
      <c r="K278" s="55">
        <v>1.0</v>
      </c>
      <c r="L278" s="55">
        <v>1.0</v>
      </c>
      <c r="M278" s="55">
        <v>13.0</v>
      </c>
      <c r="N278" s="55">
        <v>13.0</v>
      </c>
      <c r="O278" s="55">
        <v>5.0</v>
      </c>
      <c r="P278" s="55">
        <v>13.0</v>
      </c>
      <c r="Q278" s="55">
        <v>0.0</v>
      </c>
      <c r="R278" s="55">
        <v>60657.0</v>
      </c>
      <c r="S278" s="55">
        <v>66770.0</v>
      </c>
      <c r="T278" s="55">
        <v>1.16777777777777</v>
      </c>
      <c r="U278" s="55">
        <v>0.699166666666666</v>
      </c>
      <c r="V278" s="55">
        <v>1.46138888888888</v>
      </c>
      <c r="W278" s="55">
        <v>1.92749999999999</v>
      </c>
      <c r="X278" s="55">
        <v>0.695555555555555</v>
      </c>
      <c r="Y278" s="55">
        <v>2.86722222222222</v>
      </c>
      <c r="Z278" s="55">
        <v>0.246666666666666</v>
      </c>
      <c r="AA278" s="55">
        <v>0.246666666666666</v>
      </c>
      <c r="AB278" s="55">
        <v>3.12722222222222</v>
      </c>
      <c r="AC278" s="55">
        <v>3.12722222222222</v>
      </c>
      <c r="AD278" s="55">
        <v>1.28083333333333</v>
      </c>
      <c r="AE278" s="55">
        <v>3.12722222222222</v>
      </c>
      <c r="AF278" s="55">
        <v>5.0</v>
      </c>
    </row>
    <row r="279">
      <c r="A279" s="56">
        <v>45957.0</v>
      </c>
      <c r="B279" s="55" t="s">
        <v>30</v>
      </c>
      <c r="C279" s="55" t="s">
        <v>153</v>
      </c>
      <c r="D279" s="55">
        <v>27.0</v>
      </c>
      <c r="E279" s="55">
        <v>27.0</v>
      </c>
      <c r="F279" s="55">
        <v>11.0</v>
      </c>
      <c r="G279" s="55">
        <v>11.0</v>
      </c>
      <c r="H279" s="55">
        <v>26.0</v>
      </c>
      <c r="I279" s="55">
        <v>15.0</v>
      </c>
      <c r="J279" s="55">
        <v>27.0</v>
      </c>
      <c r="K279" s="55">
        <v>1.0</v>
      </c>
      <c r="L279" s="55">
        <v>1.0</v>
      </c>
      <c r="M279" s="55">
        <v>25.0</v>
      </c>
      <c r="N279" s="55">
        <v>25.0</v>
      </c>
      <c r="O279" s="55">
        <v>12.0</v>
      </c>
      <c r="P279" s="55">
        <v>25.0</v>
      </c>
      <c r="Q279" s="55">
        <v>0.0</v>
      </c>
      <c r="R279" s="55">
        <v>56905.0</v>
      </c>
      <c r="S279" s="55">
        <v>55025.0</v>
      </c>
      <c r="T279" s="55">
        <v>5.92388888888888</v>
      </c>
      <c r="U279" s="55">
        <v>2.36694444444444</v>
      </c>
      <c r="V279" s="55">
        <v>2.41638888888888</v>
      </c>
      <c r="W279" s="55">
        <v>5.54944444444444</v>
      </c>
      <c r="X279" s="55">
        <v>3.13305555555555</v>
      </c>
      <c r="Y279" s="55">
        <v>5.80055555555555</v>
      </c>
      <c r="Z279" s="55">
        <v>0.199444444444444</v>
      </c>
      <c r="AA279" s="55">
        <v>0.199444444444444</v>
      </c>
      <c r="AB279" s="55">
        <v>5.385</v>
      </c>
      <c r="AC279" s="55">
        <v>5.385</v>
      </c>
      <c r="AD279" s="55">
        <v>2.73972222222222</v>
      </c>
      <c r="AE279" s="55">
        <v>5.385</v>
      </c>
      <c r="AF279" s="55">
        <v>28.0</v>
      </c>
    </row>
    <row r="280">
      <c r="A280" s="56">
        <v>45957.0</v>
      </c>
      <c r="B280" s="55" t="s">
        <v>54</v>
      </c>
      <c r="C280" s="55" t="s">
        <v>160</v>
      </c>
      <c r="D280" s="55">
        <v>2.0</v>
      </c>
      <c r="E280" s="55">
        <v>0.0</v>
      </c>
      <c r="F280" s="55">
        <v>2.0</v>
      </c>
      <c r="G280" s="55">
        <v>4.0</v>
      </c>
      <c r="H280" s="55">
        <v>18.0</v>
      </c>
      <c r="I280" s="55">
        <v>14.0</v>
      </c>
      <c r="J280" s="55">
        <v>11.0</v>
      </c>
      <c r="K280" s="55">
        <v>0.0</v>
      </c>
      <c r="L280" s="55">
        <v>0.0</v>
      </c>
      <c r="M280" s="55">
        <v>15.0</v>
      </c>
      <c r="N280" s="55">
        <v>15.0</v>
      </c>
      <c r="O280" s="55">
        <v>6.0</v>
      </c>
      <c r="P280" s="55">
        <v>15.0</v>
      </c>
      <c r="Q280" s="55">
        <v>0.0</v>
      </c>
      <c r="R280" s="55">
        <v>2735.0</v>
      </c>
      <c r="S280" s="55">
        <v>0.0</v>
      </c>
      <c r="T280" s="55">
        <v>4.54666666666666</v>
      </c>
      <c r="U280" s="55">
        <v>0.470555555555555</v>
      </c>
      <c r="V280" s="55">
        <v>0.899444444444444</v>
      </c>
      <c r="W280" s="55">
        <v>4.13805555555555</v>
      </c>
      <c r="X280" s="55">
        <v>3.23861111111111</v>
      </c>
      <c r="Y280" s="55">
        <v>2.54638888888888</v>
      </c>
      <c r="Z280" s="55">
        <v>0.0</v>
      </c>
      <c r="AA280" s="55">
        <v>0.0</v>
      </c>
      <c r="AB280" s="55">
        <v>3.44583333333333</v>
      </c>
      <c r="AC280" s="55">
        <v>3.44583333333333</v>
      </c>
      <c r="AD280" s="55">
        <v>1.31972222222222</v>
      </c>
      <c r="AE280" s="55">
        <v>2.32666666666666</v>
      </c>
      <c r="AF280" s="55">
        <v>20.0</v>
      </c>
    </row>
    <row r="281">
      <c r="A281" s="56">
        <v>45957.0</v>
      </c>
      <c r="B281" s="55" t="s">
        <v>24</v>
      </c>
      <c r="C281" s="55" t="s">
        <v>161</v>
      </c>
      <c r="D281" s="55">
        <v>14.0</v>
      </c>
      <c r="E281" s="55">
        <v>17.0</v>
      </c>
      <c r="F281" s="55">
        <v>9.0</v>
      </c>
      <c r="G281" s="55">
        <v>0.0</v>
      </c>
      <c r="H281" s="55">
        <v>16.0</v>
      </c>
      <c r="I281" s="55">
        <v>10.0</v>
      </c>
      <c r="J281" s="55">
        <v>16.0</v>
      </c>
      <c r="K281" s="55">
        <v>2.0</v>
      </c>
      <c r="L281" s="55">
        <v>0.0</v>
      </c>
      <c r="M281" s="55">
        <v>16.0</v>
      </c>
      <c r="N281" s="55">
        <v>19.0</v>
      </c>
      <c r="O281" s="55">
        <v>5.0</v>
      </c>
      <c r="P281" s="55">
        <v>19.0</v>
      </c>
      <c r="Q281" s="55">
        <v>0.0</v>
      </c>
      <c r="R281" s="55">
        <v>27509.0</v>
      </c>
      <c r="S281" s="55">
        <v>37069.0</v>
      </c>
      <c r="T281" s="55">
        <v>2.16944444444444</v>
      </c>
      <c r="U281" s="55">
        <v>1.80388888888888</v>
      </c>
      <c r="V281" s="55">
        <v>0.0</v>
      </c>
      <c r="W281" s="55">
        <v>3.23611111111111</v>
      </c>
      <c r="X281" s="55">
        <v>2.02444444444444</v>
      </c>
      <c r="Y281" s="55">
        <v>3.24583333333333</v>
      </c>
      <c r="Z281" s="55">
        <v>0.386111111111111</v>
      </c>
      <c r="AA281" s="55">
        <v>0.0</v>
      </c>
      <c r="AB281" s="55">
        <v>3.24583333333333</v>
      </c>
      <c r="AC281" s="55">
        <v>3.84027777777777</v>
      </c>
      <c r="AD281" s="55">
        <v>0.975833333333333</v>
      </c>
      <c r="AE281" s="55">
        <v>3.84027777777777</v>
      </c>
      <c r="AF281" s="55">
        <v>11.0</v>
      </c>
    </row>
    <row r="282">
      <c r="A282" s="56">
        <v>45950.0</v>
      </c>
      <c r="B282" s="55" t="s">
        <v>74</v>
      </c>
      <c r="C282" s="55" t="s">
        <v>150</v>
      </c>
      <c r="D282" s="55">
        <v>16.0</v>
      </c>
      <c r="E282" s="55">
        <v>1.0</v>
      </c>
      <c r="F282" s="55">
        <v>12.0</v>
      </c>
      <c r="G282" s="55">
        <v>9.0</v>
      </c>
      <c r="H282" s="55">
        <v>14.0</v>
      </c>
      <c r="I282" s="55">
        <v>5.0</v>
      </c>
      <c r="J282" s="55">
        <v>10.0</v>
      </c>
      <c r="K282" s="55">
        <v>2.0</v>
      </c>
      <c r="L282" s="55">
        <v>2.0</v>
      </c>
      <c r="M282" s="55">
        <v>10.0</v>
      </c>
      <c r="N282" s="55">
        <v>10.0</v>
      </c>
      <c r="O282" s="55">
        <v>5.0</v>
      </c>
      <c r="P282" s="55">
        <v>10.0</v>
      </c>
      <c r="Q282" s="55">
        <v>0.0</v>
      </c>
      <c r="R282" s="55">
        <v>51216.0</v>
      </c>
      <c r="S282" s="55">
        <v>2614.0</v>
      </c>
      <c r="T282" s="55">
        <v>4.05666666666666</v>
      </c>
      <c r="U282" s="55">
        <v>2.86222222222222</v>
      </c>
      <c r="V282" s="55">
        <v>2.11805555555555</v>
      </c>
      <c r="W282" s="55">
        <v>3.3125</v>
      </c>
      <c r="X282" s="55">
        <v>1.19444444444444</v>
      </c>
      <c r="Y282" s="55">
        <v>2.38666666666666</v>
      </c>
      <c r="Z282" s="55">
        <v>0.463888888888888</v>
      </c>
      <c r="AA282" s="55">
        <v>0.463888888888888</v>
      </c>
      <c r="AB282" s="55">
        <v>2.36861111111111</v>
      </c>
      <c r="AC282" s="55">
        <v>2.36861111111111</v>
      </c>
      <c r="AD282" s="55">
        <v>1.25166666666666</v>
      </c>
      <c r="AE282" s="55">
        <v>2.36861111111111</v>
      </c>
      <c r="AF282" s="55">
        <v>17.0</v>
      </c>
    </row>
    <row r="283">
      <c r="A283" s="56">
        <v>45950.0</v>
      </c>
      <c r="B283" s="55" t="s">
        <v>30</v>
      </c>
      <c r="C283" s="55" t="s">
        <v>153</v>
      </c>
      <c r="D283" s="55">
        <v>8.0</v>
      </c>
      <c r="E283" s="55">
        <v>19.0</v>
      </c>
      <c r="F283" s="55">
        <v>9.0</v>
      </c>
      <c r="G283" s="55">
        <v>10.0</v>
      </c>
      <c r="H283" s="55">
        <v>18.0</v>
      </c>
      <c r="I283" s="55">
        <v>8.0</v>
      </c>
      <c r="J283" s="55">
        <v>18.0</v>
      </c>
      <c r="K283" s="55">
        <v>1.0</v>
      </c>
      <c r="L283" s="55">
        <v>0.0</v>
      </c>
      <c r="M283" s="55">
        <v>16.0</v>
      </c>
      <c r="N283" s="55">
        <v>16.0</v>
      </c>
      <c r="O283" s="55">
        <v>6.0</v>
      </c>
      <c r="P283" s="55">
        <v>16.0</v>
      </c>
      <c r="Q283" s="55">
        <v>0.0</v>
      </c>
      <c r="R283" s="55">
        <v>17938.0</v>
      </c>
      <c r="S283" s="55">
        <v>42039.0</v>
      </c>
      <c r="T283" s="55">
        <v>3.11888888888888</v>
      </c>
      <c r="U283" s="55">
        <v>1.99444444444444</v>
      </c>
      <c r="V283" s="55">
        <v>2.2125</v>
      </c>
      <c r="W283" s="55">
        <v>3.93861111111111</v>
      </c>
      <c r="X283" s="55">
        <v>1.72611111111111</v>
      </c>
      <c r="Y283" s="55">
        <v>3.96416666666666</v>
      </c>
      <c r="Z283" s="55">
        <v>0.218333333333333</v>
      </c>
      <c r="AA283" s="55">
        <v>0.0</v>
      </c>
      <c r="AB283" s="55">
        <v>3.49972222222222</v>
      </c>
      <c r="AC283" s="55">
        <v>3.49972222222222</v>
      </c>
      <c r="AD283" s="55">
        <v>1.40194444444444</v>
      </c>
      <c r="AE283" s="55">
        <v>3.49972222222222</v>
      </c>
      <c r="AF283" s="55">
        <v>14.0</v>
      </c>
    </row>
    <row r="284">
      <c r="A284" s="56">
        <v>45950.0</v>
      </c>
      <c r="B284" s="55" t="s">
        <v>54</v>
      </c>
      <c r="C284" s="55" t="s">
        <v>160</v>
      </c>
      <c r="D284" s="55">
        <v>0.0</v>
      </c>
      <c r="E284" s="55">
        <v>0.0</v>
      </c>
      <c r="F284" s="55">
        <v>3.0</v>
      </c>
      <c r="G284" s="55">
        <v>2.0</v>
      </c>
      <c r="H284" s="55">
        <v>10.0</v>
      </c>
      <c r="I284" s="55">
        <v>8.0</v>
      </c>
      <c r="J284" s="55">
        <v>7.0</v>
      </c>
      <c r="K284" s="55">
        <v>0.0</v>
      </c>
      <c r="L284" s="55">
        <v>0.0</v>
      </c>
      <c r="M284" s="55">
        <v>9.0</v>
      </c>
      <c r="N284" s="55">
        <v>9.0</v>
      </c>
      <c r="O284" s="55">
        <v>5.0</v>
      </c>
      <c r="P284" s="55">
        <v>9.0</v>
      </c>
      <c r="Q284" s="55">
        <v>0.0</v>
      </c>
      <c r="R284" s="55">
        <v>0.0</v>
      </c>
      <c r="S284" s="55">
        <v>0.0</v>
      </c>
      <c r="T284" s="55">
        <v>2.465</v>
      </c>
      <c r="U284" s="55">
        <v>0.646944444444444</v>
      </c>
      <c r="V284" s="55">
        <v>0.429166666666666</v>
      </c>
      <c r="W284" s="55">
        <v>2.24722222222222</v>
      </c>
      <c r="X284" s="55">
        <v>1.81805555555555</v>
      </c>
      <c r="Y284" s="55">
        <v>1.56888888888888</v>
      </c>
      <c r="Z284" s="55">
        <v>0.0</v>
      </c>
      <c r="AA284" s="55">
        <v>0.0</v>
      </c>
      <c r="AB284" s="55">
        <v>2.00305555555555</v>
      </c>
      <c r="AC284" s="55">
        <v>2.00305555555555</v>
      </c>
      <c r="AD284" s="55">
        <v>1.18277777777777</v>
      </c>
      <c r="AE284" s="55">
        <v>1.41305555555555</v>
      </c>
      <c r="AF284" s="55">
        <v>11.0</v>
      </c>
    </row>
    <row r="285">
      <c r="A285" s="56">
        <v>45950.0</v>
      </c>
      <c r="B285" s="55" t="s">
        <v>24</v>
      </c>
      <c r="C285" s="55" t="s">
        <v>161</v>
      </c>
      <c r="D285" s="55">
        <v>12.0</v>
      </c>
      <c r="E285" s="55">
        <v>3.0</v>
      </c>
      <c r="F285" s="55">
        <v>0.0</v>
      </c>
      <c r="G285" s="55">
        <v>0.0</v>
      </c>
      <c r="H285" s="55">
        <v>9.0</v>
      </c>
      <c r="I285" s="55">
        <v>5.0</v>
      </c>
      <c r="J285" s="55">
        <v>12.0</v>
      </c>
      <c r="K285" s="55">
        <v>2.0</v>
      </c>
      <c r="L285" s="55">
        <v>0.0</v>
      </c>
      <c r="M285" s="55">
        <v>12.0</v>
      </c>
      <c r="N285" s="55">
        <v>9.0</v>
      </c>
      <c r="O285" s="55">
        <v>6.0</v>
      </c>
      <c r="P285" s="55">
        <v>9.0</v>
      </c>
      <c r="Q285" s="55">
        <v>0.0</v>
      </c>
      <c r="R285" s="55">
        <v>25957.0</v>
      </c>
      <c r="S285" s="55">
        <v>6768.0</v>
      </c>
      <c r="T285" s="55">
        <v>1.65888888888888</v>
      </c>
      <c r="U285" s="55">
        <v>0.0</v>
      </c>
      <c r="V285" s="55">
        <v>0.0</v>
      </c>
      <c r="W285" s="55">
        <v>1.83194444444444</v>
      </c>
      <c r="X285" s="55">
        <v>0.992222222222222</v>
      </c>
      <c r="Y285" s="55">
        <v>2.46222222222222</v>
      </c>
      <c r="Z285" s="55">
        <v>0.431388888888888</v>
      </c>
      <c r="AA285" s="55">
        <v>0.0</v>
      </c>
      <c r="AB285" s="55">
        <v>2.46222222222222</v>
      </c>
      <c r="AC285" s="55">
        <v>1.86777777777777</v>
      </c>
      <c r="AD285" s="55">
        <v>1.19222222222222</v>
      </c>
      <c r="AE285" s="55">
        <v>1.86777777777777</v>
      </c>
      <c r="AF285" s="55">
        <v>8.0</v>
      </c>
    </row>
    <row r="286">
      <c r="A286" s="56">
        <v>45943.0</v>
      </c>
      <c r="B286" s="55" t="s">
        <v>74</v>
      </c>
      <c r="C286" s="55" t="s">
        <v>150</v>
      </c>
      <c r="D286" s="55">
        <v>18.0</v>
      </c>
      <c r="E286" s="55">
        <v>23.0</v>
      </c>
      <c r="F286" s="55">
        <v>9.0</v>
      </c>
      <c r="G286" s="55">
        <v>12.0</v>
      </c>
      <c r="H286" s="55">
        <v>16.0</v>
      </c>
      <c r="I286" s="55">
        <v>4.0</v>
      </c>
      <c r="J286" s="55">
        <v>16.0</v>
      </c>
      <c r="K286" s="55">
        <v>1.0</v>
      </c>
      <c r="L286" s="55">
        <v>1.0</v>
      </c>
      <c r="M286" s="55">
        <v>17.0</v>
      </c>
      <c r="N286" s="55">
        <v>17.0</v>
      </c>
      <c r="O286" s="55">
        <v>6.0</v>
      </c>
      <c r="P286" s="55">
        <v>17.0</v>
      </c>
      <c r="Q286" s="55">
        <v>0.0</v>
      </c>
      <c r="R286" s="55">
        <v>46088.0</v>
      </c>
      <c r="S286" s="55">
        <v>55290.0</v>
      </c>
      <c r="T286" s="55">
        <v>3.13055555555555</v>
      </c>
      <c r="U286" s="55">
        <v>2.18</v>
      </c>
      <c r="V286" s="55">
        <v>2.94916666666666</v>
      </c>
      <c r="W286" s="55">
        <v>3.89972222222222</v>
      </c>
      <c r="X286" s="55">
        <v>0.950555555555555</v>
      </c>
      <c r="Y286" s="55">
        <v>3.90444444444444</v>
      </c>
      <c r="Z286" s="55">
        <v>0.244444444444444</v>
      </c>
      <c r="AA286" s="55">
        <v>0.244444444444444</v>
      </c>
      <c r="AB286" s="55">
        <v>4.18083333333333</v>
      </c>
      <c r="AC286" s="55">
        <v>4.18083333333333</v>
      </c>
      <c r="AD286" s="55">
        <v>1.58111111111111</v>
      </c>
      <c r="AE286" s="55">
        <v>4.18083333333333</v>
      </c>
      <c r="AF286" s="55">
        <v>13.0</v>
      </c>
    </row>
    <row r="287">
      <c r="A287" s="56">
        <v>45943.0</v>
      </c>
      <c r="B287" s="55" t="s">
        <v>30</v>
      </c>
      <c r="C287" s="55" t="s">
        <v>153</v>
      </c>
      <c r="D287" s="55">
        <v>20.0</v>
      </c>
      <c r="E287" s="55">
        <v>11.0</v>
      </c>
      <c r="F287" s="55">
        <v>13.0</v>
      </c>
      <c r="G287" s="55">
        <v>12.0</v>
      </c>
      <c r="H287" s="55">
        <v>25.0</v>
      </c>
      <c r="I287" s="55">
        <v>13.0</v>
      </c>
      <c r="J287" s="55">
        <v>24.0</v>
      </c>
      <c r="K287" s="55">
        <v>2.0</v>
      </c>
      <c r="L287" s="55">
        <v>2.0</v>
      </c>
      <c r="M287" s="55">
        <v>27.0</v>
      </c>
      <c r="N287" s="55">
        <v>27.0</v>
      </c>
      <c r="O287" s="55">
        <v>6.0</v>
      </c>
      <c r="P287" s="55">
        <v>27.0</v>
      </c>
      <c r="Q287" s="55">
        <v>0.0</v>
      </c>
      <c r="R287" s="55">
        <v>44276.0</v>
      </c>
      <c r="S287" s="55">
        <v>24267.0</v>
      </c>
      <c r="T287" s="55">
        <v>5.06444444444444</v>
      </c>
      <c r="U287" s="55">
        <v>2.63555555555555</v>
      </c>
      <c r="V287" s="55">
        <v>2.48777777777777</v>
      </c>
      <c r="W287" s="55">
        <v>5.15555555555555</v>
      </c>
      <c r="X287" s="55">
        <v>2.66777777777777</v>
      </c>
      <c r="Y287" s="55">
        <v>5.03583333333333</v>
      </c>
      <c r="Z287" s="55">
        <v>0.447222222222222</v>
      </c>
      <c r="AA287" s="55">
        <v>0.448055555555555</v>
      </c>
      <c r="AB287" s="55">
        <v>5.71305555555555</v>
      </c>
      <c r="AC287" s="55">
        <v>5.71305555555555</v>
      </c>
      <c r="AD287" s="55">
        <v>1.32916666666666</v>
      </c>
      <c r="AE287" s="55">
        <v>5.71305555555555</v>
      </c>
      <c r="AF287" s="55">
        <v>25.0</v>
      </c>
    </row>
    <row r="288">
      <c r="A288" s="56">
        <v>45943.0</v>
      </c>
      <c r="B288" s="55" t="s">
        <v>54</v>
      </c>
      <c r="C288" s="55" t="s">
        <v>160</v>
      </c>
      <c r="D288" s="55">
        <v>0.0</v>
      </c>
      <c r="E288" s="55">
        <v>0.0</v>
      </c>
      <c r="F288" s="55">
        <v>12.0</v>
      </c>
      <c r="G288" s="55">
        <v>11.0</v>
      </c>
      <c r="H288" s="55">
        <v>14.0</v>
      </c>
      <c r="I288" s="55">
        <v>3.0</v>
      </c>
      <c r="J288" s="55">
        <v>14.0</v>
      </c>
      <c r="K288" s="55">
        <v>0.0</v>
      </c>
      <c r="L288" s="55">
        <v>0.0</v>
      </c>
      <c r="M288" s="55">
        <v>15.0</v>
      </c>
      <c r="N288" s="55">
        <v>15.0</v>
      </c>
      <c r="O288" s="55">
        <v>6.0</v>
      </c>
      <c r="P288" s="55">
        <v>15.0</v>
      </c>
      <c r="Q288" s="55">
        <v>0.0</v>
      </c>
      <c r="R288" s="55">
        <v>0.0</v>
      </c>
      <c r="S288" s="55">
        <v>0.0</v>
      </c>
      <c r="T288" s="55">
        <v>2.48666666666666</v>
      </c>
      <c r="U288" s="55">
        <v>2.68527777777777</v>
      </c>
      <c r="V288" s="55">
        <v>2.47083333333333</v>
      </c>
      <c r="W288" s="55">
        <v>3.15138888888888</v>
      </c>
      <c r="X288" s="55">
        <v>0.680555555555555</v>
      </c>
      <c r="Y288" s="55">
        <v>3.15111111111111</v>
      </c>
      <c r="Z288" s="55">
        <v>0.0</v>
      </c>
      <c r="AA288" s="55">
        <v>0.0</v>
      </c>
      <c r="AB288" s="55">
        <v>3.43222222222222</v>
      </c>
      <c r="AC288" s="55">
        <v>3.43444444444444</v>
      </c>
      <c r="AD288" s="55">
        <v>1.41916666666666</v>
      </c>
      <c r="AE288" s="55">
        <v>3.18138888888888</v>
      </c>
      <c r="AF288" s="55">
        <v>11.0</v>
      </c>
    </row>
    <row r="289">
      <c r="A289" s="56">
        <v>45943.0</v>
      </c>
      <c r="B289" s="55" t="s">
        <v>24</v>
      </c>
      <c r="C289" s="55" t="s">
        <v>161</v>
      </c>
      <c r="D289" s="55">
        <v>15.0</v>
      </c>
      <c r="E289" s="55">
        <v>25.0</v>
      </c>
      <c r="F289" s="55">
        <v>9.0</v>
      </c>
      <c r="G289" s="55">
        <v>3.0</v>
      </c>
      <c r="H289" s="55">
        <v>12.0</v>
      </c>
      <c r="I289" s="55">
        <v>7.0</v>
      </c>
      <c r="J289" s="55">
        <v>9.0</v>
      </c>
      <c r="K289" s="55">
        <v>0.0</v>
      </c>
      <c r="L289" s="55">
        <v>0.0</v>
      </c>
      <c r="M289" s="55">
        <v>9.0</v>
      </c>
      <c r="N289" s="55">
        <v>11.0</v>
      </c>
      <c r="O289" s="55">
        <v>6.0</v>
      </c>
      <c r="P289" s="55">
        <v>11.0</v>
      </c>
      <c r="Q289" s="55">
        <v>0.0</v>
      </c>
      <c r="R289" s="55">
        <v>30928.0</v>
      </c>
      <c r="S289" s="55">
        <v>55411.0</v>
      </c>
      <c r="T289" s="55">
        <v>4.26305555555555</v>
      </c>
      <c r="U289" s="55">
        <v>1.82333333333333</v>
      </c>
      <c r="V289" s="55">
        <v>0.623333333333333</v>
      </c>
      <c r="W289" s="55">
        <v>2.45916666666666</v>
      </c>
      <c r="X289" s="55">
        <v>1.4475</v>
      </c>
      <c r="Y289" s="55">
        <v>1.86277777777777</v>
      </c>
      <c r="Z289" s="55">
        <v>0.0</v>
      </c>
      <c r="AA289" s="55">
        <v>0.0</v>
      </c>
      <c r="AB289" s="55">
        <v>1.86277777777777</v>
      </c>
      <c r="AC289" s="55">
        <v>2.28694444444444</v>
      </c>
      <c r="AD289" s="55">
        <v>1.1975</v>
      </c>
      <c r="AE289" s="55">
        <v>2.28694444444444</v>
      </c>
      <c r="AF289" s="55">
        <v>21.0</v>
      </c>
    </row>
    <row r="290">
      <c r="A290" s="56">
        <v>45936.0</v>
      </c>
      <c r="B290" s="55" t="s">
        <v>74</v>
      </c>
      <c r="C290" s="55" t="s">
        <v>150</v>
      </c>
      <c r="D290" s="55">
        <v>23.0</v>
      </c>
      <c r="E290" s="55">
        <v>20.0</v>
      </c>
      <c r="F290" s="55">
        <v>12.0</v>
      </c>
      <c r="G290" s="55">
        <v>12.0</v>
      </c>
      <c r="H290" s="55">
        <v>14.0</v>
      </c>
      <c r="I290" s="55">
        <v>2.0</v>
      </c>
      <c r="J290" s="55">
        <v>14.0</v>
      </c>
      <c r="K290" s="55">
        <v>1.0</v>
      </c>
      <c r="L290" s="55">
        <v>1.0</v>
      </c>
      <c r="M290" s="55">
        <v>12.0</v>
      </c>
      <c r="N290" s="55">
        <v>12.0</v>
      </c>
      <c r="O290" s="55">
        <v>7.0</v>
      </c>
      <c r="P290" s="55">
        <v>12.0</v>
      </c>
      <c r="Q290" s="55">
        <v>0.0</v>
      </c>
      <c r="R290" s="55">
        <v>54879.0</v>
      </c>
      <c r="S290" s="55">
        <v>49053.0</v>
      </c>
      <c r="T290" s="55">
        <v>2.52194444444444</v>
      </c>
      <c r="U290" s="55">
        <v>3.02083333333333</v>
      </c>
      <c r="V290" s="55">
        <v>3.03194444444444</v>
      </c>
      <c r="W290" s="55">
        <v>3.53833333333333</v>
      </c>
      <c r="X290" s="55">
        <v>0.506388888888888</v>
      </c>
      <c r="Y290" s="55">
        <v>3.54111111111111</v>
      </c>
      <c r="Z290" s="55">
        <v>0.257777777777777</v>
      </c>
      <c r="AA290" s="55">
        <v>0.257777777777777</v>
      </c>
      <c r="AB290" s="55">
        <v>3.02277777777777</v>
      </c>
      <c r="AC290" s="55">
        <v>3.02277777777777</v>
      </c>
      <c r="AD290" s="55">
        <v>1.78583333333333</v>
      </c>
      <c r="AE290" s="55">
        <v>3.02277777777777</v>
      </c>
      <c r="AF290" s="55">
        <v>10.0</v>
      </c>
    </row>
    <row r="291">
      <c r="A291" s="56">
        <v>45936.0</v>
      </c>
      <c r="B291" s="55" t="s">
        <v>30</v>
      </c>
      <c r="C291" s="55" t="s">
        <v>153</v>
      </c>
      <c r="D291" s="55">
        <v>27.0</v>
      </c>
      <c r="E291" s="55">
        <v>13.0</v>
      </c>
      <c r="F291" s="55">
        <v>7.0</v>
      </c>
      <c r="G291" s="55">
        <v>10.0</v>
      </c>
      <c r="H291" s="55">
        <v>19.0</v>
      </c>
      <c r="I291" s="55">
        <v>9.0</v>
      </c>
      <c r="J291" s="55">
        <v>21.0</v>
      </c>
      <c r="K291" s="55">
        <v>2.0</v>
      </c>
      <c r="L291" s="55">
        <v>1.0</v>
      </c>
      <c r="M291" s="55">
        <v>20.0</v>
      </c>
      <c r="N291" s="55">
        <v>20.0</v>
      </c>
      <c r="O291" s="55">
        <v>7.0</v>
      </c>
      <c r="P291" s="55">
        <v>20.0</v>
      </c>
      <c r="Q291" s="55">
        <v>0.0</v>
      </c>
      <c r="R291" s="55">
        <v>56193.0</v>
      </c>
      <c r="S291" s="55">
        <v>27386.0</v>
      </c>
      <c r="T291" s="55">
        <v>2.14055555555555</v>
      </c>
      <c r="U291" s="55">
        <v>1.50055555555555</v>
      </c>
      <c r="V291" s="55">
        <v>2.10722222222222</v>
      </c>
      <c r="W291" s="55">
        <v>4.04777777777777</v>
      </c>
      <c r="X291" s="55">
        <v>1.94055555555555</v>
      </c>
      <c r="Y291" s="55">
        <v>4.54555555555555</v>
      </c>
      <c r="Z291" s="55">
        <v>0.441111111111111</v>
      </c>
      <c r="AA291" s="55">
        <v>0.215833333333333</v>
      </c>
      <c r="AB291" s="55">
        <v>4.30777777777777</v>
      </c>
      <c r="AC291" s="55">
        <v>4.30777777777777</v>
      </c>
      <c r="AD291" s="55">
        <v>1.49527777777777</v>
      </c>
      <c r="AE291" s="55">
        <v>4.30777777777777</v>
      </c>
      <c r="AF291" s="55">
        <v>10.0</v>
      </c>
    </row>
    <row r="292">
      <c r="A292" s="56">
        <v>45936.0</v>
      </c>
      <c r="B292" s="55" t="s">
        <v>54</v>
      </c>
      <c r="C292" s="55" t="s">
        <v>160</v>
      </c>
      <c r="D292" s="55">
        <v>8.0</v>
      </c>
      <c r="E292" s="55">
        <v>8.0</v>
      </c>
      <c r="F292" s="55">
        <v>5.0</v>
      </c>
      <c r="G292" s="55">
        <v>5.0</v>
      </c>
      <c r="H292" s="55">
        <v>12.0</v>
      </c>
      <c r="I292" s="55">
        <v>7.0</v>
      </c>
      <c r="J292" s="55">
        <v>12.0</v>
      </c>
      <c r="K292" s="55">
        <v>7.0</v>
      </c>
      <c r="L292" s="55">
        <v>6.0</v>
      </c>
      <c r="M292" s="55">
        <v>10.0</v>
      </c>
      <c r="N292" s="55">
        <v>10.0</v>
      </c>
      <c r="O292" s="55">
        <v>1.0</v>
      </c>
      <c r="P292" s="55">
        <v>10.0</v>
      </c>
      <c r="Q292" s="55">
        <v>0.0</v>
      </c>
      <c r="R292" s="55">
        <v>17383.0</v>
      </c>
      <c r="S292" s="55">
        <v>17383.0</v>
      </c>
      <c r="T292" s="55">
        <v>0.879166666666666</v>
      </c>
      <c r="U292" s="55">
        <v>1.19138888888888</v>
      </c>
      <c r="V292" s="55">
        <v>1.18194444444444</v>
      </c>
      <c r="W292" s="55">
        <v>2.83611111111111</v>
      </c>
      <c r="X292" s="55">
        <v>1.65416666666666</v>
      </c>
      <c r="Y292" s="55">
        <v>2.82666666666666</v>
      </c>
      <c r="Z292" s="55">
        <v>1.64027777777777</v>
      </c>
      <c r="AA292" s="55">
        <v>1.41611111111111</v>
      </c>
      <c r="AB292" s="55">
        <v>2.32944444444444</v>
      </c>
      <c r="AC292" s="55">
        <v>2.34138888888888</v>
      </c>
      <c r="AD292" s="55">
        <v>0.223055555555555</v>
      </c>
      <c r="AE292" s="55">
        <v>2.34138888888888</v>
      </c>
      <c r="AF292" s="55">
        <v>4.0</v>
      </c>
    </row>
    <row r="293">
      <c r="A293" s="56">
        <v>45936.0</v>
      </c>
      <c r="B293" s="55" t="s">
        <v>24</v>
      </c>
      <c r="C293" s="55" t="s">
        <v>161</v>
      </c>
      <c r="D293" s="55">
        <v>17.0</v>
      </c>
      <c r="E293" s="55">
        <v>12.0</v>
      </c>
      <c r="F293" s="55">
        <v>4.0</v>
      </c>
      <c r="G293" s="55">
        <v>4.0</v>
      </c>
      <c r="H293" s="55">
        <v>13.0</v>
      </c>
      <c r="I293" s="55">
        <v>9.0</v>
      </c>
      <c r="J293" s="55">
        <v>13.0</v>
      </c>
      <c r="K293" s="55">
        <v>1.0</v>
      </c>
      <c r="L293" s="55">
        <v>0.0</v>
      </c>
      <c r="M293" s="55">
        <v>17.0</v>
      </c>
      <c r="N293" s="55">
        <v>15.0</v>
      </c>
      <c r="O293" s="55">
        <v>5.0</v>
      </c>
      <c r="P293" s="55">
        <v>15.0</v>
      </c>
      <c r="Q293" s="55">
        <v>0.0</v>
      </c>
      <c r="R293" s="55">
        <v>35845.0</v>
      </c>
      <c r="S293" s="55">
        <v>27232.0</v>
      </c>
      <c r="T293" s="55">
        <v>1.87861111111111</v>
      </c>
      <c r="U293" s="55">
        <v>0.705555555555555</v>
      </c>
      <c r="V293" s="55">
        <v>0.722777777777777</v>
      </c>
      <c r="W293" s="55">
        <v>2.49166666666666</v>
      </c>
      <c r="X293" s="55">
        <v>1.76888888888888</v>
      </c>
      <c r="Y293" s="55">
        <v>2.52805555555555</v>
      </c>
      <c r="Z293" s="55">
        <v>0.220833333333333</v>
      </c>
      <c r="AA293" s="55">
        <v>0.0</v>
      </c>
      <c r="AB293" s="55">
        <v>3.30138888888888</v>
      </c>
      <c r="AC293" s="55">
        <v>2.87722222222222</v>
      </c>
      <c r="AD293" s="55">
        <v>1.02888888888888</v>
      </c>
      <c r="AE293" s="55">
        <v>2.87722222222222</v>
      </c>
      <c r="AF293" s="55">
        <v>10.0</v>
      </c>
    </row>
    <row r="294">
      <c r="A294" s="56">
        <v>45929.0</v>
      </c>
      <c r="B294" s="55" t="s">
        <v>74</v>
      </c>
      <c r="C294" s="55" t="s">
        <v>150</v>
      </c>
      <c r="D294" s="55">
        <v>10.0</v>
      </c>
      <c r="E294" s="55">
        <v>4.0</v>
      </c>
      <c r="F294" s="55">
        <v>2.0</v>
      </c>
      <c r="G294" s="55">
        <v>3.0</v>
      </c>
      <c r="H294" s="55">
        <v>3.0</v>
      </c>
      <c r="I294" s="55">
        <v>0.0</v>
      </c>
      <c r="J294" s="55">
        <v>6.0</v>
      </c>
      <c r="K294" s="55">
        <v>0.0</v>
      </c>
      <c r="L294" s="55">
        <v>0.0</v>
      </c>
      <c r="M294" s="55">
        <v>6.0</v>
      </c>
      <c r="N294" s="55">
        <v>6.0</v>
      </c>
      <c r="O294" s="55">
        <v>5.0</v>
      </c>
      <c r="P294" s="55">
        <v>6.0</v>
      </c>
      <c r="Q294" s="55">
        <v>0.0</v>
      </c>
      <c r="R294" s="55">
        <v>25064.0</v>
      </c>
      <c r="S294" s="55">
        <v>9896.0</v>
      </c>
      <c r="T294" s="55">
        <v>1.50611111111111</v>
      </c>
      <c r="U294" s="55">
        <v>0.500833333333333</v>
      </c>
      <c r="V294" s="55">
        <v>0.783611111111111</v>
      </c>
      <c r="W294" s="55">
        <v>0.783611111111111</v>
      </c>
      <c r="X294" s="55">
        <v>0.0</v>
      </c>
      <c r="Y294" s="55">
        <v>1.57666666666666</v>
      </c>
      <c r="Z294" s="55">
        <v>0.0</v>
      </c>
      <c r="AA294" s="55">
        <v>0.0</v>
      </c>
      <c r="AB294" s="55">
        <v>1.57666666666666</v>
      </c>
      <c r="AC294" s="55">
        <v>1.57666666666666</v>
      </c>
      <c r="AD294" s="55">
        <v>1.20638888888888</v>
      </c>
      <c r="AE294" s="55">
        <v>1.57666666666666</v>
      </c>
      <c r="AF294" s="55">
        <v>6.0</v>
      </c>
    </row>
    <row r="295">
      <c r="A295" s="56">
        <v>45929.0</v>
      </c>
      <c r="B295" s="55" t="s">
        <v>30</v>
      </c>
      <c r="C295" s="55" t="s">
        <v>153</v>
      </c>
      <c r="D295" s="55">
        <v>0.0</v>
      </c>
      <c r="E295" s="55">
        <v>9.0</v>
      </c>
      <c r="F295" s="55">
        <v>3.0</v>
      </c>
      <c r="G295" s="55">
        <v>4.0</v>
      </c>
      <c r="H295" s="55">
        <v>7.0</v>
      </c>
      <c r="I295" s="55">
        <v>3.0</v>
      </c>
      <c r="J295" s="55">
        <v>8.0</v>
      </c>
      <c r="K295" s="55">
        <v>3.0</v>
      </c>
      <c r="L295" s="55">
        <v>0.0</v>
      </c>
      <c r="M295" s="55">
        <v>8.0</v>
      </c>
      <c r="N295" s="55">
        <v>8.0</v>
      </c>
      <c r="O295" s="55">
        <v>4.0</v>
      </c>
      <c r="P295" s="55">
        <v>8.0</v>
      </c>
      <c r="Q295" s="55">
        <v>0.0</v>
      </c>
      <c r="R295" s="55">
        <v>0.0</v>
      </c>
      <c r="S295" s="55">
        <v>17608.0</v>
      </c>
      <c r="T295" s="55">
        <v>3.3625</v>
      </c>
      <c r="U295" s="55">
        <v>0.593888888888888</v>
      </c>
      <c r="V295" s="55">
        <v>0.823611111111111</v>
      </c>
      <c r="W295" s="55">
        <v>1.45111111111111</v>
      </c>
      <c r="X295" s="55">
        <v>0.6275</v>
      </c>
      <c r="Y295" s="55">
        <v>1.70222222222222</v>
      </c>
      <c r="Z295" s="55">
        <v>0.596944444444444</v>
      </c>
      <c r="AA295" s="55">
        <v>0.0</v>
      </c>
      <c r="AB295" s="55">
        <v>1.71972222222222</v>
      </c>
      <c r="AC295" s="55">
        <v>1.71972222222222</v>
      </c>
      <c r="AD295" s="55">
        <v>0.794722222222222</v>
      </c>
      <c r="AE295" s="55">
        <v>1.71972222222222</v>
      </c>
      <c r="AF295" s="55">
        <v>16.0</v>
      </c>
    </row>
    <row r="296">
      <c r="A296" s="56">
        <v>45929.0</v>
      </c>
      <c r="B296" s="55" t="s">
        <v>54</v>
      </c>
      <c r="C296" s="55" t="s">
        <v>160</v>
      </c>
      <c r="D296" s="55">
        <v>0.0</v>
      </c>
      <c r="E296" s="55">
        <v>2.0</v>
      </c>
      <c r="F296" s="55">
        <v>0.0</v>
      </c>
      <c r="G296" s="55">
        <v>0.0</v>
      </c>
      <c r="H296" s="55">
        <v>0.0</v>
      </c>
      <c r="I296" s="55">
        <v>0.0</v>
      </c>
      <c r="J296" s="55">
        <v>0.0</v>
      </c>
      <c r="K296" s="55">
        <v>0.0</v>
      </c>
      <c r="L296" s="55">
        <v>0.0</v>
      </c>
      <c r="M296" s="55">
        <v>0.0</v>
      </c>
      <c r="N296" s="55">
        <v>0.0</v>
      </c>
      <c r="O296" s="55">
        <v>0.0</v>
      </c>
      <c r="P296" s="55">
        <v>0.0</v>
      </c>
      <c r="Q296" s="55">
        <v>0.0</v>
      </c>
      <c r="R296" s="55">
        <v>0.0</v>
      </c>
      <c r="S296" s="55">
        <v>4490.0</v>
      </c>
      <c r="T296" s="55">
        <v>2.13333333333333</v>
      </c>
      <c r="U296" s="55">
        <v>0.0</v>
      </c>
      <c r="V296" s="55">
        <v>0.0</v>
      </c>
      <c r="W296" s="55">
        <v>0.0</v>
      </c>
      <c r="X296" s="55">
        <v>0.0</v>
      </c>
      <c r="Y296" s="55">
        <v>0.0</v>
      </c>
      <c r="Z296" s="55">
        <v>0.0</v>
      </c>
      <c r="AA296" s="55">
        <v>0.0</v>
      </c>
      <c r="AB296" s="55">
        <v>0.0</v>
      </c>
      <c r="AC296" s="55">
        <v>0.0</v>
      </c>
      <c r="AD296" s="55">
        <v>0.0</v>
      </c>
      <c r="AE296" s="55">
        <v>0.0</v>
      </c>
      <c r="AF296" s="55">
        <v>9.0</v>
      </c>
    </row>
    <row r="297">
      <c r="A297" s="56">
        <v>45929.0</v>
      </c>
      <c r="B297" s="55" t="s">
        <v>24</v>
      </c>
      <c r="C297" s="55" t="s">
        <v>161</v>
      </c>
      <c r="D297" s="55">
        <v>6.0</v>
      </c>
      <c r="E297" s="55">
        <v>6.0</v>
      </c>
      <c r="F297" s="55">
        <v>3.0</v>
      </c>
      <c r="G297" s="55">
        <v>3.0</v>
      </c>
      <c r="H297" s="55">
        <v>8.0</v>
      </c>
      <c r="I297" s="55">
        <v>5.0</v>
      </c>
      <c r="J297" s="55">
        <v>9.0</v>
      </c>
      <c r="K297" s="55">
        <v>0.0</v>
      </c>
      <c r="L297" s="55">
        <v>0.0</v>
      </c>
      <c r="M297" s="55">
        <v>5.0</v>
      </c>
      <c r="N297" s="55">
        <v>5.0</v>
      </c>
      <c r="O297" s="55">
        <v>3.0</v>
      </c>
      <c r="P297" s="55">
        <v>5.0</v>
      </c>
      <c r="Q297" s="55">
        <v>0.0</v>
      </c>
      <c r="R297" s="55">
        <v>12774.0</v>
      </c>
      <c r="S297" s="55">
        <v>12542.0</v>
      </c>
      <c r="T297" s="55">
        <v>2.05833333333333</v>
      </c>
      <c r="U297" s="55">
        <v>0.531111111111111</v>
      </c>
      <c r="V297" s="55">
        <v>0.541944444444444</v>
      </c>
      <c r="W297" s="55">
        <v>1.47333333333333</v>
      </c>
      <c r="X297" s="55">
        <v>0.931388888888888</v>
      </c>
      <c r="Y297" s="55">
        <v>1.68444444444444</v>
      </c>
      <c r="Z297" s="55">
        <v>0.0</v>
      </c>
      <c r="AA297" s="55">
        <v>0.0</v>
      </c>
      <c r="AB297" s="55">
        <v>0.911111111111111</v>
      </c>
      <c r="AC297" s="55">
        <v>0.911111111111111</v>
      </c>
      <c r="AD297" s="55">
        <v>0.606944444444444</v>
      </c>
      <c r="AE297" s="55">
        <v>0.911111111111111</v>
      </c>
      <c r="AF297" s="55">
        <v>11.0</v>
      </c>
    </row>
    <row r="298">
      <c r="A298" s="56">
        <v>45922.0</v>
      </c>
      <c r="B298" s="55" t="s">
        <v>74</v>
      </c>
      <c r="C298" s="55" t="s">
        <v>150</v>
      </c>
      <c r="D298" s="55">
        <v>25.0</v>
      </c>
      <c r="E298" s="55">
        <v>9.0</v>
      </c>
      <c r="F298" s="55">
        <v>13.0</v>
      </c>
      <c r="G298" s="55">
        <v>15.0</v>
      </c>
      <c r="H298" s="55">
        <v>17.0</v>
      </c>
      <c r="I298" s="55">
        <v>2.0</v>
      </c>
      <c r="J298" s="55">
        <v>15.0</v>
      </c>
      <c r="K298" s="55">
        <v>1.0</v>
      </c>
      <c r="L298" s="55">
        <v>1.0</v>
      </c>
      <c r="M298" s="55">
        <v>15.0</v>
      </c>
      <c r="N298" s="55">
        <v>15.0</v>
      </c>
      <c r="O298" s="55">
        <v>7.0</v>
      </c>
      <c r="P298" s="55">
        <v>15.0</v>
      </c>
      <c r="Q298" s="55">
        <v>0.0</v>
      </c>
      <c r="R298" s="55">
        <v>54697.0</v>
      </c>
      <c r="S298" s="55">
        <v>22345.0</v>
      </c>
      <c r="T298" s="55">
        <v>3.86138888888888</v>
      </c>
      <c r="U298" s="55">
        <v>3.36666666666666</v>
      </c>
      <c r="V298" s="55">
        <v>3.86083333333333</v>
      </c>
      <c r="W298" s="55">
        <v>4.35555555555555</v>
      </c>
      <c r="X298" s="55">
        <v>0.494722222222222</v>
      </c>
      <c r="Y298" s="55">
        <v>3.80666666666666</v>
      </c>
      <c r="Z298" s="55">
        <v>0.260555555555555</v>
      </c>
      <c r="AA298" s="55">
        <v>0.260277777777777</v>
      </c>
      <c r="AB298" s="55">
        <v>3.80638888888888</v>
      </c>
      <c r="AC298" s="55">
        <v>3.80638888888888</v>
      </c>
      <c r="AD298" s="55">
        <v>1.65249999999999</v>
      </c>
      <c r="AE298" s="55">
        <v>3.80638888888888</v>
      </c>
      <c r="AF298" s="55">
        <v>15.0</v>
      </c>
    </row>
    <row r="299">
      <c r="A299" s="56">
        <v>45922.0</v>
      </c>
      <c r="B299" s="55" t="s">
        <v>30</v>
      </c>
      <c r="C299" s="55" t="s">
        <v>153</v>
      </c>
      <c r="D299" s="55">
        <v>15.0</v>
      </c>
      <c r="E299" s="55">
        <v>36.0</v>
      </c>
      <c r="F299" s="55">
        <v>9.0</v>
      </c>
      <c r="G299" s="55">
        <v>3.0</v>
      </c>
      <c r="H299" s="55">
        <v>12.0</v>
      </c>
      <c r="I299" s="55">
        <v>4.0</v>
      </c>
      <c r="J299" s="55">
        <v>13.0</v>
      </c>
      <c r="K299" s="55">
        <v>4.0</v>
      </c>
      <c r="L299" s="55">
        <v>0.0</v>
      </c>
      <c r="M299" s="55">
        <v>12.0</v>
      </c>
      <c r="N299" s="55">
        <v>12.0</v>
      </c>
      <c r="O299" s="55">
        <v>6.0</v>
      </c>
      <c r="P299" s="55">
        <v>12.0</v>
      </c>
      <c r="Q299" s="55">
        <v>0.0</v>
      </c>
      <c r="R299" s="55">
        <v>29195.0</v>
      </c>
      <c r="S299" s="55">
        <v>76804.0</v>
      </c>
      <c r="T299" s="55">
        <v>2.75972222222222</v>
      </c>
      <c r="U299" s="55">
        <v>1.91527777777777</v>
      </c>
      <c r="V299" s="55">
        <v>0.690277777777777</v>
      </c>
      <c r="W299" s="55">
        <v>2.61777777777777</v>
      </c>
      <c r="X299" s="55">
        <v>0.844444444444444</v>
      </c>
      <c r="Y299" s="55">
        <v>2.82611111111111</v>
      </c>
      <c r="Z299" s="55">
        <v>0.863888888888888</v>
      </c>
      <c r="AA299" s="55">
        <v>0.0</v>
      </c>
      <c r="AB299" s="55">
        <v>2.57888888888888</v>
      </c>
      <c r="AC299" s="55">
        <v>2.57888888888888</v>
      </c>
      <c r="AD299" s="55">
        <v>1.28083333333333</v>
      </c>
      <c r="AE299" s="55">
        <v>2.57888888888888</v>
      </c>
      <c r="AF299" s="55">
        <v>13.0</v>
      </c>
    </row>
    <row r="300">
      <c r="A300" s="56">
        <v>45922.0</v>
      </c>
      <c r="B300" s="55" t="s">
        <v>54</v>
      </c>
      <c r="C300" s="55" t="s">
        <v>160</v>
      </c>
      <c r="D300" s="55">
        <v>7.0</v>
      </c>
      <c r="E300" s="55">
        <v>5.0</v>
      </c>
      <c r="F300" s="55">
        <v>0.0</v>
      </c>
      <c r="G300" s="55">
        <v>0.0</v>
      </c>
      <c r="H300" s="55">
        <v>0.0</v>
      </c>
      <c r="I300" s="55">
        <v>0.0</v>
      </c>
      <c r="J300" s="55">
        <v>0.0</v>
      </c>
      <c r="K300" s="55">
        <v>0.0</v>
      </c>
      <c r="L300" s="55">
        <v>0.0</v>
      </c>
      <c r="M300" s="55">
        <v>0.0</v>
      </c>
      <c r="N300" s="55">
        <v>0.0</v>
      </c>
      <c r="O300" s="55">
        <v>0.0</v>
      </c>
      <c r="P300" s="55">
        <v>0.0</v>
      </c>
      <c r="Q300" s="55">
        <v>0.0</v>
      </c>
      <c r="R300" s="55">
        <v>15414.0</v>
      </c>
      <c r="S300" s="55">
        <v>10924.0</v>
      </c>
      <c r="T300" s="55">
        <v>0.712222222222222</v>
      </c>
      <c r="U300" s="55">
        <v>0.0</v>
      </c>
      <c r="V300" s="55">
        <v>0.0</v>
      </c>
      <c r="W300" s="55">
        <v>0.0</v>
      </c>
      <c r="X300" s="55">
        <v>0.0</v>
      </c>
      <c r="Y300" s="55">
        <v>0.0</v>
      </c>
      <c r="Z300" s="55">
        <v>0.0</v>
      </c>
      <c r="AA300" s="55">
        <v>0.0</v>
      </c>
      <c r="AB300" s="55">
        <v>0.0</v>
      </c>
      <c r="AC300" s="55">
        <v>0.0</v>
      </c>
      <c r="AD300" s="55">
        <v>0.0</v>
      </c>
      <c r="AE300" s="55">
        <v>0.0</v>
      </c>
      <c r="AF300" s="55">
        <v>3.0</v>
      </c>
    </row>
    <row r="301">
      <c r="A301" s="56">
        <v>45922.0</v>
      </c>
      <c r="B301" s="55" t="s">
        <v>24</v>
      </c>
      <c r="C301" s="55" t="s">
        <v>161</v>
      </c>
      <c r="D301" s="55">
        <v>15.0</v>
      </c>
      <c r="E301" s="55">
        <v>10.0</v>
      </c>
      <c r="F301" s="55">
        <v>11.0</v>
      </c>
      <c r="G301" s="55">
        <v>11.0</v>
      </c>
      <c r="H301" s="55">
        <v>15.0</v>
      </c>
      <c r="I301" s="55">
        <v>4.0</v>
      </c>
      <c r="J301" s="55">
        <v>15.0</v>
      </c>
      <c r="K301" s="55">
        <v>4.0</v>
      </c>
      <c r="L301" s="55">
        <v>4.0</v>
      </c>
      <c r="M301" s="55">
        <v>16.0</v>
      </c>
      <c r="N301" s="55">
        <v>16.0</v>
      </c>
      <c r="O301" s="55">
        <v>6.0</v>
      </c>
      <c r="P301" s="55">
        <v>16.0</v>
      </c>
      <c r="Q301" s="55">
        <v>0.0</v>
      </c>
      <c r="R301" s="55">
        <v>32882.0</v>
      </c>
      <c r="S301" s="55">
        <v>20307.0</v>
      </c>
      <c r="T301" s="55">
        <v>3.05055555555555</v>
      </c>
      <c r="U301" s="55">
        <v>2.21972222222222</v>
      </c>
      <c r="V301" s="55">
        <v>2.26083333333333</v>
      </c>
      <c r="W301" s="55">
        <v>3.09388888888888</v>
      </c>
      <c r="X301" s="55">
        <v>0.833055555555555</v>
      </c>
      <c r="Y301" s="55">
        <v>3.08888888888888</v>
      </c>
      <c r="Z301" s="55">
        <v>0.786388888888888</v>
      </c>
      <c r="AA301" s="55">
        <v>0.786388888888888</v>
      </c>
      <c r="AB301" s="55">
        <v>3.28138888888888</v>
      </c>
      <c r="AC301" s="55">
        <v>3.28138888888888</v>
      </c>
      <c r="AD301" s="55">
        <v>1.12027777777777</v>
      </c>
      <c r="AE301" s="55">
        <v>3.28138888888888</v>
      </c>
      <c r="AF301" s="55">
        <v>15.0</v>
      </c>
    </row>
    <row r="302">
      <c r="A302" s="56">
        <v>45915.0</v>
      </c>
      <c r="B302" s="55" t="s">
        <v>74</v>
      </c>
      <c r="C302" s="55" t="s">
        <v>150</v>
      </c>
      <c r="D302" s="55">
        <v>25.0</v>
      </c>
      <c r="E302" s="55">
        <v>15.0</v>
      </c>
      <c r="F302" s="55">
        <v>16.0</v>
      </c>
      <c r="G302" s="55">
        <v>5.0</v>
      </c>
      <c r="H302" s="55">
        <v>16.0</v>
      </c>
      <c r="I302" s="55">
        <v>6.0</v>
      </c>
      <c r="J302" s="55">
        <v>15.0</v>
      </c>
      <c r="K302" s="55">
        <v>0.0</v>
      </c>
      <c r="L302" s="55">
        <v>0.0</v>
      </c>
      <c r="M302" s="55">
        <v>15.0</v>
      </c>
      <c r="N302" s="55">
        <v>15.0</v>
      </c>
      <c r="O302" s="55">
        <v>4.0</v>
      </c>
      <c r="P302" s="55">
        <v>15.0</v>
      </c>
      <c r="Q302" s="55">
        <v>0.0</v>
      </c>
      <c r="R302" s="55">
        <v>59431.0</v>
      </c>
      <c r="S302" s="55">
        <v>36228.0</v>
      </c>
      <c r="T302" s="55">
        <v>3.1375</v>
      </c>
      <c r="U302" s="55">
        <v>3.79694444444444</v>
      </c>
      <c r="V302" s="55">
        <v>1.18361111111111</v>
      </c>
      <c r="W302" s="55">
        <v>3.80305555555555</v>
      </c>
      <c r="X302" s="55">
        <v>1.47083333333333</v>
      </c>
      <c r="Y302" s="55">
        <v>3.57499999999999</v>
      </c>
      <c r="Z302" s="55">
        <v>0.0</v>
      </c>
      <c r="AA302" s="55">
        <v>0.0</v>
      </c>
      <c r="AB302" s="55">
        <v>3.57499999999999</v>
      </c>
      <c r="AC302" s="55">
        <v>3.575</v>
      </c>
      <c r="AD302" s="55">
        <v>0.978888888888888</v>
      </c>
      <c r="AE302" s="55">
        <v>3.575</v>
      </c>
      <c r="AF302" s="55">
        <v>13.0</v>
      </c>
    </row>
    <row r="303">
      <c r="A303" s="56">
        <v>45915.0</v>
      </c>
      <c r="B303" s="55" t="s">
        <v>30</v>
      </c>
      <c r="C303" s="55" t="s">
        <v>153</v>
      </c>
      <c r="D303" s="55">
        <v>15.0</v>
      </c>
      <c r="E303" s="55">
        <v>13.0</v>
      </c>
      <c r="F303" s="55">
        <v>11.0</v>
      </c>
      <c r="G303" s="55">
        <v>0.0</v>
      </c>
      <c r="H303" s="55">
        <v>16.0</v>
      </c>
      <c r="I303" s="55">
        <v>7.0</v>
      </c>
      <c r="J303" s="55">
        <v>17.0</v>
      </c>
      <c r="K303" s="55">
        <v>5.0</v>
      </c>
      <c r="L303" s="55">
        <v>0.0</v>
      </c>
      <c r="M303" s="55">
        <v>17.0</v>
      </c>
      <c r="N303" s="55">
        <v>17.0</v>
      </c>
      <c r="O303" s="55">
        <v>5.0</v>
      </c>
      <c r="P303" s="55">
        <v>17.0</v>
      </c>
      <c r="Q303" s="55">
        <v>0.0</v>
      </c>
      <c r="R303" s="55">
        <v>32872.0</v>
      </c>
      <c r="S303" s="55">
        <v>28015.0</v>
      </c>
      <c r="T303" s="55">
        <v>3.80916666666666</v>
      </c>
      <c r="U303" s="55">
        <v>2.30027777777777</v>
      </c>
      <c r="V303" s="55">
        <v>0.0</v>
      </c>
      <c r="W303" s="55">
        <v>3.38027777777777</v>
      </c>
      <c r="X303" s="55">
        <v>1.50888888888888</v>
      </c>
      <c r="Y303" s="55">
        <v>3.61222222222222</v>
      </c>
      <c r="Z303" s="55">
        <v>1.07472222222222</v>
      </c>
      <c r="AA303" s="55">
        <v>0.0</v>
      </c>
      <c r="AB303" s="55">
        <v>3.625</v>
      </c>
      <c r="AC303" s="55">
        <v>3.625</v>
      </c>
      <c r="AD303" s="55">
        <v>0.976388888888888</v>
      </c>
      <c r="AE303" s="55">
        <v>3.625</v>
      </c>
      <c r="AF303" s="55">
        <v>18.0</v>
      </c>
    </row>
    <row r="304">
      <c r="A304" s="56">
        <v>45915.0</v>
      </c>
      <c r="B304" s="55" t="s">
        <v>54</v>
      </c>
      <c r="C304" s="55" t="s">
        <v>160</v>
      </c>
      <c r="D304" s="55">
        <v>5.0</v>
      </c>
      <c r="E304" s="55">
        <v>5.0</v>
      </c>
      <c r="F304" s="55">
        <v>0.0</v>
      </c>
      <c r="G304" s="55">
        <v>0.0</v>
      </c>
      <c r="H304" s="55">
        <v>0.0</v>
      </c>
      <c r="I304" s="55">
        <v>0.0</v>
      </c>
      <c r="J304" s="55">
        <v>0.0</v>
      </c>
      <c r="K304" s="55">
        <v>0.0</v>
      </c>
      <c r="L304" s="55">
        <v>0.0</v>
      </c>
      <c r="M304" s="55">
        <v>0.0</v>
      </c>
      <c r="N304" s="55">
        <v>0.0</v>
      </c>
      <c r="O304" s="55">
        <v>0.0</v>
      </c>
      <c r="P304" s="55">
        <v>0.0</v>
      </c>
      <c r="Q304" s="55">
        <v>0.0</v>
      </c>
      <c r="R304" s="55">
        <v>10934.0</v>
      </c>
      <c r="S304" s="55">
        <v>10934.0</v>
      </c>
      <c r="T304" s="55">
        <v>0.0</v>
      </c>
      <c r="U304" s="55">
        <v>0.0</v>
      </c>
      <c r="V304" s="55">
        <v>0.0</v>
      </c>
      <c r="W304" s="55">
        <v>0.0</v>
      </c>
      <c r="X304" s="55">
        <v>0.0</v>
      </c>
      <c r="Y304" s="55">
        <v>0.0</v>
      </c>
      <c r="Z304" s="55">
        <v>0.0</v>
      </c>
      <c r="AA304" s="55">
        <v>0.0</v>
      </c>
      <c r="AB304" s="55">
        <v>0.0</v>
      </c>
      <c r="AC304" s="55">
        <v>0.0</v>
      </c>
      <c r="AD304" s="55">
        <v>0.0</v>
      </c>
      <c r="AE304" s="55">
        <v>0.0</v>
      </c>
      <c r="AF304" s="55">
        <v>0.0</v>
      </c>
    </row>
    <row r="305">
      <c r="A305" s="56">
        <v>45915.0</v>
      </c>
      <c r="B305" s="55" t="s">
        <v>24</v>
      </c>
      <c r="C305" s="55" t="s">
        <v>161</v>
      </c>
      <c r="D305" s="55">
        <v>15.0</v>
      </c>
      <c r="E305" s="55">
        <v>15.0</v>
      </c>
      <c r="F305" s="55">
        <v>12.0</v>
      </c>
      <c r="G305" s="55">
        <v>12.0</v>
      </c>
      <c r="H305" s="55">
        <v>17.0</v>
      </c>
      <c r="I305" s="55">
        <v>5.0</v>
      </c>
      <c r="J305" s="55">
        <v>16.0</v>
      </c>
      <c r="K305" s="55">
        <v>9.0</v>
      </c>
      <c r="L305" s="55">
        <v>3.0</v>
      </c>
      <c r="M305" s="55">
        <v>19.0</v>
      </c>
      <c r="N305" s="55">
        <v>23.0</v>
      </c>
      <c r="O305" s="55">
        <v>5.0</v>
      </c>
      <c r="P305" s="55">
        <v>23.0</v>
      </c>
      <c r="Q305" s="55">
        <v>0.0</v>
      </c>
      <c r="R305" s="55">
        <v>32877.0</v>
      </c>
      <c r="S305" s="55">
        <v>33254.0</v>
      </c>
      <c r="T305" s="55">
        <v>3.07777777777777</v>
      </c>
      <c r="U305" s="55">
        <v>2.31972222222222</v>
      </c>
      <c r="V305" s="55">
        <v>2.36694444444444</v>
      </c>
      <c r="W305" s="55">
        <v>3.335</v>
      </c>
      <c r="X305" s="55">
        <v>0.968055555555555</v>
      </c>
      <c r="Y305" s="55">
        <v>3.15666666666666</v>
      </c>
      <c r="Z305" s="55">
        <v>1.74638888888888</v>
      </c>
      <c r="AA305" s="55">
        <v>0.556944444444444</v>
      </c>
      <c r="AB305" s="55">
        <v>3.72194444444444</v>
      </c>
      <c r="AC305" s="55">
        <v>4.51305555555555</v>
      </c>
      <c r="AD305" s="55">
        <v>1.00111111111111</v>
      </c>
      <c r="AE305" s="55">
        <v>4.51305555555555</v>
      </c>
      <c r="AF305" s="55">
        <v>16.0</v>
      </c>
    </row>
    <row r="306">
      <c r="A306" s="56">
        <v>45908.0</v>
      </c>
      <c r="B306" s="55" t="s">
        <v>74</v>
      </c>
      <c r="C306" s="55" t="s">
        <v>150</v>
      </c>
      <c r="D306" s="55">
        <v>268.0</v>
      </c>
      <c r="E306" s="55">
        <v>172.0</v>
      </c>
      <c r="F306" s="55">
        <v>0.0</v>
      </c>
      <c r="G306" s="55">
        <v>0.0</v>
      </c>
      <c r="H306" s="55">
        <v>0.0</v>
      </c>
      <c r="I306" s="55">
        <v>0.0</v>
      </c>
      <c r="J306" s="55">
        <v>0.0</v>
      </c>
      <c r="K306" s="55">
        <v>0.0</v>
      </c>
      <c r="L306" s="55">
        <v>0.0</v>
      </c>
      <c r="M306" s="55">
        <v>0.0</v>
      </c>
      <c r="N306" s="55">
        <v>13.0</v>
      </c>
      <c r="O306" s="55">
        <v>13.0</v>
      </c>
      <c r="P306" s="55">
        <v>157.0</v>
      </c>
      <c r="Q306" s="55">
        <v>0.0</v>
      </c>
      <c r="R306" s="55">
        <v>442346.0</v>
      </c>
      <c r="S306" s="55">
        <v>367202.0</v>
      </c>
      <c r="T306" s="55">
        <v>3.14138888888888</v>
      </c>
      <c r="U306" s="55">
        <v>0.0</v>
      </c>
      <c r="V306" s="55">
        <v>0.0</v>
      </c>
      <c r="W306" s="55">
        <v>0.0</v>
      </c>
      <c r="X306" s="55">
        <v>0.0</v>
      </c>
      <c r="Y306" s="55">
        <v>0.0</v>
      </c>
      <c r="Z306" s="55">
        <v>0.0</v>
      </c>
      <c r="AA306" s="55">
        <v>0.0</v>
      </c>
      <c r="AB306" s="55">
        <v>0.0</v>
      </c>
      <c r="AC306" s="55">
        <v>3.15333333333333</v>
      </c>
      <c r="AD306" s="55">
        <v>3.15333333333333</v>
      </c>
      <c r="AE306" s="55">
        <v>37.4366666666666</v>
      </c>
      <c r="AF306" s="55">
        <v>13.0</v>
      </c>
    </row>
    <row r="307">
      <c r="A307" s="56">
        <v>45908.0</v>
      </c>
      <c r="B307" s="55" t="s">
        <v>30</v>
      </c>
      <c r="C307" s="55" t="s">
        <v>153</v>
      </c>
      <c r="D307" s="55">
        <v>15.0</v>
      </c>
      <c r="E307" s="55">
        <v>15.0</v>
      </c>
      <c r="F307" s="55">
        <v>6.0</v>
      </c>
      <c r="G307" s="55">
        <v>0.0</v>
      </c>
      <c r="H307" s="55">
        <v>17.0</v>
      </c>
      <c r="I307" s="55">
        <v>7.0</v>
      </c>
      <c r="J307" s="55">
        <v>14.0</v>
      </c>
      <c r="K307" s="55">
        <v>13.0</v>
      </c>
      <c r="L307" s="55">
        <v>0.0</v>
      </c>
      <c r="M307" s="55">
        <v>14.0</v>
      </c>
      <c r="N307" s="55">
        <v>16.0</v>
      </c>
      <c r="O307" s="55">
        <v>7.0</v>
      </c>
      <c r="P307" s="55">
        <v>16.0</v>
      </c>
      <c r="Q307" s="55">
        <v>0.0</v>
      </c>
      <c r="R307" s="55">
        <v>33170.0</v>
      </c>
      <c r="S307" s="55">
        <v>32256.0</v>
      </c>
      <c r="T307" s="55">
        <v>2.64222222222222</v>
      </c>
      <c r="U307" s="55">
        <v>1.31416666666666</v>
      </c>
      <c r="V307" s="55">
        <v>0.0</v>
      </c>
      <c r="W307" s="55">
        <v>3.86361111111111</v>
      </c>
      <c r="X307" s="55">
        <v>1.55583333333333</v>
      </c>
      <c r="Y307" s="55">
        <v>3.22555555555555</v>
      </c>
      <c r="Z307" s="55">
        <v>2.98027777777777</v>
      </c>
      <c r="AA307" s="55">
        <v>0.0</v>
      </c>
      <c r="AB307" s="55">
        <v>3.23694444444444</v>
      </c>
      <c r="AC307" s="55">
        <v>3.71583333333333</v>
      </c>
      <c r="AD307" s="55">
        <v>1.46277777777777</v>
      </c>
      <c r="AE307" s="55">
        <v>3.71583333333333</v>
      </c>
      <c r="AF307" s="55">
        <v>12.0</v>
      </c>
    </row>
    <row r="308">
      <c r="A308" s="56">
        <v>45908.0</v>
      </c>
      <c r="B308" s="55" t="s">
        <v>24</v>
      </c>
      <c r="C308" s="55" t="s">
        <v>161</v>
      </c>
      <c r="D308" s="55">
        <v>17.0</v>
      </c>
      <c r="E308" s="55">
        <v>17.0</v>
      </c>
      <c r="F308" s="55">
        <v>13.0</v>
      </c>
      <c r="G308" s="55">
        <v>12.0</v>
      </c>
      <c r="H308" s="55">
        <v>13.0</v>
      </c>
      <c r="I308" s="55">
        <v>3.0</v>
      </c>
      <c r="J308" s="55">
        <v>14.0</v>
      </c>
      <c r="K308" s="55">
        <v>3.0</v>
      </c>
      <c r="L308" s="55">
        <v>1.0</v>
      </c>
      <c r="M308" s="55">
        <v>11.0</v>
      </c>
      <c r="N308" s="55">
        <v>12.0</v>
      </c>
      <c r="O308" s="55">
        <v>6.0</v>
      </c>
      <c r="P308" s="55">
        <v>12.0</v>
      </c>
      <c r="Q308" s="55">
        <v>0.0</v>
      </c>
      <c r="R308" s="55">
        <v>38258.0</v>
      </c>
      <c r="S308" s="55">
        <v>37102.0</v>
      </c>
      <c r="T308" s="55">
        <v>3.14583333333333</v>
      </c>
      <c r="U308" s="55">
        <v>2.53888888888888</v>
      </c>
      <c r="V308" s="55">
        <v>2.35638888888888</v>
      </c>
      <c r="W308" s="55">
        <v>2.54</v>
      </c>
      <c r="X308" s="55">
        <v>0.557777777777777</v>
      </c>
      <c r="Y308" s="55">
        <v>2.74361111111111</v>
      </c>
      <c r="Z308" s="55">
        <v>0.574444444444444</v>
      </c>
      <c r="AA308" s="55">
        <v>0.186111111111111</v>
      </c>
      <c r="AB308" s="55">
        <v>2.18083333333333</v>
      </c>
      <c r="AC308" s="55">
        <v>2.3925</v>
      </c>
      <c r="AD308" s="55">
        <v>1.29083333333333</v>
      </c>
      <c r="AE308" s="55">
        <v>2.3925</v>
      </c>
      <c r="AF308" s="55">
        <v>16.0</v>
      </c>
    </row>
    <row r="309">
      <c r="A309" s="56">
        <v>45901.0</v>
      </c>
      <c r="B309" s="55" t="s">
        <v>30</v>
      </c>
      <c r="C309" s="55" t="s">
        <v>153</v>
      </c>
      <c r="D309" s="55">
        <v>17.0</v>
      </c>
      <c r="E309" s="55">
        <v>11.0</v>
      </c>
      <c r="F309" s="55">
        <v>13.0</v>
      </c>
      <c r="G309" s="55">
        <v>1.0</v>
      </c>
      <c r="H309" s="55">
        <v>14.0</v>
      </c>
      <c r="I309" s="55">
        <v>4.0</v>
      </c>
      <c r="J309" s="55">
        <v>14.0</v>
      </c>
      <c r="K309" s="55">
        <v>10.0</v>
      </c>
      <c r="L309" s="55">
        <v>0.0</v>
      </c>
      <c r="M309" s="55">
        <v>13.0</v>
      </c>
      <c r="N309" s="55">
        <v>13.0</v>
      </c>
      <c r="O309" s="55">
        <v>5.0</v>
      </c>
      <c r="P309" s="55">
        <v>13.0</v>
      </c>
      <c r="Q309" s="55">
        <v>0.0</v>
      </c>
      <c r="R309" s="55">
        <v>35367.0</v>
      </c>
      <c r="S309" s="55">
        <v>25332.0</v>
      </c>
      <c r="T309" s="55">
        <v>3.96888888888888</v>
      </c>
      <c r="U309" s="55">
        <v>3.02861111111111</v>
      </c>
      <c r="V309" s="55">
        <v>0.220277777777777</v>
      </c>
      <c r="W309" s="55">
        <v>3.20888888888888</v>
      </c>
      <c r="X309" s="55">
        <v>0.940277777777777</v>
      </c>
      <c r="Y309" s="55">
        <v>3.17</v>
      </c>
      <c r="Z309" s="55">
        <v>2.25305555555555</v>
      </c>
      <c r="AA309" s="55">
        <v>0.0</v>
      </c>
      <c r="AB309" s="55">
        <v>2.93694444444444</v>
      </c>
      <c r="AC309" s="55">
        <v>2.9025</v>
      </c>
      <c r="AD309" s="55">
        <v>1.10583333333333</v>
      </c>
      <c r="AE309" s="55">
        <v>2.9025</v>
      </c>
      <c r="AF309" s="55">
        <v>17.0</v>
      </c>
    </row>
    <row r="310">
      <c r="A310" s="56">
        <v>45901.0</v>
      </c>
      <c r="B310" s="55" t="s">
        <v>24</v>
      </c>
      <c r="C310" s="55" t="s">
        <v>161</v>
      </c>
      <c r="D310" s="55">
        <v>14.0</v>
      </c>
      <c r="E310" s="55">
        <v>18.0</v>
      </c>
      <c r="F310" s="55">
        <v>14.0</v>
      </c>
      <c r="G310" s="55">
        <v>14.0</v>
      </c>
      <c r="H310" s="55">
        <v>17.0</v>
      </c>
      <c r="I310" s="55">
        <v>3.0</v>
      </c>
      <c r="J310" s="55">
        <v>16.0</v>
      </c>
      <c r="K310" s="55">
        <v>7.0</v>
      </c>
      <c r="L310" s="55">
        <v>4.0</v>
      </c>
      <c r="M310" s="55">
        <v>15.0</v>
      </c>
      <c r="N310" s="55">
        <v>10.0</v>
      </c>
      <c r="O310" s="55">
        <v>7.0</v>
      </c>
      <c r="P310" s="55">
        <v>10.0</v>
      </c>
      <c r="Q310" s="55">
        <v>0.0</v>
      </c>
      <c r="R310" s="55">
        <v>31735.0</v>
      </c>
      <c r="S310" s="55">
        <v>38144.0</v>
      </c>
      <c r="T310" s="55">
        <v>2.67638888888888</v>
      </c>
      <c r="U310" s="55">
        <v>2.93472222222222</v>
      </c>
      <c r="V310" s="55">
        <v>2.9425</v>
      </c>
      <c r="W310" s="55">
        <v>3.50805555555555</v>
      </c>
      <c r="X310" s="55">
        <v>0.565555555555555</v>
      </c>
      <c r="Y310" s="55">
        <v>3.31888888888888</v>
      </c>
      <c r="Z310" s="55">
        <v>1.47416666666666</v>
      </c>
      <c r="AA310" s="55">
        <v>0.823055555555555</v>
      </c>
      <c r="AB310" s="55">
        <v>3.13277777777777</v>
      </c>
      <c r="AC310" s="55">
        <v>2.12055555555555</v>
      </c>
      <c r="AD310" s="55">
        <v>1.55083333333333</v>
      </c>
      <c r="AE310" s="55">
        <v>2.12055555555555</v>
      </c>
      <c r="AF310" s="55">
        <v>13.0</v>
      </c>
    </row>
    <row r="311">
      <c r="A311" s="56">
        <v>45894.0</v>
      </c>
      <c r="B311" s="55" t="s">
        <v>30</v>
      </c>
      <c r="C311" s="55" t="s">
        <v>153</v>
      </c>
      <c r="D311" s="55">
        <v>27.0</v>
      </c>
      <c r="E311" s="55">
        <v>24.0</v>
      </c>
      <c r="F311" s="55">
        <v>6.0</v>
      </c>
      <c r="G311" s="55">
        <v>0.0</v>
      </c>
      <c r="H311" s="55">
        <v>13.0</v>
      </c>
      <c r="I311" s="55">
        <v>10.0</v>
      </c>
      <c r="J311" s="55">
        <v>14.0</v>
      </c>
      <c r="K311" s="55">
        <v>6.0</v>
      </c>
      <c r="L311" s="55">
        <v>0.0</v>
      </c>
      <c r="M311" s="55">
        <v>15.0</v>
      </c>
      <c r="N311" s="55">
        <v>13.0</v>
      </c>
      <c r="O311" s="55">
        <v>7.0</v>
      </c>
      <c r="P311" s="55">
        <v>13.0</v>
      </c>
      <c r="Q311" s="55">
        <v>0.0</v>
      </c>
      <c r="R311" s="55">
        <v>61456.0</v>
      </c>
      <c r="S311" s="55">
        <v>53139.0</v>
      </c>
      <c r="T311" s="55">
        <v>2.14666666666666</v>
      </c>
      <c r="U311" s="55">
        <v>1.30638888888888</v>
      </c>
      <c r="V311" s="55">
        <v>0.0</v>
      </c>
      <c r="W311" s="55">
        <v>2.70416666666666</v>
      </c>
      <c r="X311" s="55">
        <v>2.06305555555555</v>
      </c>
      <c r="Y311" s="55">
        <v>2.88944444444444</v>
      </c>
      <c r="Z311" s="55">
        <v>1.25416666666666</v>
      </c>
      <c r="AA311" s="55">
        <v>0.0</v>
      </c>
      <c r="AB311" s="55">
        <v>3.09666666666666</v>
      </c>
      <c r="AC311" s="55">
        <v>2.65222222222222</v>
      </c>
      <c r="AD311" s="55">
        <v>1.48333333333333</v>
      </c>
      <c r="AE311" s="55">
        <v>2.65222222222222</v>
      </c>
      <c r="AF311" s="55">
        <v>10.0</v>
      </c>
    </row>
    <row r="312">
      <c r="A312" s="56">
        <v>45894.0</v>
      </c>
      <c r="B312" s="55" t="s">
        <v>24</v>
      </c>
      <c r="C312" s="55" t="s">
        <v>161</v>
      </c>
      <c r="D312" s="55">
        <v>10.0</v>
      </c>
      <c r="E312" s="55">
        <v>7.0</v>
      </c>
      <c r="F312" s="55">
        <v>5.0</v>
      </c>
      <c r="G312" s="55">
        <v>12.0</v>
      </c>
      <c r="H312" s="55">
        <v>13.0</v>
      </c>
      <c r="I312" s="55">
        <v>1.0</v>
      </c>
      <c r="J312" s="55">
        <v>13.0</v>
      </c>
      <c r="K312" s="55">
        <v>5.0</v>
      </c>
      <c r="L312" s="55">
        <v>8.0</v>
      </c>
      <c r="M312" s="55">
        <v>16.0</v>
      </c>
      <c r="N312" s="55">
        <v>18.0</v>
      </c>
      <c r="O312" s="55">
        <v>6.0</v>
      </c>
      <c r="P312" s="55">
        <v>18.0</v>
      </c>
      <c r="Q312" s="55">
        <v>0.0</v>
      </c>
      <c r="R312" s="55">
        <v>22179.0</v>
      </c>
      <c r="S312" s="55">
        <v>17264.0</v>
      </c>
      <c r="T312" s="55">
        <v>1.37888888888888</v>
      </c>
      <c r="U312" s="55">
        <v>0.953611111111111</v>
      </c>
      <c r="V312" s="55">
        <v>2.31</v>
      </c>
      <c r="W312" s="55">
        <v>2.47722222222222</v>
      </c>
      <c r="X312" s="55">
        <v>0.167222222222222</v>
      </c>
      <c r="Y312" s="55">
        <v>2.47694444444444</v>
      </c>
      <c r="Z312" s="55">
        <v>0.970277777777777</v>
      </c>
      <c r="AA312" s="55">
        <v>1.595</v>
      </c>
      <c r="AB312" s="55">
        <v>3.1025</v>
      </c>
      <c r="AC312" s="55">
        <v>3.53555555555555</v>
      </c>
      <c r="AD312" s="55">
        <v>1.40444444444444</v>
      </c>
      <c r="AE312" s="55">
        <v>3.53555555555555</v>
      </c>
      <c r="AF312" s="55">
        <v>7.0</v>
      </c>
    </row>
    <row r="313">
      <c r="A313" s="56">
        <v>45887.0</v>
      </c>
      <c r="B313" s="55" t="s">
        <v>30</v>
      </c>
      <c r="C313" s="55" t="s">
        <v>153</v>
      </c>
      <c r="D313" s="55">
        <v>14.0</v>
      </c>
      <c r="E313" s="55">
        <v>2.0</v>
      </c>
      <c r="F313" s="55">
        <v>8.0</v>
      </c>
      <c r="G313" s="55">
        <v>1.0</v>
      </c>
      <c r="H313" s="55">
        <v>16.0</v>
      </c>
      <c r="I313" s="55">
        <v>5.0</v>
      </c>
      <c r="J313" s="55">
        <v>16.0</v>
      </c>
      <c r="K313" s="55">
        <v>12.0</v>
      </c>
      <c r="L313" s="55">
        <v>0.0</v>
      </c>
      <c r="M313" s="55">
        <v>16.0</v>
      </c>
      <c r="N313" s="55">
        <v>19.0</v>
      </c>
      <c r="O313" s="55">
        <v>6.0</v>
      </c>
      <c r="P313" s="55">
        <v>19.0</v>
      </c>
      <c r="Q313" s="55">
        <v>0.0</v>
      </c>
      <c r="R313" s="55">
        <v>30547.0</v>
      </c>
      <c r="S313" s="55">
        <v>4123.0</v>
      </c>
      <c r="T313" s="55">
        <v>3.54777777777777</v>
      </c>
      <c r="U313" s="55">
        <v>1.70222222222222</v>
      </c>
      <c r="V313" s="55">
        <v>0.2075</v>
      </c>
      <c r="W313" s="55">
        <v>3.29666666666666</v>
      </c>
      <c r="X313" s="55">
        <v>1.03666666666666</v>
      </c>
      <c r="Y313" s="55">
        <v>3.29972222222222</v>
      </c>
      <c r="Z313" s="55">
        <v>2.45055555555555</v>
      </c>
      <c r="AA313" s="55">
        <v>0.0</v>
      </c>
      <c r="AB313" s="55">
        <v>3.31027777777777</v>
      </c>
      <c r="AC313" s="55">
        <v>3.94277777777777</v>
      </c>
      <c r="AD313" s="55">
        <v>1.2225</v>
      </c>
      <c r="AE313" s="55">
        <v>3.94277777777777</v>
      </c>
      <c r="AF313" s="55">
        <v>17.0</v>
      </c>
    </row>
    <row r="314">
      <c r="A314" s="56">
        <v>45887.0</v>
      </c>
      <c r="B314" s="55" t="s">
        <v>24</v>
      </c>
      <c r="C314" s="55" t="s">
        <v>161</v>
      </c>
      <c r="D314" s="55">
        <v>15.0</v>
      </c>
      <c r="E314" s="55">
        <v>9.0</v>
      </c>
      <c r="F314" s="55">
        <v>10.0</v>
      </c>
      <c r="G314" s="55">
        <v>7.0</v>
      </c>
      <c r="H314" s="55">
        <v>9.0</v>
      </c>
      <c r="I314" s="55">
        <v>2.0</v>
      </c>
      <c r="J314" s="55">
        <v>14.0</v>
      </c>
      <c r="K314" s="55">
        <v>12.0</v>
      </c>
      <c r="L314" s="55">
        <v>9.0</v>
      </c>
      <c r="M314" s="55">
        <v>17.0</v>
      </c>
      <c r="N314" s="55">
        <v>16.0</v>
      </c>
      <c r="O314" s="55">
        <v>7.0</v>
      </c>
      <c r="P314" s="55">
        <v>16.0</v>
      </c>
      <c r="Q314" s="55">
        <v>0.0</v>
      </c>
      <c r="R314" s="55">
        <v>32903.0</v>
      </c>
      <c r="S314" s="55">
        <v>19141.0</v>
      </c>
      <c r="T314" s="55">
        <v>2.12916666666666</v>
      </c>
      <c r="U314" s="55">
        <v>1.98833333333333</v>
      </c>
      <c r="V314" s="55">
        <v>1.55611111111111</v>
      </c>
      <c r="W314" s="55">
        <v>1.96361111111111</v>
      </c>
      <c r="X314" s="55">
        <v>0.4075</v>
      </c>
      <c r="Y314" s="55">
        <v>3.02111111111111</v>
      </c>
      <c r="Z314" s="55">
        <v>2.58777777777777</v>
      </c>
      <c r="AA314" s="55">
        <v>1.96305555555555</v>
      </c>
      <c r="AB314" s="55">
        <v>3.71222222222222</v>
      </c>
      <c r="AC314" s="55">
        <v>3.52666666666666</v>
      </c>
      <c r="AD314" s="55">
        <v>1.65777777777777</v>
      </c>
      <c r="AE314" s="55">
        <v>3.52666666666666</v>
      </c>
      <c r="AF314" s="55">
        <v>11.0</v>
      </c>
    </row>
    <row r="315">
      <c r="A315" s="56">
        <v>45880.0</v>
      </c>
      <c r="B315" s="55" t="s">
        <v>30</v>
      </c>
      <c r="C315" s="55" t="s">
        <v>153</v>
      </c>
      <c r="D315" s="55">
        <v>6.0</v>
      </c>
      <c r="E315" s="55">
        <v>9.0</v>
      </c>
      <c r="F315" s="55">
        <v>7.0</v>
      </c>
      <c r="G315" s="55">
        <v>0.0</v>
      </c>
      <c r="H315" s="55">
        <v>12.0</v>
      </c>
      <c r="I315" s="55">
        <v>8.0</v>
      </c>
      <c r="J315" s="55">
        <v>10.0</v>
      </c>
      <c r="K315" s="55">
        <v>6.0</v>
      </c>
      <c r="L315" s="55">
        <v>0.0</v>
      </c>
      <c r="M315" s="55">
        <v>9.0</v>
      </c>
      <c r="N315" s="55">
        <v>8.0</v>
      </c>
      <c r="O315" s="55">
        <v>5.0</v>
      </c>
      <c r="P315" s="55">
        <v>8.0</v>
      </c>
      <c r="Q315" s="55">
        <v>0.0</v>
      </c>
      <c r="R315" s="55">
        <v>12743.0</v>
      </c>
      <c r="S315" s="55">
        <v>18600.0</v>
      </c>
      <c r="T315" s="55">
        <v>3.10305555555555</v>
      </c>
      <c r="U315" s="55">
        <v>1.42472222222222</v>
      </c>
      <c r="V315" s="55">
        <v>0.0</v>
      </c>
      <c r="W315" s="55">
        <v>2.57166666666666</v>
      </c>
      <c r="X315" s="55">
        <v>1.67833333333333</v>
      </c>
      <c r="Y315" s="55">
        <v>2.16166666666666</v>
      </c>
      <c r="Z315" s="55">
        <v>1.27444444444444</v>
      </c>
      <c r="AA315" s="55">
        <v>0.0</v>
      </c>
      <c r="AB315" s="55">
        <v>1.94388888888888</v>
      </c>
      <c r="AC315" s="55">
        <v>1.72222222222222</v>
      </c>
      <c r="AD315" s="55">
        <v>1.08111111111111</v>
      </c>
      <c r="AE315" s="55">
        <v>1.72222222222222</v>
      </c>
      <c r="AF315" s="55">
        <v>15.0</v>
      </c>
    </row>
    <row r="316">
      <c r="A316" s="56">
        <v>45880.0</v>
      </c>
      <c r="B316" s="55" t="s">
        <v>24</v>
      </c>
      <c r="C316" s="55" t="s">
        <v>161</v>
      </c>
      <c r="D316" s="55">
        <v>10.0</v>
      </c>
      <c r="E316" s="55">
        <v>8.0</v>
      </c>
      <c r="F316" s="55">
        <v>5.0</v>
      </c>
      <c r="G316" s="55">
        <v>5.0</v>
      </c>
      <c r="H316" s="55">
        <v>8.0</v>
      </c>
      <c r="I316" s="55">
        <v>3.0</v>
      </c>
      <c r="J316" s="55">
        <v>7.0</v>
      </c>
      <c r="K316" s="55">
        <v>7.0</v>
      </c>
      <c r="L316" s="55">
        <v>11.0</v>
      </c>
      <c r="M316" s="55">
        <v>5.0</v>
      </c>
      <c r="N316" s="55">
        <v>8.0</v>
      </c>
      <c r="O316" s="55">
        <v>5.0</v>
      </c>
      <c r="P316" s="55">
        <v>8.0</v>
      </c>
      <c r="Q316" s="55">
        <v>0.0</v>
      </c>
      <c r="R316" s="55">
        <v>20288.0</v>
      </c>
      <c r="S316" s="55">
        <v>16228.0</v>
      </c>
      <c r="T316" s="55">
        <v>2.57555555555555</v>
      </c>
      <c r="U316" s="55">
        <v>1.12222222222222</v>
      </c>
      <c r="V316" s="55">
        <v>1.06055555555555</v>
      </c>
      <c r="W316" s="55">
        <v>1.68138888888888</v>
      </c>
      <c r="X316" s="55">
        <v>0.620833333333333</v>
      </c>
      <c r="Y316" s="55">
        <v>1.56388888888888</v>
      </c>
      <c r="Z316" s="55">
        <v>1.56388888888888</v>
      </c>
      <c r="AA316" s="55">
        <v>2.55333333333333</v>
      </c>
      <c r="AB316" s="55">
        <v>1.23472222222222</v>
      </c>
      <c r="AC316" s="55">
        <v>1.91083333333333</v>
      </c>
      <c r="AD316" s="55">
        <v>1.24694444444444</v>
      </c>
      <c r="AE316" s="55">
        <v>1.91083333333333</v>
      </c>
      <c r="AF316" s="55">
        <v>12.0</v>
      </c>
    </row>
    <row r="317">
      <c r="A317" s="56">
        <v>45873.0</v>
      </c>
      <c r="B317" s="55" t="s">
        <v>30</v>
      </c>
      <c r="C317" s="55" t="s">
        <v>153</v>
      </c>
      <c r="D317" s="55">
        <v>31.0</v>
      </c>
      <c r="E317" s="55">
        <v>23.0</v>
      </c>
      <c r="F317" s="55">
        <v>2.0</v>
      </c>
      <c r="G317" s="55">
        <v>0.0</v>
      </c>
      <c r="H317" s="55">
        <v>5.0</v>
      </c>
      <c r="I317" s="55">
        <v>2.0</v>
      </c>
      <c r="J317" s="55">
        <v>5.0</v>
      </c>
      <c r="K317" s="55">
        <v>4.0</v>
      </c>
      <c r="L317" s="55">
        <v>0.0</v>
      </c>
      <c r="M317" s="55">
        <v>8.0</v>
      </c>
      <c r="N317" s="55">
        <v>6.0</v>
      </c>
      <c r="O317" s="55">
        <v>6.0</v>
      </c>
      <c r="P317" s="55">
        <v>6.0</v>
      </c>
      <c r="Q317" s="55">
        <v>0.0</v>
      </c>
      <c r="R317" s="55">
        <v>64762.0</v>
      </c>
      <c r="S317" s="55">
        <v>45361.0</v>
      </c>
      <c r="T317" s="55">
        <v>0.870277777777777</v>
      </c>
      <c r="U317" s="55">
        <v>0.457222222222222</v>
      </c>
      <c r="V317" s="55">
        <v>0.0</v>
      </c>
      <c r="W317" s="55">
        <v>1.04749999999999</v>
      </c>
      <c r="X317" s="55">
        <v>0.413055555555555</v>
      </c>
      <c r="Y317" s="55">
        <v>1.04527777777777</v>
      </c>
      <c r="Z317" s="55">
        <v>0.855277777777777</v>
      </c>
      <c r="AA317" s="55">
        <v>0.0</v>
      </c>
      <c r="AB317" s="55">
        <v>1.68611111111111</v>
      </c>
      <c r="AC317" s="55">
        <v>1.27527777777777</v>
      </c>
      <c r="AD317" s="55">
        <v>1.34694444444444</v>
      </c>
      <c r="AE317" s="55">
        <v>1.27527777777777</v>
      </c>
      <c r="AF317" s="55">
        <v>4.0</v>
      </c>
    </row>
    <row r="318">
      <c r="A318" s="56">
        <v>45873.0</v>
      </c>
      <c r="B318" s="55" t="s">
        <v>24</v>
      </c>
      <c r="C318" s="55" t="s">
        <v>161</v>
      </c>
      <c r="D318" s="55">
        <v>6.0</v>
      </c>
      <c r="E318" s="55">
        <v>1.0</v>
      </c>
      <c r="F318" s="55">
        <v>11.0</v>
      </c>
      <c r="G318" s="55">
        <v>15.0</v>
      </c>
      <c r="H318" s="55">
        <v>16.0</v>
      </c>
      <c r="I318" s="55">
        <v>1.0</v>
      </c>
      <c r="J318" s="55">
        <v>12.0</v>
      </c>
      <c r="K318" s="55">
        <v>10.0</v>
      </c>
      <c r="L318" s="55">
        <v>3.0</v>
      </c>
      <c r="M318" s="55">
        <v>8.0</v>
      </c>
      <c r="N318" s="55">
        <v>15.0</v>
      </c>
      <c r="O318" s="55">
        <v>5.0</v>
      </c>
      <c r="P318" s="55">
        <v>15.0</v>
      </c>
      <c r="Q318" s="55">
        <v>0.0</v>
      </c>
      <c r="R318" s="55">
        <v>13169.0</v>
      </c>
      <c r="S318" s="55">
        <v>2199.0</v>
      </c>
      <c r="T318" s="55">
        <v>1.29583333333333</v>
      </c>
      <c r="U318" s="55">
        <v>2.41916666666666</v>
      </c>
      <c r="V318" s="55">
        <v>3.63972222222222</v>
      </c>
      <c r="W318" s="55">
        <v>3.86638888888888</v>
      </c>
      <c r="X318" s="55">
        <v>0.226666666666666</v>
      </c>
      <c r="Y318" s="55">
        <v>2.94305555555555</v>
      </c>
      <c r="Z318" s="55">
        <v>2.49611111111111</v>
      </c>
      <c r="AA318" s="55">
        <v>0.785555555555555</v>
      </c>
      <c r="AB318" s="55">
        <v>1.95416666666666</v>
      </c>
      <c r="AC318" s="55">
        <v>3.86444444444444</v>
      </c>
      <c r="AD318" s="55">
        <v>1.305</v>
      </c>
      <c r="AE318" s="55">
        <v>3.86444444444444</v>
      </c>
      <c r="AF318" s="55">
        <v>6.0</v>
      </c>
    </row>
    <row r="319">
      <c r="A319" s="56">
        <v>45866.0</v>
      </c>
      <c r="B319" s="55" t="s">
        <v>30</v>
      </c>
      <c r="C319" s="55" t="s">
        <v>153</v>
      </c>
      <c r="D319" s="55">
        <v>18.0</v>
      </c>
      <c r="E319" s="55">
        <v>7.0</v>
      </c>
      <c r="F319" s="55">
        <v>9.0</v>
      </c>
      <c r="G319" s="55">
        <v>0.0</v>
      </c>
      <c r="H319" s="55">
        <v>14.0</v>
      </c>
      <c r="I319" s="55">
        <v>6.0</v>
      </c>
      <c r="J319" s="55">
        <v>13.0</v>
      </c>
      <c r="K319" s="55">
        <v>12.0</v>
      </c>
      <c r="L319" s="55">
        <v>0.0</v>
      </c>
      <c r="M319" s="55">
        <v>11.0</v>
      </c>
      <c r="N319" s="55">
        <v>17.0</v>
      </c>
      <c r="O319" s="55">
        <v>6.0</v>
      </c>
      <c r="P319" s="55">
        <v>17.0</v>
      </c>
      <c r="Q319" s="55">
        <v>0.0</v>
      </c>
      <c r="R319" s="55">
        <v>37919.0</v>
      </c>
      <c r="S319" s="55">
        <v>14461.0</v>
      </c>
      <c r="T319" s="55">
        <v>3.14055555555555</v>
      </c>
      <c r="U319" s="55">
        <v>1.90388888888888</v>
      </c>
      <c r="V319" s="55">
        <v>0.0</v>
      </c>
      <c r="W319" s="55">
        <v>2.92444444444444</v>
      </c>
      <c r="X319" s="55">
        <v>1.23666666666666</v>
      </c>
      <c r="Y319" s="55">
        <v>2.71527777777777</v>
      </c>
      <c r="Z319" s="55">
        <v>2.4975</v>
      </c>
      <c r="AA319" s="55">
        <v>0.0</v>
      </c>
      <c r="AB319" s="55">
        <v>2.29472222222222</v>
      </c>
      <c r="AC319" s="55">
        <v>3.58111111111111</v>
      </c>
      <c r="AD319" s="55">
        <v>1.49111111111111</v>
      </c>
      <c r="AE319" s="55">
        <v>3.58111111111111</v>
      </c>
      <c r="AF319" s="55">
        <v>15.0</v>
      </c>
    </row>
    <row r="320">
      <c r="A320" s="56">
        <v>45866.0</v>
      </c>
      <c r="B320" s="55" t="s">
        <v>24</v>
      </c>
      <c r="C320" s="55" t="s">
        <v>161</v>
      </c>
      <c r="D320" s="55">
        <v>15.0</v>
      </c>
      <c r="E320" s="55">
        <v>8.0</v>
      </c>
      <c r="F320" s="55">
        <v>8.0</v>
      </c>
      <c r="G320" s="55">
        <v>6.0</v>
      </c>
      <c r="H320" s="55">
        <v>11.0</v>
      </c>
      <c r="I320" s="55">
        <v>1.0</v>
      </c>
      <c r="J320" s="55">
        <v>12.0</v>
      </c>
      <c r="K320" s="55">
        <v>12.0</v>
      </c>
      <c r="L320" s="55">
        <v>4.0</v>
      </c>
      <c r="M320" s="55">
        <v>12.0</v>
      </c>
      <c r="N320" s="55">
        <v>1.0</v>
      </c>
      <c r="O320" s="55">
        <v>1.0</v>
      </c>
      <c r="P320" s="55">
        <v>1.0</v>
      </c>
      <c r="Q320" s="55">
        <v>0.0</v>
      </c>
      <c r="R320" s="55">
        <v>32897.0</v>
      </c>
      <c r="S320" s="55">
        <v>18077.0</v>
      </c>
      <c r="T320" s="55">
        <v>3.59</v>
      </c>
      <c r="U320" s="55">
        <v>1.98916666666666</v>
      </c>
      <c r="V320" s="55">
        <v>1.56138888888888</v>
      </c>
      <c r="W320" s="55">
        <v>2.77416666666666</v>
      </c>
      <c r="X320" s="55">
        <v>0.250833333333333</v>
      </c>
      <c r="Y320" s="55">
        <v>3.03944444444444</v>
      </c>
      <c r="Z320" s="55">
        <v>3.03944444444444</v>
      </c>
      <c r="AA320" s="55">
        <v>1.00722222222222</v>
      </c>
      <c r="AB320" s="55">
        <v>3.04</v>
      </c>
      <c r="AC320" s="55">
        <v>0.203333333333333</v>
      </c>
      <c r="AD320" s="55">
        <v>0.203333333333333</v>
      </c>
      <c r="AE320" s="55">
        <v>0.203333333333333</v>
      </c>
      <c r="AF320" s="55">
        <v>15.0</v>
      </c>
    </row>
    <row r="321">
      <c r="A321" s="56">
        <v>45859.0</v>
      </c>
      <c r="B321" s="55" t="s">
        <v>30</v>
      </c>
      <c r="C321" s="55" t="s">
        <v>153</v>
      </c>
      <c r="D321" s="55">
        <v>16.0</v>
      </c>
      <c r="E321" s="55">
        <v>2.0</v>
      </c>
      <c r="F321" s="55">
        <v>9.0</v>
      </c>
      <c r="G321" s="55">
        <v>0.0</v>
      </c>
      <c r="H321" s="55">
        <v>14.0</v>
      </c>
      <c r="I321" s="55">
        <v>3.0</v>
      </c>
      <c r="J321" s="55">
        <v>14.0</v>
      </c>
      <c r="K321" s="55">
        <v>12.0</v>
      </c>
      <c r="L321" s="55">
        <v>0.0</v>
      </c>
      <c r="M321" s="55">
        <v>13.0</v>
      </c>
      <c r="N321" s="55">
        <v>7.0</v>
      </c>
      <c r="O321" s="55">
        <v>6.0</v>
      </c>
      <c r="P321" s="55">
        <v>7.0</v>
      </c>
      <c r="Q321" s="55">
        <v>0.0</v>
      </c>
      <c r="R321" s="55">
        <v>31849.0</v>
      </c>
      <c r="S321" s="55">
        <v>4238.0</v>
      </c>
      <c r="T321" s="55">
        <v>1.72138888888888</v>
      </c>
      <c r="U321" s="55">
        <v>1.98666666666666</v>
      </c>
      <c r="V321" s="55">
        <v>0.0</v>
      </c>
      <c r="W321" s="55">
        <v>3.22666666666666</v>
      </c>
      <c r="X321" s="55">
        <v>0.668333333333333</v>
      </c>
      <c r="Y321" s="55">
        <v>3.22611111111111</v>
      </c>
      <c r="Z321" s="55">
        <v>2.78694444444444</v>
      </c>
      <c r="AA321" s="55">
        <v>0.0</v>
      </c>
      <c r="AB321" s="55">
        <v>3.00583333333333</v>
      </c>
      <c r="AC321" s="55">
        <v>1.71916666666666</v>
      </c>
      <c r="AD321" s="55">
        <v>1.41333333333333</v>
      </c>
      <c r="AE321" s="55">
        <v>1.71916666666666</v>
      </c>
      <c r="AF321" s="55">
        <v>8.0</v>
      </c>
    </row>
    <row r="322">
      <c r="A322" s="56">
        <v>45859.0</v>
      </c>
      <c r="B322" s="55" t="s">
        <v>24</v>
      </c>
      <c r="C322" s="55" t="s">
        <v>161</v>
      </c>
      <c r="D322" s="55">
        <v>15.0</v>
      </c>
      <c r="E322" s="55">
        <v>6.0</v>
      </c>
      <c r="F322" s="55">
        <v>10.0</v>
      </c>
      <c r="G322" s="55">
        <v>0.0</v>
      </c>
      <c r="H322" s="55">
        <v>1.0</v>
      </c>
      <c r="I322" s="55">
        <v>1.0</v>
      </c>
      <c r="J322" s="55">
        <v>0.0</v>
      </c>
      <c r="K322" s="55">
        <v>0.0</v>
      </c>
      <c r="L322" s="55">
        <v>0.0</v>
      </c>
      <c r="M322" s="55">
        <v>0.0</v>
      </c>
      <c r="N322" s="55">
        <v>0.0</v>
      </c>
      <c r="O322" s="55">
        <v>0.0</v>
      </c>
      <c r="P322" s="55">
        <v>0.0</v>
      </c>
      <c r="Q322" s="55">
        <v>0.0</v>
      </c>
      <c r="R322" s="55">
        <v>33187.0</v>
      </c>
      <c r="S322" s="55">
        <v>13882.0</v>
      </c>
      <c r="T322" s="55">
        <v>2.60277777777777</v>
      </c>
      <c r="U322" s="55">
        <v>2.60277777777777</v>
      </c>
      <c r="V322" s="55">
        <v>0.0</v>
      </c>
      <c r="W322" s="55">
        <v>0.261666666666666</v>
      </c>
      <c r="X322" s="55">
        <v>0.261666666666666</v>
      </c>
      <c r="Y322" s="55">
        <v>0.0</v>
      </c>
      <c r="Z322" s="55">
        <v>0.0</v>
      </c>
      <c r="AA322" s="55">
        <v>0.0</v>
      </c>
      <c r="AB322" s="55">
        <v>0.0</v>
      </c>
      <c r="AC322" s="55">
        <v>0.0</v>
      </c>
      <c r="AD322" s="55">
        <v>0.0</v>
      </c>
      <c r="AE322" s="55">
        <v>0.0</v>
      </c>
      <c r="AF322" s="55">
        <v>10.0</v>
      </c>
    </row>
    <row r="323">
      <c r="A323" s="56">
        <v>45852.0</v>
      </c>
      <c r="B323" s="55" t="s">
        <v>30</v>
      </c>
      <c r="C323" s="55" t="s">
        <v>153</v>
      </c>
      <c r="D323" s="55">
        <v>15.0</v>
      </c>
      <c r="E323" s="55">
        <v>16.0</v>
      </c>
      <c r="F323" s="55">
        <v>10.0</v>
      </c>
      <c r="G323" s="55">
        <v>0.0</v>
      </c>
      <c r="H323" s="55">
        <v>10.0</v>
      </c>
      <c r="I323" s="55">
        <v>1.0</v>
      </c>
      <c r="J323" s="55">
        <v>12.0</v>
      </c>
      <c r="K323" s="55">
        <v>12.0</v>
      </c>
      <c r="L323" s="55">
        <v>0.0</v>
      </c>
      <c r="M323" s="55">
        <v>12.0</v>
      </c>
      <c r="N323" s="55">
        <v>12.0</v>
      </c>
      <c r="O323" s="55">
        <v>6.0</v>
      </c>
      <c r="P323" s="55">
        <v>12.0</v>
      </c>
      <c r="Q323" s="55">
        <v>0.0</v>
      </c>
      <c r="R323" s="55">
        <v>32636.0</v>
      </c>
      <c r="S323" s="55">
        <v>28804.0</v>
      </c>
      <c r="T323" s="55">
        <v>3.61527777777777</v>
      </c>
      <c r="U323" s="55">
        <v>2.44555555555555</v>
      </c>
      <c r="V323" s="55">
        <v>0.0</v>
      </c>
      <c r="W323" s="55">
        <v>2.38138888888888</v>
      </c>
      <c r="X323" s="55">
        <v>0.236111111111111</v>
      </c>
      <c r="Y323" s="55">
        <v>2.82972222222222</v>
      </c>
      <c r="Z323" s="55">
        <v>2.82972222222222</v>
      </c>
      <c r="AA323" s="55">
        <v>0.0</v>
      </c>
      <c r="AB323" s="55">
        <v>2.82972222222222</v>
      </c>
      <c r="AC323" s="55">
        <v>2.82972222222222</v>
      </c>
      <c r="AD323" s="55">
        <v>1.41222222222222</v>
      </c>
      <c r="AE323" s="55">
        <v>2.82972222222222</v>
      </c>
      <c r="AF323" s="55">
        <v>15.0</v>
      </c>
    </row>
    <row r="324">
      <c r="A324" s="56">
        <v>45852.0</v>
      </c>
      <c r="B324" s="55" t="s">
        <v>24</v>
      </c>
      <c r="C324" s="55" t="s">
        <v>161</v>
      </c>
      <c r="D324" s="55">
        <v>12.0</v>
      </c>
      <c r="E324" s="55">
        <v>7.0</v>
      </c>
      <c r="F324" s="55">
        <v>1.0</v>
      </c>
      <c r="G324" s="55">
        <v>0.0</v>
      </c>
      <c r="H324" s="55">
        <v>0.0</v>
      </c>
      <c r="I324" s="55">
        <v>0.0</v>
      </c>
      <c r="J324" s="55">
        <v>0.0</v>
      </c>
      <c r="K324" s="55">
        <v>0.0</v>
      </c>
      <c r="L324" s="55">
        <v>0.0</v>
      </c>
      <c r="M324" s="55">
        <v>0.0</v>
      </c>
      <c r="N324" s="55">
        <v>0.0</v>
      </c>
      <c r="O324" s="55">
        <v>0.0</v>
      </c>
      <c r="P324" s="55">
        <v>0.0</v>
      </c>
      <c r="Q324" s="55">
        <v>0.0</v>
      </c>
      <c r="R324" s="55">
        <v>27708.0</v>
      </c>
      <c r="S324" s="55">
        <v>17275.0</v>
      </c>
      <c r="T324" s="55">
        <v>0.0</v>
      </c>
      <c r="U324" s="55">
        <v>0.190833333333333</v>
      </c>
      <c r="V324" s="55">
        <v>0.0</v>
      </c>
      <c r="W324" s="55">
        <v>0.0</v>
      </c>
      <c r="X324" s="55">
        <v>0.0</v>
      </c>
      <c r="Y324" s="55">
        <v>0.0</v>
      </c>
      <c r="Z324" s="55">
        <v>0.0</v>
      </c>
      <c r="AA324" s="55">
        <v>0.0</v>
      </c>
      <c r="AB324" s="55">
        <v>0.0</v>
      </c>
      <c r="AC324" s="55">
        <v>0.0</v>
      </c>
      <c r="AD324" s="55">
        <v>0.0</v>
      </c>
      <c r="AE324" s="55">
        <v>0.0</v>
      </c>
      <c r="AF324" s="55">
        <v>0.0</v>
      </c>
    </row>
    <row r="325">
      <c r="A325" s="56">
        <v>45845.0</v>
      </c>
      <c r="B325" s="55" t="s">
        <v>30</v>
      </c>
      <c r="C325" s="55" t="s">
        <v>153</v>
      </c>
      <c r="D325" s="55">
        <v>12.0</v>
      </c>
      <c r="E325" s="55">
        <v>10.0</v>
      </c>
      <c r="F325" s="55">
        <v>11.0</v>
      </c>
      <c r="G325" s="55">
        <v>0.0</v>
      </c>
      <c r="H325" s="55">
        <v>12.0</v>
      </c>
      <c r="I325" s="55">
        <v>3.0</v>
      </c>
      <c r="J325" s="55">
        <v>10.0</v>
      </c>
      <c r="K325" s="55">
        <v>9.0</v>
      </c>
      <c r="L325" s="55">
        <v>0.0</v>
      </c>
      <c r="M325" s="55">
        <v>10.0</v>
      </c>
      <c r="N325" s="55">
        <v>10.0</v>
      </c>
      <c r="O325" s="55">
        <v>6.0</v>
      </c>
      <c r="P325" s="55">
        <v>10.0</v>
      </c>
      <c r="Q325" s="55">
        <v>0.0</v>
      </c>
      <c r="R325" s="55">
        <v>25482.0</v>
      </c>
      <c r="S325" s="55">
        <v>23214.0</v>
      </c>
      <c r="T325" s="55">
        <v>3.39527777777777</v>
      </c>
      <c r="U325" s="55">
        <v>2.69416666666666</v>
      </c>
      <c r="V325" s="55">
        <v>0.0</v>
      </c>
      <c r="W325" s="55">
        <v>2.93805555555555</v>
      </c>
      <c r="X325" s="55">
        <v>0.701111111111111</v>
      </c>
      <c r="Y325" s="55">
        <v>2.49416666666666</v>
      </c>
      <c r="Z325" s="55">
        <v>2.27083333333333</v>
      </c>
      <c r="AA325" s="55">
        <v>0.0</v>
      </c>
      <c r="AB325" s="55">
        <v>2.49416666666666</v>
      </c>
      <c r="AC325" s="55">
        <v>2.49416666666666</v>
      </c>
      <c r="AD325" s="55">
        <v>1.55361111111111</v>
      </c>
      <c r="AE325" s="55">
        <v>2.49416666666666</v>
      </c>
      <c r="AF325" s="55">
        <v>14.0</v>
      </c>
    </row>
    <row r="326">
      <c r="A326" s="56">
        <v>45845.0</v>
      </c>
      <c r="B326" s="55" t="s">
        <v>24</v>
      </c>
      <c r="C326" s="55" t="s">
        <v>161</v>
      </c>
      <c r="D326" s="55">
        <v>21.0</v>
      </c>
      <c r="E326" s="55">
        <v>6.0</v>
      </c>
      <c r="F326" s="55">
        <v>0.0</v>
      </c>
      <c r="G326" s="55">
        <v>0.0</v>
      </c>
      <c r="H326" s="55">
        <v>0.0</v>
      </c>
      <c r="I326" s="55">
        <v>0.0</v>
      </c>
      <c r="J326" s="55">
        <v>0.0</v>
      </c>
      <c r="K326" s="55">
        <v>0.0</v>
      </c>
      <c r="L326" s="55">
        <v>0.0</v>
      </c>
      <c r="M326" s="55">
        <v>0.0</v>
      </c>
      <c r="N326" s="55">
        <v>0.0</v>
      </c>
      <c r="O326" s="55">
        <v>0.0</v>
      </c>
      <c r="P326" s="55">
        <v>0.0</v>
      </c>
      <c r="Q326" s="55">
        <v>0.0</v>
      </c>
      <c r="R326" s="55">
        <v>43896.0</v>
      </c>
      <c r="S326" s="55">
        <v>15380.0</v>
      </c>
      <c r="T326" s="55">
        <v>0.190833333333333</v>
      </c>
      <c r="U326" s="55">
        <v>0.0</v>
      </c>
      <c r="V326" s="55">
        <v>0.0</v>
      </c>
      <c r="W326" s="55">
        <v>0.0</v>
      </c>
      <c r="X326" s="55">
        <v>0.0</v>
      </c>
      <c r="Y326" s="55">
        <v>0.0</v>
      </c>
      <c r="Z326" s="55">
        <v>0.0</v>
      </c>
      <c r="AA326" s="55">
        <v>0.0</v>
      </c>
      <c r="AB326" s="55">
        <v>0.0</v>
      </c>
      <c r="AC326" s="55">
        <v>0.0</v>
      </c>
      <c r="AD326" s="55">
        <v>0.0</v>
      </c>
      <c r="AE326" s="55">
        <v>0.0</v>
      </c>
      <c r="AF326" s="55">
        <v>1.0</v>
      </c>
    </row>
    <row r="327">
      <c r="A327" s="56">
        <v>45838.0</v>
      </c>
      <c r="B327" s="55" t="s">
        <v>30</v>
      </c>
      <c r="C327" s="55" t="s">
        <v>153</v>
      </c>
      <c r="D327" s="55">
        <v>12.0</v>
      </c>
      <c r="E327" s="55">
        <v>1.0</v>
      </c>
      <c r="F327" s="55">
        <v>5.0</v>
      </c>
      <c r="G327" s="55">
        <v>0.0</v>
      </c>
      <c r="H327" s="55">
        <v>5.0</v>
      </c>
      <c r="I327" s="55">
        <v>0.0</v>
      </c>
      <c r="J327" s="55">
        <v>5.0</v>
      </c>
      <c r="K327" s="55">
        <v>4.0</v>
      </c>
      <c r="L327" s="55">
        <v>0.0</v>
      </c>
      <c r="M327" s="55">
        <v>5.0</v>
      </c>
      <c r="N327" s="55">
        <v>5.0</v>
      </c>
      <c r="O327" s="55">
        <v>3.0</v>
      </c>
      <c r="P327" s="55">
        <v>5.0</v>
      </c>
      <c r="Q327" s="55">
        <v>0.0</v>
      </c>
      <c r="R327" s="55">
        <v>23769.0</v>
      </c>
      <c r="S327" s="55">
        <v>2501.0</v>
      </c>
      <c r="T327" s="55">
        <v>1.24472222222222</v>
      </c>
      <c r="U327" s="55">
        <v>1.24472222222222</v>
      </c>
      <c r="V327" s="55">
        <v>0.0</v>
      </c>
      <c r="W327" s="55">
        <v>1.26833333333333</v>
      </c>
      <c r="X327" s="55">
        <v>0.0</v>
      </c>
      <c r="Y327" s="55">
        <v>1.26833333333333</v>
      </c>
      <c r="Z327" s="55">
        <v>0.995555555555555</v>
      </c>
      <c r="AA327" s="55">
        <v>0.0</v>
      </c>
      <c r="AB327" s="55">
        <v>1.26833333333333</v>
      </c>
      <c r="AC327" s="55">
        <v>1.26833333333333</v>
      </c>
      <c r="AD327" s="55">
        <v>0.746111111111111</v>
      </c>
      <c r="AE327" s="55">
        <v>1.26833333333333</v>
      </c>
      <c r="AF327" s="55">
        <v>5.0</v>
      </c>
    </row>
    <row r="328">
      <c r="A328" s="56">
        <v>45838.0</v>
      </c>
      <c r="B328" s="55" t="s">
        <v>24</v>
      </c>
      <c r="C328" s="55" t="s">
        <v>161</v>
      </c>
      <c r="D328" s="55">
        <v>109.0</v>
      </c>
      <c r="E328" s="55">
        <v>11.0</v>
      </c>
      <c r="F328" s="55">
        <v>0.0</v>
      </c>
      <c r="G328" s="55">
        <v>0.0</v>
      </c>
      <c r="H328" s="55">
        <v>0.0</v>
      </c>
      <c r="I328" s="55">
        <v>0.0</v>
      </c>
      <c r="J328" s="55">
        <v>0.0</v>
      </c>
      <c r="K328" s="55">
        <v>0.0</v>
      </c>
      <c r="L328" s="55">
        <v>0.0</v>
      </c>
      <c r="M328" s="55">
        <v>0.0</v>
      </c>
      <c r="N328" s="55">
        <v>0.0</v>
      </c>
      <c r="O328" s="55">
        <v>0.0</v>
      </c>
      <c r="P328" s="55">
        <v>0.0</v>
      </c>
      <c r="Q328" s="55">
        <v>0.0</v>
      </c>
      <c r="R328" s="55">
        <v>239787.0</v>
      </c>
      <c r="S328" s="55">
        <v>27971.0</v>
      </c>
      <c r="T328" s="55">
        <v>0.0</v>
      </c>
      <c r="U328" s="55">
        <v>0.0</v>
      </c>
      <c r="V328" s="55">
        <v>0.0</v>
      </c>
      <c r="W328" s="55">
        <v>0.0</v>
      </c>
      <c r="X328" s="55">
        <v>0.0</v>
      </c>
      <c r="Y328" s="55">
        <v>0.0</v>
      </c>
      <c r="Z328" s="55">
        <v>0.0</v>
      </c>
      <c r="AA328" s="55">
        <v>0.0</v>
      </c>
      <c r="AB328" s="55">
        <v>0.0</v>
      </c>
      <c r="AC328" s="55">
        <v>0.0</v>
      </c>
      <c r="AD328" s="55">
        <v>0.0</v>
      </c>
      <c r="AE328" s="55">
        <v>0.0</v>
      </c>
      <c r="AF328" s="55">
        <v>0.0</v>
      </c>
    </row>
    <row r="329">
      <c r="A329" s="56">
        <v>45831.0</v>
      </c>
      <c r="B329" s="55" t="s">
        <v>30</v>
      </c>
      <c r="C329" s="55" t="s">
        <v>153</v>
      </c>
      <c r="D329" s="55">
        <v>31.0</v>
      </c>
      <c r="E329" s="55">
        <v>14.0</v>
      </c>
      <c r="F329" s="55">
        <v>0.0</v>
      </c>
      <c r="G329" s="55">
        <v>0.0</v>
      </c>
      <c r="H329" s="55">
        <v>0.0</v>
      </c>
      <c r="I329" s="55">
        <v>0.0</v>
      </c>
      <c r="J329" s="55">
        <v>0.0</v>
      </c>
      <c r="K329" s="55">
        <v>0.0</v>
      </c>
      <c r="L329" s="55">
        <v>0.0</v>
      </c>
      <c r="M329" s="55">
        <v>0.0</v>
      </c>
      <c r="N329" s="55">
        <v>0.0</v>
      </c>
      <c r="O329" s="55">
        <v>0.0</v>
      </c>
      <c r="P329" s="55">
        <v>0.0</v>
      </c>
      <c r="Q329" s="55">
        <v>0.0</v>
      </c>
      <c r="R329" s="55">
        <v>66372.0</v>
      </c>
      <c r="S329" s="55">
        <v>32707.0</v>
      </c>
      <c r="T329" s="55">
        <v>0.0</v>
      </c>
      <c r="U329" s="55">
        <v>0.0</v>
      </c>
      <c r="V329" s="55">
        <v>0.0</v>
      </c>
      <c r="W329" s="55">
        <v>0.0</v>
      </c>
      <c r="X329" s="55">
        <v>0.0</v>
      </c>
      <c r="Y329" s="55">
        <v>0.0</v>
      </c>
      <c r="Z329" s="55">
        <v>0.0</v>
      </c>
      <c r="AA329" s="55">
        <v>0.0</v>
      </c>
      <c r="AB329" s="55">
        <v>0.0</v>
      </c>
      <c r="AC329" s="55">
        <v>0.0</v>
      </c>
      <c r="AD329" s="55">
        <v>0.0</v>
      </c>
      <c r="AE329" s="55">
        <v>0.0</v>
      </c>
      <c r="AF329" s="55">
        <v>0.0</v>
      </c>
    </row>
    <row r="330">
      <c r="A330" s="56">
        <v>45831.0</v>
      </c>
      <c r="B330" s="55" t="s">
        <v>24</v>
      </c>
      <c r="C330" s="55" t="s">
        <v>161</v>
      </c>
      <c r="D330" s="55">
        <v>5.0</v>
      </c>
      <c r="E330" s="55">
        <v>3.0</v>
      </c>
      <c r="F330" s="55">
        <v>0.0</v>
      </c>
      <c r="G330" s="55">
        <v>0.0</v>
      </c>
      <c r="H330" s="55">
        <v>0.0</v>
      </c>
      <c r="I330" s="55">
        <v>0.0</v>
      </c>
      <c r="J330" s="55">
        <v>0.0</v>
      </c>
      <c r="K330" s="55">
        <v>0.0</v>
      </c>
      <c r="L330" s="55">
        <v>0.0</v>
      </c>
      <c r="M330" s="55">
        <v>0.0</v>
      </c>
      <c r="N330" s="55">
        <v>0.0</v>
      </c>
      <c r="O330" s="55">
        <v>0.0</v>
      </c>
      <c r="P330" s="55">
        <v>0.0</v>
      </c>
      <c r="Q330" s="55">
        <v>0.0</v>
      </c>
      <c r="R330" s="55">
        <v>11487.0</v>
      </c>
      <c r="S330" s="55">
        <v>6422.0</v>
      </c>
      <c r="T330" s="55">
        <v>0.0</v>
      </c>
      <c r="U330" s="55">
        <v>0.0</v>
      </c>
      <c r="V330" s="55">
        <v>0.0</v>
      </c>
      <c r="W330" s="55">
        <v>0.0</v>
      </c>
      <c r="X330" s="55">
        <v>0.0</v>
      </c>
      <c r="Y330" s="55">
        <v>0.0</v>
      </c>
      <c r="Z330" s="55">
        <v>0.0</v>
      </c>
      <c r="AA330" s="55">
        <v>0.0</v>
      </c>
      <c r="AB330" s="55">
        <v>0.0</v>
      </c>
      <c r="AC330" s="55">
        <v>0.0</v>
      </c>
      <c r="AD330" s="55">
        <v>0.0</v>
      </c>
      <c r="AE330" s="55">
        <v>0.0</v>
      </c>
      <c r="AF330" s="55">
        <v>0.0</v>
      </c>
    </row>
    <row r="331">
      <c r="A331" s="56">
        <v>45824.0</v>
      </c>
      <c r="B331" s="55" t="s">
        <v>30</v>
      </c>
      <c r="C331" s="55" t="s">
        <v>153</v>
      </c>
      <c r="D331" s="55">
        <v>31.0</v>
      </c>
      <c r="E331" s="55">
        <v>4.0</v>
      </c>
      <c r="F331" s="55">
        <v>0.0</v>
      </c>
      <c r="G331" s="55">
        <v>0.0</v>
      </c>
      <c r="H331" s="55">
        <v>0.0</v>
      </c>
      <c r="I331" s="55">
        <v>0.0</v>
      </c>
      <c r="J331" s="55">
        <v>0.0</v>
      </c>
      <c r="K331" s="55">
        <v>0.0</v>
      </c>
      <c r="L331" s="55">
        <v>0.0</v>
      </c>
      <c r="M331" s="55">
        <v>0.0</v>
      </c>
      <c r="N331" s="55">
        <v>0.0</v>
      </c>
      <c r="O331" s="55">
        <v>0.0</v>
      </c>
      <c r="P331" s="55">
        <v>0.0</v>
      </c>
      <c r="Q331" s="55">
        <v>0.0</v>
      </c>
      <c r="R331" s="55">
        <v>61813.0</v>
      </c>
      <c r="S331" s="55">
        <v>9511.0</v>
      </c>
      <c r="T331" s="55">
        <v>0.0</v>
      </c>
      <c r="U331" s="55">
        <v>0.0</v>
      </c>
      <c r="V331" s="55">
        <v>0.0</v>
      </c>
      <c r="W331" s="55">
        <v>0.0</v>
      </c>
      <c r="X331" s="55">
        <v>0.0</v>
      </c>
      <c r="Y331" s="55">
        <v>0.0</v>
      </c>
      <c r="Z331" s="55">
        <v>0.0</v>
      </c>
      <c r="AA331" s="55">
        <v>0.0</v>
      </c>
      <c r="AB331" s="55">
        <v>0.0</v>
      </c>
      <c r="AC331" s="55">
        <v>0.0</v>
      </c>
      <c r="AD331" s="55">
        <v>0.0</v>
      </c>
      <c r="AE331" s="55">
        <v>0.0</v>
      </c>
      <c r="AF331" s="55">
        <v>0.0</v>
      </c>
    </row>
    <row r="332">
      <c r="A332" s="56">
        <v>45817.0</v>
      </c>
      <c r="B332" s="55" t="s">
        <v>30</v>
      </c>
      <c r="C332" s="55" t="s">
        <v>153</v>
      </c>
      <c r="D332" s="55">
        <v>18.0</v>
      </c>
      <c r="E332" s="55">
        <v>1.0</v>
      </c>
      <c r="F332" s="55">
        <v>0.0</v>
      </c>
      <c r="G332" s="55">
        <v>0.0</v>
      </c>
      <c r="H332" s="55">
        <v>0.0</v>
      </c>
      <c r="I332" s="55">
        <v>0.0</v>
      </c>
      <c r="J332" s="55">
        <v>0.0</v>
      </c>
      <c r="K332" s="55">
        <v>0.0</v>
      </c>
      <c r="L332" s="55">
        <v>0.0</v>
      </c>
      <c r="M332" s="55">
        <v>0.0</v>
      </c>
      <c r="N332" s="55">
        <v>0.0</v>
      </c>
      <c r="O332" s="55">
        <v>0.0</v>
      </c>
      <c r="P332" s="55">
        <v>0.0</v>
      </c>
      <c r="Q332" s="55">
        <v>0.0</v>
      </c>
      <c r="R332" s="55">
        <v>39347.0</v>
      </c>
      <c r="S332" s="55">
        <v>2349.0</v>
      </c>
      <c r="T332" s="55">
        <v>0.0</v>
      </c>
      <c r="U332" s="55">
        <v>0.0</v>
      </c>
      <c r="V332" s="55">
        <v>0.0</v>
      </c>
      <c r="W332" s="55">
        <v>0.0</v>
      </c>
      <c r="X332" s="55">
        <v>0.0</v>
      </c>
      <c r="Y332" s="55">
        <v>0.0</v>
      </c>
      <c r="Z332" s="55">
        <v>0.0</v>
      </c>
      <c r="AA332" s="55">
        <v>0.0</v>
      </c>
      <c r="AB332" s="55">
        <v>0.0</v>
      </c>
      <c r="AC332" s="55">
        <v>0.0</v>
      </c>
      <c r="AD332" s="55">
        <v>0.0</v>
      </c>
      <c r="AE332" s="55">
        <v>0.0</v>
      </c>
      <c r="AF332" s="55">
        <v>0.0</v>
      </c>
    </row>
    <row r="333">
      <c r="A333" s="56">
        <v>45810.0</v>
      </c>
      <c r="B333" s="55" t="s">
        <v>30</v>
      </c>
      <c r="C333" s="55" t="s">
        <v>153</v>
      </c>
      <c r="D333" s="55">
        <v>15.0</v>
      </c>
      <c r="E333" s="55">
        <v>1.0</v>
      </c>
      <c r="F333" s="55">
        <v>1.0</v>
      </c>
      <c r="G333" s="55">
        <v>0.0</v>
      </c>
      <c r="H333" s="55">
        <v>0.0</v>
      </c>
      <c r="I333" s="55">
        <v>0.0</v>
      </c>
      <c r="J333" s="55">
        <v>0.0</v>
      </c>
      <c r="K333" s="55">
        <v>0.0</v>
      </c>
      <c r="L333" s="55">
        <v>0.0</v>
      </c>
      <c r="M333" s="55">
        <v>0.0</v>
      </c>
      <c r="N333" s="55">
        <v>0.0</v>
      </c>
      <c r="O333" s="55">
        <v>0.0</v>
      </c>
      <c r="P333" s="55">
        <v>0.0</v>
      </c>
      <c r="Q333" s="55">
        <v>0.0</v>
      </c>
      <c r="R333" s="55">
        <v>35042.0</v>
      </c>
      <c r="S333" s="55">
        <v>2432.0</v>
      </c>
      <c r="T333" s="55">
        <v>0.265555555555555</v>
      </c>
      <c r="U333" s="55">
        <v>0.265555555555555</v>
      </c>
      <c r="V333" s="55">
        <v>0.0</v>
      </c>
      <c r="W333" s="55">
        <v>0.0</v>
      </c>
      <c r="X333" s="55">
        <v>0.0</v>
      </c>
      <c r="Y333" s="55">
        <v>0.0</v>
      </c>
      <c r="Z333" s="55">
        <v>0.0</v>
      </c>
      <c r="AA333" s="55">
        <v>0.0</v>
      </c>
      <c r="AB333" s="55">
        <v>0.0</v>
      </c>
      <c r="AC333" s="55">
        <v>0.0</v>
      </c>
      <c r="AD333" s="55">
        <v>0.0</v>
      </c>
      <c r="AE333" s="55">
        <v>0.0</v>
      </c>
      <c r="AF333" s="55">
        <v>1.0</v>
      </c>
    </row>
    <row r="334">
      <c r="A334" s="56">
        <v>45803.0</v>
      </c>
      <c r="B334" s="55" t="s">
        <v>30</v>
      </c>
      <c r="C334" s="55" t="s">
        <v>153</v>
      </c>
      <c r="D334" s="55">
        <v>5.0</v>
      </c>
      <c r="E334" s="55">
        <v>4.0</v>
      </c>
      <c r="F334" s="55">
        <v>0.0</v>
      </c>
      <c r="G334" s="55">
        <v>0.0</v>
      </c>
      <c r="H334" s="55">
        <v>0.0</v>
      </c>
      <c r="I334" s="55">
        <v>0.0</v>
      </c>
      <c r="J334" s="55">
        <v>0.0</v>
      </c>
      <c r="K334" s="55">
        <v>0.0</v>
      </c>
      <c r="L334" s="55">
        <v>0.0</v>
      </c>
      <c r="M334" s="55">
        <v>0.0</v>
      </c>
      <c r="N334" s="55">
        <v>0.0</v>
      </c>
      <c r="O334" s="55">
        <v>0.0</v>
      </c>
      <c r="P334" s="55">
        <v>0.0</v>
      </c>
      <c r="Q334" s="55">
        <v>0.0</v>
      </c>
      <c r="R334" s="55">
        <v>11453.0</v>
      </c>
      <c r="S334" s="55">
        <v>9021.0</v>
      </c>
      <c r="T334" s="55">
        <v>0.0</v>
      </c>
      <c r="U334" s="55">
        <v>0.0</v>
      </c>
      <c r="V334" s="55">
        <v>0.0</v>
      </c>
      <c r="W334" s="55">
        <v>0.0</v>
      </c>
      <c r="X334" s="55">
        <v>0.0</v>
      </c>
      <c r="Y334" s="55">
        <v>0.0</v>
      </c>
      <c r="Z334" s="55">
        <v>0.0</v>
      </c>
      <c r="AA334" s="55">
        <v>0.0</v>
      </c>
      <c r="AB334" s="55">
        <v>0.0</v>
      </c>
      <c r="AC334" s="55">
        <v>0.0</v>
      </c>
      <c r="AD334" s="55">
        <v>0.0</v>
      </c>
      <c r="AE334" s="55">
        <v>0.0</v>
      </c>
      <c r="AF334" s="55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169</v>
      </c>
    </row>
    <row r="3">
      <c r="A3" s="55" t="s">
        <v>170</v>
      </c>
    </row>
    <row r="4">
      <c r="A4" s="55" t="s">
        <v>171</v>
      </c>
    </row>
  </sheetData>
  <hyperlinks>
    <hyperlink r:id="rId1" ref="A1"/>
  </hyperlinks>
  <drawing r:id="rId2"/>
</worksheet>
</file>