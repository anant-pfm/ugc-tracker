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wise" sheetId="1" r:id="rId5"/>
    <sheet state="visible" name="Dump" sheetId="2" r:id="rId6"/>
    <sheet state="visible" name="Sheet9" sheetId="3" r:id="rId7"/>
  </sheets>
  <definedNames/>
  <calcPr/>
</workbook>
</file>

<file path=xl/sharedStrings.xml><?xml version="1.0" encoding="utf-8"?>
<sst xmlns="http://schemas.openxmlformats.org/spreadsheetml/2006/main" count="354" uniqueCount="111">
  <si>
    <t>Scripting</t>
  </si>
  <si>
    <t>ER</t>
  </si>
  <si>
    <t>Production</t>
  </si>
  <si>
    <t>Week - Month</t>
  </si>
  <si>
    <t>PPV - Show_id</t>
  </si>
  <si>
    <t>Production Show_id</t>
  </si>
  <si>
    <t>Show_name</t>
  </si>
  <si>
    <t>Production status</t>
  </si>
  <si>
    <t>Writer</t>
  </si>
  <si>
    <t>POD lead</t>
  </si>
  <si>
    <t>Producer</t>
  </si>
  <si>
    <t>Till Date Scripts</t>
  </si>
  <si>
    <t>Total Duration Live</t>
  </si>
  <si>
    <t>Week's Target</t>
  </si>
  <si>
    <t>Missed By</t>
  </si>
  <si>
    <t>ER Approved Scripts</t>
  </si>
  <si>
    <t>Approval Pending</t>
  </si>
  <si>
    <t>Live Episodes</t>
  </si>
  <si>
    <t>Week's Start Date</t>
  </si>
  <si>
    <t>W1 - May'26</t>
  </si>
  <si>
    <t>dbbc7f35e9eb33b7562f0fd82896e827101bf13c</t>
  </si>
  <si>
    <t>b9727274f880f47671ad54caad4904a491fad9c7</t>
  </si>
  <si>
    <t>Brahmand Ka Rakshak</t>
  </si>
  <si>
    <t>Running</t>
  </si>
  <si>
    <t>Trupti</t>
  </si>
  <si>
    <t>Vijay</t>
  </si>
  <si>
    <t>f43f4253dc3c596ff8f2e3cc9f3b677981a70310</t>
  </si>
  <si>
    <t>5baf4c80faf4b2d4eb9401a1d0081872e0158e89</t>
  </si>
  <si>
    <t>Brahmyodha the Destroyer</t>
  </si>
  <si>
    <t>Deepaa</t>
  </si>
  <si>
    <t>Shivani</t>
  </si>
  <si>
    <t>859785ba4869b28dddcfcb0e75295d1e1ad9b5a9</t>
  </si>
  <si>
    <t>96f1f89e4494e06fb7f9e3c4645563fa62ef9320</t>
  </si>
  <si>
    <t>King of Dragon</t>
  </si>
  <si>
    <t>Amit Rajak</t>
  </si>
  <si>
    <t>641b6f77fd211e92df35a3bcbab67e6879e19a66</t>
  </si>
  <si>
    <t>773d29931b435627d0ca406e1ea1425e9a1dbcb6</t>
  </si>
  <si>
    <t>Mahagatha</t>
  </si>
  <si>
    <t>Shivam</t>
  </si>
  <si>
    <t>NItesh</t>
  </si>
  <si>
    <t>e493cee863483a057af12de782cd20043a19ed05</t>
  </si>
  <si>
    <t>4c7fcc2bad9d3ae4744be2bd73cd8a625a0277d5</t>
  </si>
  <si>
    <t>Malang</t>
  </si>
  <si>
    <t>Paused</t>
  </si>
  <si>
    <t>Mauli</t>
  </si>
  <si>
    <t>81de0bc81be63a15ef7b7f2a301e23b4f3d49745</t>
  </si>
  <si>
    <t>Married to a Hard Hearted</t>
  </si>
  <si>
    <t>Monika UGC</t>
  </si>
  <si>
    <t>ca6c466ebfcd2658a9f1641045f468c15417a1e7</t>
  </si>
  <si>
    <t>My Mysterious Queen</t>
  </si>
  <si>
    <t>Mona</t>
  </si>
  <si>
    <t>aab7b2fa6301b585dcebf9ec60cf4371307ad469</t>
  </si>
  <si>
    <t>Tere Ishq Mein</t>
  </si>
  <si>
    <t>Pooja Sharma</t>
  </si>
  <si>
    <t>2549f1505a3739b3e90a0b63921ad55271440d40</t>
  </si>
  <si>
    <t>Reborn In martial World</t>
  </si>
  <si>
    <t>Prasenjeet</t>
  </si>
  <si>
    <t>bb6f447c782519839d8793fda0d35f90bad4421a</t>
  </si>
  <si>
    <t>Ruthless</t>
  </si>
  <si>
    <t>37e68193f879e91ec362f75f4b46511110658e2b</t>
  </si>
  <si>
    <t>7ea3277f02ef13c60cfa72336d009bf7ee6c17e8</t>
  </si>
  <si>
    <t>Saaya the Dark Love</t>
  </si>
  <si>
    <t>aa81f1feb820ed6f22bd7b22b55890db740929cb</t>
  </si>
  <si>
    <t>Shunya Samrat</t>
  </si>
  <si>
    <t>Harish (UGC)</t>
  </si>
  <si>
    <t>f8fbcb9a13d17d5888164fffc1bbb7cd5c6608b2</t>
  </si>
  <si>
    <t>394d109f7b50d9a46fb591dbaaba2d0aac90a696</t>
  </si>
  <si>
    <t>SRGJ / EHK</t>
  </si>
  <si>
    <t>Asma</t>
  </si>
  <si>
    <t>Avneet</t>
  </si>
  <si>
    <t>a3ba65aa427077188e1ad7dbcbcafae266683ca9</t>
  </si>
  <si>
    <t>5066c0736f9e9444f2b4da840d6860b1f7f47d11</t>
  </si>
  <si>
    <t>The Worrior - Ajith</t>
  </si>
  <si>
    <t>Dayaram (UGC) + Naznin</t>
  </si>
  <si>
    <t>017fddbaa7617afdd8289be5c433df09dcde1da2</t>
  </si>
  <si>
    <t>His Secret Fortune</t>
  </si>
  <si>
    <t>b236b697a3dda78049a484b58d63a75f4503ad66</t>
  </si>
  <si>
    <t>Rudra - Rise of the Supreme Yoddha</t>
  </si>
  <si>
    <t>Atrij</t>
  </si>
  <si>
    <t>b4277fe045604b0c31d4c58c59733d8d995662ff</t>
  </si>
  <si>
    <t>Divine Power</t>
  </si>
  <si>
    <t>ef9669389baf6711142a1ec22c3505fc714d91c0</t>
  </si>
  <si>
    <t>Abhimanyu Legend Yoddha</t>
  </si>
  <si>
    <t>c6ddafe0c1c28e76700ec68e65063945a05ee155</t>
  </si>
  <si>
    <t>Reborn to Rule</t>
  </si>
  <si>
    <t>b19f613216d474cd2927d5f4832a949dca2dc33e</t>
  </si>
  <si>
    <t>The Immortal</t>
  </si>
  <si>
    <t>6b246320a4c5853ce55127d5e00ee8805a97659a</t>
  </si>
  <si>
    <t>Mystic Fate System</t>
  </si>
  <si>
    <t>March W1</t>
  </si>
  <si>
    <t>120f01928bb6593698eaa96f46a52b5ddab649bd</t>
  </si>
  <si>
    <t>Beggar Husband - 2</t>
  </si>
  <si>
    <t>2f705add1a4571e3dcc4eb1426edfaa372c9cee8</t>
  </si>
  <si>
    <t>Beggar Husband - Pnakaj</t>
  </si>
  <si>
    <t>5a7d21f6ad9df12be70cd9439dd850c36627991d</t>
  </si>
  <si>
    <t>Ek stranger se Pyaar</t>
  </si>
  <si>
    <t>6867922e795be5da6320ef1d28567452800209ba</t>
  </si>
  <si>
    <t>The Dimension God</t>
  </si>
  <si>
    <t>54847eda0794e861da74c1034ace021b4643357b</t>
  </si>
  <si>
    <t>Billionaire King's love</t>
  </si>
  <si>
    <t>1b4ecb8a0d96b42675a2bbd2a9bd28ef4d28a0dd</t>
  </si>
  <si>
    <t>Doctor Mafia King</t>
  </si>
  <si>
    <t>9afaea00813dcb4fc57a46df70a2e3e1066af919</t>
  </si>
  <si>
    <t>My millionaire system</t>
  </si>
  <si>
    <t>661dba879cabc615ad2774813367b442a8ba7a6c</t>
  </si>
  <si>
    <t>My Devil Wife</t>
  </si>
  <si>
    <t>The Legend Gods</t>
  </si>
  <si>
    <t>Hidden King</t>
  </si>
  <si>
    <t>Devil's Revenge | डेविल्स रिवेंज | Author - Pawan Kumar</t>
  </si>
  <si>
    <t>Supreme Ansh: Protector or Destroyer | सुप्रीम अंश प्रोटेक्टर या डिस्ट्रॉयर | Author - Shubham</t>
  </si>
  <si>
    <t>W2 - May'26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</si>
</sst>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m&quot;-&quot;yy"/>
    <numFmt numFmtId="165" formatCode="d-mmmm-yy"/>
    <numFmt numFmtId="166" formatCode="yyyy-mm-dd h:mm:ss"/>
  </numFmts>
  <fonts count="8">
    <font>
      <sz val="10.0"/>
      <color rgb="FF000000"/>
      <name val="Arial"/>
      <scheme val="minor"/>
    </font>
    <font>
      <color theme="1"/>
      <name val="Montserrat"/>
    </font>
    <font>
      <b/>
      <sz val="12.0"/>
      <color theme="1"/>
      <name val="Montserrat"/>
    </font>
    <font/>
    <font>
      <color rgb="FF000000"/>
      <name val="Montserrat"/>
    </font>
    <font>
      <b/>
      <sz val="12.0"/>
      <color rgb="FF000000"/>
      <name val="Montserrat"/>
    </font>
    <font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0" fillId="5" fontId="1" numFmtId="0" xfId="0" applyAlignment="1" applyFill="1" applyFont="1">
      <alignment vertical="center"/>
    </xf>
    <xf borderId="0" fillId="5" fontId="4" numFmtId="0" xfId="0" applyAlignment="1" applyFont="1">
      <alignment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5" fillId="0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vertical="center"/>
    </xf>
    <xf borderId="0" fillId="5" fontId="4" numFmtId="164" xfId="0" applyAlignment="1" applyFont="1" applyNumberFormat="1">
      <alignment horizontal="center" readingOrder="0" vertical="center"/>
    </xf>
    <xf borderId="0" fillId="0" fontId="6" numFmtId="0" xfId="0" applyFont="1"/>
    <xf borderId="0" fillId="5" fontId="6" numFmtId="0" xfId="0" applyFont="1"/>
    <xf borderId="0" fillId="7" fontId="1" numFmtId="0" xfId="0" applyAlignment="1" applyFill="1" applyFont="1">
      <alignment readingOrder="0" vertical="center"/>
    </xf>
    <xf borderId="0" fillId="7" fontId="1" numFmtId="0" xfId="0" applyAlignment="1" applyFont="1">
      <alignment vertical="center"/>
    </xf>
    <xf borderId="0" fillId="7" fontId="1" numFmtId="0" xfId="0" applyAlignment="1" applyFont="1">
      <alignment shrinkToFit="0" vertical="center" wrapText="0"/>
    </xf>
    <xf borderId="4" fillId="7" fontId="1" numFmtId="0" xfId="0" applyAlignment="1" applyBorder="1" applyFont="1">
      <alignment horizontal="center" vertical="center"/>
    </xf>
    <xf borderId="0" fillId="7" fontId="1" numFmtId="3" xfId="0" applyAlignment="1" applyFont="1" applyNumberFormat="1">
      <alignment horizontal="center" vertical="center"/>
    </xf>
    <xf borderId="5" fillId="7" fontId="1" numFmtId="0" xfId="0" applyAlignment="1" applyBorder="1" applyFont="1">
      <alignment horizontal="center" vertical="center"/>
    </xf>
    <xf borderId="0" fillId="7" fontId="6" numFmtId="0" xfId="0" applyFont="1"/>
    <xf borderId="0" fillId="7" fontId="1" numFmtId="0" xfId="0" applyAlignment="1" applyFont="1">
      <alignment horizontal="center" vertical="center"/>
    </xf>
    <xf borderId="5" fillId="7" fontId="1" numFmtId="0" xfId="0" applyAlignment="1" applyBorder="1" applyFont="1">
      <alignment vertical="center"/>
    </xf>
    <xf borderId="0" fillId="7" fontId="4" numFmtId="165" xfId="0" applyAlignment="1" applyFont="1" applyNumberFormat="1">
      <alignment horizontal="center" readingOrder="0" vertical="center"/>
    </xf>
    <xf borderId="0" fillId="5" fontId="4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shrinkToFit="0" wrapText="0"/>
    </xf>
    <xf borderId="0" fillId="5" fontId="7" numFmtId="0" xfId="0" applyFont="1"/>
    <xf borderId="0" fillId="0" fontId="6" numFmtId="164" xfId="0" applyFont="1" applyNumberFormat="1"/>
    <xf borderId="0" fillId="0" fontId="6" numFmtId="166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4" max="4" width="26.0"/>
    <col customWidth="1" min="12" max="13" width="16.1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5"/>
      <c r="P1" s="4"/>
      <c r="Q1" s="6"/>
      <c r="R1" s="7"/>
      <c r="S1" s="4"/>
      <c r="T1" s="6"/>
      <c r="U1" s="8"/>
      <c r="V1" s="9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3" t="s">
        <v>0</v>
      </c>
      <c r="L2" s="4"/>
      <c r="M2" s="4"/>
      <c r="N2" s="4"/>
      <c r="O2" s="10" t="s">
        <v>1</v>
      </c>
      <c r="P2" s="4"/>
      <c r="Q2" s="6"/>
      <c r="R2" s="11" t="s">
        <v>2</v>
      </c>
      <c r="S2" s="4"/>
      <c r="T2" s="6"/>
      <c r="U2" s="12"/>
      <c r="V2" s="13"/>
    </row>
    <row r="3">
      <c r="A3" s="14"/>
      <c r="B3" s="15"/>
      <c r="C3" s="14"/>
      <c r="D3" s="14"/>
      <c r="E3" s="14"/>
      <c r="F3" s="14"/>
      <c r="G3" s="14"/>
      <c r="H3" s="14"/>
      <c r="I3" s="14"/>
      <c r="J3" s="14"/>
      <c r="K3" s="16"/>
      <c r="L3" s="17"/>
      <c r="M3" s="18"/>
      <c r="N3" s="19"/>
      <c r="O3" s="20"/>
      <c r="P3" s="20"/>
      <c r="Q3" s="21"/>
      <c r="R3" s="22"/>
      <c r="S3" s="22"/>
      <c r="T3" s="23"/>
      <c r="U3" s="24"/>
      <c r="V3" s="25"/>
    </row>
    <row r="4">
      <c r="A4" s="15" t="s">
        <v>3</v>
      </c>
      <c r="B4" s="15" t="s">
        <v>4</v>
      </c>
      <c r="C4" s="14" t="s">
        <v>5</v>
      </c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  <c r="I4" s="14" t="s">
        <v>11</v>
      </c>
      <c r="J4" s="15" t="s">
        <v>12</v>
      </c>
      <c r="K4" s="16" t="s">
        <v>13</v>
      </c>
      <c r="L4" s="17" t="str">
        <f>CONCATENATE("Scripts Submitted as on ", TEXT(TODAY()-1,"dd-mmm-yyyy"))</f>
        <v>Scripts Submitted as on 14-May-2026</v>
      </c>
      <c r="M4" s="18" t="str">
        <f>CONCATENATE("Scripts Submitted WC as on ", TEXT(TODAY()-1,"dd-mmm-yyyy"))</f>
        <v>Scripts Submitted WC as on 14-May-2026</v>
      </c>
      <c r="N4" s="19" t="s">
        <v>14</v>
      </c>
      <c r="O4" s="20" t="s">
        <v>13</v>
      </c>
      <c r="P4" s="20" t="s">
        <v>15</v>
      </c>
      <c r="Q4" s="21" t="s">
        <v>16</v>
      </c>
      <c r="R4" s="22" t="s">
        <v>13</v>
      </c>
      <c r="S4" s="22" t="s">
        <v>17</v>
      </c>
      <c r="T4" s="23" t="s">
        <v>14</v>
      </c>
      <c r="U4" s="24"/>
      <c r="V4" s="23" t="s">
        <v>18</v>
      </c>
    </row>
    <row r="5">
      <c r="A5" s="26" t="s">
        <v>19</v>
      </c>
      <c r="B5" s="1" t="s">
        <v>20</v>
      </c>
      <c r="C5" s="2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/>
      <c r="I5" s="1" t="str">
        <f t="shared" ref="I5:I37" si="1">IFERROR(VLOOKUP($C5,'Show Details'!A:Z,7,0),"")</f>
        <v/>
      </c>
      <c r="J5" s="1"/>
      <c r="K5" s="27">
        <v>18.0</v>
      </c>
      <c r="L5" s="28">
        <f>SUMIFS(Dump!$D:$D,Dump!$B:$B,$C5,Dump!$A:$A,$V5)</f>
        <v>18</v>
      </c>
      <c r="M5" s="28">
        <f>SUMIFS(Dump!R:R,Dump!B:B,C5,Dump!A:A,V5)</f>
        <v>41129</v>
      </c>
      <c r="N5" s="29">
        <f t="shared" ref="N5:N37" si="2">K5-L5</f>
        <v>0</v>
      </c>
      <c r="O5" s="1"/>
      <c r="P5" s="30">
        <f>SUMIFS(Dump!E:E,Dump!B:B,C5,Dump!A:A,V5)</f>
        <v>28</v>
      </c>
      <c r="Q5" s="31">
        <f t="shared" ref="Q5:Q37" si="3">O5-P5</f>
        <v>-28</v>
      </c>
      <c r="R5" s="1"/>
      <c r="S5" s="30">
        <f>SUMIFS(Dump!P:P,Dump!B:B,C5,Dump!A:A,V5)</f>
        <v>36</v>
      </c>
      <c r="T5" s="31">
        <f t="shared" ref="T5:T37" si="4">R5-S5</f>
        <v>-36</v>
      </c>
      <c r="U5" s="8"/>
      <c r="V5" s="32">
        <v>46146.0</v>
      </c>
    </row>
    <row r="6">
      <c r="A6" s="26" t="s">
        <v>19</v>
      </c>
      <c r="B6" s="1" t="s">
        <v>26</v>
      </c>
      <c r="C6" s="2" t="s">
        <v>27</v>
      </c>
      <c r="D6" s="1" t="s">
        <v>28</v>
      </c>
      <c r="E6" s="1" t="s">
        <v>23</v>
      </c>
      <c r="F6" s="1" t="s">
        <v>29</v>
      </c>
      <c r="G6" s="1" t="s">
        <v>30</v>
      </c>
      <c r="I6" s="33" t="str">
        <f t="shared" si="1"/>
        <v/>
      </c>
      <c r="K6" s="27">
        <v>15.0</v>
      </c>
      <c r="L6" s="28">
        <f>SUMIFS(Dump!$D:$D,Dump!$B:$B,$C6,Dump!$A:$A,$V6)</f>
        <v>15</v>
      </c>
      <c r="M6" s="28">
        <f>SUMIFS(Dump!R:R,Dump!B:B,C6,Dump!A:A,V6)</f>
        <v>35976</v>
      </c>
      <c r="N6" s="29">
        <f t="shared" si="2"/>
        <v>0</v>
      </c>
      <c r="P6" s="30">
        <f>SUMIFS(Dump!E:E,Dump!B:B,C6,Dump!A:A,V6)</f>
        <v>20</v>
      </c>
      <c r="Q6" s="31">
        <f t="shared" si="3"/>
        <v>-20</v>
      </c>
      <c r="S6" s="30">
        <f>SUMIFS(Dump!P:P,Dump!B:B,C6,Dump!A:A,V6)</f>
        <v>24</v>
      </c>
      <c r="T6" s="31">
        <f t="shared" si="4"/>
        <v>-24</v>
      </c>
      <c r="U6" s="34"/>
      <c r="V6" s="32">
        <v>46146.0</v>
      </c>
    </row>
    <row r="7">
      <c r="A7" s="26" t="s">
        <v>19</v>
      </c>
      <c r="B7" s="1" t="s">
        <v>31</v>
      </c>
      <c r="C7" s="2" t="s">
        <v>32</v>
      </c>
      <c r="D7" s="1" t="s">
        <v>33</v>
      </c>
      <c r="E7" s="1" t="s">
        <v>23</v>
      </c>
      <c r="F7" s="1" t="s">
        <v>29</v>
      </c>
      <c r="G7" s="1" t="s">
        <v>34</v>
      </c>
      <c r="I7" s="33" t="str">
        <f t="shared" si="1"/>
        <v/>
      </c>
      <c r="K7" s="27">
        <v>12.0</v>
      </c>
      <c r="L7" s="28">
        <f>SUMIFS(Dump!$D:$D,Dump!$B:$B,$C7,Dump!$A:$A,$V7)</f>
        <v>12</v>
      </c>
      <c r="M7" s="28">
        <f>SUMIFS(Dump!R:R,Dump!B:B,C7,Dump!A:A,V7)</f>
        <v>28878</v>
      </c>
      <c r="N7" s="29">
        <f t="shared" si="2"/>
        <v>0</v>
      </c>
      <c r="P7" s="30">
        <f>SUMIFS(Dump!E:E,Dump!B:B,C7,Dump!A:A,V7)</f>
        <v>13</v>
      </c>
      <c r="Q7" s="31">
        <f t="shared" si="3"/>
        <v>-13</v>
      </c>
      <c r="S7" s="30">
        <f>SUMIFS(Dump!P:P,Dump!B:B,C7,Dump!A:A,V7)</f>
        <v>17</v>
      </c>
      <c r="T7" s="31">
        <f t="shared" si="4"/>
        <v>-17</v>
      </c>
      <c r="U7" s="34"/>
      <c r="V7" s="32">
        <v>46146.0</v>
      </c>
    </row>
    <row r="8">
      <c r="A8" s="26" t="s">
        <v>19</v>
      </c>
      <c r="B8" s="1" t="s">
        <v>35</v>
      </c>
      <c r="C8" s="2" t="s">
        <v>36</v>
      </c>
      <c r="D8" s="1" t="s">
        <v>37</v>
      </c>
      <c r="E8" s="1"/>
      <c r="F8" s="1" t="s">
        <v>38</v>
      </c>
      <c r="G8" s="1" t="s">
        <v>39</v>
      </c>
      <c r="I8" s="33" t="str">
        <f t="shared" si="1"/>
        <v/>
      </c>
      <c r="K8" s="27">
        <v>20.0</v>
      </c>
      <c r="L8" s="28">
        <f>SUMIFS(Dump!$D:$D,Dump!$B:$B,$C8,Dump!$A:$A,$V8)</f>
        <v>18</v>
      </c>
      <c r="M8" s="28">
        <f>SUMIFS(Dump!R:R,Dump!B:B,C8,Dump!A:A,V8)</f>
        <v>45583</v>
      </c>
      <c r="N8" s="29">
        <f t="shared" si="2"/>
        <v>2</v>
      </c>
      <c r="P8" s="30">
        <f>SUMIFS(Dump!E:E,Dump!B:B,C8,Dump!A:A,V8)</f>
        <v>22</v>
      </c>
      <c r="Q8" s="31">
        <f t="shared" si="3"/>
        <v>-22</v>
      </c>
      <c r="S8" s="30">
        <f>SUMIFS(Dump!P:P,Dump!B:B,C8,Dump!A:A,V8)</f>
        <v>15</v>
      </c>
      <c r="T8" s="31">
        <f t="shared" si="4"/>
        <v>-15</v>
      </c>
      <c r="U8" s="34"/>
      <c r="V8" s="32">
        <v>46146.0</v>
      </c>
    </row>
    <row r="9">
      <c r="A9" s="26" t="s">
        <v>19</v>
      </c>
      <c r="B9" s="1" t="s">
        <v>40</v>
      </c>
      <c r="C9" s="2" t="s">
        <v>41</v>
      </c>
      <c r="D9" s="1" t="s">
        <v>42</v>
      </c>
      <c r="E9" s="1" t="s">
        <v>43</v>
      </c>
      <c r="F9" s="1" t="s">
        <v>24</v>
      </c>
      <c r="G9" s="1" t="s">
        <v>44</v>
      </c>
      <c r="I9" s="33" t="str">
        <f t="shared" si="1"/>
        <v/>
      </c>
      <c r="K9" s="27"/>
      <c r="L9" s="28">
        <f>SUMIFS(Dump!$D:$D,Dump!$B:$B,$C9,Dump!$A:$A,$V9)</f>
        <v>0</v>
      </c>
      <c r="M9" s="28">
        <f>SUMIFS(Dump!R:R,Dump!B:B,C9,Dump!A:A,V9)</f>
        <v>0</v>
      </c>
      <c r="N9" s="29">
        <f t="shared" si="2"/>
        <v>0</v>
      </c>
      <c r="P9" s="30">
        <f>SUMIFS(Dump!E:E,Dump!B:B,C9,Dump!A:A,V9)</f>
        <v>0</v>
      </c>
      <c r="Q9" s="31">
        <f t="shared" si="3"/>
        <v>0</v>
      </c>
      <c r="S9" s="30">
        <f>SUMIFS(Dump!P:P,Dump!B:B,C9,Dump!A:A,V9)</f>
        <v>0</v>
      </c>
      <c r="T9" s="31">
        <f t="shared" si="4"/>
        <v>0</v>
      </c>
      <c r="U9" s="34"/>
      <c r="V9" s="32">
        <v>46146.0</v>
      </c>
    </row>
    <row r="10">
      <c r="A10" s="26" t="s">
        <v>19</v>
      </c>
      <c r="B10" s="1" t="s">
        <v>45</v>
      </c>
      <c r="C10" s="2"/>
      <c r="D10" s="1" t="s">
        <v>46</v>
      </c>
      <c r="E10" s="1"/>
      <c r="F10" s="1" t="s">
        <v>24</v>
      </c>
      <c r="G10" s="1" t="s">
        <v>47</v>
      </c>
      <c r="I10" s="33" t="str">
        <f t="shared" si="1"/>
        <v/>
      </c>
      <c r="K10" s="27"/>
      <c r="L10" s="28">
        <f>SUMIFS(Dump!$D:$D,Dump!$B:$B,$C10,Dump!$A:$A,$V10)</f>
        <v>0</v>
      </c>
      <c r="M10" s="28">
        <f>SUMIFS(Dump!R:R,Dump!B:B,C10,Dump!A:A,V10)</f>
        <v>0</v>
      </c>
      <c r="N10" s="29">
        <f t="shared" si="2"/>
        <v>0</v>
      </c>
      <c r="P10" s="30">
        <f>SUMIFS(Dump!E:E,Dump!B:B,C10,Dump!A:A,V10)</f>
        <v>0</v>
      </c>
      <c r="Q10" s="31">
        <f t="shared" si="3"/>
        <v>0</v>
      </c>
      <c r="S10" s="30">
        <f>SUMIFS(Dump!P:P,Dump!B:B,C10,Dump!A:A,V10)</f>
        <v>0</v>
      </c>
      <c r="T10" s="31">
        <f t="shared" si="4"/>
        <v>0</v>
      </c>
      <c r="U10" s="34"/>
      <c r="V10" s="32">
        <v>46146.0</v>
      </c>
    </row>
    <row r="11">
      <c r="A11" s="26" t="s">
        <v>19</v>
      </c>
      <c r="B11" s="1" t="s">
        <v>48</v>
      </c>
      <c r="C11" s="2"/>
      <c r="D11" s="1" t="s">
        <v>49</v>
      </c>
      <c r="E11" s="1"/>
      <c r="F11" s="1" t="s">
        <v>29</v>
      </c>
      <c r="G11" s="1" t="s">
        <v>50</v>
      </c>
      <c r="I11" s="33" t="str">
        <f t="shared" si="1"/>
        <v/>
      </c>
      <c r="K11" s="27"/>
      <c r="L11" s="28">
        <f>SUMIFS(Dump!$D:$D,Dump!$B:$B,$C11,Dump!$A:$A,$V11)</f>
        <v>0</v>
      </c>
      <c r="M11" s="28">
        <f>SUMIFS(Dump!R:R,Dump!B:B,C11,Dump!A:A,V11)</f>
        <v>0</v>
      </c>
      <c r="N11" s="29">
        <f t="shared" si="2"/>
        <v>0</v>
      </c>
      <c r="P11" s="30">
        <f>SUMIFS(Dump!E:E,Dump!B:B,C11,Dump!A:A,V11)</f>
        <v>0</v>
      </c>
      <c r="Q11" s="31">
        <f t="shared" si="3"/>
        <v>0</v>
      </c>
      <c r="S11" s="30">
        <f>SUMIFS(Dump!P:P,Dump!B:B,C11,Dump!A:A,V11)</f>
        <v>0</v>
      </c>
      <c r="T11" s="31">
        <f t="shared" si="4"/>
        <v>0</v>
      </c>
      <c r="U11" s="34"/>
      <c r="V11" s="32">
        <v>46146.0</v>
      </c>
    </row>
    <row r="12">
      <c r="A12" s="26" t="s">
        <v>19</v>
      </c>
      <c r="B12" s="1"/>
      <c r="C12" s="2" t="s">
        <v>51</v>
      </c>
      <c r="D12" s="1" t="s">
        <v>52</v>
      </c>
      <c r="E12" s="1" t="s">
        <v>23</v>
      </c>
      <c r="F12" s="1" t="s">
        <v>24</v>
      </c>
      <c r="G12" s="1" t="s">
        <v>53</v>
      </c>
      <c r="I12" s="33" t="str">
        <f t="shared" si="1"/>
        <v/>
      </c>
      <c r="K12" s="27">
        <v>40.0</v>
      </c>
      <c r="L12" s="28">
        <f>SUMIFS(Dump!$D:$D,Dump!$B:$B,$C12,Dump!$A:$A,$V12)</f>
        <v>30</v>
      </c>
      <c r="M12" s="28">
        <f>SUMIFS(Dump!R:R,Dump!B:B,C12,Dump!A:A,V12)</f>
        <v>65086</v>
      </c>
      <c r="N12" s="29">
        <f t="shared" si="2"/>
        <v>10</v>
      </c>
      <c r="P12" s="30">
        <f>SUMIFS(Dump!E:E,Dump!B:B,C12,Dump!A:A,V12)</f>
        <v>34</v>
      </c>
      <c r="Q12" s="31">
        <f t="shared" si="3"/>
        <v>-34</v>
      </c>
      <c r="S12" s="30">
        <f>SUMIFS(Dump!P:P,Dump!B:B,C12,Dump!A:A,V12)</f>
        <v>32</v>
      </c>
      <c r="T12" s="31">
        <f t="shared" si="4"/>
        <v>-32</v>
      </c>
      <c r="U12" s="34"/>
      <c r="V12" s="32">
        <v>46146.0</v>
      </c>
    </row>
    <row r="13">
      <c r="A13" s="26" t="s">
        <v>19</v>
      </c>
      <c r="B13" s="1" t="s">
        <v>54</v>
      </c>
      <c r="C13" s="2"/>
      <c r="D13" s="1" t="s">
        <v>55</v>
      </c>
      <c r="E13" s="1"/>
      <c r="F13" s="1" t="s">
        <v>24</v>
      </c>
      <c r="G13" s="1" t="s">
        <v>56</v>
      </c>
      <c r="I13" s="33" t="str">
        <f t="shared" si="1"/>
        <v/>
      </c>
      <c r="K13" s="27"/>
      <c r="L13" s="28">
        <f>SUMIFS(Dump!$D:$D,Dump!$B:$B,$C13,Dump!$A:$A,$V13)</f>
        <v>0</v>
      </c>
      <c r="M13" s="28">
        <f>SUMIFS(Dump!R:R,Dump!B:B,C13,Dump!A:A,V13)</f>
        <v>0</v>
      </c>
      <c r="N13" s="29">
        <f t="shared" si="2"/>
        <v>0</v>
      </c>
      <c r="P13" s="30">
        <f>SUMIFS(Dump!E:E,Dump!B:B,C13,Dump!A:A,V13)</f>
        <v>0</v>
      </c>
      <c r="Q13" s="31">
        <f t="shared" si="3"/>
        <v>0</v>
      </c>
      <c r="S13" s="30">
        <f>SUMIFS(Dump!P:P,Dump!B:B,C13,Dump!A:A,V13)</f>
        <v>0</v>
      </c>
      <c r="T13" s="31">
        <f t="shared" si="4"/>
        <v>0</v>
      </c>
      <c r="U13" s="34"/>
      <c r="V13" s="32">
        <v>46146.0</v>
      </c>
    </row>
    <row r="14">
      <c r="A14" s="26" t="s">
        <v>19</v>
      </c>
      <c r="B14" s="1"/>
      <c r="C14" s="2" t="s">
        <v>57</v>
      </c>
      <c r="D14" s="1" t="s">
        <v>58</v>
      </c>
      <c r="E14" s="1" t="s">
        <v>23</v>
      </c>
      <c r="F14" s="1" t="s">
        <v>24</v>
      </c>
      <c r="G14" s="1" t="s">
        <v>56</v>
      </c>
      <c r="I14" s="33" t="str">
        <f t="shared" si="1"/>
        <v/>
      </c>
      <c r="K14" s="27"/>
      <c r="L14" s="28">
        <f>SUMIFS(Dump!$D:$D,Dump!$B:$B,$C14,Dump!$A:$A,$V14)</f>
        <v>0</v>
      </c>
      <c r="M14" s="28">
        <f>SUMIFS(Dump!R:R,Dump!B:B,C14,Dump!A:A,V14)</f>
        <v>0</v>
      </c>
      <c r="N14" s="29">
        <f t="shared" si="2"/>
        <v>0</v>
      </c>
      <c r="P14" s="30">
        <f>SUMIFS(Dump!E:E,Dump!B:B,C14,Dump!A:A,V14)</f>
        <v>0</v>
      </c>
      <c r="Q14" s="31">
        <f t="shared" si="3"/>
        <v>0</v>
      </c>
      <c r="S14" s="30">
        <f>SUMIFS(Dump!P:P,Dump!B:B,C14,Dump!A:A,V14)</f>
        <v>8</v>
      </c>
      <c r="T14" s="31">
        <f t="shared" si="4"/>
        <v>-8</v>
      </c>
      <c r="U14" s="34"/>
      <c r="V14" s="32">
        <v>46146.0</v>
      </c>
    </row>
    <row r="15">
      <c r="A15" s="26" t="s">
        <v>19</v>
      </c>
      <c r="B15" s="1" t="s">
        <v>59</v>
      </c>
      <c r="C15" s="2" t="s">
        <v>60</v>
      </c>
      <c r="D15" s="1" t="s">
        <v>61</v>
      </c>
      <c r="E15" s="1" t="s">
        <v>23</v>
      </c>
      <c r="F15" s="1" t="s">
        <v>29</v>
      </c>
      <c r="G15" s="1"/>
      <c r="I15" s="33" t="str">
        <f t="shared" si="1"/>
        <v/>
      </c>
      <c r="K15" s="27">
        <v>10.0</v>
      </c>
      <c r="L15" s="28">
        <f>SUMIFS(Dump!$D:$D,Dump!$B:$B,$C15,Dump!$A:$A,$V15)</f>
        <v>12</v>
      </c>
      <c r="M15" s="28">
        <f>SUMIFS(Dump!R:R,Dump!B:B,C15,Dump!A:A,V15)</f>
        <v>24413</v>
      </c>
      <c r="N15" s="29">
        <f t="shared" si="2"/>
        <v>-2</v>
      </c>
      <c r="P15" s="30">
        <f>SUMIFS(Dump!E:E,Dump!B:B,C15,Dump!A:A,V15)</f>
        <v>13</v>
      </c>
      <c r="Q15" s="31">
        <f t="shared" si="3"/>
        <v>-13</v>
      </c>
      <c r="S15" s="30">
        <f>SUMIFS(Dump!P:P,Dump!B:B,C15,Dump!A:A,V15)</f>
        <v>11</v>
      </c>
      <c r="T15" s="31">
        <f t="shared" si="4"/>
        <v>-11</v>
      </c>
      <c r="U15" s="34"/>
      <c r="V15" s="32">
        <v>46146.0</v>
      </c>
    </row>
    <row r="16">
      <c r="A16" s="26" t="s">
        <v>19</v>
      </c>
      <c r="B16" s="1" t="s">
        <v>62</v>
      </c>
      <c r="C16" s="2"/>
      <c r="D16" s="1" t="s">
        <v>63</v>
      </c>
      <c r="E16" s="1"/>
      <c r="F16" s="1" t="s">
        <v>24</v>
      </c>
      <c r="G16" s="1" t="s">
        <v>64</v>
      </c>
      <c r="I16" s="33" t="str">
        <f t="shared" si="1"/>
        <v/>
      </c>
      <c r="K16" s="27"/>
      <c r="L16" s="28">
        <f>SUMIFS(Dump!$D:$D,Dump!$B:$B,$C16,Dump!$A:$A,$V16)</f>
        <v>0</v>
      </c>
      <c r="M16" s="28">
        <f>SUMIFS(Dump!R:R,Dump!B:B,C16,Dump!A:A,V16)</f>
        <v>0</v>
      </c>
      <c r="N16" s="29">
        <f t="shared" si="2"/>
        <v>0</v>
      </c>
      <c r="P16" s="30">
        <f>SUMIFS(Dump!E:E,Dump!B:B,C16,Dump!A:A,V16)</f>
        <v>0</v>
      </c>
      <c r="Q16" s="31">
        <f t="shared" si="3"/>
        <v>0</v>
      </c>
      <c r="S16" s="30">
        <f>SUMIFS(Dump!P:P,Dump!B:B,C16,Dump!A:A,V16)</f>
        <v>0</v>
      </c>
      <c r="T16" s="31">
        <f t="shared" si="4"/>
        <v>0</v>
      </c>
      <c r="U16" s="34"/>
      <c r="V16" s="32">
        <v>46146.0</v>
      </c>
    </row>
    <row r="17">
      <c r="A17" s="26" t="s">
        <v>19</v>
      </c>
      <c r="B17" s="1" t="s">
        <v>65</v>
      </c>
      <c r="C17" s="2" t="s">
        <v>66</v>
      </c>
      <c r="D17" s="1" t="s">
        <v>67</v>
      </c>
      <c r="E17" s="1" t="s">
        <v>23</v>
      </c>
      <c r="F17" s="1" t="s">
        <v>68</v>
      </c>
      <c r="G17" s="1" t="s">
        <v>69</v>
      </c>
      <c r="I17" s="33" t="str">
        <f t="shared" si="1"/>
        <v/>
      </c>
      <c r="K17" s="27"/>
      <c r="L17" s="28">
        <f>SUMIFS(Dump!$D:$D,Dump!$B:$B,$C17,Dump!$A:$A,$V17)</f>
        <v>1</v>
      </c>
      <c r="M17" s="28">
        <f>SUMIFS(Dump!R:R,Dump!B:B,C17,Dump!A:A,V17)</f>
        <v>2732</v>
      </c>
      <c r="N17" s="29">
        <f t="shared" si="2"/>
        <v>-1</v>
      </c>
      <c r="P17" s="30">
        <f>SUMIFS(Dump!E:E,Dump!B:B,C17,Dump!A:A,V17)</f>
        <v>1</v>
      </c>
      <c r="Q17" s="31">
        <f t="shared" si="3"/>
        <v>-1</v>
      </c>
      <c r="S17" s="30">
        <f>SUMIFS(Dump!P:P,Dump!B:B,C17,Dump!A:A,V17)</f>
        <v>3</v>
      </c>
      <c r="T17" s="31">
        <f t="shared" si="4"/>
        <v>-3</v>
      </c>
      <c r="U17" s="34"/>
      <c r="V17" s="32">
        <v>46146.0</v>
      </c>
    </row>
    <row r="18">
      <c r="A18" s="26" t="s">
        <v>19</v>
      </c>
      <c r="B18" s="1" t="s">
        <v>70</v>
      </c>
      <c r="C18" s="2" t="s">
        <v>71</v>
      </c>
      <c r="D18" s="1" t="s">
        <v>72</v>
      </c>
      <c r="E18" s="1" t="s">
        <v>23</v>
      </c>
      <c r="F18" s="1" t="s">
        <v>29</v>
      </c>
      <c r="G18" s="1" t="s">
        <v>73</v>
      </c>
      <c r="I18" s="33" t="str">
        <f t="shared" si="1"/>
        <v/>
      </c>
      <c r="K18" s="27">
        <v>18.0</v>
      </c>
      <c r="L18" s="28">
        <f>SUMIFS(Dump!$D:$D,Dump!$B:$B,$C18,Dump!$A:$A,$V18)</f>
        <v>354</v>
      </c>
      <c r="M18" s="28">
        <f>SUMIFS(Dump!R:R,Dump!B:B,C18,Dump!A:A,V18)</f>
        <v>882175</v>
      </c>
      <c r="N18" s="29">
        <f t="shared" si="2"/>
        <v>-336</v>
      </c>
      <c r="P18" s="30">
        <f>SUMIFS(Dump!E:E,Dump!B:B,C18,Dump!A:A,V18)</f>
        <v>25</v>
      </c>
      <c r="Q18" s="31">
        <f t="shared" si="3"/>
        <v>-25</v>
      </c>
      <c r="S18" s="30">
        <f>SUMIFS(Dump!P:P,Dump!B:B,C18,Dump!A:A,V18)</f>
        <v>20</v>
      </c>
      <c r="T18" s="31">
        <f t="shared" si="4"/>
        <v>-20</v>
      </c>
      <c r="U18" s="34"/>
      <c r="V18" s="32">
        <v>46146.0</v>
      </c>
    </row>
    <row r="19">
      <c r="A19" s="26" t="s">
        <v>19</v>
      </c>
      <c r="B19" s="1"/>
      <c r="C19" s="2" t="s">
        <v>74</v>
      </c>
      <c r="D19" s="1" t="s">
        <v>75</v>
      </c>
      <c r="E19" s="1" t="s">
        <v>23</v>
      </c>
      <c r="F19" s="1" t="s">
        <v>24</v>
      </c>
      <c r="G19" s="1" t="s">
        <v>53</v>
      </c>
      <c r="I19" s="33" t="str">
        <f t="shared" si="1"/>
        <v/>
      </c>
      <c r="K19" s="27"/>
      <c r="L19" s="28">
        <f>SUMIFS(Dump!$D:$D,Dump!$B:$B,$C19,Dump!$A:$A,$V19)</f>
        <v>23</v>
      </c>
      <c r="M19" s="28">
        <f>SUMIFS(Dump!R:R,Dump!B:B,C19,Dump!A:A,V19)</f>
        <v>56248</v>
      </c>
      <c r="N19" s="29">
        <f t="shared" si="2"/>
        <v>-23</v>
      </c>
      <c r="P19" s="30">
        <f>SUMIFS(Dump!E:E,Dump!B:B,C19,Dump!A:A,V19)</f>
        <v>14</v>
      </c>
      <c r="Q19" s="31">
        <f t="shared" si="3"/>
        <v>-14</v>
      </c>
      <c r="S19" s="30">
        <f>SUMIFS(Dump!P:P,Dump!B:B,C19,Dump!A:A,V19)</f>
        <v>24</v>
      </c>
      <c r="T19" s="31">
        <f t="shared" si="4"/>
        <v>-24</v>
      </c>
      <c r="U19" s="34"/>
      <c r="V19" s="32">
        <v>46146.0</v>
      </c>
    </row>
    <row r="20">
      <c r="A20" s="26" t="s">
        <v>19</v>
      </c>
      <c r="B20" s="1"/>
      <c r="C20" s="2" t="s">
        <v>76</v>
      </c>
      <c r="D20" s="1" t="s">
        <v>77</v>
      </c>
      <c r="E20" s="1" t="s">
        <v>43</v>
      </c>
      <c r="F20" s="1" t="s">
        <v>29</v>
      </c>
      <c r="G20" s="1" t="s">
        <v>78</v>
      </c>
      <c r="I20" s="33" t="str">
        <f t="shared" si="1"/>
        <v/>
      </c>
      <c r="K20" s="27"/>
      <c r="L20" s="28">
        <f>SUMIFS(Dump!$D:$D,Dump!$B:$B,$C20,Dump!$A:$A,$V20)</f>
        <v>0</v>
      </c>
      <c r="M20" s="28">
        <f>SUMIFS(Dump!R:R,Dump!B:B,C20,Dump!A:A,V20)</f>
        <v>0</v>
      </c>
      <c r="N20" s="29">
        <f t="shared" si="2"/>
        <v>0</v>
      </c>
      <c r="P20" s="30">
        <f>SUMIFS(Dump!E:E,Dump!B:B,C20,Dump!A:A,V20)</f>
        <v>0</v>
      </c>
      <c r="Q20" s="31">
        <f t="shared" si="3"/>
        <v>0</v>
      </c>
      <c r="S20" s="30">
        <f>SUMIFS(Dump!P:P,Dump!B:B,C20,Dump!A:A,V20)</f>
        <v>0</v>
      </c>
      <c r="T20" s="31">
        <f t="shared" si="4"/>
        <v>0</v>
      </c>
      <c r="U20" s="34"/>
      <c r="V20" s="32">
        <v>46146.0</v>
      </c>
    </row>
    <row r="21">
      <c r="A21" s="26" t="s">
        <v>19</v>
      </c>
      <c r="B21" s="1"/>
      <c r="C21" s="2" t="s">
        <v>79</v>
      </c>
      <c r="D21" s="1" t="s">
        <v>80</v>
      </c>
      <c r="E21" s="1" t="s">
        <v>43</v>
      </c>
      <c r="F21" s="1" t="s">
        <v>38</v>
      </c>
      <c r="G21" s="1"/>
      <c r="I21" s="33" t="str">
        <f t="shared" si="1"/>
        <v/>
      </c>
      <c r="K21" s="27"/>
      <c r="L21" s="28">
        <f>SUMIFS(Dump!$D:$D,Dump!$B:$B,$C21,Dump!$A:$A,$V21)</f>
        <v>0</v>
      </c>
      <c r="M21" s="28">
        <f>SUMIFS(Dump!R:R,Dump!B:B,C21,Dump!A:A,V21)</f>
        <v>0</v>
      </c>
      <c r="N21" s="29">
        <f t="shared" si="2"/>
        <v>0</v>
      </c>
      <c r="P21" s="30">
        <f>SUMIFS(Dump!E:E,Dump!B:B,C21,Dump!A:A,V21)</f>
        <v>0</v>
      </c>
      <c r="Q21" s="31">
        <f t="shared" si="3"/>
        <v>0</v>
      </c>
      <c r="S21" s="30">
        <f>SUMIFS(Dump!P:P,Dump!B:B,C21,Dump!A:A,V21)</f>
        <v>0</v>
      </c>
      <c r="T21" s="31">
        <f t="shared" si="4"/>
        <v>0</v>
      </c>
      <c r="U21" s="34"/>
      <c r="V21" s="32">
        <v>46146.0</v>
      </c>
    </row>
    <row r="22">
      <c r="A22" s="26" t="s">
        <v>19</v>
      </c>
      <c r="B22" s="1"/>
      <c r="C22" s="2" t="s">
        <v>81</v>
      </c>
      <c r="D22" s="1" t="s">
        <v>82</v>
      </c>
      <c r="E22" s="1"/>
      <c r="F22" s="1"/>
      <c r="G22" s="1"/>
      <c r="I22" s="33" t="str">
        <f t="shared" si="1"/>
        <v/>
      </c>
      <c r="K22" s="27"/>
      <c r="L22" s="28">
        <f>SUMIFS(Dump!$D:$D,Dump!$B:$B,$C22,Dump!$A:$A,$V22)</f>
        <v>0</v>
      </c>
      <c r="M22" s="28">
        <f>SUMIFS(Dump!R:R,Dump!B:B,C22,Dump!A:A,V22)</f>
        <v>0</v>
      </c>
      <c r="N22" s="29">
        <f t="shared" si="2"/>
        <v>0</v>
      </c>
      <c r="P22" s="30">
        <f>SUMIFS(Dump!E:E,Dump!B:B,C22,Dump!A:A,V22)</f>
        <v>0</v>
      </c>
      <c r="Q22" s="31">
        <f t="shared" si="3"/>
        <v>0</v>
      </c>
      <c r="S22" s="30">
        <f>SUMIFS(Dump!P:P,Dump!B:B,C22,Dump!A:A,V22)</f>
        <v>0</v>
      </c>
      <c r="T22" s="31">
        <f t="shared" si="4"/>
        <v>0</v>
      </c>
      <c r="U22" s="34"/>
      <c r="V22" s="32">
        <v>46146.0</v>
      </c>
    </row>
    <row r="23">
      <c r="A23" s="26" t="s">
        <v>19</v>
      </c>
      <c r="B23" s="1"/>
      <c r="C23" s="2" t="s">
        <v>83</v>
      </c>
      <c r="D23" s="1" t="s">
        <v>84</v>
      </c>
      <c r="E23" s="1" t="s">
        <v>23</v>
      </c>
      <c r="F23" s="1"/>
      <c r="G23" s="1"/>
      <c r="I23" s="33" t="str">
        <f t="shared" si="1"/>
        <v/>
      </c>
      <c r="K23" s="27">
        <v>20.0</v>
      </c>
      <c r="L23" s="28">
        <f>SUMIFS(Dump!$D:$D,Dump!$B:$B,$C23,Dump!$A:$A,$V23)</f>
        <v>19</v>
      </c>
      <c r="M23" s="28">
        <f>SUMIFS(Dump!R:R,Dump!B:B,C23,Dump!A:A,V23)</f>
        <v>41346</v>
      </c>
      <c r="N23" s="29">
        <f t="shared" si="2"/>
        <v>1</v>
      </c>
      <c r="P23" s="30">
        <f>SUMIFS(Dump!E:E,Dump!B:B,C23,Dump!A:A,V23)</f>
        <v>0</v>
      </c>
      <c r="Q23" s="31">
        <f t="shared" si="3"/>
        <v>0</v>
      </c>
      <c r="S23" s="30">
        <f>SUMIFS(Dump!P:P,Dump!B:B,C23,Dump!A:A,V23)</f>
        <v>0</v>
      </c>
      <c r="T23" s="31">
        <f t="shared" si="4"/>
        <v>0</v>
      </c>
      <c r="U23" s="34"/>
      <c r="V23" s="32">
        <v>46146.0</v>
      </c>
    </row>
    <row r="24">
      <c r="A24" s="26" t="s">
        <v>19</v>
      </c>
      <c r="B24" s="1"/>
      <c r="C24" s="2" t="s">
        <v>85</v>
      </c>
      <c r="D24" s="1" t="s">
        <v>86</v>
      </c>
      <c r="E24" s="1" t="s">
        <v>43</v>
      </c>
      <c r="F24" s="1" t="s">
        <v>24</v>
      </c>
      <c r="G24" s="1" t="s">
        <v>44</v>
      </c>
      <c r="I24" s="33" t="str">
        <f t="shared" si="1"/>
        <v/>
      </c>
      <c r="K24" s="27"/>
      <c r="L24" s="28">
        <f>SUMIFS(Dump!$D:$D,Dump!$B:$B,$C24,Dump!$A:$A,$V24)</f>
        <v>0</v>
      </c>
      <c r="M24" s="28">
        <f>SUMIFS(Dump!R:R,Dump!B:B,C24,Dump!A:A,V24)</f>
        <v>0</v>
      </c>
      <c r="N24" s="29">
        <f t="shared" si="2"/>
        <v>0</v>
      </c>
      <c r="P24" s="30">
        <f>SUMIFS(Dump!E:E,Dump!B:B,C24,Dump!A:A,V24)</f>
        <v>0</v>
      </c>
      <c r="Q24" s="31">
        <f t="shared" si="3"/>
        <v>0</v>
      </c>
      <c r="S24" s="30">
        <f>SUMIFS(Dump!P:P,Dump!B:B,C24,Dump!A:A,V24)</f>
        <v>0</v>
      </c>
      <c r="T24" s="31">
        <f t="shared" si="4"/>
        <v>0</v>
      </c>
      <c r="U24" s="34"/>
      <c r="V24" s="32">
        <v>46146.0</v>
      </c>
    </row>
    <row r="25">
      <c r="A25" s="26" t="s">
        <v>19</v>
      </c>
      <c r="B25" s="1"/>
      <c r="C25" s="2" t="s">
        <v>87</v>
      </c>
      <c r="D25" s="1" t="s">
        <v>88</v>
      </c>
      <c r="E25" s="1" t="s">
        <v>43</v>
      </c>
      <c r="F25" s="1" t="s">
        <v>29</v>
      </c>
      <c r="G25" s="1" t="s">
        <v>89</v>
      </c>
      <c r="I25" s="33" t="str">
        <f t="shared" si="1"/>
        <v/>
      </c>
      <c r="K25" s="27"/>
      <c r="L25" s="28">
        <f>SUMIFS(Dump!$D:$D,Dump!$B:$B,$C25,Dump!$A:$A,$V25)</f>
        <v>0</v>
      </c>
      <c r="M25" s="28">
        <f>SUMIFS(Dump!R:R,Dump!B:B,C25,Dump!A:A,V25)</f>
        <v>0</v>
      </c>
      <c r="N25" s="29">
        <f t="shared" si="2"/>
        <v>0</v>
      </c>
      <c r="P25" s="30">
        <f>SUMIFS(Dump!E:E,Dump!B:B,C25,Dump!A:A,V25)</f>
        <v>0</v>
      </c>
      <c r="Q25" s="31">
        <f t="shared" si="3"/>
        <v>0</v>
      </c>
      <c r="S25" s="30">
        <f>SUMIFS(Dump!P:P,Dump!B:B,C25,Dump!A:A,V25)</f>
        <v>1</v>
      </c>
      <c r="T25" s="31">
        <f t="shared" si="4"/>
        <v>-1</v>
      </c>
      <c r="U25" s="34"/>
      <c r="V25" s="32">
        <v>46146.0</v>
      </c>
    </row>
    <row r="26">
      <c r="A26" s="26" t="s">
        <v>19</v>
      </c>
      <c r="B26" s="1"/>
      <c r="C26" s="2" t="s">
        <v>90</v>
      </c>
      <c r="D26" s="1" t="s">
        <v>91</v>
      </c>
      <c r="E26" s="1" t="s">
        <v>23</v>
      </c>
      <c r="F26" s="1"/>
      <c r="G26" s="1"/>
      <c r="I26" s="33" t="str">
        <f t="shared" si="1"/>
        <v/>
      </c>
      <c r="K26" s="27">
        <v>12.0</v>
      </c>
      <c r="L26" s="28">
        <f>SUMIFS(Dump!$D:$D,Dump!$B:$B,$C26,Dump!$A:$A,$V26)</f>
        <v>15</v>
      </c>
      <c r="M26" s="28">
        <f>SUMIFS(Dump!R:R,Dump!B:B,C26,Dump!A:A,V26)</f>
        <v>33622</v>
      </c>
      <c r="N26" s="29">
        <f t="shared" si="2"/>
        <v>-3</v>
      </c>
      <c r="P26" s="30">
        <f>SUMIFS(Dump!E:E,Dump!B:B,C26,Dump!A:A,V26)</f>
        <v>19</v>
      </c>
      <c r="Q26" s="31">
        <f t="shared" si="3"/>
        <v>-19</v>
      </c>
      <c r="S26" s="30">
        <f>SUMIFS(Dump!P:P,Dump!B:B,C26,Dump!A:A,V26)</f>
        <v>21</v>
      </c>
      <c r="T26" s="31">
        <f t="shared" si="4"/>
        <v>-21</v>
      </c>
      <c r="U26" s="34"/>
      <c r="V26" s="32">
        <v>46146.0</v>
      </c>
    </row>
    <row r="27">
      <c r="A27" s="26" t="s">
        <v>19</v>
      </c>
      <c r="B27" s="1"/>
      <c r="C27" s="2" t="s">
        <v>92</v>
      </c>
      <c r="D27" s="1" t="s">
        <v>93</v>
      </c>
      <c r="E27" s="1" t="s">
        <v>43</v>
      </c>
      <c r="F27" s="1" t="s">
        <v>38</v>
      </c>
      <c r="G27" s="1" t="s">
        <v>89</v>
      </c>
      <c r="I27" s="33" t="str">
        <f t="shared" si="1"/>
        <v/>
      </c>
      <c r="K27" s="27"/>
      <c r="L27" s="28">
        <f>SUMIFS(Dump!$D:$D,Dump!$B:$B,$C27,Dump!$A:$A,$V27)</f>
        <v>0</v>
      </c>
      <c r="M27" s="28">
        <f>SUMIFS(Dump!R:R,Dump!B:B,C27,Dump!A:A,V27)</f>
        <v>0</v>
      </c>
      <c r="N27" s="29">
        <f t="shared" si="2"/>
        <v>0</v>
      </c>
      <c r="P27" s="30">
        <f>SUMIFS(Dump!E:E,Dump!B:B,C27,Dump!A:A,V27)</f>
        <v>0</v>
      </c>
      <c r="Q27" s="31">
        <f t="shared" si="3"/>
        <v>0</v>
      </c>
      <c r="S27" s="30">
        <f>SUMIFS(Dump!P:P,Dump!B:B,C27,Dump!A:A,V27)</f>
        <v>0</v>
      </c>
      <c r="T27" s="31">
        <f t="shared" si="4"/>
        <v>0</v>
      </c>
      <c r="U27" s="34"/>
      <c r="V27" s="32">
        <v>46146.0</v>
      </c>
    </row>
    <row r="28">
      <c r="A28" s="26" t="s">
        <v>19</v>
      </c>
      <c r="B28" s="1"/>
      <c r="C28" s="2" t="s">
        <v>94</v>
      </c>
      <c r="D28" s="1" t="s">
        <v>95</v>
      </c>
      <c r="E28" s="1" t="s">
        <v>23</v>
      </c>
      <c r="F28" s="1" t="s">
        <v>24</v>
      </c>
      <c r="G28" s="1" t="s">
        <v>78</v>
      </c>
      <c r="I28" s="33" t="str">
        <f t="shared" si="1"/>
        <v/>
      </c>
      <c r="K28" s="27">
        <v>30.0</v>
      </c>
      <c r="L28" s="28">
        <f>SUMIFS(Dump!$D:$D,Dump!$B:$B,$C28,Dump!$A:$A,$V28)</f>
        <v>29</v>
      </c>
      <c r="M28" s="28">
        <f>SUMIFS(Dump!R:R,Dump!B:B,C28,Dump!A:A,V28)</f>
        <v>69012</v>
      </c>
      <c r="N28" s="29">
        <f t="shared" si="2"/>
        <v>1</v>
      </c>
      <c r="P28" s="30">
        <f>SUMIFS(Dump!E:E,Dump!B:B,C28,Dump!A:A,V28)</f>
        <v>11</v>
      </c>
      <c r="Q28" s="31">
        <f t="shared" si="3"/>
        <v>-11</v>
      </c>
      <c r="S28" s="30">
        <f>SUMIFS(Dump!P:P,Dump!B:B,C28,Dump!A:A,V28)</f>
        <v>19</v>
      </c>
      <c r="T28" s="31">
        <f t="shared" si="4"/>
        <v>-19</v>
      </c>
      <c r="U28" s="34"/>
      <c r="V28" s="32">
        <v>46146.0</v>
      </c>
    </row>
    <row r="29">
      <c r="A29" s="26" t="s">
        <v>19</v>
      </c>
      <c r="B29" s="1"/>
      <c r="C29" s="2" t="s">
        <v>96</v>
      </c>
      <c r="D29" s="1" t="s">
        <v>97</v>
      </c>
      <c r="E29" s="1" t="s">
        <v>23</v>
      </c>
      <c r="F29" s="1" t="s">
        <v>24</v>
      </c>
      <c r="G29" s="1"/>
      <c r="I29" s="33" t="str">
        <f t="shared" si="1"/>
        <v/>
      </c>
      <c r="K29" s="27">
        <v>30.0</v>
      </c>
      <c r="L29" s="28">
        <f>SUMIFS(Dump!$D:$D,Dump!$B:$B,$C29,Dump!$A:$A,$V29)</f>
        <v>30</v>
      </c>
      <c r="M29" s="28">
        <f>SUMIFS(Dump!R:R,Dump!B:B,C29,Dump!A:A,V29)</f>
        <v>72191</v>
      </c>
      <c r="N29" s="29">
        <f t="shared" si="2"/>
        <v>0</v>
      </c>
      <c r="P29" s="30">
        <f>SUMIFS(Dump!E:E,Dump!B:B,C29,Dump!A:A,V29)</f>
        <v>5</v>
      </c>
      <c r="Q29" s="31">
        <f t="shared" si="3"/>
        <v>-5</v>
      </c>
      <c r="S29" s="30">
        <f>SUMIFS(Dump!P:P,Dump!B:B,C29,Dump!A:A,V29)</f>
        <v>5</v>
      </c>
      <c r="T29" s="31">
        <f t="shared" si="4"/>
        <v>-5</v>
      </c>
      <c r="U29" s="34"/>
      <c r="V29" s="32">
        <v>46146.0</v>
      </c>
    </row>
    <row r="30">
      <c r="A30" s="26" t="s">
        <v>19</v>
      </c>
      <c r="B30" s="1"/>
      <c r="C30" s="2" t="s">
        <v>98</v>
      </c>
      <c r="D30" s="1" t="s">
        <v>99</v>
      </c>
      <c r="E30" s="1" t="s">
        <v>43</v>
      </c>
      <c r="F30" s="1" t="s">
        <v>24</v>
      </c>
      <c r="G30" s="1"/>
      <c r="I30" s="33" t="str">
        <f t="shared" si="1"/>
        <v/>
      </c>
      <c r="K30" s="27"/>
      <c r="L30" s="28">
        <f>SUMIFS(Dump!$D:$D,Dump!$B:$B,$C30,Dump!$A:$A,$V30)</f>
        <v>0</v>
      </c>
      <c r="M30" s="28">
        <f>SUMIFS(Dump!R:R,Dump!B:B,C30,Dump!A:A,V30)</f>
        <v>0</v>
      </c>
      <c r="N30" s="29">
        <f t="shared" si="2"/>
        <v>0</v>
      </c>
      <c r="P30" s="30">
        <f>SUMIFS(Dump!E:E,Dump!B:B,C30,Dump!A:A,V30)</f>
        <v>0</v>
      </c>
      <c r="Q30" s="31">
        <f t="shared" si="3"/>
        <v>0</v>
      </c>
      <c r="S30" s="30">
        <f>SUMIFS(Dump!P:P,Dump!B:B,C30,Dump!A:A,V30)</f>
        <v>0</v>
      </c>
      <c r="T30" s="31">
        <f t="shared" si="4"/>
        <v>0</v>
      </c>
      <c r="U30" s="34"/>
      <c r="V30" s="32">
        <v>46146.0</v>
      </c>
    </row>
    <row r="31">
      <c r="A31" s="26" t="s">
        <v>19</v>
      </c>
      <c r="B31" s="1"/>
      <c r="C31" s="2" t="s">
        <v>100</v>
      </c>
      <c r="D31" s="1" t="s">
        <v>101</v>
      </c>
      <c r="E31" s="1"/>
      <c r="F31" s="1"/>
      <c r="G31" s="1"/>
      <c r="I31" s="33" t="str">
        <f t="shared" si="1"/>
        <v/>
      </c>
      <c r="K31" s="27"/>
      <c r="L31" s="28">
        <f>SUMIFS(Dump!$D:$D,Dump!$B:$B,$C31,Dump!$A:$A,$V31)</f>
        <v>0</v>
      </c>
      <c r="M31" s="28">
        <f>SUMIFS(Dump!R:R,Dump!B:B,C31,Dump!A:A,V31)</f>
        <v>0</v>
      </c>
      <c r="N31" s="29">
        <f t="shared" si="2"/>
        <v>0</v>
      </c>
      <c r="P31" s="30">
        <f>SUMIFS(Dump!E:E,Dump!B:B,C31,Dump!A:A,V31)</f>
        <v>0</v>
      </c>
      <c r="Q31" s="31">
        <f t="shared" si="3"/>
        <v>0</v>
      </c>
      <c r="S31" s="30">
        <f>SUMIFS(Dump!P:P,Dump!B:B,C31,Dump!A:A,V31)</f>
        <v>0</v>
      </c>
      <c r="T31" s="31">
        <f t="shared" si="4"/>
        <v>0</v>
      </c>
      <c r="U31" s="34"/>
      <c r="V31" s="32">
        <v>46146.0</v>
      </c>
    </row>
    <row r="32">
      <c r="A32" s="26" t="s">
        <v>19</v>
      </c>
      <c r="B32" s="1"/>
      <c r="C32" s="2" t="s">
        <v>102</v>
      </c>
      <c r="D32" s="1" t="s">
        <v>103</v>
      </c>
      <c r="E32" s="1" t="s">
        <v>23</v>
      </c>
      <c r="F32" s="1"/>
      <c r="G32" s="1"/>
      <c r="I32" s="33" t="str">
        <f t="shared" si="1"/>
        <v/>
      </c>
      <c r="K32" s="27">
        <v>10.0</v>
      </c>
      <c r="L32" s="28">
        <f>SUMIFS(Dump!$D:$D,Dump!$B:$B,$C32,Dump!$A:$A,$V32)</f>
        <v>20</v>
      </c>
      <c r="M32" s="28">
        <f>SUMIFS(Dump!R:R,Dump!B:B,C32,Dump!A:A,V32)</f>
        <v>43065</v>
      </c>
      <c r="N32" s="29">
        <f t="shared" si="2"/>
        <v>-10</v>
      </c>
      <c r="P32" s="30">
        <f>SUMIFS(Dump!E:E,Dump!B:B,C32,Dump!A:A,V32)</f>
        <v>12</v>
      </c>
      <c r="Q32" s="31">
        <f t="shared" si="3"/>
        <v>-12</v>
      </c>
      <c r="S32" s="30">
        <f>SUMIFS(Dump!P:P,Dump!B:B,C32,Dump!A:A,V32)</f>
        <v>14</v>
      </c>
      <c r="T32" s="31">
        <f t="shared" si="4"/>
        <v>-14</v>
      </c>
      <c r="U32" s="34"/>
      <c r="V32" s="32">
        <v>46146.0</v>
      </c>
    </row>
    <row r="33">
      <c r="A33" s="26" t="s">
        <v>19</v>
      </c>
      <c r="B33" s="1"/>
      <c r="C33" s="2" t="s">
        <v>104</v>
      </c>
      <c r="D33" s="1" t="s">
        <v>105</v>
      </c>
      <c r="E33" s="1"/>
      <c r="F33" s="1"/>
      <c r="G33" s="1"/>
      <c r="I33" s="33" t="str">
        <f t="shared" si="1"/>
        <v/>
      </c>
      <c r="K33" s="27"/>
      <c r="L33" s="28">
        <f>SUMIFS(Dump!$D:$D,Dump!$B:$B,$C33,Dump!$A:$A,$V33)</f>
        <v>13</v>
      </c>
      <c r="M33" s="28">
        <f>SUMIFS(Dump!R:R,Dump!B:B,C33,Dump!A:A,V33)</f>
        <v>30909</v>
      </c>
      <c r="N33" s="29">
        <f t="shared" si="2"/>
        <v>-13</v>
      </c>
      <c r="P33" s="30">
        <f>SUMIFS(Dump!E:E,Dump!B:B,C33,Dump!A:A,V33)</f>
        <v>0</v>
      </c>
      <c r="Q33" s="31">
        <f t="shared" si="3"/>
        <v>0</v>
      </c>
      <c r="S33" s="30">
        <f>SUMIFS(Dump!P:P,Dump!B:B,C33,Dump!A:A,V33)</f>
        <v>0</v>
      </c>
      <c r="T33" s="31">
        <f t="shared" si="4"/>
        <v>0</v>
      </c>
      <c r="U33" s="34"/>
      <c r="V33" s="32">
        <v>46146.0</v>
      </c>
    </row>
    <row r="34">
      <c r="A34" s="26" t="s">
        <v>19</v>
      </c>
      <c r="B34" s="1"/>
      <c r="C34" s="2" t="str">
        <f t="shared" ref="C34:C37" si="5">IFERROR(VLOOKUP(D34,Sheet3!L:M,2,0),"")</f>
        <v/>
      </c>
      <c r="D34" s="1" t="s">
        <v>106</v>
      </c>
      <c r="E34" s="1"/>
      <c r="F34" s="1"/>
      <c r="G34" s="1"/>
      <c r="I34" s="33" t="str">
        <f t="shared" si="1"/>
        <v/>
      </c>
      <c r="K34" s="27"/>
      <c r="L34" s="28">
        <f>SUMIFS(Dump!$D:$D,Dump!$B:$B,$C34,Dump!$A:$A,$V34)</f>
        <v>0</v>
      </c>
      <c r="M34" s="28">
        <f>SUMIFS(Dump!R:R,Dump!B:B,C34,Dump!A:A,V34)</f>
        <v>0</v>
      </c>
      <c r="N34" s="29">
        <f t="shared" si="2"/>
        <v>0</v>
      </c>
      <c r="P34" s="30">
        <f>SUMIFS(Dump!E:E,Dump!B:B,C34,Dump!A:A,V34)</f>
        <v>0</v>
      </c>
      <c r="Q34" s="31">
        <f t="shared" si="3"/>
        <v>0</v>
      </c>
      <c r="S34" s="30">
        <f>SUMIFS(Dump!P:P,Dump!B:B,C34,Dump!A:A,V34)</f>
        <v>0</v>
      </c>
      <c r="T34" s="31">
        <f t="shared" si="4"/>
        <v>0</v>
      </c>
      <c r="U34" s="34"/>
      <c r="V34" s="32">
        <v>46146.0</v>
      </c>
    </row>
    <row r="35">
      <c r="A35" s="26" t="s">
        <v>19</v>
      </c>
      <c r="B35" s="1"/>
      <c r="C35" s="2" t="str">
        <f t="shared" si="5"/>
        <v/>
      </c>
      <c r="D35" s="1" t="s">
        <v>107</v>
      </c>
      <c r="E35" s="1"/>
      <c r="F35" s="1"/>
      <c r="G35" s="1"/>
      <c r="I35" s="33" t="str">
        <f t="shared" si="1"/>
        <v/>
      </c>
      <c r="K35" s="27"/>
      <c r="L35" s="28">
        <f>SUMIFS(Dump!$D:$D,Dump!$B:$B,$C35,Dump!$A:$A,$V35)</f>
        <v>0</v>
      </c>
      <c r="M35" s="28">
        <f>SUMIFS(Dump!R:R,Dump!B:B,C35,Dump!A:A,V35)</f>
        <v>0</v>
      </c>
      <c r="N35" s="29">
        <f t="shared" si="2"/>
        <v>0</v>
      </c>
      <c r="P35" s="30">
        <f>SUMIFS(Dump!E:E,Dump!B:B,C35,Dump!A:A,V35)</f>
        <v>0</v>
      </c>
      <c r="Q35" s="31">
        <f t="shared" si="3"/>
        <v>0</v>
      </c>
      <c r="S35" s="30">
        <f>SUMIFS(Dump!P:P,Dump!B:B,C35,Dump!A:A,V35)</f>
        <v>0</v>
      </c>
      <c r="T35" s="31">
        <f t="shared" si="4"/>
        <v>0</v>
      </c>
      <c r="U35" s="34"/>
      <c r="V35" s="32">
        <v>46146.0</v>
      </c>
    </row>
    <row r="36">
      <c r="A36" s="26" t="s">
        <v>19</v>
      </c>
      <c r="B36" s="1"/>
      <c r="C36" s="2" t="str">
        <f t="shared" si="5"/>
        <v/>
      </c>
      <c r="D36" s="1" t="s">
        <v>108</v>
      </c>
      <c r="E36" s="1"/>
      <c r="F36" s="1" t="str">
        <f t="shared" ref="F36:F37" si="6">IFERROR(VLOOKUP($D36,Sheet3!$N:$Q,3,0),"")</f>
        <v/>
      </c>
      <c r="G36" s="1" t="str">
        <f t="shared" ref="G36:G37" si="7">IFERROR(VLOOKUP($D36,Sheet3!$N:$Q,4,0),"")</f>
        <v/>
      </c>
      <c r="I36" s="33" t="str">
        <f t="shared" si="1"/>
        <v/>
      </c>
      <c r="K36" s="27"/>
      <c r="L36" s="28">
        <f>SUMIFS(Dump!$D:$D,Dump!$B:$B,$C36,Dump!$A:$A,$V36)</f>
        <v>0</v>
      </c>
      <c r="M36" s="28">
        <f>SUMIFS(Dump!R:R,Dump!B:B,C36,Dump!A:A,V36)</f>
        <v>0</v>
      </c>
      <c r="N36" s="29">
        <f t="shared" si="2"/>
        <v>0</v>
      </c>
      <c r="P36" s="30">
        <f>SUMIFS(Dump!E:E,Dump!B:B,C36,Dump!A:A,V36)</f>
        <v>0</v>
      </c>
      <c r="Q36" s="31">
        <f t="shared" si="3"/>
        <v>0</v>
      </c>
      <c r="S36" s="30">
        <f>SUMIFS(Dump!P:P,Dump!B:B,C36,Dump!A:A,V36)</f>
        <v>0</v>
      </c>
      <c r="T36" s="31">
        <f t="shared" si="4"/>
        <v>0</v>
      </c>
      <c r="U36" s="34"/>
      <c r="V36" s="32">
        <v>46146.0</v>
      </c>
    </row>
    <row r="37">
      <c r="A37" s="26" t="s">
        <v>19</v>
      </c>
      <c r="B37" s="1"/>
      <c r="C37" s="2" t="str">
        <f t="shared" si="5"/>
        <v/>
      </c>
      <c r="D37" s="1" t="s">
        <v>109</v>
      </c>
      <c r="E37" s="1"/>
      <c r="F37" s="1" t="str">
        <f t="shared" si="6"/>
        <v/>
      </c>
      <c r="G37" s="1" t="str">
        <f t="shared" si="7"/>
        <v/>
      </c>
      <c r="I37" s="33" t="str">
        <f t="shared" si="1"/>
        <v/>
      </c>
      <c r="K37" s="27"/>
      <c r="L37" s="28">
        <f>SUMIFS(Dump!$D:$D,Dump!$B:$B,$C37,Dump!$A:$A,$V37)</f>
        <v>0</v>
      </c>
      <c r="M37" s="28">
        <f>SUMIFS(Dump!R:R,Dump!B:B,C37,Dump!A:A,V37)</f>
        <v>0</v>
      </c>
      <c r="N37" s="29">
        <f t="shared" si="2"/>
        <v>0</v>
      </c>
      <c r="P37" s="30">
        <f>SUMIFS(Dump!E:E,Dump!B:B,C37,Dump!A:A,V37)</f>
        <v>0</v>
      </c>
      <c r="Q37" s="31">
        <f t="shared" si="3"/>
        <v>0</v>
      </c>
      <c r="S37" s="30">
        <f>SUMIFS(Dump!P:P,Dump!B:B,C37,Dump!A:A,V37)</f>
        <v>0</v>
      </c>
      <c r="T37" s="31">
        <f t="shared" si="4"/>
        <v>0</v>
      </c>
      <c r="U37" s="34"/>
      <c r="V37" s="32">
        <v>46146.0</v>
      </c>
    </row>
    <row r="38">
      <c r="A38" s="35"/>
      <c r="B38" s="36"/>
      <c r="C38" s="37"/>
      <c r="D38" s="36"/>
      <c r="E38" s="36"/>
      <c r="F38" s="36"/>
      <c r="G38" s="36"/>
      <c r="H38" s="36"/>
      <c r="I38" s="36"/>
      <c r="J38" s="36"/>
      <c r="K38" s="38"/>
      <c r="L38" s="39"/>
      <c r="M38" s="39"/>
      <c r="N38" s="40"/>
      <c r="O38" s="41"/>
      <c r="P38" s="42"/>
      <c r="Q38" s="43"/>
      <c r="R38" s="41"/>
      <c r="S38" s="42"/>
      <c r="T38" s="43"/>
      <c r="U38" s="36"/>
      <c r="V38" s="44"/>
    </row>
    <row r="39">
      <c r="A39" s="26" t="s">
        <v>110</v>
      </c>
      <c r="B39" s="1" t="s">
        <v>20</v>
      </c>
      <c r="C39" s="2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/>
      <c r="I39" s="1" t="str">
        <f t="shared" ref="I39:I994" si="8">IFERROR(VLOOKUP($C39,'Show Details'!A:Z,7,0),"")</f>
        <v/>
      </c>
      <c r="J39" s="1"/>
      <c r="K39" s="27" t="str">
        <f t="shared" ref="K39:K73" si="9">IFERROR(VLOOKUP(C39,Sheet10!C:J,8,0),"")</f>
        <v/>
      </c>
      <c r="L39" s="28">
        <f>SUMIFS(Dump!$D:$D,Dump!$B:$B,$C39,Dump!$A:$A,$V39)</f>
        <v>11</v>
      </c>
      <c r="M39" s="28">
        <f>SUMIFS(Dump!R:R,Dump!B:B,C39,Dump!A:A,V39)</f>
        <v>26730</v>
      </c>
      <c r="N39" s="29">
        <f t="shared" ref="N39:N994" si="10">K39-L39</f>
        <v>-11</v>
      </c>
      <c r="P39" s="30">
        <f>SUMIFS(Dump!E:E,Dump!B:B,C39,Dump!A:A,V39)</f>
        <v>32</v>
      </c>
      <c r="Q39" s="31">
        <f t="shared" ref="Q39:Q994" si="11">O39-P39</f>
        <v>-32</v>
      </c>
      <c r="S39" s="30">
        <f>SUMIFS(Dump!P:P,Dump!B:B,C39,Dump!A:A,V39)</f>
        <v>3</v>
      </c>
      <c r="T39" s="31">
        <f t="shared" ref="T39:T994" si="12">R39-S39</f>
        <v>-3</v>
      </c>
      <c r="U39" s="8"/>
      <c r="V39" s="45">
        <v>46153.0</v>
      </c>
    </row>
    <row r="40">
      <c r="A40" s="26" t="s">
        <v>110</v>
      </c>
      <c r="B40" s="1" t="s">
        <v>26</v>
      </c>
      <c r="C40" s="2" t="s">
        <v>27</v>
      </c>
      <c r="D40" s="1" t="s">
        <v>28</v>
      </c>
      <c r="E40" s="1" t="s">
        <v>23</v>
      </c>
      <c r="F40" s="1" t="s">
        <v>29</v>
      </c>
      <c r="G40" s="1" t="s">
        <v>30</v>
      </c>
      <c r="I40" s="33" t="str">
        <f t="shared" si="8"/>
        <v/>
      </c>
      <c r="K40" s="27" t="str">
        <f t="shared" si="9"/>
        <v/>
      </c>
      <c r="L40" s="28">
        <f>SUMIFS(Dump!$D:$D,Dump!$B:$B,$C40,Dump!$A:$A,$V40)</f>
        <v>11</v>
      </c>
      <c r="M40" s="28">
        <f>SUMIFS(Dump!R:R,Dump!B:B,C40,Dump!A:A,V40)</f>
        <v>24161</v>
      </c>
      <c r="N40" s="29">
        <f t="shared" si="10"/>
        <v>-11</v>
      </c>
      <c r="P40" s="30">
        <f>SUMIFS(Dump!E:E,Dump!B:B,C40,Dump!A:A,V40)</f>
        <v>8</v>
      </c>
      <c r="Q40" s="31">
        <f t="shared" si="11"/>
        <v>-8</v>
      </c>
      <c r="S40" s="30">
        <f>SUMIFS(Dump!P:P,Dump!B:B,C40,Dump!A:A,V40)</f>
        <v>10</v>
      </c>
      <c r="T40" s="31">
        <f t="shared" si="12"/>
        <v>-10</v>
      </c>
      <c r="U40" s="34"/>
      <c r="V40" s="45">
        <v>46153.0</v>
      </c>
    </row>
    <row r="41">
      <c r="A41" s="26" t="s">
        <v>110</v>
      </c>
      <c r="B41" s="1" t="s">
        <v>31</v>
      </c>
      <c r="C41" s="2" t="s">
        <v>32</v>
      </c>
      <c r="D41" s="1" t="s">
        <v>33</v>
      </c>
      <c r="E41" s="1" t="s">
        <v>23</v>
      </c>
      <c r="F41" s="1" t="s">
        <v>29</v>
      </c>
      <c r="G41" s="1" t="s">
        <v>34</v>
      </c>
      <c r="I41" s="33" t="str">
        <f t="shared" si="8"/>
        <v/>
      </c>
      <c r="K41" s="27" t="str">
        <f t="shared" si="9"/>
        <v/>
      </c>
      <c r="L41" s="28">
        <f>SUMIFS(Dump!$D:$D,Dump!$B:$B,$C41,Dump!$A:$A,$V41)</f>
        <v>10</v>
      </c>
      <c r="M41" s="28">
        <f>SUMIFS(Dump!R:R,Dump!B:B,C41,Dump!A:A,V41)</f>
        <v>24505</v>
      </c>
      <c r="N41" s="29">
        <f t="shared" si="10"/>
        <v>-10</v>
      </c>
      <c r="P41" s="30">
        <f>SUMIFS(Dump!E:E,Dump!B:B,C41,Dump!A:A,V41)</f>
        <v>8</v>
      </c>
      <c r="Q41" s="31">
        <f t="shared" si="11"/>
        <v>-8</v>
      </c>
      <c r="S41" s="30">
        <f>SUMIFS(Dump!P:P,Dump!B:B,C41,Dump!A:A,V41)</f>
        <v>4</v>
      </c>
      <c r="T41" s="31">
        <f t="shared" si="12"/>
        <v>-4</v>
      </c>
      <c r="U41" s="34"/>
      <c r="V41" s="45">
        <v>46153.0</v>
      </c>
    </row>
    <row r="42">
      <c r="A42" s="26" t="s">
        <v>110</v>
      </c>
      <c r="B42" s="1" t="s">
        <v>35</v>
      </c>
      <c r="C42" s="2" t="s">
        <v>36</v>
      </c>
      <c r="D42" s="1" t="s">
        <v>37</v>
      </c>
      <c r="E42" s="1"/>
      <c r="F42" s="1" t="s">
        <v>38</v>
      </c>
      <c r="G42" s="1" t="s">
        <v>39</v>
      </c>
      <c r="I42" s="33" t="str">
        <f t="shared" si="8"/>
        <v/>
      </c>
      <c r="K42" s="27" t="str">
        <f t="shared" si="9"/>
        <v/>
      </c>
      <c r="L42" s="28">
        <f>SUMIFS(Dump!$D:$D,Dump!$B:$B,$C42,Dump!$A:$A,$V42)</f>
        <v>18</v>
      </c>
      <c r="M42" s="28">
        <f>SUMIFS(Dump!R:R,Dump!B:B,C42,Dump!A:A,V42)</f>
        <v>52058</v>
      </c>
      <c r="N42" s="29">
        <f t="shared" si="10"/>
        <v>-18</v>
      </c>
      <c r="P42" s="30">
        <f>SUMIFS(Dump!E:E,Dump!B:B,C42,Dump!A:A,V42)</f>
        <v>16</v>
      </c>
      <c r="Q42" s="31">
        <f t="shared" si="11"/>
        <v>-16</v>
      </c>
      <c r="S42" s="30">
        <f>SUMIFS(Dump!P:P,Dump!B:B,C42,Dump!A:A,V42)</f>
        <v>9</v>
      </c>
      <c r="T42" s="31">
        <f t="shared" si="12"/>
        <v>-9</v>
      </c>
      <c r="U42" s="34"/>
      <c r="V42" s="45">
        <v>46153.0</v>
      </c>
    </row>
    <row r="43">
      <c r="A43" s="26" t="s">
        <v>110</v>
      </c>
      <c r="B43" s="1" t="s">
        <v>40</v>
      </c>
      <c r="C43" s="2" t="s">
        <v>41</v>
      </c>
      <c r="D43" s="1" t="s">
        <v>42</v>
      </c>
      <c r="E43" s="1" t="s">
        <v>43</v>
      </c>
      <c r="F43" s="1" t="s">
        <v>24</v>
      </c>
      <c r="G43" s="1" t="s">
        <v>44</v>
      </c>
      <c r="I43" s="33" t="str">
        <f t="shared" si="8"/>
        <v/>
      </c>
      <c r="K43" s="27" t="str">
        <f t="shared" si="9"/>
        <v/>
      </c>
      <c r="L43" s="28">
        <f>SUMIFS(Dump!$D:$D,Dump!$B:$B,$C43,Dump!$A:$A,$V43)</f>
        <v>0</v>
      </c>
      <c r="M43" s="28">
        <f>SUMIFS(Dump!R:R,Dump!B:B,C43,Dump!A:A,V43)</f>
        <v>0</v>
      </c>
      <c r="N43" s="29">
        <f t="shared" si="10"/>
        <v>0</v>
      </c>
      <c r="P43" s="30">
        <f>SUMIFS(Dump!E:E,Dump!B:B,C43,Dump!A:A,V43)</f>
        <v>0</v>
      </c>
      <c r="Q43" s="31">
        <f t="shared" si="11"/>
        <v>0</v>
      </c>
      <c r="S43" s="30">
        <f>SUMIFS(Dump!P:P,Dump!B:B,C43,Dump!A:A,V43)</f>
        <v>0</v>
      </c>
      <c r="T43" s="31">
        <f t="shared" si="12"/>
        <v>0</v>
      </c>
      <c r="U43" s="34"/>
      <c r="V43" s="45">
        <v>46153.0</v>
      </c>
    </row>
    <row r="44">
      <c r="A44" s="26" t="s">
        <v>110</v>
      </c>
      <c r="B44" s="1" t="s">
        <v>45</v>
      </c>
      <c r="C44" s="2"/>
      <c r="D44" s="1" t="s">
        <v>46</v>
      </c>
      <c r="E44" s="1"/>
      <c r="F44" s="1" t="s">
        <v>24</v>
      </c>
      <c r="G44" s="1" t="s">
        <v>47</v>
      </c>
      <c r="I44" s="33" t="str">
        <f t="shared" si="8"/>
        <v/>
      </c>
      <c r="K44" s="27" t="str">
        <f t="shared" si="9"/>
        <v/>
      </c>
      <c r="L44" s="28">
        <f>SUMIFS(Dump!$D:$D,Dump!$B:$B,$C44,Dump!$A:$A,$V44)</f>
        <v>0</v>
      </c>
      <c r="M44" s="28">
        <f>SUMIFS(Dump!R:R,Dump!B:B,C44,Dump!A:A,V44)</f>
        <v>0</v>
      </c>
      <c r="N44" s="29">
        <f t="shared" si="10"/>
        <v>0</v>
      </c>
      <c r="P44" s="30">
        <f>SUMIFS(Dump!E:E,Dump!B:B,C44,Dump!A:A,V44)</f>
        <v>0</v>
      </c>
      <c r="Q44" s="31">
        <f t="shared" si="11"/>
        <v>0</v>
      </c>
      <c r="S44" s="30">
        <f>SUMIFS(Dump!P:P,Dump!B:B,C44,Dump!A:A,V44)</f>
        <v>0</v>
      </c>
      <c r="T44" s="31">
        <f t="shared" si="12"/>
        <v>0</v>
      </c>
      <c r="U44" s="34"/>
      <c r="V44" s="45">
        <v>46153.0</v>
      </c>
    </row>
    <row r="45">
      <c r="A45" s="26" t="s">
        <v>110</v>
      </c>
      <c r="B45" s="1" t="s">
        <v>48</v>
      </c>
      <c r="C45" s="2"/>
      <c r="D45" s="1" t="s">
        <v>49</v>
      </c>
      <c r="E45" s="1"/>
      <c r="F45" s="1" t="s">
        <v>29</v>
      </c>
      <c r="G45" s="1" t="s">
        <v>50</v>
      </c>
      <c r="I45" s="33" t="str">
        <f t="shared" si="8"/>
        <v/>
      </c>
      <c r="K45" s="27" t="str">
        <f t="shared" si="9"/>
        <v/>
      </c>
      <c r="L45" s="28">
        <f>SUMIFS(Dump!$D:$D,Dump!$B:$B,$C45,Dump!$A:$A,$V45)</f>
        <v>0</v>
      </c>
      <c r="M45" s="28">
        <f>SUMIFS(Dump!R:R,Dump!B:B,C45,Dump!A:A,V45)</f>
        <v>0</v>
      </c>
      <c r="N45" s="29">
        <f t="shared" si="10"/>
        <v>0</v>
      </c>
      <c r="P45" s="30">
        <f>SUMIFS(Dump!E:E,Dump!B:B,C45,Dump!A:A,V45)</f>
        <v>0</v>
      </c>
      <c r="Q45" s="31">
        <f t="shared" si="11"/>
        <v>0</v>
      </c>
      <c r="S45" s="30">
        <f>SUMIFS(Dump!P:P,Dump!B:B,C45,Dump!A:A,V45)</f>
        <v>0</v>
      </c>
      <c r="T45" s="31">
        <f t="shared" si="12"/>
        <v>0</v>
      </c>
      <c r="U45" s="34"/>
      <c r="V45" s="45">
        <v>46153.0</v>
      </c>
    </row>
    <row r="46">
      <c r="A46" s="26" t="s">
        <v>110</v>
      </c>
      <c r="B46" s="1"/>
      <c r="C46" s="2" t="s">
        <v>51</v>
      </c>
      <c r="D46" s="1" t="s">
        <v>52</v>
      </c>
      <c r="E46" s="1" t="s">
        <v>23</v>
      </c>
      <c r="F46" s="1" t="s">
        <v>24</v>
      </c>
      <c r="G46" s="1" t="s">
        <v>53</v>
      </c>
      <c r="I46" s="33" t="str">
        <f t="shared" si="8"/>
        <v/>
      </c>
      <c r="K46" s="27" t="str">
        <f t="shared" si="9"/>
        <v/>
      </c>
      <c r="L46" s="28">
        <f>SUMIFS(Dump!$D:$D,Dump!$B:$B,$C46,Dump!$A:$A,$V46)</f>
        <v>23</v>
      </c>
      <c r="M46" s="28">
        <f>SUMIFS(Dump!R:R,Dump!B:B,C46,Dump!A:A,V46)</f>
        <v>47833</v>
      </c>
      <c r="N46" s="29">
        <f t="shared" si="10"/>
        <v>-23</v>
      </c>
      <c r="P46" s="30">
        <f>SUMIFS(Dump!E:E,Dump!B:B,C46,Dump!A:A,V46)</f>
        <v>28</v>
      </c>
      <c r="Q46" s="31">
        <f t="shared" si="11"/>
        <v>-28</v>
      </c>
      <c r="S46" s="30">
        <f>SUMIFS(Dump!P:P,Dump!B:B,C46,Dump!A:A,V46)</f>
        <v>15</v>
      </c>
      <c r="T46" s="31">
        <f t="shared" si="12"/>
        <v>-15</v>
      </c>
      <c r="U46" s="34"/>
      <c r="V46" s="45">
        <v>46153.0</v>
      </c>
    </row>
    <row r="47">
      <c r="A47" s="26" t="s">
        <v>110</v>
      </c>
      <c r="B47" s="1" t="s">
        <v>54</v>
      </c>
      <c r="C47" s="2"/>
      <c r="D47" s="1" t="s">
        <v>55</v>
      </c>
      <c r="E47" s="1"/>
      <c r="F47" s="1" t="s">
        <v>24</v>
      </c>
      <c r="G47" s="1" t="s">
        <v>56</v>
      </c>
      <c r="I47" s="33" t="str">
        <f t="shared" si="8"/>
        <v/>
      </c>
      <c r="K47" s="27" t="str">
        <f t="shared" si="9"/>
        <v/>
      </c>
      <c r="L47" s="28">
        <f>SUMIFS(Dump!$D:$D,Dump!$B:$B,$C47,Dump!$A:$A,$V47)</f>
        <v>0</v>
      </c>
      <c r="M47" s="28">
        <f>SUMIFS(Dump!R:R,Dump!B:B,C47,Dump!A:A,V47)</f>
        <v>0</v>
      </c>
      <c r="N47" s="29">
        <f t="shared" si="10"/>
        <v>0</v>
      </c>
      <c r="P47" s="30">
        <f>SUMIFS(Dump!E:E,Dump!B:B,C47,Dump!A:A,V47)</f>
        <v>0</v>
      </c>
      <c r="Q47" s="31">
        <f t="shared" si="11"/>
        <v>0</v>
      </c>
      <c r="S47" s="30">
        <f>SUMIFS(Dump!P:P,Dump!B:B,C47,Dump!A:A,V47)</f>
        <v>0</v>
      </c>
      <c r="T47" s="31">
        <f t="shared" si="12"/>
        <v>0</v>
      </c>
      <c r="U47" s="34"/>
      <c r="V47" s="45">
        <v>46153.0</v>
      </c>
    </row>
    <row r="48">
      <c r="A48" s="26" t="s">
        <v>110</v>
      </c>
      <c r="B48" s="1"/>
      <c r="C48" s="2" t="s">
        <v>57</v>
      </c>
      <c r="D48" s="1" t="s">
        <v>58</v>
      </c>
      <c r="E48" s="1" t="s">
        <v>23</v>
      </c>
      <c r="F48" s="1" t="s">
        <v>24</v>
      </c>
      <c r="G48" s="1" t="s">
        <v>56</v>
      </c>
      <c r="I48" s="33" t="str">
        <f t="shared" si="8"/>
        <v/>
      </c>
      <c r="K48" s="27" t="str">
        <f t="shared" si="9"/>
        <v/>
      </c>
      <c r="L48" s="28">
        <f>SUMIFS(Dump!$D:$D,Dump!$B:$B,$C48,Dump!$A:$A,$V48)</f>
        <v>0</v>
      </c>
      <c r="M48" s="28">
        <f>SUMIFS(Dump!R:R,Dump!B:B,C48,Dump!A:A,V48)</f>
        <v>0</v>
      </c>
      <c r="N48" s="29">
        <f t="shared" si="10"/>
        <v>0</v>
      </c>
      <c r="P48" s="30">
        <f>SUMIFS(Dump!E:E,Dump!B:B,C48,Dump!A:A,V48)</f>
        <v>1</v>
      </c>
      <c r="Q48" s="31">
        <f t="shared" si="11"/>
        <v>-1</v>
      </c>
      <c r="S48" s="30">
        <f>SUMIFS(Dump!P:P,Dump!B:B,C48,Dump!A:A,V48)</f>
        <v>3</v>
      </c>
      <c r="T48" s="31">
        <f t="shared" si="12"/>
        <v>-3</v>
      </c>
      <c r="U48" s="34"/>
      <c r="V48" s="45">
        <v>46153.0</v>
      </c>
    </row>
    <row r="49">
      <c r="A49" s="26" t="s">
        <v>110</v>
      </c>
      <c r="B49" s="1" t="s">
        <v>59</v>
      </c>
      <c r="C49" s="2" t="s">
        <v>60</v>
      </c>
      <c r="D49" s="1" t="s">
        <v>61</v>
      </c>
      <c r="E49" s="1" t="s">
        <v>23</v>
      </c>
      <c r="F49" s="1" t="s">
        <v>29</v>
      </c>
      <c r="G49" s="1"/>
      <c r="I49" s="33" t="str">
        <f t="shared" si="8"/>
        <v/>
      </c>
      <c r="K49" s="27" t="str">
        <f t="shared" si="9"/>
        <v/>
      </c>
      <c r="L49" s="28">
        <f>SUMIFS(Dump!$D:$D,Dump!$B:$B,$C49,Dump!$A:$A,$V49)</f>
        <v>37</v>
      </c>
      <c r="M49" s="28">
        <f>SUMIFS(Dump!R:R,Dump!B:B,C49,Dump!A:A,V49)</f>
        <v>75556</v>
      </c>
      <c r="N49" s="29">
        <f t="shared" si="10"/>
        <v>-37</v>
      </c>
      <c r="P49" s="30">
        <f>SUMIFS(Dump!E:E,Dump!B:B,C49,Dump!A:A,V49)</f>
        <v>5</v>
      </c>
      <c r="Q49" s="31">
        <f t="shared" si="11"/>
        <v>-5</v>
      </c>
      <c r="S49" s="30">
        <f>SUMIFS(Dump!P:P,Dump!B:B,C49,Dump!A:A,V49)</f>
        <v>0</v>
      </c>
      <c r="T49" s="31">
        <f t="shared" si="12"/>
        <v>0</v>
      </c>
      <c r="U49" s="34"/>
      <c r="V49" s="45">
        <v>46153.0</v>
      </c>
    </row>
    <row r="50">
      <c r="A50" s="26" t="s">
        <v>110</v>
      </c>
      <c r="B50" s="1" t="s">
        <v>62</v>
      </c>
      <c r="C50" s="2"/>
      <c r="D50" s="1" t="s">
        <v>63</v>
      </c>
      <c r="E50" s="1"/>
      <c r="F50" s="1" t="s">
        <v>24</v>
      </c>
      <c r="G50" s="1" t="s">
        <v>64</v>
      </c>
      <c r="I50" s="33" t="str">
        <f t="shared" si="8"/>
        <v/>
      </c>
      <c r="K50" s="27" t="str">
        <f t="shared" si="9"/>
        <v/>
      </c>
      <c r="L50" s="28">
        <f>SUMIFS(Dump!$D:$D,Dump!$B:$B,$C50,Dump!$A:$A,$V50)</f>
        <v>0</v>
      </c>
      <c r="M50" s="28">
        <f>SUMIFS(Dump!R:R,Dump!B:B,C50,Dump!A:A,V50)</f>
        <v>0</v>
      </c>
      <c r="N50" s="29">
        <f t="shared" si="10"/>
        <v>0</v>
      </c>
      <c r="P50" s="30">
        <f>SUMIFS(Dump!E:E,Dump!B:B,C50,Dump!A:A,V50)</f>
        <v>0</v>
      </c>
      <c r="Q50" s="31">
        <f t="shared" si="11"/>
        <v>0</v>
      </c>
      <c r="S50" s="30">
        <f>SUMIFS(Dump!P:P,Dump!B:B,C50,Dump!A:A,V50)</f>
        <v>0</v>
      </c>
      <c r="T50" s="31">
        <f t="shared" si="12"/>
        <v>0</v>
      </c>
      <c r="U50" s="34"/>
      <c r="V50" s="45">
        <v>46153.0</v>
      </c>
    </row>
    <row r="51">
      <c r="A51" s="26" t="s">
        <v>110</v>
      </c>
      <c r="B51" s="1" t="s">
        <v>65</v>
      </c>
      <c r="C51" s="2" t="s">
        <v>66</v>
      </c>
      <c r="D51" s="1" t="s">
        <v>67</v>
      </c>
      <c r="E51" s="1" t="s">
        <v>23</v>
      </c>
      <c r="F51" s="1" t="s">
        <v>68</v>
      </c>
      <c r="G51" s="1" t="s">
        <v>69</v>
      </c>
      <c r="I51" s="33" t="str">
        <f t="shared" si="8"/>
        <v/>
      </c>
      <c r="K51" s="27" t="str">
        <f t="shared" si="9"/>
        <v/>
      </c>
      <c r="L51" s="28">
        <f>SUMIFS(Dump!$D:$D,Dump!$B:$B,$C51,Dump!$A:$A,$V51)</f>
        <v>0</v>
      </c>
      <c r="M51" s="28">
        <f>SUMIFS(Dump!R:R,Dump!B:B,C51,Dump!A:A,V51)</f>
        <v>0</v>
      </c>
      <c r="N51" s="29">
        <f t="shared" si="10"/>
        <v>0</v>
      </c>
      <c r="P51" s="30">
        <f>SUMIFS(Dump!E:E,Dump!B:B,C51,Dump!A:A,V51)</f>
        <v>0</v>
      </c>
      <c r="Q51" s="31">
        <f t="shared" si="11"/>
        <v>0</v>
      </c>
      <c r="S51" s="30">
        <f>SUMIFS(Dump!P:P,Dump!B:B,C51,Dump!A:A,V51)</f>
        <v>1</v>
      </c>
      <c r="T51" s="31">
        <f t="shared" si="12"/>
        <v>-1</v>
      </c>
      <c r="U51" s="34"/>
      <c r="V51" s="45">
        <v>46153.0</v>
      </c>
    </row>
    <row r="52">
      <c r="A52" s="26" t="s">
        <v>110</v>
      </c>
      <c r="B52" s="1" t="s">
        <v>70</v>
      </c>
      <c r="C52" s="2" t="s">
        <v>71</v>
      </c>
      <c r="D52" s="1" t="s">
        <v>72</v>
      </c>
      <c r="E52" s="1" t="s">
        <v>23</v>
      </c>
      <c r="F52" s="1" t="s">
        <v>29</v>
      </c>
      <c r="G52" s="1" t="s">
        <v>73</v>
      </c>
      <c r="I52" s="33" t="str">
        <f t="shared" si="8"/>
        <v/>
      </c>
      <c r="K52" s="27" t="str">
        <f t="shared" si="9"/>
        <v/>
      </c>
      <c r="L52" s="28">
        <f>SUMIFS(Dump!$D:$D,Dump!$B:$B,$C52,Dump!$A:$A,$V52)</f>
        <v>1</v>
      </c>
      <c r="M52" s="28">
        <f>SUMIFS(Dump!R:R,Dump!B:B,C52,Dump!A:A,V52)</f>
        <v>3118</v>
      </c>
      <c r="N52" s="29">
        <f t="shared" si="10"/>
        <v>-1</v>
      </c>
      <c r="P52" s="30">
        <f>SUMIFS(Dump!E:E,Dump!B:B,C52,Dump!A:A,V52)</f>
        <v>17</v>
      </c>
      <c r="Q52" s="31">
        <f t="shared" si="11"/>
        <v>-17</v>
      </c>
      <c r="S52" s="30">
        <f>SUMIFS(Dump!P:P,Dump!B:B,C52,Dump!A:A,V52)</f>
        <v>10</v>
      </c>
      <c r="T52" s="31">
        <f t="shared" si="12"/>
        <v>-10</v>
      </c>
      <c r="U52" s="34"/>
      <c r="V52" s="45">
        <v>46153.0</v>
      </c>
    </row>
    <row r="53">
      <c r="A53" s="26" t="s">
        <v>110</v>
      </c>
      <c r="B53" s="1"/>
      <c r="C53" s="2" t="s">
        <v>74</v>
      </c>
      <c r="D53" s="1" t="s">
        <v>75</v>
      </c>
      <c r="E53" s="1" t="s">
        <v>23</v>
      </c>
      <c r="F53" s="1" t="s">
        <v>24</v>
      </c>
      <c r="G53" s="1" t="s">
        <v>53</v>
      </c>
      <c r="I53" s="33" t="str">
        <f t="shared" si="8"/>
        <v/>
      </c>
      <c r="K53" s="27" t="str">
        <f t="shared" si="9"/>
        <v/>
      </c>
      <c r="L53" s="28">
        <f>SUMIFS(Dump!$D:$D,Dump!$B:$B,$C53,Dump!$A:$A,$V53)</f>
        <v>18</v>
      </c>
      <c r="M53" s="28">
        <f>SUMIFS(Dump!R:R,Dump!B:B,C53,Dump!A:A,V53)</f>
        <v>42267</v>
      </c>
      <c r="N53" s="29">
        <f t="shared" si="10"/>
        <v>-18</v>
      </c>
      <c r="P53" s="30">
        <f>SUMIFS(Dump!E:E,Dump!B:B,C53,Dump!A:A,V53)</f>
        <v>29</v>
      </c>
      <c r="Q53" s="31">
        <f t="shared" si="11"/>
        <v>-29</v>
      </c>
      <c r="S53" s="30">
        <f>SUMIFS(Dump!P:P,Dump!B:B,C53,Dump!A:A,V53)</f>
        <v>13</v>
      </c>
      <c r="T53" s="31">
        <f t="shared" si="12"/>
        <v>-13</v>
      </c>
      <c r="U53" s="34"/>
      <c r="V53" s="45">
        <v>46153.0</v>
      </c>
    </row>
    <row r="54">
      <c r="A54" s="26" t="s">
        <v>110</v>
      </c>
      <c r="B54" s="1"/>
      <c r="C54" s="2" t="s">
        <v>76</v>
      </c>
      <c r="D54" s="1" t="s">
        <v>77</v>
      </c>
      <c r="E54" s="1" t="s">
        <v>43</v>
      </c>
      <c r="F54" s="1" t="s">
        <v>29</v>
      </c>
      <c r="G54" s="1" t="s">
        <v>78</v>
      </c>
      <c r="I54" s="33" t="str">
        <f t="shared" si="8"/>
        <v/>
      </c>
      <c r="K54" s="27" t="str">
        <f t="shared" si="9"/>
        <v/>
      </c>
      <c r="L54" s="28">
        <f>SUMIFS(Dump!$D:$D,Dump!$B:$B,$C54,Dump!$A:$A,$V54)</f>
        <v>0</v>
      </c>
      <c r="M54" s="28">
        <f>SUMIFS(Dump!R:R,Dump!B:B,C54,Dump!A:A,V54)</f>
        <v>0</v>
      </c>
      <c r="N54" s="29">
        <f t="shared" si="10"/>
        <v>0</v>
      </c>
      <c r="P54" s="30">
        <f>SUMIFS(Dump!E:E,Dump!B:B,C54,Dump!A:A,V54)</f>
        <v>0</v>
      </c>
      <c r="Q54" s="31">
        <f t="shared" si="11"/>
        <v>0</v>
      </c>
      <c r="S54" s="30">
        <f>SUMIFS(Dump!P:P,Dump!B:B,C54,Dump!A:A,V54)</f>
        <v>0</v>
      </c>
      <c r="T54" s="31">
        <f t="shared" si="12"/>
        <v>0</v>
      </c>
      <c r="U54" s="34"/>
      <c r="V54" s="45">
        <v>46153.0</v>
      </c>
    </row>
    <row r="55">
      <c r="A55" s="26" t="s">
        <v>110</v>
      </c>
      <c r="B55" s="1"/>
      <c r="C55" s="2" t="s">
        <v>79</v>
      </c>
      <c r="D55" s="1" t="s">
        <v>80</v>
      </c>
      <c r="E55" s="1" t="s">
        <v>43</v>
      </c>
      <c r="F55" s="1" t="s">
        <v>38</v>
      </c>
      <c r="G55" s="1"/>
      <c r="I55" s="33" t="str">
        <f t="shared" si="8"/>
        <v/>
      </c>
      <c r="K55" s="27" t="str">
        <f t="shared" si="9"/>
        <v/>
      </c>
      <c r="L55" s="28">
        <f>SUMIFS(Dump!$D:$D,Dump!$B:$B,$C55,Dump!$A:$A,$V55)</f>
        <v>0</v>
      </c>
      <c r="M55" s="28">
        <f>SUMIFS(Dump!R:R,Dump!B:B,C55,Dump!A:A,V55)</f>
        <v>0</v>
      </c>
      <c r="N55" s="29">
        <f t="shared" si="10"/>
        <v>0</v>
      </c>
      <c r="P55" s="30">
        <f>SUMIFS(Dump!E:E,Dump!B:B,C55,Dump!A:A,V55)</f>
        <v>0</v>
      </c>
      <c r="Q55" s="31">
        <f t="shared" si="11"/>
        <v>0</v>
      </c>
      <c r="S55" s="30">
        <f>SUMIFS(Dump!P:P,Dump!B:B,C55,Dump!A:A,V55)</f>
        <v>0</v>
      </c>
      <c r="T55" s="31">
        <f t="shared" si="12"/>
        <v>0</v>
      </c>
      <c r="U55" s="34"/>
      <c r="V55" s="45">
        <v>46153.0</v>
      </c>
    </row>
    <row r="56">
      <c r="A56" s="26" t="s">
        <v>110</v>
      </c>
      <c r="B56" s="1"/>
      <c r="C56" s="2" t="s">
        <v>81</v>
      </c>
      <c r="D56" s="1" t="s">
        <v>82</v>
      </c>
      <c r="E56" s="1"/>
      <c r="F56" s="1"/>
      <c r="G56" s="1"/>
      <c r="I56" s="33" t="str">
        <f t="shared" si="8"/>
        <v/>
      </c>
      <c r="K56" s="27" t="str">
        <f t="shared" si="9"/>
        <v/>
      </c>
      <c r="L56" s="28">
        <f>SUMIFS(Dump!$D:$D,Dump!$B:$B,$C56,Dump!$A:$A,$V56)</f>
        <v>0</v>
      </c>
      <c r="M56" s="28">
        <f>SUMIFS(Dump!R:R,Dump!B:B,C56,Dump!A:A,V56)</f>
        <v>0</v>
      </c>
      <c r="N56" s="29">
        <f t="shared" si="10"/>
        <v>0</v>
      </c>
      <c r="P56" s="30">
        <f>SUMIFS(Dump!E:E,Dump!B:B,C56,Dump!A:A,V56)</f>
        <v>0</v>
      </c>
      <c r="Q56" s="31">
        <f t="shared" si="11"/>
        <v>0</v>
      </c>
      <c r="S56" s="30">
        <f>SUMIFS(Dump!P:P,Dump!B:B,C56,Dump!A:A,V56)</f>
        <v>0</v>
      </c>
      <c r="T56" s="31">
        <f t="shared" si="12"/>
        <v>0</v>
      </c>
      <c r="U56" s="34"/>
      <c r="V56" s="45">
        <v>46153.0</v>
      </c>
    </row>
    <row r="57">
      <c r="A57" s="26" t="s">
        <v>110</v>
      </c>
      <c r="B57" s="1"/>
      <c r="C57" s="2" t="s">
        <v>83</v>
      </c>
      <c r="D57" s="1" t="s">
        <v>84</v>
      </c>
      <c r="E57" s="1" t="s">
        <v>23</v>
      </c>
      <c r="F57" s="1"/>
      <c r="G57" s="1"/>
      <c r="I57" s="33" t="str">
        <f t="shared" si="8"/>
        <v/>
      </c>
      <c r="K57" s="27" t="str">
        <f t="shared" si="9"/>
        <v/>
      </c>
      <c r="L57" s="28">
        <f>SUMIFS(Dump!$D:$D,Dump!$B:$B,$C57,Dump!$A:$A,$V57)</f>
        <v>6</v>
      </c>
      <c r="M57" s="28">
        <f>SUMIFS(Dump!R:R,Dump!B:B,C57,Dump!A:A,V57)</f>
        <v>13415</v>
      </c>
      <c r="N57" s="29">
        <f t="shared" si="10"/>
        <v>-6</v>
      </c>
      <c r="P57" s="30">
        <f>SUMIFS(Dump!E:E,Dump!B:B,C57,Dump!A:A,V57)</f>
        <v>3</v>
      </c>
      <c r="Q57" s="31">
        <f t="shared" si="11"/>
        <v>-3</v>
      </c>
      <c r="S57" s="30">
        <f>SUMIFS(Dump!P:P,Dump!B:B,C57,Dump!A:A,V57)</f>
        <v>0</v>
      </c>
      <c r="T57" s="31">
        <f t="shared" si="12"/>
        <v>0</v>
      </c>
      <c r="U57" s="34"/>
      <c r="V57" s="45">
        <v>46153.0</v>
      </c>
    </row>
    <row r="58">
      <c r="A58" s="26" t="s">
        <v>110</v>
      </c>
      <c r="B58" s="1"/>
      <c r="C58" s="2" t="s">
        <v>85</v>
      </c>
      <c r="D58" s="1" t="s">
        <v>86</v>
      </c>
      <c r="E58" s="1" t="s">
        <v>43</v>
      </c>
      <c r="F58" s="1" t="s">
        <v>24</v>
      </c>
      <c r="G58" s="1" t="s">
        <v>44</v>
      </c>
      <c r="I58" s="33" t="str">
        <f t="shared" si="8"/>
        <v/>
      </c>
      <c r="K58" s="27" t="str">
        <f t="shared" si="9"/>
        <v/>
      </c>
      <c r="L58" s="28">
        <f>SUMIFS(Dump!$D:$D,Dump!$B:$B,$C58,Dump!$A:$A,$V58)</f>
        <v>0</v>
      </c>
      <c r="M58" s="28">
        <f>SUMIFS(Dump!R:R,Dump!B:B,C58,Dump!A:A,V58)</f>
        <v>0</v>
      </c>
      <c r="N58" s="29">
        <f t="shared" si="10"/>
        <v>0</v>
      </c>
      <c r="P58" s="30">
        <f>SUMIFS(Dump!E:E,Dump!B:B,C58,Dump!A:A,V58)</f>
        <v>0</v>
      </c>
      <c r="Q58" s="31">
        <f t="shared" si="11"/>
        <v>0</v>
      </c>
      <c r="S58" s="30">
        <f>SUMIFS(Dump!P:P,Dump!B:B,C58,Dump!A:A,V58)</f>
        <v>0</v>
      </c>
      <c r="T58" s="31">
        <f t="shared" si="12"/>
        <v>0</v>
      </c>
      <c r="U58" s="34"/>
      <c r="V58" s="45">
        <v>46153.0</v>
      </c>
    </row>
    <row r="59">
      <c r="A59" s="26" t="s">
        <v>110</v>
      </c>
      <c r="B59" s="1"/>
      <c r="C59" s="2" t="s">
        <v>87</v>
      </c>
      <c r="D59" s="1" t="s">
        <v>88</v>
      </c>
      <c r="E59" s="1" t="s">
        <v>43</v>
      </c>
      <c r="F59" s="1" t="s">
        <v>29</v>
      </c>
      <c r="G59" s="1" t="s">
        <v>89</v>
      </c>
      <c r="I59" s="33" t="str">
        <f t="shared" si="8"/>
        <v/>
      </c>
      <c r="K59" s="27" t="str">
        <f t="shared" si="9"/>
        <v/>
      </c>
      <c r="L59" s="28">
        <f>SUMIFS(Dump!$D:$D,Dump!$B:$B,$C59,Dump!$A:$A,$V59)</f>
        <v>0</v>
      </c>
      <c r="M59" s="28">
        <f>SUMIFS(Dump!R:R,Dump!B:B,C59,Dump!A:A,V59)</f>
        <v>0</v>
      </c>
      <c r="N59" s="29">
        <f t="shared" si="10"/>
        <v>0</v>
      </c>
      <c r="P59" s="30">
        <f>SUMIFS(Dump!E:E,Dump!B:B,C59,Dump!A:A,V59)</f>
        <v>0</v>
      </c>
      <c r="Q59" s="31">
        <f t="shared" si="11"/>
        <v>0</v>
      </c>
      <c r="S59" s="30">
        <f>SUMIFS(Dump!P:P,Dump!B:B,C59,Dump!A:A,V59)</f>
        <v>0</v>
      </c>
      <c r="T59" s="31">
        <f t="shared" si="12"/>
        <v>0</v>
      </c>
      <c r="U59" s="34"/>
      <c r="V59" s="45">
        <v>46153.0</v>
      </c>
    </row>
    <row r="60">
      <c r="A60" s="26" t="s">
        <v>110</v>
      </c>
      <c r="B60" s="1"/>
      <c r="C60" s="2" t="s">
        <v>90</v>
      </c>
      <c r="D60" s="1" t="s">
        <v>91</v>
      </c>
      <c r="E60" s="1" t="s">
        <v>23</v>
      </c>
      <c r="F60" s="1"/>
      <c r="G60" s="1"/>
      <c r="I60" s="33" t="str">
        <f t="shared" si="8"/>
        <v/>
      </c>
      <c r="K60" s="27" t="str">
        <f t="shared" si="9"/>
        <v/>
      </c>
      <c r="L60" s="28">
        <f>SUMIFS(Dump!$D:$D,Dump!$B:$B,$C60,Dump!$A:$A,$V60)</f>
        <v>11</v>
      </c>
      <c r="M60" s="28">
        <f>SUMIFS(Dump!R:R,Dump!B:B,C60,Dump!A:A,V60)</f>
        <v>24076</v>
      </c>
      <c r="N60" s="29">
        <f t="shared" si="10"/>
        <v>-11</v>
      </c>
      <c r="P60" s="30">
        <f>SUMIFS(Dump!E:E,Dump!B:B,C60,Dump!A:A,V60)</f>
        <v>9</v>
      </c>
      <c r="Q60" s="31">
        <f t="shared" si="11"/>
        <v>-9</v>
      </c>
      <c r="S60" s="30">
        <f>SUMIFS(Dump!P:P,Dump!B:B,C60,Dump!A:A,V60)</f>
        <v>7</v>
      </c>
      <c r="T60" s="31">
        <f t="shared" si="12"/>
        <v>-7</v>
      </c>
      <c r="U60" s="34"/>
      <c r="V60" s="45">
        <v>46153.0</v>
      </c>
    </row>
    <row r="61">
      <c r="A61" s="26" t="s">
        <v>110</v>
      </c>
      <c r="B61" s="1"/>
      <c r="C61" s="2" t="s">
        <v>92</v>
      </c>
      <c r="D61" s="1" t="s">
        <v>93</v>
      </c>
      <c r="E61" s="1" t="s">
        <v>43</v>
      </c>
      <c r="F61" s="1" t="s">
        <v>38</v>
      </c>
      <c r="G61" s="1" t="s">
        <v>89</v>
      </c>
      <c r="I61" s="33" t="str">
        <f t="shared" si="8"/>
        <v/>
      </c>
      <c r="K61" s="27" t="str">
        <f t="shared" si="9"/>
        <v/>
      </c>
      <c r="L61" s="28">
        <f>SUMIFS(Dump!$D:$D,Dump!$B:$B,$C61,Dump!$A:$A,$V61)</f>
        <v>0</v>
      </c>
      <c r="M61" s="28">
        <f>SUMIFS(Dump!R:R,Dump!B:B,C61,Dump!A:A,V61)</f>
        <v>0</v>
      </c>
      <c r="N61" s="29">
        <f t="shared" si="10"/>
        <v>0</v>
      </c>
      <c r="P61" s="30">
        <f>SUMIFS(Dump!E:E,Dump!B:B,C61,Dump!A:A,V61)</f>
        <v>0</v>
      </c>
      <c r="Q61" s="31">
        <f t="shared" si="11"/>
        <v>0</v>
      </c>
      <c r="S61" s="30">
        <f>SUMIFS(Dump!P:P,Dump!B:B,C61,Dump!A:A,V61)</f>
        <v>0</v>
      </c>
      <c r="T61" s="31">
        <f t="shared" si="12"/>
        <v>0</v>
      </c>
      <c r="U61" s="34"/>
      <c r="V61" s="45">
        <v>46153.0</v>
      </c>
    </row>
    <row r="62">
      <c r="A62" s="26" t="s">
        <v>110</v>
      </c>
      <c r="B62" s="1"/>
      <c r="C62" s="2" t="s">
        <v>94</v>
      </c>
      <c r="D62" s="1" t="s">
        <v>95</v>
      </c>
      <c r="E62" s="1" t="s">
        <v>23</v>
      </c>
      <c r="F62" s="1" t="s">
        <v>24</v>
      </c>
      <c r="G62" s="1" t="s">
        <v>78</v>
      </c>
      <c r="I62" s="33" t="str">
        <f t="shared" si="8"/>
        <v/>
      </c>
      <c r="K62" s="27" t="str">
        <f t="shared" si="9"/>
        <v/>
      </c>
      <c r="L62" s="28">
        <f>SUMIFS(Dump!$D:$D,Dump!$B:$B,$C62,Dump!$A:$A,$V62)</f>
        <v>16</v>
      </c>
      <c r="M62" s="28">
        <f>SUMIFS(Dump!R:R,Dump!B:B,C62,Dump!A:A,V62)</f>
        <v>38447</v>
      </c>
      <c r="N62" s="29">
        <f t="shared" si="10"/>
        <v>-16</v>
      </c>
      <c r="P62" s="30">
        <f>SUMIFS(Dump!E:E,Dump!B:B,C62,Dump!A:A,V62)</f>
        <v>12</v>
      </c>
      <c r="Q62" s="31">
        <f t="shared" si="11"/>
        <v>-12</v>
      </c>
      <c r="S62" s="30">
        <f>SUMIFS(Dump!P:P,Dump!B:B,C62,Dump!A:A,V62)</f>
        <v>0</v>
      </c>
      <c r="T62" s="31">
        <f t="shared" si="12"/>
        <v>0</v>
      </c>
      <c r="U62" s="34"/>
      <c r="V62" s="45">
        <v>46153.0</v>
      </c>
    </row>
    <row r="63">
      <c r="A63" s="26" t="s">
        <v>110</v>
      </c>
      <c r="B63" s="1"/>
      <c r="C63" s="2" t="s">
        <v>96</v>
      </c>
      <c r="D63" s="1" t="s">
        <v>97</v>
      </c>
      <c r="E63" s="1" t="s">
        <v>23</v>
      </c>
      <c r="F63" s="1" t="s">
        <v>24</v>
      </c>
      <c r="G63" s="1"/>
      <c r="I63" s="33" t="str">
        <f t="shared" si="8"/>
        <v/>
      </c>
      <c r="K63" s="27" t="str">
        <f t="shared" si="9"/>
        <v/>
      </c>
      <c r="L63" s="28">
        <f>SUMIFS(Dump!$D:$D,Dump!$B:$B,$C63,Dump!$A:$A,$V63)</f>
        <v>30</v>
      </c>
      <c r="M63" s="28">
        <f>SUMIFS(Dump!R:R,Dump!B:B,C63,Dump!A:A,V63)</f>
        <v>69830</v>
      </c>
      <c r="N63" s="29">
        <f t="shared" si="10"/>
        <v>-30</v>
      </c>
      <c r="P63" s="30">
        <f>SUMIFS(Dump!E:E,Dump!B:B,C63,Dump!A:A,V63)</f>
        <v>4</v>
      </c>
      <c r="Q63" s="31">
        <f t="shared" si="11"/>
        <v>-4</v>
      </c>
      <c r="S63" s="30">
        <f>SUMIFS(Dump!P:P,Dump!B:B,C63,Dump!A:A,V63)</f>
        <v>3</v>
      </c>
      <c r="T63" s="31">
        <f t="shared" si="12"/>
        <v>-3</v>
      </c>
      <c r="U63" s="34"/>
      <c r="V63" s="45">
        <v>46153.0</v>
      </c>
    </row>
    <row r="64">
      <c r="A64" s="26" t="s">
        <v>110</v>
      </c>
      <c r="B64" s="1"/>
      <c r="C64" s="2" t="s">
        <v>98</v>
      </c>
      <c r="D64" s="1" t="s">
        <v>99</v>
      </c>
      <c r="E64" s="1" t="s">
        <v>43</v>
      </c>
      <c r="F64" s="1" t="s">
        <v>24</v>
      </c>
      <c r="G64" s="1"/>
      <c r="I64" s="33" t="str">
        <f t="shared" si="8"/>
        <v/>
      </c>
      <c r="K64" s="27" t="str">
        <f t="shared" si="9"/>
        <v/>
      </c>
      <c r="L64" s="28">
        <f>SUMIFS(Dump!$D:$D,Dump!$B:$B,$C64,Dump!$A:$A,$V64)</f>
        <v>7</v>
      </c>
      <c r="M64" s="28">
        <f>SUMIFS(Dump!R:R,Dump!B:B,C64,Dump!A:A,V64)</f>
        <v>14999</v>
      </c>
      <c r="N64" s="29">
        <f t="shared" si="10"/>
        <v>-7</v>
      </c>
      <c r="P64" s="30">
        <f>SUMIFS(Dump!E:E,Dump!B:B,C64,Dump!A:A,V64)</f>
        <v>5</v>
      </c>
      <c r="Q64" s="31">
        <f t="shared" si="11"/>
        <v>-5</v>
      </c>
      <c r="S64" s="30">
        <f>SUMIFS(Dump!P:P,Dump!B:B,C64,Dump!A:A,V64)</f>
        <v>0</v>
      </c>
      <c r="T64" s="31">
        <f t="shared" si="12"/>
        <v>0</v>
      </c>
      <c r="U64" s="34"/>
      <c r="V64" s="45">
        <v>46153.0</v>
      </c>
    </row>
    <row r="65">
      <c r="A65" s="26" t="s">
        <v>110</v>
      </c>
      <c r="B65" s="1"/>
      <c r="C65" s="2" t="s">
        <v>100</v>
      </c>
      <c r="D65" s="1" t="s">
        <v>101</v>
      </c>
      <c r="E65" s="1"/>
      <c r="F65" s="1"/>
      <c r="G65" s="1"/>
      <c r="I65" s="33" t="str">
        <f t="shared" si="8"/>
        <v/>
      </c>
      <c r="K65" s="27" t="str">
        <f t="shared" si="9"/>
        <v/>
      </c>
      <c r="L65" s="28">
        <f>SUMIFS(Dump!$D:$D,Dump!$B:$B,$C65,Dump!$A:$A,$V65)</f>
        <v>0</v>
      </c>
      <c r="M65" s="28">
        <f>SUMIFS(Dump!R:R,Dump!B:B,C65,Dump!A:A,V65)</f>
        <v>0</v>
      </c>
      <c r="N65" s="29">
        <f t="shared" si="10"/>
        <v>0</v>
      </c>
      <c r="P65" s="30">
        <f>SUMIFS(Dump!E:E,Dump!B:B,C65,Dump!A:A,V65)</f>
        <v>0</v>
      </c>
      <c r="Q65" s="31">
        <f t="shared" si="11"/>
        <v>0</v>
      </c>
      <c r="S65" s="30">
        <f>SUMIFS(Dump!P:P,Dump!B:B,C65,Dump!A:A,V65)</f>
        <v>0</v>
      </c>
      <c r="T65" s="31">
        <f t="shared" si="12"/>
        <v>0</v>
      </c>
      <c r="U65" s="34"/>
      <c r="V65" s="45">
        <v>46153.0</v>
      </c>
    </row>
    <row r="66">
      <c r="A66" s="26" t="s">
        <v>110</v>
      </c>
      <c r="B66" s="1"/>
      <c r="C66" s="2" t="s">
        <v>102</v>
      </c>
      <c r="D66" s="1" t="s">
        <v>103</v>
      </c>
      <c r="E66" s="1" t="s">
        <v>23</v>
      </c>
      <c r="F66" s="1"/>
      <c r="G66" s="1"/>
      <c r="I66" s="33" t="str">
        <f t="shared" si="8"/>
        <v/>
      </c>
      <c r="K66" s="27" t="str">
        <f t="shared" si="9"/>
        <v/>
      </c>
      <c r="L66" s="28">
        <f>SUMIFS(Dump!$D:$D,Dump!$B:$B,$C66,Dump!$A:$A,$V66)</f>
        <v>15</v>
      </c>
      <c r="M66" s="28">
        <f>SUMIFS(Dump!R:R,Dump!B:B,C66,Dump!A:A,V66)</f>
        <v>24918</v>
      </c>
      <c r="N66" s="29">
        <f t="shared" si="10"/>
        <v>-15</v>
      </c>
      <c r="P66" s="30">
        <f>SUMIFS(Dump!E:E,Dump!B:B,C66,Dump!A:A,V66)</f>
        <v>9</v>
      </c>
      <c r="Q66" s="31">
        <f t="shared" si="11"/>
        <v>-9</v>
      </c>
      <c r="S66" s="30">
        <f>SUMIFS(Dump!P:P,Dump!B:B,C66,Dump!A:A,V66)</f>
        <v>7</v>
      </c>
      <c r="T66" s="31">
        <f t="shared" si="12"/>
        <v>-7</v>
      </c>
      <c r="U66" s="34"/>
      <c r="V66" s="45">
        <v>46153.0</v>
      </c>
    </row>
    <row r="67">
      <c r="A67" s="26" t="s">
        <v>110</v>
      </c>
      <c r="B67" s="1"/>
      <c r="C67" s="2" t="s">
        <v>104</v>
      </c>
      <c r="D67" s="1" t="s">
        <v>105</v>
      </c>
      <c r="E67" s="1"/>
      <c r="F67" s="1"/>
      <c r="G67" s="1"/>
      <c r="I67" s="33" t="str">
        <f t="shared" si="8"/>
        <v/>
      </c>
      <c r="K67" s="27" t="str">
        <f t="shared" si="9"/>
        <v/>
      </c>
      <c r="L67" s="28">
        <f>SUMIFS(Dump!$D:$D,Dump!$B:$B,$C67,Dump!$A:$A,$V67)</f>
        <v>3</v>
      </c>
      <c r="M67" s="28">
        <f>SUMIFS(Dump!R:R,Dump!B:B,C67,Dump!A:A,V67)</f>
        <v>7096</v>
      </c>
      <c r="N67" s="29">
        <f t="shared" si="10"/>
        <v>-3</v>
      </c>
      <c r="P67" s="30">
        <f>SUMIFS(Dump!E:E,Dump!B:B,C67,Dump!A:A,V67)</f>
        <v>14</v>
      </c>
      <c r="Q67" s="31">
        <f t="shared" si="11"/>
        <v>-14</v>
      </c>
      <c r="S67" s="30">
        <f>SUMIFS(Dump!P:P,Dump!B:B,C67,Dump!A:A,V67)</f>
        <v>0</v>
      </c>
      <c r="T67" s="31">
        <f t="shared" si="12"/>
        <v>0</v>
      </c>
      <c r="U67" s="34"/>
      <c r="V67" s="45">
        <v>46153.0</v>
      </c>
    </row>
    <row r="68">
      <c r="A68" s="26" t="s">
        <v>110</v>
      </c>
      <c r="B68" s="1"/>
      <c r="C68" s="2" t="str">
        <f t="shared" ref="C68:C71" si="13">IFERROR(VLOOKUP(D68,Sheet3!L:M,2,0),"")</f>
        <v/>
      </c>
      <c r="D68" s="1" t="s">
        <v>106</v>
      </c>
      <c r="E68" s="1"/>
      <c r="F68" s="1"/>
      <c r="G68" s="1"/>
      <c r="I68" s="33" t="str">
        <f t="shared" si="8"/>
        <v/>
      </c>
      <c r="K68" s="27" t="str">
        <f t="shared" si="9"/>
        <v/>
      </c>
      <c r="L68" s="28">
        <f>SUMIFS(Dump!$D:$D,Dump!$B:$B,$C68,Dump!$A:$A,$V68)</f>
        <v>0</v>
      </c>
      <c r="M68" s="28">
        <f>SUMIFS(Dump!R:R,Dump!B:B,C68,Dump!A:A,V68)</f>
        <v>0</v>
      </c>
      <c r="N68" s="29">
        <f t="shared" si="10"/>
        <v>0</v>
      </c>
      <c r="P68" s="30">
        <f>SUMIFS(Dump!E:E,Dump!B:B,C68,Dump!A:A,V68)</f>
        <v>0</v>
      </c>
      <c r="Q68" s="31">
        <f t="shared" si="11"/>
        <v>0</v>
      </c>
      <c r="S68" s="30">
        <f>SUMIFS(Dump!P:P,Dump!B:B,C68,Dump!A:A,V68)</f>
        <v>0</v>
      </c>
      <c r="T68" s="31">
        <f t="shared" si="12"/>
        <v>0</v>
      </c>
      <c r="U68" s="34"/>
      <c r="V68" s="45">
        <v>46153.0</v>
      </c>
    </row>
    <row r="69">
      <c r="A69" s="26" t="s">
        <v>110</v>
      </c>
      <c r="B69" s="1"/>
      <c r="C69" s="2" t="str">
        <f t="shared" si="13"/>
        <v/>
      </c>
      <c r="D69" s="1" t="s">
        <v>107</v>
      </c>
      <c r="E69" s="1"/>
      <c r="F69" s="1"/>
      <c r="G69" s="1"/>
      <c r="I69" s="33" t="str">
        <f t="shared" si="8"/>
        <v/>
      </c>
      <c r="K69" s="27" t="str">
        <f t="shared" si="9"/>
        <v/>
      </c>
      <c r="L69" s="28">
        <f>SUMIFS(Dump!$D:$D,Dump!$B:$B,$C69,Dump!$A:$A,$V69)</f>
        <v>0</v>
      </c>
      <c r="M69" s="28">
        <f>SUMIFS(Dump!R:R,Dump!B:B,C69,Dump!A:A,V69)</f>
        <v>0</v>
      </c>
      <c r="N69" s="29">
        <f t="shared" si="10"/>
        <v>0</v>
      </c>
      <c r="P69" s="30">
        <f>SUMIFS(Dump!E:E,Dump!B:B,C69,Dump!A:A,V69)</f>
        <v>0</v>
      </c>
      <c r="Q69" s="31">
        <f t="shared" si="11"/>
        <v>0</v>
      </c>
      <c r="S69" s="30">
        <f>SUMIFS(Dump!P:P,Dump!B:B,C69,Dump!A:A,V69)</f>
        <v>0</v>
      </c>
      <c r="T69" s="31">
        <f t="shared" si="12"/>
        <v>0</v>
      </c>
      <c r="U69" s="34"/>
      <c r="V69" s="45">
        <v>46153.0</v>
      </c>
    </row>
    <row r="70">
      <c r="A70" s="26" t="s">
        <v>110</v>
      </c>
      <c r="B70" s="1"/>
      <c r="C70" s="2" t="str">
        <f t="shared" si="13"/>
        <v/>
      </c>
      <c r="D70" s="1" t="s">
        <v>108</v>
      </c>
      <c r="E70" s="1"/>
      <c r="F70" s="1" t="str">
        <f t="shared" ref="F70:F71" si="14">IFERROR(VLOOKUP($D70,Sheet3!$N:$Q,3,0),"")</f>
        <v/>
      </c>
      <c r="G70" s="1" t="str">
        <f t="shared" ref="G70:G71" si="15">IFERROR(VLOOKUP($D70,Sheet3!$N:$Q,4,0),"")</f>
        <v/>
      </c>
      <c r="I70" s="33" t="str">
        <f t="shared" si="8"/>
        <v/>
      </c>
      <c r="K70" s="27" t="str">
        <f t="shared" si="9"/>
        <v/>
      </c>
      <c r="L70" s="28">
        <f>SUMIFS(Dump!$D:$D,Dump!$B:$B,$C70,Dump!$A:$A,$V70)</f>
        <v>0</v>
      </c>
      <c r="M70" s="28">
        <f>SUMIFS(Dump!R:R,Dump!B:B,C70,Dump!A:A,V70)</f>
        <v>0</v>
      </c>
      <c r="N70" s="29">
        <f t="shared" si="10"/>
        <v>0</v>
      </c>
      <c r="P70" s="30">
        <f>SUMIFS(Dump!E:E,Dump!B:B,C70,Dump!A:A,V70)</f>
        <v>0</v>
      </c>
      <c r="Q70" s="31">
        <f t="shared" si="11"/>
        <v>0</v>
      </c>
      <c r="S70" s="30">
        <f>SUMIFS(Dump!P:P,Dump!B:B,C70,Dump!A:A,V70)</f>
        <v>0</v>
      </c>
      <c r="T70" s="31">
        <f t="shared" si="12"/>
        <v>0</v>
      </c>
      <c r="U70" s="34"/>
      <c r="V70" s="45">
        <v>46153.0</v>
      </c>
    </row>
    <row r="71">
      <c r="A71" s="26" t="s">
        <v>110</v>
      </c>
      <c r="B71" s="1"/>
      <c r="C71" s="2" t="str">
        <f t="shared" si="13"/>
        <v/>
      </c>
      <c r="D71" s="1" t="s">
        <v>109</v>
      </c>
      <c r="E71" s="1"/>
      <c r="F71" s="1" t="str">
        <f t="shared" si="14"/>
        <v/>
      </c>
      <c r="G71" s="1" t="str">
        <f t="shared" si="15"/>
        <v/>
      </c>
      <c r="I71" s="33" t="str">
        <f t="shared" si="8"/>
        <v/>
      </c>
      <c r="K71" s="27" t="str">
        <f t="shared" si="9"/>
        <v/>
      </c>
      <c r="L71" s="28">
        <f>SUMIFS(Dump!$D:$D,Dump!$B:$B,$C71,Dump!$A:$A,$V71)</f>
        <v>0</v>
      </c>
      <c r="M71" s="28">
        <f>SUMIFS(Dump!R:R,Dump!B:B,C71,Dump!A:A,V71)</f>
        <v>0</v>
      </c>
      <c r="N71" s="29">
        <f t="shared" si="10"/>
        <v>0</v>
      </c>
      <c r="P71" s="30">
        <f>SUMIFS(Dump!E:E,Dump!B:B,C71,Dump!A:A,V71)</f>
        <v>0</v>
      </c>
      <c r="Q71" s="31">
        <f t="shared" si="11"/>
        <v>0</v>
      </c>
      <c r="S71" s="30">
        <f>SUMIFS(Dump!P:P,Dump!B:B,C71,Dump!A:A,V71)</f>
        <v>0</v>
      </c>
      <c r="T71" s="31">
        <f t="shared" si="12"/>
        <v>0</v>
      </c>
      <c r="U71" s="34"/>
      <c r="V71" s="45">
        <v>46153.0</v>
      </c>
    </row>
    <row r="72">
      <c r="C72" s="46"/>
      <c r="G72" s="1" t="str">
        <f t="shared" ref="G72:G994" si="16">IFERROR(VLOOKUP($D72,Sheet3!$N:$Q,5,0),"")</f>
        <v/>
      </c>
      <c r="I72" s="33" t="str">
        <f t="shared" si="8"/>
        <v/>
      </c>
      <c r="K72" s="27" t="str">
        <f t="shared" si="9"/>
        <v/>
      </c>
      <c r="L72" s="28">
        <f>SUMIFS(Dump!$D:$D,Dump!$B:$B,$C72,Dump!$A:$A,$V72)</f>
        <v>0</v>
      </c>
      <c r="M72" s="28">
        <f>SUMIFS(Dump!R:R,Dump!B:B,C72,Dump!A:A,V72)</f>
        <v>0</v>
      </c>
      <c r="N72" s="29">
        <f t="shared" si="10"/>
        <v>0</v>
      </c>
      <c r="P72" s="30">
        <f>SUMIFS(Dump!E:E,Dump!B:B,C72,Dump!A:A,V72)</f>
        <v>0</v>
      </c>
      <c r="Q72" s="31">
        <f t="shared" si="11"/>
        <v>0</v>
      </c>
      <c r="S72" s="30">
        <f>SUMIFS(Dump!P:P,Dump!B:B,C72,Dump!A:A,V72)</f>
        <v>0</v>
      </c>
      <c r="T72" s="31">
        <f t="shared" si="12"/>
        <v>0</v>
      </c>
      <c r="U72" s="34"/>
      <c r="V72" s="47"/>
    </row>
    <row r="73">
      <c r="C73" s="46"/>
      <c r="G73" s="1" t="str">
        <f t="shared" si="16"/>
        <v/>
      </c>
      <c r="I73" s="33" t="str">
        <f t="shared" si="8"/>
        <v/>
      </c>
      <c r="K73" s="27" t="str">
        <f t="shared" si="9"/>
        <v/>
      </c>
      <c r="L73" s="28">
        <f>SUMIFS(Dump!$D:$D,Dump!$B:$B,$C73,Dump!$A:$A,$V73)</f>
        <v>0</v>
      </c>
      <c r="M73" s="28">
        <f>SUMIFS(Dump!R:R,Dump!B:B,C73,Dump!A:A,V73)</f>
        <v>0</v>
      </c>
      <c r="N73" s="29">
        <f t="shared" si="10"/>
        <v>0</v>
      </c>
      <c r="P73" s="30">
        <f>SUMIFS(Dump!E:E,Dump!B:B,C73,Dump!A:A,V73)</f>
        <v>0</v>
      </c>
      <c r="Q73" s="31">
        <f t="shared" si="11"/>
        <v>0</v>
      </c>
      <c r="S73" s="30">
        <f>SUMIFS(Dump!P:P,Dump!B:B,C73,Dump!A:A,V73)</f>
        <v>0</v>
      </c>
      <c r="T73" s="31">
        <f t="shared" si="12"/>
        <v>0</v>
      </c>
      <c r="U73" s="34"/>
      <c r="V73" s="47"/>
    </row>
    <row r="74">
      <c r="C74" s="46"/>
      <c r="G74" s="1" t="str">
        <f t="shared" si="16"/>
        <v/>
      </c>
      <c r="I74" s="33" t="str">
        <f t="shared" si="8"/>
        <v/>
      </c>
      <c r="K74" s="27"/>
      <c r="L74" s="28">
        <f>SUMIFS(Dump!$D:$D,Dump!$B:$B,$C74,Dump!$A:$A,$V74)</f>
        <v>0</v>
      </c>
      <c r="M74" s="28">
        <f>SUMIFS(Dump!R:R,Dump!B:B,C74,Dump!A:A,V74)</f>
        <v>0</v>
      </c>
      <c r="N74" s="29">
        <f t="shared" si="10"/>
        <v>0</v>
      </c>
      <c r="P74" s="30">
        <f>SUMIFS(Dump!E:E,Dump!B:B,C74,Dump!A:A,V74)</f>
        <v>0</v>
      </c>
      <c r="Q74" s="31">
        <f t="shared" si="11"/>
        <v>0</v>
      </c>
      <c r="S74" s="30">
        <f>SUMIFS(Dump!P:P,Dump!B:B,C74,Dump!A:A,V74)</f>
        <v>0</v>
      </c>
      <c r="T74" s="31">
        <f t="shared" si="12"/>
        <v>0</v>
      </c>
      <c r="U74" s="34"/>
      <c r="V74" s="47"/>
    </row>
    <row r="75">
      <c r="C75" s="46"/>
      <c r="G75" s="1" t="str">
        <f t="shared" si="16"/>
        <v/>
      </c>
      <c r="I75" s="33" t="str">
        <f t="shared" si="8"/>
        <v/>
      </c>
      <c r="K75" s="27"/>
      <c r="L75" s="28">
        <f>SUMIFS(Dump!$D:$D,Dump!$B:$B,$C75,Dump!$A:$A,$V75)</f>
        <v>0</v>
      </c>
      <c r="M75" s="28">
        <f>SUMIFS(Dump!R:R,Dump!B:B,C75,Dump!A:A,V75)</f>
        <v>0</v>
      </c>
      <c r="N75" s="29">
        <f t="shared" si="10"/>
        <v>0</v>
      </c>
      <c r="P75" s="30">
        <f>SUMIFS(Dump!E:E,Dump!B:B,C75,Dump!A:A,V75)</f>
        <v>0</v>
      </c>
      <c r="Q75" s="31">
        <f t="shared" si="11"/>
        <v>0</v>
      </c>
      <c r="S75" s="30">
        <f>SUMIFS(Dump!P:P,Dump!B:B,C75,Dump!A:A,V75)</f>
        <v>0</v>
      </c>
      <c r="T75" s="31">
        <f t="shared" si="12"/>
        <v>0</v>
      </c>
      <c r="U75" s="34"/>
      <c r="V75" s="47"/>
    </row>
    <row r="76">
      <c r="C76" s="46"/>
      <c r="G76" s="1" t="str">
        <f t="shared" si="16"/>
        <v/>
      </c>
      <c r="I76" s="33" t="str">
        <f t="shared" si="8"/>
        <v/>
      </c>
      <c r="K76" s="27"/>
      <c r="L76" s="28">
        <f>SUMIFS(Dump!$D:$D,Dump!$B:$B,$C76,Dump!$A:$A,$V76)</f>
        <v>0</v>
      </c>
      <c r="M76" s="28">
        <f>SUMIFS(Dump!R:R,Dump!B:B,C76,Dump!A:A,V76)</f>
        <v>0</v>
      </c>
      <c r="N76" s="29">
        <f t="shared" si="10"/>
        <v>0</v>
      </c>
      <c r="P76" s="30">
        <f>SUMIFS(Dump!E:E,Dump!B:B,C76,Dump!A:A,V76)</f>
        <v>0</v>
      </c>
      <c r="Q76" s="31">
        <f t="shared" si="11"/>
        <v>0</v>
      </c>
      <c r="S76" s="30">
        <f>SUMIFS(Dump!P:P,Dump!B:B,C76,Dump!A:A,V76)</f>
        <v>0</v>
      </c>
      <c r="T76" s="31">
        <f t="shared" si="12"/>
        <v>0</v>
      </c>
      <c r="U76" s="34"/>
      <c r="V76" s="47"/>
    </row>
    <row r="77">
      <c r="C77" s="46"/>
      <c r="G77" s="1" t="str">
        <f t="shared" si="16"/>
        <v/>
      </c>
      <c r="I77" s="33" t="str">
        <f t="shared" si="8"/>
        <v/>
      </c>
      <c r="K77" s="27"/>
      <c r="L77" s="28">
        <f>SUMIFS(Dump!$D:$D,Dump!$B:$B,$C77,Dump!$A:$A,$V77)</f>
        <v>0</v>
      </c>
      <c r="M77" s="28">
        <f>SUMIFS(Dump!R:R,Dump!B:B,C77,Dump!A:A,V77)</f>
        <v>0</v>
      </c>
      <c r="N77" s="29">
        <f t="shared" si="10"/>
        <v>0</v>
      </c>
      <c r="P77" s="30">
        <f>SUMIFS(Dump!E:E,Dump!B:B,C77,Dump!A:A,V77)</f>
        <v>0</v>
      </c>
      <c r="Q77" s="31">
        <f t="shared" si="11"/>
        <v>0</v>
      </c>
      <c r="S77" s="30">
        <f>SUMIFS(Dump!P:P,Dump!B:B,C77,Dump!A:A,V77)</f>
        <v>0</v>
      </c>
      <c r="T77" s="31">
        <f t="shared" si="12"/>
        <v>0</v>
      </c>
      <c r="U77" s="34"/>
      <c r="V77" s="47"/>
    </row>
    <row r="78">
      <c r="C78" s="46"/>
      <c r="G78" s="1" t="str">
        <f t="shared" si="16"/>
        <v/>
      </c>
      <c r="I78" s="33" t="str">
        <f t="shared" si="8"/>
        <v/>
      </c>
      <c r="K78" s="27"/>
      <c r="L78" s="28">
        <f>SUMIFS(Dump!$D:$D,Dump!$B:$B,$C78,Dump!$A:$A,$V78)</f>
        <v>0</v>
      </c>
      <c r="M78" s="28">
        <f>SUMIFS(Dump!R:R,Dump!B:B,C78,Dump!A:A,V78)</f>
        <v>0</v>
      </c>
      <c r="N78" s="29">
        <f t="shared" si="10"/>
        <v>0</v>
      </c>
      <c r="P78" s="30">
        <f>SUMIFS(Dump!E:E,Dump!B:B,C78,Dump!A:A,V78)</f>
        <v>0</v>
      </c>
      <c r="Q78" s="31">
        <f t="shared" si="11"/>
        <v>0</v>
      </c>
      <c r="S78" s="30">
        <f>SUMIFS(Dump!P:P,Dump!B:B,C78,Dump!A:A,V78)</f>
        <v>0</v>
      </c>
      <c r="T78" s="31">
        <f t="shared" si="12"/>
        <v>0</v>
      </c>
      <c r="U78" s="34"/>
      <c r="V78" s="47"/>
    </row>
    <row r="79">
      <c r="C79" s="46"/>
      <c r="G79" s="1" t="str">
        <f t="shared" si="16"/>
        <v/>
      </c>
      <c r="I79" s="33" t="str">
        <f t="shared" si="8"/>
        <v/>
      </c>
      <c r="K79" s="27"/>
      <c r="L79" s="28">
        <f>SUMIFS(Dump!$D:$D,Dump!$B:$B,$C79,Dump!$A:$A,$V79)</f>
        <v>0</v>
      </c>
      <c r="M79" s="28">
        <f>SUMIFS(Dump!R:R,Dump!B:B,C79,Dump!A:A,V79)</f>
        <v>0</v>
      </c>
      <c r="N79" s="29">
        <f t="shared" si="10"/>
        <v>0</v>
      </c>
      <c r="P79" s="30">
        <f>SUMIFS(Dump!E:E,Dump!B:B,C79,Dump!A:A,V79)</f>
        <v>0</v>
      </c>
      <c r="Q79" s="31">
        <f t="shared" si="11"/>
        <v>0</v>
      </c>
      <c r="S79" s="30">
        <f>SUMIFS(Dump!P:P,Dump!B:B,C79,Dump!A:A,V79)</f>
        <v>0</v>
      </c>
      <c r="T79" s="31">
        <f t="shared" si="12"/>
        <v>0</v>
      </c>
      <c r="U79" s="34"/>
      <c r="V79" s="47"/>
    </row>
    <row r="80">
      <c r="C80" s="46"/>
      <c r="G80" s="1" t="str">
        <f t="shared" si="16"/>
        <v/>
      </c>
      <c r="I80" s="33" t="str">
        <f t="shared" si="8"/>
        <v/>
      </c>
      <c r="K80" s="27"/>
      <c r="L80" s="28">
        <f>SUMIFS(Dump!$D:$D,Dump!$B:$B,$C80,Dump!$A:$A,$V80)</f>
        <v>0</v>
      </c>
      <c r="M80" s="28">
        <f>SUMIFS(Dump!R:R,Dump!B:B,C80,Dump!A:A,V80)</f>
        <v>0</v>
      </c>
      <c r="N80" s="29">
        <f t="shared" si="10"/>
        <v>0</v>
      </c>
      <c r="P80" s="30">
        <f>SUMIFS(Dump!E:E,Dump!B:B,C80,Dump!A:A,V80)</f>
        <v>0</v>
      </c>
      <c r="Q80" s="31">
        <f t="shared" si="11"/>
        <v>0</v>
      </c>
      <c r="S80" s="30">
        <f>SUMIFS(Dump!P:P,Dump!B:B,C80,Dump!A:A,V80)</f>
        <v>0</v>
      </c>
      <c r="T80" s="31">
        <f t="shared" si="12"/>
        <v>0</v>
      </c>
      <c r="U80" s="34"/>
      <c r="V80" s="47"/>
    </row>
    <row r="81">
      <c r="C81" s="46"/>
      <c r="G81" s="1" t="str">
        <f t="shared" si="16"/>
        <v/>
      </c>
      <c r="I81" s="33" t="str">
        <f t="shared" si="8"/>
        <v/>
      </c>
      <c r="K81" s="27"/>
      <c r="L81" s="28">
        <f>SUMIFS(Dump!$D:$D,Dump!$B:$B,$C81,Dump!$A:$A,$V81)</f>
        <v>0</v>
      </c>
      <c r="M81" s="28">
        <f>SUMIFS(Dump!R:R,Dump!B:B,C81,Dump!A:A,V81)</f>
        <v>0</v>
      </c>
      <c r="N81" s="29">
        <f t="shared" si="10"/>
        <v>0</v>
      </c>
      <c r="P81" s="30">
        <f>SUMIFS(Dump!E:E,Dump!B:B,C81,Dump!A:A,V81)</f>
        <v>0</v>
      </c>
      <c r="Q81" s="31">
        <f t="shared" si="11"/>
        <v>0</v>
      </c>
      <c r="S81" s="30">
        <f>SUMIFS(Dump!P:P,Dump!B:B,C81,Dump!A:A,V81)</f>
        <v>0</v>
      </c>
      <c r="T81" s="31">
        <f t="shared" si="12"/>
        <v>0</v>
      </c>
      <c r="U81" s="34"/>
      <c r="V81" s="47"/>
    </row>
    <row r="82">
      <c r="C82" s="46"/>
      <c r="G82" s="1" t="str">
        <f t="shared" si="16"/>
        <v/>
      </c>
      <c r="I82" s="33" t="str">
        <f t="shared" si="8"/>
        <v/>
      </c>
      <c r="K82" s="27"/>
      <c r="L82" s="28">
        <f>SUMIFS(Dump!$D:$D,Dump!$B:$B,$C82,Dump!$A:$A,$V82)</f>
        <v>0</v>
      </c>
      <c r="M82" s="28">
        <f>SUMIFS(Dump!R:R,Dump!B:B,C82,Dump!A:A,V82)</f>
        <v>0</v>
      </c>
      <c r="N82" s="29">
        <f t="shared" si="10"/>
        <v>0</v>
      </c>
      <c r="P82" s="30">
        <f>SUMIFS(Dump!E:E,Dump!B:B,C82,Dump!A:A,V82)</f>
        <v>0</v>
      </c>
      <c r="Q82" s="31">
        <f t="shared" si="11"/>
        <v>0</v>
      </c>
      <c r="S82" s="30">
        <f>SUMIFS(Dump!P:P,Dump!B:B,C82,Dump!A:A,V82)</f>
        <v>0</v>
      </c>
      <c r="T82" s="31">
        <f t="shared" si="12"/>
        <v>0</v>
      </c>
      <c r="U82" s="34"/>
      <c r="V82" s="47"/>
    </row>
    <row r="83">
      <c r="C83" s="46"/>
      <c r="G83" s="1" t="str">
        <f t="shared" si="16"/>
        <v/>
      </c>
      <c r="I83" s="33" t="str">
        <f t="shared" si="8"/>
        <v/>
      </c>
      <c r="K83" s="27"/>
      <c r="L83" s="28">
        <f>SUMIFS(Dump!$D:$D,Dump!$B:$B,$C83,Dump!$A:$A,$V83)</f>
        <v>0</v>
      </c>
      <c r="M83" s="28">
        <f>SUMIFS(Dump!R:R,Dump!B:B,C83,Dump!A:A,V83)</f>
        <v>0</v>
      </c>
      <c r="N83" s="29">
        <f t="shared" si="10"/>
        <v>0</v>
      </c>
      <c r="P83" s="30">
        <f>SUMIFS(Dump!E:E,Dump!B:B,C83,Dump!A:A,V83)</f>
        <v>0</v>
      </c>
      <c r="Q83" s="31">
        <f t="shared" si="11"/>
        <v>0</v>
      </c>
      <c r="S83" s="30">
        <f>SUMIFS(Dump!P:P,Dump!B:B,C83,Dump!A:A,V83)</f>
        <v>0</v>
      </c>
      <c r="T83" s="31">
        <f t="shared" si="12"/>
        <v>0</v>
      </c>
      <c r="U83" s="34"/>
      <c r="V83" s="47"/>
    </row>
    <row r="84">
      <c r="C84" s="46"/>
      <c r="G84" s="1" t="str">
        <f t="shared" si="16"/>
        <v/>
      </c>
      <c r="I84" s="33" t="str">
        <f t="shared" si="8"/>
        <v/>
      </c>
      <c r="K84" s="27"/>
      <c r="L84" s="28">
        <f>SUMIFS(Dump!$D:$D,Dump!$B:$B,$C84,Dump!$A:$A,$V84)</f>
        <v>0</v>
      </c>
      <c r="M84" s="28">
        <f>SUMIFS(Dump!R:R,Dump!B:B,C84,Dump!A:A,V84)</f>
        <v>0</v>
      </c>
      <c r="N84" s="29">
        <f t="shared" si="10"/>
        <v>0</v>
      </c>
      <c r="P84" s="30">
        <f>SUMIFS(Dump!E:E,Dump!B:B,C84,Dump!A:A,V84)</f>
        <v>0</v>
      </c>
      <c r="Q84" s="31">
        <f t="shared" si="11"/>
        <v>0</v>
      </c>
      <c r="S84" s="30">
        <f>SUMIFS(Dump!P:P,Dump!B:B,C84,Dump!A:A,V84)</f>
        <v>0</v>
      </c>
      <c r="T84" s="31">
        <f t="shared" si="12"/>
        <v>0</v>
      </c>
      <c r="U84" s="34"/>
      <c r="V84" s="47"/>
    </row>
    <row r="85">
      <c r="C85" s="46"/>
      <c r="G85" s="1" t="str">
        <f t="shared" si="16"/>
        <v/>
      </c>
      <c r="I85" s="33" t="str">
        <f t="shared" si="8"/>
        <v/>
      </c>
      <c r="K85" s="27"/>
      <c r="L85" s="28">
        <f>SUMIFS(Dump!$D:$D,Dump!$B:$B,$C85,Dump!$A:$A,$V85)</f>
        <v>0</v>
      </c>
      <c r="M85" s="28">
        <f>SUMIFS(Dump!R:R,Dump!B:B,C85,Dump!A:A,V85)</f>
        <v>0</v>
      </c>
      <c r="N85" s="29">
        <f t="shared" si="10"/>
        <v>0</v>
      </c>
      <c r="P85" s="30">
        <f>SUMIFS(Dump!E:E,Dump!B:B,C85,Dump!A:A,V85)</f>
        <v>0</v>
      </c>
      <c r="Q85" s="31">
        <f t="shared" si="11"/>
        <v>0</v>
      </c>
      <c r="S85" s="30">
        <f>SUMIFS(Dump!P:P,Dump!B:B,C85,Dump!A:A,V85)</f>
        <v>0</v>
      </c>
      <c r="T85" s="31">
        <f t="shared" si="12"/>
        <v>0</v>
      </c>
      <c r="U85" s="34"/>
      <c r="V85" s="47"/>
    </row>
    <row r="86">
      <c r="C86" s="46"/>
      <c r="G86" s="1" t="str">
        <f t="shared" si="16"/>
        <v/>
      </c>
      <c r="I86" s="33" t="str">
        <f t="shared" si="8"/>
        <v/>
      </c>
      <c r="K86" s="27"/>
      <c r="L86" s="28">
        <f>SUMIFS(Dump!$D:$D,Dump!$B:$B,$C86,Dump!$A:$A,$V86)</f>
        <v>0</v>
      </c>
      <c r="M86" s="28">
        <f>SUMIFS(Dump!R:R,Dump!B:B,C86,Dump!A:A,V86)</f>
        <v>0</v>
      </c>
      <c r="N86" s="29">
        <f t="shared" si="10"/>
        <v>0</v>
      </c>
      <c r="P86" s="30">
        <f>SUMIFS(Dump!E:E,Dump!B:B,C86,Dump!A:A,V86)</f>
        <v>0</v>
      </c>
      <c r="Q86" s="31">
        <f t="shared" si="11"/>
        <v>0</v>
      </c>
      <c r="S86" s="30">
        <f>SUMIFS(Dump!P:P,Dump!B:B,C86,Dump!A:A,V86)</f>
        <v>0</v>
      </c>
      <c r="T86" s="31">
        <f t="shared" si="12"/>
        <v>0</v>
      </c>
      <c r="U86" s="34"/>
      <c r="V86" s="47"/>
    </row>
    <row r="87">
      <c r="C87" s="46"/>
      <c r="G87" s="1" t="str">
        <f t="shared" si="16"/>
        <v/>
      </c>
      <c r="I87" s="33" t="str">
        <f t="shared" si="8"/>
        <v/>
      </c>
      <c r="K87" s="27"/>
      <c r="L87" s="28">
        <f>SUMIFS(Dump!$D:$D,Dump!$B:$B,$C87,Dump!$A:$A,$V87)</f>
        <v>0</v>
      </c>
      <c r="M87" s="28">
        <f>SUMIFS(Dump!R:R,Dump!B:B,C87,Dump!A:A,V87)</f>
        <v>0</v>
      </c>
      <c r="N87" s="29">
        <f t="shared" si="10"/>
        <v>0</v>
      </c>
      <c r="P87" s="30">
        <f>SUMIFS(Dump!E:E,Dump!B:B,C87,Dump!A:A,V87)</f>
        <v>0</v>
      </c>
      <c r="Q87" s="31">
        <f t="shared" si="11"/>
        <v>0</v>
      </c>
      <c r="S87" s="30">
        <f>SUMIFS(Dump!P:P,Dump!B:B,C87,Dump!A:A,V87)</f>
        <v>0</v>
      </c>
      <c r="T87" s="31">
        <f t="shared" si="12"/>
        <v>0</v>
      </c>
      <c r="U87" s="34"/>
      <c r="V87" s="47"/>
    </row>
    <row r="88">
      <c r="C88" s="46"/>
      <c r="G88" s="1" t="str">
        <f t="shared" si="16"/>
        <v/>
      </c>
      <c r="I88" s="33" t="str">
        <f t="shared" si="8"/>
        <v/>
      </c>
      <c r="K88" s="27"/>
      <c r="L88" s="28">
        <f>SUMIFS(Dump!$D:$D,Dump!$B:$B,$C88,Dump!$A:$A,$V88)</f>
        <v>0</v>
      </c>
      <c r="M88" s="28">
        <f>SUMIFS(Dump!R:R,Dump!B:B,C88,Dump!A:A,V88)</f>
        <v>0</v>
      </c>
      <c r="N88" s="29">
        <f t="shared" si="10"/>
        <v>0</v>
      </c>
      <c r="P88" s="30">
        <f>SUMIFS(Dump!E:E,Dump!B:B,C88,Dump!A:A,V88)</f>
        <v>0</v>
      </c>
      <c r="Q88" s="31">
        <f t="shared" si="11"/>
        <v>0</v>
      </c>
      <c r="S88" s="30">
        <f>SUMIFS(Dump!P:P,Dump!B:B,C88,Dump!A:A,V88)</f>
        <v>0</v>
      </c>
      <c r="T88" s="31">
        <f t="shared" si="12"/>
        <v>0</v>
      </c>
      <c r="U88" s="34"/>
      <c r="V88" s="47"/>
    </row>
    <row r="89">
      <c r="C89" s="46"/>
      <c r="G89" s="1" t="str">
        <f t="shared" si="16"/>
        <v/>
      </c>
      <c r="I89" s="33" t="str">
        <f t="shared" si="8"/>
        <v/>
      </c>
      <c r="K89" s="27"/>
      <c r="L89" s="28">
        <f>SUMIFS(Dump!$D:$D,Dump!$B:$B,$C89,Dump!$A:$A,$V89)</f>
        <v>0</v>
      </c>
      <c r="M89" s="28">
        <f>SUMIFS(Dump!R:R,Dump!B:B,C89,Dump!A:A,V89)</f>
        <v>0</v>
      </c>
      <c r="N89" s="29">
        <f t="shared" si="10"/>
        <v>0</v>
      </c>
      <c r="P89" s="30">
        <f>SUMIFS(Dump!E:E,Dump!B:B,C89,Dump!A:A,V89)</f>
        <v>0</v>
      </c>
      <c r="Q89" s="31">
        <f t="shared" si="11"/>
        <v>0</v>
      </c>
      <c r="S89" s="30">
        <f>SUMIFS(Dump!P:P,Dump!B:B,C89,Dump!A:A,V89)</f>
        <v>0</v>
      </c>
      <c r="T89" s="31">
        <f t="shared" si="12"/>
        <v>0</v>
      </c>
      <c r="U89" s="34"/>
      <c r="V89" s="47"/>
    </row>
    <row r="90">
      <c r="C90" s="46"/>
      <c r="G90" s="1" t="str">
        <f t="shared" si="16"/>
        <v/>
      </c>
      <c r="I90" s="33" t="str">
        <f t="shared" si="8"/>
        <v/>
      </c>
      <c r="K90" s="27"/>
      <c r="L90" s="28">
        <f>SUMIFS(Dump!$D:$D,Dump!$B:$B,$C90,Dump!$A:$A,$V90)</f>
        <v>0</v>
      </c>
      <c r="M90" s="28">
        <f>SUMIFS(Dump!R:R,Dump!B:B,C90,Dump!A:A,V90)</f>
        <v>0</v>
      </c>
      <c r="N90" s="29">
        <f t="shared" si="10"/>
        <v>0</v>
      </c>
      <c r="P90" s="30">
        <f>SUMIFS(Dump!E:E,Dump!B:B,C90,Dump!A:A,V90)</f>
        <v>0</v>
      </c>
      <c r="Q90" s="31">
        <f t="shared" si="11"/>
        <v>0</v>
      </c>
      <c r="S90" s="30">
        <f>SUMIFS(Dump!P:P,Dump!B:B,C90,Dump!A:A,V90)</f>
        <v>0</v>
      </c>
      <c r="T90" s="31">
        <f t="shared" si="12"/>
        <v>0</v>
      </c>
      <c r="U90" s="34"/>
      <c r="V90" s="47"/>
    </row>
    <row r="91">
      <c r="C91" s="46"/>
      <c r="G91" s="1" t="str">
        <f t="shared" si="16"/>
        <v/>
      </c>
      <c r="I91" s="33" t="str">
        <f t="shared" si="8"/>
        <v/>
      </c>
      <c r="K91" s="27"/>
      <c r="L91" s="28">
        <f>SUMIFS(Dump!$D:$D,Dump!$B:$B,$C91,Dump!$A:$A,$V91)</f>
        <v>0</v>
      </c>
      <c r="M91" s="28">
        <f>SUMIFS(Dump!R:R,Dump!B:B,C91,Dump!A:A,V91)</f>
        <v>0</v>
      </c>
      <c r="N91" s="29">
        <f t="shared" si="10"/>
        <v>0</v>
      </c>
      <c r="P91" s="30">
        <f>SUMIFS(Dump!E:E,Dump!B:B,C91,Dump!A:A,V91)</f>
        <v>0</v>
      </c>
      <c r="Q91" s="31">
        <f t="shared" si="11"/>
        <v>0</v>
      </c>
      <c r="S91" s="30">
        <f>SUMIFS(Dump!P:P,Dump!B:B,C91,Dump!A:A,V91)</f>
        <v>0</v>
      </c>
      <c r="T91" s="31">
        <f t="shared" si="12"/>
        <v>0</v>
      </c>
      <c r="U91" s="34"/>
      <c r="V91" s="47"/>
    </row>
    <row r="92">
      <c r="C92" s="46"/>
      <c r="G92" s="1" t="str">
        <f t="shared" si="16"/>
        <v/>
      </c>
      <c r="I92" s="33" t="str">
        <f t="shared" si="8"/>
        <v/>
      </c>
      <c r="K92" s="27"/>
      <c r="L92" s="28">
        <f>SUMIFS(Dump!$D:$D,Dump!$B:$B,$C92,Dump!$A:$A,$V92)</f>
        <v>0</v>
      </c>
      <c r="M92" s="28">
        <f>SUMIFS(Dump!R:R,Dump!B:B,C92,Dump!A:A,V92)</f>
        <v>0</v>
      </c>
      <c r="N92" s="29">
        <f t="shared" si="10"/>
        <v>0</v>
      </c>
      <c r="P92" s="30">
        <f>SUMIFS(Dump!E:E,Dump!B:B,C92,Dump!A:A,V92)</f>
        <v>0</v>
      </c>
      <c r="Q92" s="31">
        <f t="shared" si="11"/>
        <v>0</v>
      </c>
      <c r="S92" s="30">
        <f>SUMIFS(Dump!P:P,Dump!B:B,C92,Dump!A:A,V92)</f>
        <v>0</v>
      </c>
      <c r="T92" s="31">
        <f t="shared" si="12"/>
        <v>0</v>
      </c>
      <c r="U92" s="34"/>
      <c r="V92" s="47"/>
    </row>
    <row r="93">
      <c r="C93" s="46"/>
      <c r="G93" s="1" t="str">
        <f t="shared" si="16"/>
        <v/>
      </c>
      <c r="I93" s="33" t="str">
        <f t="shared" si="8"/>
        <v/>
      </c>
      <c r="K93" s="27"/>
      <c r="L93" s="28">
        <f>SUMIFS(Dump!$D:$D,Dump!$B:$B,$C93,Dump!$A:$A,$V93)</f>
        <v>0</v>
      </c>
      <c r="M93" s="28">
        <f>SUMIFS(Dump!R:R,Dump!B:B,C93,Dump!A:A,V93)</f>
        <v>0</v>
      </c>
      <c r="N93" s="29">
        <f t="shared" si="10"/>
        <v>0</v>
      </c>
      <c r="P93" s="30">
        <f>SUMIFS(Dump!E:E,Dump!B:B,C93,Dump!A:A,V93)</f>
        <v>0</v>
      </c>
      <c r="Q93" s="31">
        <f t="shared" si="11"/>
        <v>0</v>
      </c>
      <c r="S93" s="30">
        <f>SUMIFS(Dump!P:P,Dump!B:B,C93,Dump!A:A,V93)</f>
        <v>0</v>
      </c>
      <c r="T93" s="31">
        <f t="shared" si="12"/>
        <v>0</v>
      </c>
      <c r="U93" s="34"/>
      <c r="V93" s="47"/>
    </row>
    <row r="94">
      <c r="C94" s="46"/>
      <c r="G94" s="1" t="str">
        <f t="shared" si="16"/>
        <v/>
      </c>
      <c r="I94" s="33" t="str">
        <f t="shared" si="8"/>
        <v/>
      </c>
      <c r="K94" s="27"/>
      <c r="L94" s="28">
        <f>SUMIFS(Dump!$D:$D,Dump!$B:$B,$C94,Dump!$A:$A,$V94)</f>
        <v>0</v>
      </c>
      <c r="M94" s="28">
        <f>SUMIFS(Dump!R:R,Dump!B:B,C94,Dump!A:A,V94)</f>
        <v>0</v>
      </c>
      <c r="N94" s="29">
        <f t="shared" si="10"/>
        <v>0</v>
      </c>
      <c r="P94" s="30">
        <f>SUMIFS(Dump!E:E,Dump!B:B,C94,Dump!A:A,V94)</f>
        <v>0</v>
      </c>
      <c r="Q94" s="31">
        <f t="shared" si="11"/>
        <v>0</v>
      </c>
      <c r="S94" s="30">
        <f>SUMIFS(Dump!P:P,Dump!B:B,C94,Dump!A:A,V94)</f>
        <v>0</v>
      </c>
      <c r="T94" s="31">
        <f t="shared" si="12"/>
        <v>0</v>
      </c>
      <c r="U94" s="34"/>
      <c r="V94" s="47"/>
    </row>
    <row r="95">
      <c r="C95" s="46"/>
      <c r="G95" s="1" t="str">
        <f t="shared" si="16"/>
        <v/>
      </c>
      <c r="I95" s="33" t="str">
        <f t="shared" si="8"/>
        <v/>
      </c>
      <c r="K95" s="27"/>
      <c r="L95" s="28">
        <f>SUMIFS(Dump!$D:$D,Dump!$B:$B,$C95,Dump!$A:$A,$V95)</f>
        <v>0</v>
      </c>
      <c r="M95" s="28">
        <f>SUMIFS(Dump!R:R,Dump!B:B,C95,Dump!A:A,V95)</f>
        <v>0</v>
      </c>
      <c r="N95" s="29">
        <f t="shared" si="10"/>
        <v>0</v>
      </c>
      <c r="P95" s="30">
        <f>SUMIFS(Dump!E:E,Dump!B:B,C95,Dump!A:A,V95)</f>
        <v>0</v>
      </c>
      <c r="Q95" s="31">
        <f t="shared" si="11"/>
        <v>0</v>
      </c>
      <c r="S95" s="30">
        <f>SUMIFS(Dump!P:P,Dump!B:B,C95,Dump!A:A,V95)</f>
        <v>0</v>
      </c>
      <c r="T95" s="31">
        <f t="shared" si="12"/>
        <v>0</v>
      </c>
      <c r="U95" s="34"/>
      <c r="V95" s="47"/>
    </row>
    <row r="96">
      <c r="C96" s="46"/>
      <c r="G96" s="1" t="str">
        <f t="shared" si="16"/>
        <v/>
      </c>
      <c r="I96" s="33" t="str">
        <f t="shared" si="8"/>
        <v/>
      </c>
      <c r="K96" s="27"/>
      <c r="L96" s="28">
        <f>SUMIFS(Dump!$D:$D,Dump!$B:$B,$C96,Dump!$A:$A,$V96)</f>
        <v>0</v>
      </c>
      <c r="M96" s="28">
        <f>SUMIFS(Dump!R:R,Dump!B:B,C96,Dump!A:A,V96)</f>
        <v>0</v>
      </c>
      <c r="N96" s="29">
        <f t="shared" si="10"/>
        <v>0</v>
      </c>
      <c r="P96" s="30">
        <f>SUMIFS(Dump!E:E,Dump!B:B,C96,Dump!A:A,V96)</f>
        <v>0</v>
      </c>
      <c r="Q96" s="31">
        <f t="shared" si="11"/>
        <v>0</v>
      </c>
      <c r="S96" s="30">
        <f>SUMIFS(Dump!P:P,Dump!B:B,C96,Dump!A:A,V96)</f>
        <v>0</v>
      </c>
      <c r="T96" s="31">
        <f t="shared" si="12"/>
        <v>0</v>
      </c>
      <c r="U96" s="34"/>
      <c r="V96" s="47"/>
    </row>
    <row r="97">
      <c r="C97" s="46"/>
      <c r="G97" s="1" t="str">
        <f t="shared" si="16"/>
        <v/>
      </c>
      <c r="I97" s="33" t="str">
        <f t="shared" si="8"/>
        <v/>
      </c>
      <c r="K97" s="27"/>
      <c r="L97" s="28">
        <f>SUMIFS(Dump!$D:$D,Dump!$B:$B,$C97,Dump!$A:$A,$V97)</f>
        <v>0</v>
      </c>
      <c r="M97" s="28">
        <f>SUMIFS(Dump!R:R,Dump!B:B,C97,Dump!A:A,V97)</f>
        <v>0</v>
      </c>
      <c r="N97" s="29">
        <f t="shared" si="10"/>
        <v>0</v>
      </c>
      <c r="P97" s="30">
        <f>SUMIFS(Dump!E:E,Dump!B:B,C97,Dump!A:A,V97)</f>
        <v>0</v>
      </c>
      <c r="Q97" s="31">
        <f t="shared" si="11"/>
        <v>0</v>
      </c>
      <c r="S97" s="30">
        <f>SUMIFS(Dump!P:P,Dump!B:B,C97,Dump!A:A,V97)</f>
        <v>0</v>
      </c>
      <c r="T97" s="31">
        <f t="shared" si="12"/>
        <v>0</v>
      </c>
      <c r="U97" s="34"/>
      <c r="V97" s="47"/>
    </row>
    <row r="98">
      <c r="C98" s="46"/>
      <c r="G98" s="1" t="str">
        <f t="shared" si="16"/>
        <v/>
      </c>
      <c r="I98" s="33" t="str">
        <f t="shared" si="8"/>
        <v/>
      </c>
      <c r="K98" s="27"/>
      <c r="L98" s="28">
        <f>SUMIFS(Dump!$D:$D,Dump!$B:$B,$C98,Dump!$A:$A,$V98)</f>
        <v>0</v>
      </c>
      <c r="M98" s="28">
        <f>SUMIFS(Dump!R:R,Dump!B:B,C98,Dump!A:A,V98)</f>
        <v>0</v>
      </c>
      <c r="N98" s="29">
        <f t="shared" si="10"/>
        <v>0</v>
      </c>
      <c r="P98" s="30">
        <f>SUMIFS(Dump!E:E,Dump!B:B,C98,Dump!A:A,V98)</f>
        <v>0</v>
      </c>
      <c r="Q98" s="31">
        <f t="shared" si="11"/>
        <v>0</v>
      </c>
      <c r="S98" s="30">
        <f>SUMIFS(Dump!P:P,Dump!B:B,C98,Dump!A:A,V98)</f>
        <v>0</v>
      </c>
      <c r="T98" s="31">
        <f t="shared" si="12"/>
        <v>0</v>
      </c>
      <c r="U98" s="34"/>
      <c r="V98" s="47"/>
    </row>
    <row r="99">
      <c r="C99" s="46"/>
      <c r="G99" s="1" t="str">
        <f t="shared" si="16"/>
        <v/>
      </c>
      <c r="I99" s="33" t="str">
        <f t="shared" si="8"/>
        <v/>
      </c>
      <c r="K99" s="27"/>
      <c r="L99" s="28">
        <f>SUMIFS(Dump!$D:$D,Dump!$B:$B,$C99,Dump!$A:$A,$V99)</f>
        <v>0</v>
      </c>
      <c r="M99" s="28">
        <f>SUMIFS(Dump!R:R,Dump!B:B,C99,Dump!A:A,V99)</f>
        <v>0</v>
      </c>
      <c r="N99" s="29">
        <f t="shared" si="10"/>
        <v>0</v>
      </c>
      <c r="P99" s="30">
        <f>SUMIFS(Dump!E:E,Dump!B:B,C99,Dump!A:A,V99)</f>
        <v>0</v>
      </c>
      <c r="Q99" s="31">
        <f t="shared" si="11"/>
        <v>0</v>
      </c>
      <c r="S99" s="30">
        <f>SUMIFS(Dump!P:P,Dump!B:B,C99,Dump!A:A,V99)</f>
        <v>0</v>
      </c>
      <c r="T99" s="31">
        <f t="shared" si="12"/>
        <v>0</v>
      </c>
      <c r="U99" s="34"/>
      <c r="V99" s="47"/>
    </row>
    <row r="100">
      <c r="C100" s="46"/>
      <c r="G100" s="1" t="str">
        <f t="shared" si="16"/>
        <v/>
      </c>
      <c r="I100" s="33" t="str">
        <f t="shared" si="8"/>
        <v/>
      </c>
      <c r="K100" s="27"/>
      <c r="L100" s="28">
        <f>SUMIFS(Dump!$D:$D,Dump!$B:$B,$C100,Dump!$A:$A,$V100)</f>
        <v>0</v>
      </c>
      <c r="M100" s="28">
        <f>SUMIFS(Dump!R:R,Dump!B:B,C100,Dump!A:A,V100)</f>
        <v>0</v>
      </c>
      <c r="N100" s="29">
        <f t="shared" si="10"/>
        <v>0</v>
      </c>
      <c r="P100" s="30">
        <f>SUMIFS(Dump!E:E,Dump!B:B,C100,Dump!A:A,V100)</f>
        <v>0</v>
      </c>
      <c r="Q100" s="31">
        <f t="shared" si="11"/>
        <v>0</v>
      </c>
      <c r="S100" s="30">
        <f>SUMIFS(Dump!P:P,Dump!B:B,C100,Dump!A:A,V100)</f>
        <v>0</v>
      </c>
      <c r="T100" s="31">
        <f t="shared" si="12"/>
        <v>0</v>
      </c>
      <c r="U100" s="34"/>
      <c r="V100" s="47"/>
    </row>
    <row r="101">
      <c r="C101" s="46"/>
      <c r="G101" s="1" t="str">
        <f t="shared" si="16"/>
        <v/>
      </c>
      <c r="I101" s="33" t="str">
        <f t="shared" si="8"/>
        <v/>
      </c>
      <c r="K101" s="27"/>
      <c r="L101" s="28">
        <f>SUMIFS(Dump!$D:$D,Dump!$B:$B,$C101,Dump!$A:$A,$V101)</f>
        <v>0</v>
      </c>
      <c r="M101" s="28">
        <f>SUMIFS(Dump!R:R,Dump!B:B,C101,Dump!A:A,V101)</f>
        <v>0</v>
      </c>
      <c r="N101" s="29">
        <f t="shared" si="10"/>
        <v>0</v>
      </c>
      <c r="P101" s="30">
        <f>SUMIFS(Dump!E:E,Dump!B:B,C101,Dump!A:A,V101)</f>
        <v>0</v>
      </c>
      <c r="Q101" s="31">
        <f t="shared" si="11"/>
        <v>0</v>
      </c>
      <c r="S101" s="30">
        <f>SUMIFS(Dump!P:P,Dump!B:B,C101,Dump!A:A,V101)</f>
        <v>0</v>
      </c>
      <c r="T101" s="31">
        <f t="shared" si="12"/>
        <v>0</v>
      </c>
      <c r="U101" s="34"/>
      <c r="V101" s="47"/>
    </row>
    <row r="102">
      <c r="C102" s="46"/>
      <c r="G102" s="1" t="str">
        <f t="shared" si="16"/>
        <v/>
      </c>
      <c r="I102" s="33" t="str">
        <f t="shared" si="8"/>
        <v/>
      </c>
      <c r="K102" s="27"/>
      <c r="L102" s="28">
        <f>SUMIFS(Dump!$D:$D,Dump!$B:$B,$C102,Dump!$A:$A,$V102)</f>
        <v>0</v>
      </c>
      <c r="M102" s="28">
        <f>SUMIFS(Dump!R:R,Dump!B:B,C102,Dump!A:A,V102)</f>
        <v>0</v>
      </c>
      <c r="N102" s="29">
        <f t="shared" si="10"/>
        <v>0</v>
      </c>
      <c r="P102" s="30">
        <f>SUMIFS(Dump!E:E,Dump!B:B,C102,Dump!A:A,V102)</f>
        <v>0</v>
      </c>
      <c r="Q102" s="31">
        <f t="shared" si="11"/>
        <v>0</v>
      </c>
      <c r="S102" s="30">
        <f>SUMIFS(Dump!P:P,Dump!B:B,C102,Dump!A:A,V102)</f>
        <v>0</v>
      </c>
      <c r="T102" s="31">
        <f t="shared" si="12"/>
        <v>0</v>
      </c>
      <c r="U102" s="34"/>
      <c r="V102" s="47"/>
    </row>
    <row r="103">
      <c r="C103" s="46"/>
      <c r="G103" s="1" t="str">
        <f t="shared" si="16"/>
        <v/>
      </c>
      <c r="I103" s="33" t="str">
        <f t="shared" si="8"/>
        <v/>
      </c>
      <c r="K103" s="27"/>
      <c r="L103" s="28">
        <f>SUMIFS(Dump!$D:$D,Dump!$B:$B,$C103,Dump!$A:$A,$V103)</f>
        <v>0</v>
      </c>
      <c r="M103" s="28">
        <f>SUMIFS(Dump!R:R,Dump!B:B,C103,Dump!A:A,V103)</f>
        <v>0</v>
      </c>
      <c r="N103" s="29">
        <f t="shared" si="10"/>
        <v>0</v>
      </c>
      <c r="P103" s="30">
        <f>SUMIFS(Dump!E:E,Dump!B:B,C103,Dump!A:A,V103)</f>
        <v>0</v>
      </c>
      <c r="Q103" s="31">
        <f t="shared" si="11"/>
        <v>0</v>
      </c>
      <c r="S103" s="30">
        <f>SUMIFS(Dump!P:P,Dump!B:B,C103,Dump!A:A,V103)</f>
        <v>0</v>
      </c>
      <c r="T103" s="31">
        <f t="shared" si="12"/>
        <v>0</v>
      </c>
      <c r="U103" s="34"/>
      <c r="V103" s="47"/>
    </row>
    <row r="104">
      <c r="C104" s="46"/>
      <c r="G104" s="1" t="str">
        <f t="shared" si="16"/>
        <v/>
      </c>
      <c r="I104" s="33" t="str">
        <f t="shared" si="8"/>
        <v/>
      </c>
      <c r="K104" s="27"/>
      <c r="L104" s="28">
        <f>SUMIFS(Dump!$D:$D,Dump!$B:$B,$C104,Dump!$A:$A,$V104)</f>
        <v>0</v>
      </c>
      <c r="M104" s="28">
        <f>SUMIFS(Dump!R:R,Dump!B:B,C104,Dump!A:A,V104)</f>
        <v>0</v>
      </c>
      <c r="N104" s="29">
        <f t="shared" si="10"/>
        <v>0</v>
      </c>
      <c r="P104" s="30">
        <f>SUMIFS(Dump!E:E,Dump!B:B,C104,Dump!A:A,V104)</f>
        <v>0</v>
      </c>
      <c r="Q104" s="31">
        <f t="shared" si="11"/>
        <v>0</v>
      </c>
      <c r="S104" s="30">
        <f>SUMIFS(Dump!P:P,Dump!B:B,C104,Dump!A:A,V104)</f>
        <v>0</v>
      </c>
      <c r="T104" s="31">
        <f t="shared" si="12"/>
        <v>0</v>
      </c>
      <c r="U104" s="34"/>
      <c r="V104" s="47"/>
    </row>
    <row r="105">
      <c r="C105" s="46"/>
      <c r="G105" s="1" t="str">
        <f t="shared" si="16"/>
        <v/>
      </c>
      <c r="I105" s="33" t="str">
        <f t="shared" si="8"/>
        <v/>
      </c>
      <c r="K105" s="27"/>
      <c r="L105" s="28">
        <f>SUMIFS(Dump!$D:$D,Dump!$B:$B,$C105,Dump!$A:$A,$V105)</f>
        <v>0</v>
      </c>
      <c r="M105" s="28">
        <f>SUMIFS(Dump!R:R,Dump!B:B,C105,Dump!A:A,V105)</f>
        <v>0</v>
      </c>
      <c r="N105" s="29">
        <f t="shared" si="10"/>
        <v>0</v>
      </c>
      <c r="P105" s="30">
        <f>SUMIFS(Dump!E:E,Dump!B:B,C105,Dump!A:A,V105)</f>
        <v>0</v>
      </c>
      <c r="Q105" s="31">
        <f t="shared" si="11"/>
        <v>0</v>
      </c>
      <c r="S105" s="30">
        <f>SUMIFS(Dump!P:P,Dump!B:B,C105,Dump!A:A,V105)</f>
        <v>0</v>
      </c>
      <c r="T105" s="31">
        <f t="shared" si="12"/>
        <v>0</v>
      </c>
      <c r="U105" s="34"/>
      <c r="V105" s="47"/>
    </row>
    <row r="106">
      <c r="C106" s="46"/>
      <c r="G106" s="1" t="str">
        <f t="shared" si="16"/>
        <v/>
      </c>
      <c r="I106" s="33" t="str">
        <f t="shared" si="8"/>
        <v/>
      </c>
      <c r="K106" s="27"/>
      <c r="L106" s="28">
        <f>SUMIFS(Dump!$D:$D,Dump!$B:$B,$C106,Dump!$A:$A,$V106)</f>
        <v>0</v>
      </c>
      <c r="M106" s="28">
        <f>SUMIFS(Dump!R:R,Dump!B:B,C106,Dump!A:A,V106)</f>
        <v>0</v>
      </c>
      <c r="N106" s="29">
        <f t="shared" si="10"/>
        <v>0</v>
      </c>
      <c r="P106" s="30">
        <f>SUMIFS(Dump!E:E,Dump!B:B,C106,Dump!A:A,V106)</f>
        <v>0</v>
      </c>
      <c r="Q106" s="31">
        <f t="shared" si="11"/>
        <v>0</v>
      </c>
      <c r="S106" s="30">
        <f>SUMIFS(Dump!P:P,Dump!B:B,C106,Dump!A:A,V106)</f>
        <v>0</v>
      </c>
      <c r="T106" s="31">
        <f t="shared" si="12"/>
        <v>0</v>
      </c>
      <c r="U106" s="34"/>
      <c r="V106" s="47"/>
    </row>
    <row r="107">
      <c r="C107" s="46"/>
      <c r="G107" s="1" t="str">
        <f t="shared" si="16"/>
        <v/>
      </c>
      <c r="I107" s="33" t="str">
        <f t="shared" si="8"/>
        <v/>
      </c>
      <c r="K107" s="27"/>
      <c r="L107" s="28">
        <f>SUMIFS(Dump!$D:$D,Dump!$B:$B,$C107,Dump!$A:$A,$V107)</f>
        <v>0</v>
      </c>
      <c r="M107" s="28">
        <f>SUMIFS(Dump!R:R,Dump!B:B,C107,Dump!A:A,V107)</f>
        <v>0</v>
      </c>
      <c r="N107" s="29">
        <f t="shared" si="10"/>
        <v>0</v>
      </c>
      <c r="P107" s="30">
        <f>SUMIFS(Dump!E:E,Dump!B:B,C107,Dump!A:A,V107)</f>
        <v>0</v>
      </c>
      <c r="Q107" s="31">
        <f t="shared" si="11"/>
        <v>0</v>
      </c>
      <c r="S107" s="30">
        <f>SUMIFS(Dump!P:P,Dump!B:B,C107,Dump!A:A,V107)</f>
        <v>0</v>
      </c>
      <c r="T107" s="31">
        <f t="shared" si="12"/>
        <v>0</v>
      </c>
      <c r="U107" s="34"/>
      <c r="V107" s="47"/>
    </row>
    <row r="108">
      <c r="C108" s="46"/>
      <c r="G108" s="1" t="str">
        <f t="shared" si="16"/>
        <v/>
      </c>
      <c r="I108" s="33" t="str">
        <f t="shared" si="8"/>
        <v/>
      </c>
      <c r="K108" s="27"/>
      <c r="L108" s="28">
        <f>SUMIFS(Dump!$D:$D,Dump!$B:$B,$C108,Dump!$A:$A,$V108)</f>
        <v>0</v>
      </c>
      <c r="M108" s="28">
        <f>SUMIFS(Dump!R:R,Dump!B:B,C108,Dump!A:A,V108)</f>
        <v>0</v>
      </c>
      <c r="N108" s="29">
        <f t="shared" si="10"/>
        <v>0</v>
      </c>
      <c r="P108" s="30">
        <f>SUMIFS(Dump!E:E,Dump!B:B,C108,Dump!A:A,V108)</f>
        <v>0</v>
      </c>
      <c r="Q108" s="31">
        <f t="shared" si="11"/>
        <v>0</v>
      </c>
      <c r="S108" s="30">
        <f>SUMIFS(Dump!P:P,Dump!B:B,C108,Dump!A:A,V108)</f>
        <v>0</v>
      </c>
      <c r="T108" s="31">
        <f t="shared" si="12"/>
        <v>0</v>
      </c>
      <c r="U108" s="34"/>
      <c r="V108" s="47"/>
    </row>
    <row r="109">
      <c r="C109" s="46"/>
      <c r="G109" s="1" t="str">
        <f t="shared" si="16"/>
        <v/>
      </c>
      <c r="I109" s="33" t="str">
        <f t="shared" si="8"/>
        <v/>
      </c>
      <c r="K109" s="27"/>
      <c r="L109" s="28">
        <f>SUMIFS(Dump!$D:$D,Dump!$B:$B,$C109,Dump!$A:$A,$V109)</f>
        <v>0</v>
      </c>
      <c r="M109" s="28">
        <f>SUMIFS(Dump!R:R,Dump!B:B,C109,Dump!A:A,V109)</f>
        <v>0</v>
      </c>
      <c r="N109" s="29">
        <f t="shared" si="10"/>
        <v>0</v>
      </c>
      <c r="P109" s="30">
        <f>SUMIFS(Dump!E:E,Dump!B:B,C109,Dump!A:A,V109)</f>
        <v>0</v>
      </c>
      <c r="Q109" s="31">
        <f t="shared" si="11"/>
        <v>0</v>
      </c>
      <c r="S109" s="30">
        <f>SUMIFS(Dump!P:P,Dump!B:B,C109,Dump!A:A,V109)</f>
        <v>0</v>
      </c>
      <c r="T109" s="31">
        <f t="shared" si="12"/>
        <v>0</v>
      </c>
      <c r="U109" s="34"/>
      <c r="V109" s="47"/>
    </row>
    <row r="110">
      <c r="C110" s="46"/>
      <c r="G110" s="1" t="str">
        <f t="shared" si="16"/>
        <v/>
      </c>
      <c r="I110" s="33" t="str">
        <f t="shared" si="8"/>
        <v/>
      </c>
      <c r="K110" s="27"/>
      <c r="L110" s="28">
        <f>SUMIFS(Dump!$D:$D,Dump!$B:$B,$C110,Dump!$A:$A,$V110)</f>
        <v>0</v>
      </c>
      <c r="M110" s="28">
        <f>SUMIFS(Dump!R:R,Dump!B:B,C110,Dump!A:A,V110)</f>
        <v>0</v>
      </c>
      <c r="N110" s="29">
        <f t="shared" si="10"/>
        <v>0</v>
      </c>
      <c r="P110" s="30">
        <f>SUMIFS(Dump!E:E,Dump!B:B,C110,Dump!A:A,V110)</f>
        <v>0</v>
      </c>
      <c r="Q110" s="31">
        <f t="shared" si="11"/>
        <v>0</v>
      </c>
      <c r="S110" s="30">
        <f>SUMIFS(Dump!P:P,Dump!B:B,C110,Dump!A:A,V110)</f>
        <v>0</v>
      </c>
      <c r="T110" s="31">
        <f t="shared" si="12"/>
        <v>0</v>
      </c>
      <c r="U110" s="34"/>
      <c r="V110" s="47"/>
    </row>
    <row r="111">
      <c r="C111" s="46"/>
      <c r="G111" s="1" t="str">
        <f t="shared" si="16"/>
        <v/>
      </c>
      <c r="I111" s="33" t="str">
        <f t="shared" si="8"/>
        <v/>
      </c>
      <c r="K111" s="27"/>
      <c r="L111" s="28">
        <f>SUMIFS(Dump!$D:$D,Dump!$B:$B,$C111,Dump!$A:$A,$V111)</f>
        <v>0</v>
      </c>
      <c r="M111" s="28">
        <f>SUMIFS(Dump!R:R,Dump!B:B,C111,Dump!A:A,V111)</f>
        <v>0</v>
      </c>
      <c r="N111" s="29">
        <f t="shared" si="10"/>
        <v>0</v>
      </c>
      <c r="P111" s="30">
        <f>SUMIFS(Dump!E:E,Dump!B:B,C111,Dump!A:A,V111)</f>
        <v>0</v>
      </c>
      <c r="Q111" s="31">
        <f t="shared" si="11"/>
        <v>0</v>
      </c>
      <c r="S111" s="30">
        <f>SUMIFS(Dump!P:P,Dump!B:B,C111,Dump!A:A,V111)</f>
        <v>0</v>
      </c>
      <c r="T111" s="31">
        <f t="shared" si="12"/>
        <v>0</v>
      </c>
      <c r="U111" s="34"/>
      <c r="V111" s="47"/>
    </row>
    <row r="112">
      <c r="C112" s="46"/>
      <c r="G112" s="1" t="str">
        <f t="shared" si="16"/>
        <v/>
      </c>
      <c r="I112" s="33" t="str">
        <f t="shared" si="8"/>
        <v/>
      </c>
      <c r="K112" s="27"/>
      <c r="L112" s="28">
        <f>SUMIFS(Dump!$D:$D,Dump!$B:$B,$C112,Dump!$A:$A,$V112)</f>
        <v>0</v>
      </c>
      <c r="M112" s="28">
        <f>SUMIFS(Dump!R:R,Dump!B:B,C112,Dump!A:A,V112)</f>
        <v>0</v>
      </c>
      <c r="N112" s="29">
        <f t="shared" si="10"/>
        <v>0</v>
      </c>
      <c r="P112" s="30">
        <f>SUMIFS(Dump!E:E,Dump!B:B,C112,Dump!A:A,V112)</f>
        <v>0</v>
      </c>
      <c r="Q112" s="31">
        <f t="shared" si="11"/>
        <v>0</v>
      </c>
      <c r="S112" s="30">
        <f>SUMIFS(Dump!P:P,Dump!B:B,C112,Dump!A:A,V112)</f>
        <v>0</v>
      </c>
      <c r="T112" s="31">
        <f t="shared" si="12"/>
        <v>0</v>
      </c>
      <c r="U112" s="34"/>
      <c r="V112" s="47"/>
    </row>
    <row r="113">
      <c r="C113" s="46"/>
      <c r="G113" s="1" t="str">
        <f t="shared" si="16"/>
        <v/>
      </c>
      <c r="I113" s="33" t="str">
        <f t="shared" si="8"/>
        <v/>
      </c>
      <c r="K113" s="27"/>
      <c r="L113" s="28">
        <f>SUMIFS(Dump!$D:$D,Dump!$B:$B,$C113,Dump!$A:$A,$V113)</f>
        <v>0</v>
      </c>
      <c r="M113" s="28">
        <f>SUMIFS(Dump!R:R,Dump!B:B,C113,Dump!A:A,V113)</f>
        <v>0</v>
      </c>
      <c r="N113" s="29">
        <f t="shared" si="10"/>
        <v>0</v>
      </c>
      <c r="P113" s="30">
        <f>SUMIFS(Dump!E:E,Dump!B:B,C113,Dump!A:A,V113)</f>
        <v>0</v>
      </c>
      <c r="Q113" s="31">
        <f t="shared" si="11"/>
        <v>0</v>
      </c>
      <c r="S113" s="30">
        <f>SUMIFS(Dump!P:P,Dump!B:B,C113,Dump!A:A,V113)</f>
        <v>0</v>
      </c>
      <c r="T113" s="31">
        <f t="shared" si="12"/>
        <v>0</v>
      </c>
      <c r="U113" s="34"/>
      <c r="V113" s="47"/>
    </row>
    <row r="114">
      <c r="C114" s="46"/>
      <c r="G114" s="1" t="str">
        <f t="shared" si="16"/>
        <v/>
      </c>
      <c r="I114" s="33" t="str">
        <f t="shared" si="8"/>
        <v/>
      </c>
      <c r="K114" s="27"/>
      <c r="L114" s="28">
        <f>SUMIFS(Dump!$D:$D,Dump!$B:$B,$C114,Dump!$A:$A,$V114)</f>
        <v>0</v>
      </c>
      <c r="M114" s="28">
        <f>SUMIFS(Dump!R:R,Dump!B:B,C114,Dump!A:A,V114)</f>
        <v>0</v>
      </c>
      <c r="N114" s="29">
        <f t="shared" si="10"/>
        <v>0</v>
      </c>
      <c r="P114" s="30">
        <f>SUMIFS(Dump!E:E,Dump!B:B,C114,Dump!A:A,V114)</f>
        <v>0</v>
      </c>
      <c r="Q114" s="31">
        <f t="shared" si="11"/>
        <v>0</v>
      </c>
      <c r="S114" s="30">
        <f>SUMIFS(Dump!P:P,Dump!B:B,C114,Dump!A:A,V114)</f>
        <v>0</v>
      </c>
      <c r="T114" s="31">
        <f t="shared" si="12"/>
        <v>0</v>
      </c>
      <c r="U114" s="34"/>
      <c r="V114" s="47"/>
    </row>
    <row r="115">
      <c r="C115" s="46"/>
      <c r="G115" s="1" t="str">
        <f t="shared" si="16"/>
        <v/>
      </c>
      <c r="I115" s="33" t="str">
        <f t="shared" si="8"/>
        <v/>
      </c>
      <c r="K115" s="27"/>
      <c r="L115" s="28">
        <f>SUMIFS(Dump!$D:$D,Dump!$B:$B,$C115,Dump!$A:$A,$V115)</f>
        <v>0</v>
      </c>
      <c r="M115" s="28">
        <f>SUMIFS(Dump!R:R,Dump!B:B,C115,Dump!A:A,V115)</f>
        <v>0</v>
      </c>
      <c r="N115" s="29">
        <f t="shared" si="10"/>
        <v>0</v>
      </c>
      <c r="P115" s="30">
        <f>SUMIFS(Dump!E:E,Dump!B:B,C115,Dump!A:A,V115)</f>
        <v>0</v>
      </c>
      <c r="Q115" s="31">
        <f t="shared" si="11"/>
        <v>0</v>
      </c>
      <c r="S115" s="30">
        <f>SUMIFS(Dump!P:P,Dump!B:B,C115,Dump!A:A,V115)</f>
        <v>0</v>
      </c>
      <c r="T115" s="31">
        <f t="shared" si="12"/>
        <v>0</v>
      </c>
      <c r="U115" s="34"/>
      <c r="V115" s="47"/>
    </row>
    <row r="116">
      <c r="C116" s="46"/>
      <c r="G116" s="1" t="str">
        <f t="shared" si="16"/>
        <v/>
      </c>
      <c r="I116" s="33" t="str">
        <f t="shared" si="8"/>
        <v/>
      </c>
      <c r="K116" s="27"/>
      <c r="L116" s="28">
        <f>SUMIFS(Dump!$D:$D,Dump!$B:$B,$C116,Dump!$A:$A,$V116)</f>
        <v>0</v>
      </c>
      <c r="M116" s="28">
        <f>SUMIFS(Dump!R:R,Dump!B:B,C116,Dump!A:A,V116)</f>
        <v>0</v>
      </c>
      <c r="N116" s="29">
        <f t="shared" si="10"/>
        <v>0</v>
      </c>
      <c r="P116" s="30">
        <f>SUMIFS(Dump!E:E,Dump!B:B,C116,Dump!A:A,V116)</f>
        <v>0</v>
      </c>
      <c r="Q116" s="31">
        <f t="shared" si="11"/>
        <v>0</v>
      </c>
      <c r="S116" s="30">
        <f>SUMIFS(Dump!P:P,Dump!B:B,C116,Dump!A:A,V116)</f>
        <v>0</v>
      </c>
      <c r="T116" s="31">
        <f t="shared" si="12"/>
        <v>0</v>
      </c>
      <c r="U116" s="34"/>
      <c r="V116" s="47"/>
    </row>
    <row r="117">
      <c r="C117" s="46"/>
      <c r="G117" s="1" t="str">
        <f t="shared" si="16"/>
        <v/>
      </c>
      <c r="I117" s="33" t="str">
        <f t="shared" si="8"/>
        <v/>
      </c>
      <c r="K117" s="27"/>
      <c r="L117" s="28">
        <f>SUMIFS(Dump!$D:$D,Dump!$B:$B,$C117,Dump!$A:$A,$V117)</f>
        <v>0</v>
      </c>
      <c r="M117" s="28">
        <f>SUMIFS(Dump!R:R,Dump!B:B,C117,Dump!A:A,V117)</f>
        <v>0</v>
      </c>
      <c r="N117" s="29">
        <f t="shared" si="10"/>
        <v>0</v>
      </c>
      <c r="P117" s="30">
        <f>SUMIFS(Dump!E:E,Dump!B:B,C117,Dump!A:A,V117)</f>
        <v>0</v>
      </c>
      <c r="Q117" s="31">
        <f t="shared" si="11"/>
        <v>0</v>
      </c>
      <c r="S117" s="30">
        <f>SUMIFS(Dump!P:P,Dump!B:B,C117,Dump!A:A,V117)</f>
        <v>0</v>
      </c>
      <c r="T117" s="31">
        <f t="shared" si="12"/>
        <v>0</v>
      </c>
      <c r="U117" s="34"/>
      <c r="V117" s="47"/>
    </row>
    <row r="118">
      <c r="C118" s="46"/>
      <c r="G118" s="1" t="str">
        <f t="shared" si="16"/>
        <v/>
      </c>
      <c r="I118" s="33" t="str">
        <f t="shared" si="8"/>
        <v/>
      </c>
      <c r="K118" s="27"/>
      <c r="L118" s="28">
        <f>SUMIFS(Dump!$D:$D,Dump!$B:$B,$C118,Dump!$A:$A,$V118)</f>
        <v>0</v>
      </c>
      <c r="M118" s="28">
        <f>SUMIFS(Dump!R:R,Dump!B:B,C118,Dump!A:A,V118)</f>
        <v>0</v>
      </c>
      <c r="N118" s="29">
        <f t="shared" si="10"/>
        <v>0</v>
      </c>
      <c r="P118" s="30">
        <f>SUMIFS(Dump!E:E,Dump!B:B,C118,Dump!A:A,V118)</f>
        <v>0</v>
      </c>
      <c r="Q118" s="31">
        <f t="shared" si="11"/>
        <v>0</v>
      </c>
      <c r="S118" s="30">
        <f>SUMIFS(Dump!P:P,Dump!B:B,C118,Dump!A:A,V118)</f>
        <v>0</v>
      </c>
      <c r="T118" s="31">
        <f t="shared" si="12"/>
        <v>0</v>
      </c>
      <c r="U118" s="34"/>
      <c r="V118" s="47"/>
    </row>
    <row r="119">
      <c r="C119" s="46"/>
      <c r="G119" s="1" t="str">
        <f t="shared" si="16"/>
        <v/>
      </c>
      <c r="I119" s="33" t="str">
        <f t="shared" si="8"/>
        <v/>
      </c>
      <c r="K119" s="27"/>
      <c r="L119" s="28">
        <f>SUMIFS(Dump!$D:$D,Dump!$B:$B,$C119,Dump!$A:$A,$V119)</f>
        <v>0</v>
      </c>
      <c r="M119" s="28">
        <f>SUMIFS(Dump!R:R,Dump!B:B,C119,Dump!A:A,V119)</f>
        <v>0</v>
      </c>
      <c r="N119" s="29">
        <f t="shared" si="10"/>
        <v>0</v>
      </c>
      <c r="P119" s="30">
        <f>SUMIFS(Dump!E:E,Dump!B:B,C119,Dump!A:A,V119)</f>
        <v>0</v>
      </c>
      <c r="Q119" s="31">
        <f t="shared" si="11"/>
        <v>0</v>
      </c>
      <c r="S119" s="30">
        <f>SUMIFS(Dump!P:P,Dump!B:B,C119,Dump!A:A,V119)</f>
        <v>0</v>
      </c>
      <c r="T119" s="31">
        <f t="shared" si="12"/>
        <v>0</v>
      </c>
      <c r="U119" s="34"/>
      <c r="V119" s="47"/>
    </row>
    <row r="120">
      <c r="C120" s="46"/>
      <c r="G120" s="1" t="str">
        <f t="shared" si="16"/>
        <v/>
      </c>
      <c r="I120" s="33" t="str">
        <f t="shared" si="8"/>
        <v/>
      </c>
      <c r="K120" s="27"/>
      <c r="L120" s="28">
        <f>SUMIFS(Dump!$D:$D,Dump!$B:$B,$C120,Dump!$A:$A,$V120)</f>
        <v>0</v>
      </c>
      <c r="M120" s="28">
        <f>SUMIFS(Dump!R:R,Dump!B:B,C120,Dump!A:A,V120)</f>
        <v>0</v>
      </c>
      <c r="N120" s="29">
        <f t="shared" si="10"/>
        <v>0</v>
      </c>
      <c r="P120" s="30">
        <f>SUMIFS(Dump!E:E,Dump!B:B,C120,Dump!A:A,V120)</f>
        <v>0</v>
      </c>
      <c r="Q120" s="31">
        <f t="shared" si="11"/>
        <v>0</v>
      </c>
      <c r="S120" s="30">
        <f>SUMIFS(Dump!P:P,Dump!B:B,C120,Dump!A:A,V120)</f>
        <v>0</v>
      </c>
      <c r="T120" s="31">
        <f t="shared" si="12"/>
        <v>0</v>
      </c>
      <c r="U120" s="34"/>
      <c r="V120" s="47"/>
    </row>
    <row r="121">
      <c r="C121" s="46"/>
      <c r="G121" s="1" t="str">
        <f t="shared" si="16"/>
        <v/>
      </c>
      <c r="I121" s="33" t="str">
        <f t="shared" si="8"/>
        <v/>
      </c>
      <c r="K121" s="27"/>
      <c r="L121" s="28">
        <f>SUMIFS(Dump!$D:$D,Dump!$B:$B,$C121,Dump!$A:$A,$V121)</f>
        <v>0</v>
      </c>
      <c r="M121" s="28">
        <f>SUMIFS(Dump!R:R,Dump!B:B,C121,Dump!A:A,V121)</f>
        <v>0</v>
      </c>
      <c r="N121" s="29">
        <f t="shared" si="10"/>
        <v>0</v>
      </c>
      <c r="P121" s="30">
        <f>SUMIFS(Dump!E:E,Dump!B:B,C121,Dump!A:A,V121)</f>
        <v>0</v>
      </c>
      <c r="Q121" s="31">
        <f t="shared" si="11"/>
        <v>0</v>
      </c>
      <c r="S121" s="30">
        <f>SUMIFS(Dump!P:P,Dump!B:B,C121,Dump!A:A,V121)</f>
        <v>0</v>
      </c>
      <c r="T121" s="31">
        <f t="shared" si="12"/>
        <v>0</v>
      </c>
      <c r="U121" s="34"/>
      <c r="V121" s="47"/>
    </row>
    <row r="122">
      <c r="C122" s="46"/>
      <c r="G122" s="1" t="str">
        <f t="shared" si="16"/>
        <v/>
      </c>
      <c r="I122" s="33" t="str">
        <f t="shared" si="8"/>
        <v/>
      </c>
      <c r="K122" s="27"/>
      <c r="L122" s="28">
        <f>SUMIFS(Dump!$D:$D,Dump!$B:$B,$C122,Dump!$A:$A,$V122)</f>
        <v>0</v>
      </c>
      <c r="M122" s="28">
        <f>SUMIFS(Dump!R:R,Dump!B:B,C122,Dump!A:A,V122)</f>
        <v>0</v>
      </c>
      <c r="N122" s="29">
        <f t="shared" si="10"/>
        <v>0</v>
      </c>
      <c r="P122" s="30">
        <f>SUMIFS(Dump!E:E,Dump!B:B,C122,Dump!A:A,V122)</f>
        <v>0</v>
      </c>
      <c r="Q122" s="31">
        <f t="shared" si="11"/>
        <v>0</v>
      </c>
      <c r="S122" s="30">
        <f>SUMIFS(Dump!P:P,Dump!B:B,C122,Dump!A:A,V122)</f>
        <v>0</v>
      </c>
      <c r="T122" s="31">
        <f t="shared" si="12"/>
        <v>0</v>
      </c>
      <c r="U122" s="34"/>
      <c r="V122" s="47"/>
    </row>
    <row r="123">
      <c r="C123" s="46"/>
      <c r="G123" s="1" t="str">
        <f t="shared" si="16"/>
        <v/>
      </c>
      <c r="I123" s="33" t="str">
        <f t="shared" si="8"/>
        <v/>
      </c>
      <c r="K123" s="27"/>
      <c r="L123" s="28">
        <f>SUMIFS(Dump!$D:$D,Dump!$B:$B,$C123,Dump!$A:$A,$V123)</f>
        <v>0</v>
      </c>
      <c r="M123" s="28">
        <f>SUMIFS(Dump!R:R,Dump!B:B,C123,Dump!A:A,V123)</f>
        <v>0</v>
      </c>
      <c r="N123" s="29">
        <f t="shared" si="10"/>
        <v>0</v>
      </c>
      <c r="P123" s="30">
        <f>SUMIFS(Dump!E:E,Dump!B:B,C123,Dump!A:A,V123)</f>
        <v>0</v>
      </c>
      <c r="Q123" s="31">
        <f t="shared" si="11"/>
        <v>0</v>
      </c>
      <c r="S123" s="30">
        <f>SUMIFS(Dump!P:P,Dump!B:B,C123,Dump!A:A,V123)</f>
        <v>0</v>
      </c>
      <c r="T123" s="31">
        <f t="shared" si="12"/>
        <v>0</v>
      </c>
      <c r="U123" s="34"/>
      <c r="V123" s="47"/>
    </row>
    <row r="124">
      <c r="C124" s="46"/>
      <c r="G124" s="1" t="str">
        <f t="shared" si="16"/>
        <v/>
      </c>
      <c r="I124" s="33" t="str">
        <f t="shared" si="8"/>
        <v/>
      </c>
      <c r="K124" s="27"/>
      <c r="L124" s="28">
        <f>SUMIFS(Dump!$D:$D,Dump!$B:$B,$C124,Dump!$A:$A,$V124)</f>
        <v>0</v>
      </c>
      <c r="M124" s="28">
        <f>SUMIFS(Dump!R:R,Dump!B:B,C124,Dump!A:A,V124)</f>
        <v>0</v>
      </c>
      <c r="N124" s="29">
        <f t="shared" si="10"/>
        <v>0</v>
      </c>
      <c r="P124" s="30">
        <f>SUMIFS(Dump!E:E,Dump!B:B,C124,Dump!A:A,V124)</f>
        <v>0</v>
      </c>
      <c r="Q124" s="31">
        <f t="shared" si="11"/>
        <v>0</v>
      </c>
      <c r="S124" s="30">
        <f>SUMIFS(Dump!P:P,Dump!B:B,C124,Dump!A:A,V124)</f>
        <v>0</v>
      </c>
      <c r="T124" s="31">
        <f t="shared" si="12"/>
        <v>0</v>
      </c>
      <c r="U124" s="34"/>
      <c r="V124" s="47"/>
    </row>
    <row r="125">
      <c r="C125" s="46"/>
      <c r="G125" s="1" t="str">
        <f t="shared" si="16"/>
        <v/>
      </c>
      <c r="I125" s="33" t="str">
        <f t="shared" si="8"/>
        <v/>
      </c>
      <c r="K125" s="27"/>
      <c r="L125" s="28">
        <f>SUMIFS(Dump!$D:$D,Dump!$B:$B,$C125,Dump!$A:$A,$V125)</f>
        <v>0</v>
      </c>
      <c r="M125" s="28">
        <f>SUMIFS(Dump!R:R,Dump!B:B,C125,Dump!A:A,V125)</f>
        <v>0</v>
      </c>
      <c r="N125" s="29">
        <f t="shared" si="10"/>
        <v>0</v>
      </c>
      <c r="P125" s="30">
        <f>SUMIFS(Dump!E:E,Dump!B:B,C125,Dump!A:A,V125)</f>
        <v>0</v>
      </c>
      <c r="Q125" s="31">
        <f t="shared" si="11"/>
        <v>0</v>
      </c>
      <c r="S125" s="30">
        <f>SUMIFS(Dump!P:P,Dump!B:B,C125,Dump!A:A,V125)</f>
        <v>0</v>
      </c>
      <c r="T125" s="31">
        <f t="shared" si="12"/>
        <v>0</v>
      </c>
      <c r="U125" s="34"/>
      <c r="V125" s="47"/>
    </row>
    <row r="126">
      <c r="C126" s="46"/>
      <c r="G126" s="1" t="str">
        <f t="shared" si="16"/>
        <v/>
      </c>
      <c r="I126" s="33" t="str">
        <f t="shared" si="8"/>
        <v/>
      </c>
      <c r="K126" s="27"/>
      <c r="L126" s="28">
        <f>SUMIFS(Dump!$D:$D,Dump!$B:$B,$C126,Dump!$A:$A,$V126)</f>
        <v>0</v>
      </c>
      <c r="M126" s="28">
        <f>SUMIFS(Dump!R:R,Dump!B:B,C126,Dump!A:A,V126)</f>
        <v>0</v>
      </c>
      <c r="N126" s="29">
        <f t="shared" si="10"/>
        <v>0</v>
      </c>
      <c r="P126" s="30">
        <f>SUMIFS(Dump!E:E,Dump!B:B,C126,Dump!A:A,V126)</f>
        <v>0</v>
      </c>
      <c r="Q126" s="31">
        <f t="shared" si="11"/>
        <v>0</v>
      </c>
      <c r="S126" s="30">
        <f>SUMIFS(Dump!P:P,Dump!B:B,C126,Dump!A:A,V126)</f>
        <v>0</v>
      </c>
      <c r="T126" s="31">
        <f t="shared" si="12"/>
        <v>0</v>
      </c>
      <c r="U126" s="34"/>
      <c r="V126" s="47"/>
    </row>
    <row r="127">
      <c r="C127" s="46"/>
      <c r="G127" s="1" t="str">
        <f t="shared" si="16"/>
        <v/>
      </c>
      <c r="I127" s="33" t="str">
        <f t="shared" si="8"/>
        <v/>
      </c>
      <c r="K127" s="27"/>
      <c r="L127" s="28">
        <f>SUMIFS(Dump!$D:$D,Dump!$B:$B,$C127,Dump!$A:$A,$V127)</f>
        <v>0</v>
      </c>
      <c r="M127" s="28">
        <f>SUMIFS(Dump!R:R,Dump!B:B,C127,Dump!A:A,V127)</f>
        <v>0</v>
      </c>
      <c r="N127" s="29">
        <f t="shared" si="10"/>
        <v>0</v>
      </c>
      <c r="P127" s="30">
        <f>SUMIFS(Dump!E:E,Dump!B:B,C127,Dump!A:A,V127)</f>
        <v>0</v>
      </c>
      <c r="Q127" s="31">
        <f t="shared" si="11"/>
        <v>0</v>
      </c>
      <c r="S127" s="30">
        <f>SUMIFS(Dump!P:P,Dump!B:B,C127,Dump!A:A,V127)</f>
        <v>0</v>
      </c>
      <c r="T127" s="31">
        <f t="shared" si="12"/>
        <v>0</v>
      </c>
      <c r="U127" s="34"/>
      <c r="V127" s="47"/>
    </row>
    <row r="128">
      <c r="C128" s="46"/>
      <c r="G128" s="1" t="str">
        <f t="shared" si="16"/>
        <v/>
      </c>
      <c r="I128" s="33" t="str">
        <f t="shared" si="8"/>
        <v/>
      </c>
      <c r="K128" s="27"/>
      <c r="L128" s="28">
        <f>SUMIFS(Dump!$D:$D,Dump!$B:$B,$C128,Dump!$A:$A,$V128)</f>
        <v>0</v>
      </c>
      <c r="M128" s="28">
        <f>SUMIFS(Dump!R:R,Dump!B:B,C128,Dump!A:A,V128)</f>
        <v>0</v>
      </c>
      <c r="N128" s="29">
        <f t="shared" si="10"/>
        <v>0</v>
      </c>
      <c r="P128" s="30">
        <f>SUMIFS(Dump!E:E,Dump!B:B,C128,Dump!A:A,V128)</f>
        <v>0</v>
      </c>
      <c r="Q128" s="31">
        <f t="shared" si="11"/>
        <v>0</v>
      </c>
      <c r="S128" s="30">
        <f>SUMIFS(Dump!P:P,Dump!B:B,C128,Dump!A:A,V128)</f>
        <v>0</v>
      </c>
      <c r="T128" s="31">
        <f t="shared" si="12"/>
        <v>0</v>
      </c>
      <c r="U128" s="34"/>
      <c r="V128" s="47"/>
    </row>
    <row r="129">
      <c r="C129" s="46"/>
      <c r="G129" s="1" t="str">
        <f t="shared" si="16"/>
        <v/>
      </c>
      <c r="I129" s="33" t="str">
        <f t="shared" si="8"/>
        <v/>
      </c>
      <c r="K129" s="27"/>
      <c r="L129" s="28">
        <f>SUMIFS(Dump!$D:$D,Dump!$B:$B,$C129,Dump!$A:$A,$V129)</f>
        <v>0</v>
      </c>
      <c r="M129" s="28">
        <f>SUMIFS(Dump!R:R,Dump!B:B,C129,Dump!A:A,V129)</f>
        <v>0</v>
      </c>
      <c r="N129" s="29">
        <f t="shared" si="10"/>
        <v>0</v>
      </c>
      <c r="P129" s="30">
        <f>SUMIFS(Dump!E:E,Dump!B:B,C129,Dump!A:A,V129)</f>
        <v>0</v>
      </c>
      <c r="Q129" s="31">
        <f t="shared" si="11"/>
        <v>0</v>
      </c>
      <c r="S129" s="30">
        <f>SUMIFS(Dump!P:P,Dump!B:B,C129,Dump!A:A,V129)</f>
        <v>0</v>
      </c>
      <c r="T129" s="31">
        <f t="shared" si="12"/>
        <v>0</v>
      </c>
      <c r="U129" s="34"/>
      <c r="V129" s="47"/>
    </row>
    <row r="130">
      <c r="C130" s="46"/>
      <c r="G130" s="1" t="str">
        <f t="shared" si="16"/>
        <v/>
      </c>
      <c r="I130" s="33" t="str">
        <f t="shared" si="8"/>
        <v/>
      </c>
      <c r="K130" s="27"/>
      <c r="L130" s="28">
        <f>SUMIFS(Dump!$D:$D,Dump!$B:$B,$C130,Dump!$A:$A,$V130)</f>
        <v>0</v>
      </c>
      <c r="M130" s="28">
        <f>SUMIFS(Dump!R:R,Dump!B:B,C130,Dump!A:A,V130)</f>
        <v>0</v>
      </c>
      <c r="N130" s="29">
        <f t="shared" si="10"/>
        <v>0</v>
      </c>
      <c r="P130" s="30">
        <f>SUMIFS(Dump!E:E,Dump!B:B,C130,Dump!A:A,V130)</f>
        <v>0</v>
      </c>
      <c r="Q130" s="31">
        <f t="shared" si="11"/>
        <v>0</v>
      </c>
      <c r="S130" s="30">
        <f>SUMIFS(Dump!P:P,Dump!B:B,C130,Dump!A:A,V130)</f>
        <v>0</v>
      </c>
      <c r="T130" s="31">
        <f t="shared" si="12"/>
        <v>0</v>
      </c>
      <c r="U130" s="34"/>
      <c r="V130" s="47"/>
    </row>
    <row r="131">
      <c r="C131" s="46"/>
      <c r="G131" s="1" t="str">
        <f t="shared" si="16"/>
        <v/>
      </c>
      <c r="I131" s="33" t="str">
        <f t="shared" si="8"/>
        <v/>
      </c>
      <c r="K131" s="27"/>
      <c r="L131" s="28">
        <f>SUMIFS(Dump!$D:$D,Dump!$B:$B,$C131,Dump!$A:$A,$V131)</f>
        <v>0</v>
      </c>
      <c r="M131" s="28">
        <f>SUMIFS(Dump!R:R,Dump!B:B,C131,Dump!A:A,V131)</f>
        <v>0</v>
      </c>
      <c r="N131" s="29">
        <f t="shared" si="10"/>
        <v>0</v>
      </c>
      <c r="P131" s="30">
        <f>SUMIFS(Dump!E:E,Dump!B:B,C131,Dump!A:A,V131)</f>
        <v>0</v>
      </c>
      <c r="Q131" s="31">
        <f t="shared" si="11"/>
        <v>0</v>
      </c>
      <c r="S131" s="30">
        <f>SUMIFS(Dump!P:P,Dump!B:B,C131,Dump!A:A,V131)</f>
        <v>0</v>
      </c>
      <c r="T131" s="31">
        <f t="shared" si="12"/>
        <v>0</v>
      </c>
      <c r="U131" s="34"/>
      <c r="V131" s="47"/>
    </row>
    <row r="132">
      <c r="C132" s="46"/>
      <c r="G132" s="1" t="str">
        <f t="shared" si="16"/>
        <v/>
      </c>
      <c r="I132" s="33" t="str">
        <f t="shared" si="8"/>
        <v/>
      </c>
      <c r="K132" s="27"/>
      <c r="L132" s="28">
        <f>SUMIFS(Dump!$D:$D,Dump!$B:$B,$C132,Dump!$A:$A,$V132)</f>
        <v>0</v>
      </c>
      <c r="M132" s="28">
        <f>SUMIFS(Dump!R:R,Dump!B:B,C132,Dump!A:A,V132)</f>
        <v>0</v>
      </c>
      <c r="N132" s="29">
        <f t="shared" si="10"/>
        <v>0</v>
      </c>
      <c r="P132" s="30">
        <f>SUMIFS(Dump!E:E,Dump!B:B,C132,Dump!A:A,V132)</f>
        <v>0</v>
      </c>
      <c r="Q132" s="31">
        <f t="shared" si="11"/>
        <v>0</v>
      </c>
      <c r="S132" s="30">
        <f>SUMIFS(Dump!P:P,Dump!B:B,C132,Dump!A:A,V132)</f>
        <v>0</v>
      </c>
      <c r="T132" s="31">
        <f t="shared" si="12"/>
        <v>0</v>
      </c>
      <c r="U132" s="34"/>
      <c r="V132" s="47"/>
    </row>
    <row r="133">
      <c r="C133" s="46"/>
      <c r="G133" s="1" t="str">
        <f t="shared" si="16"/>
        <v/>
      </c>
      <c r="I133" s="33" t="str">
        <f t="shared" si="8"/>
        <v/>
      </c>
      <c r="K133" s="27"/>
      <c r="L133" s="28">
        <f>SUMIFS(Dump!$D:$D,Dump!$B:$B,$C133,Dump!$A:$A,$V133)</f>
        <v>0</v>
      </c>
      <c r="M133" s="28">
        <f>SUMIFS(Dump!R:R,Dump!B:B,C133,Dump!A:A,V133)</f>
        <v>0</v>
      </c>
      <c r="N133" s="29">
        <f t="shared" si="10"/>
        <v>0</v>
      </c>
      <c r="P133" s="30">
        <f>SUMIFS(Dump!E:E,Dump!B:B,C133,Dump!A:A,V133)</f>
        <v>0</v>
      </c>
      <c r="Q133" s="31">
        <f t="shared" si="11"/>
        <v>0</v>
      </c>
      <c r="S133" s="30">
        <f>SUMIFS(Dump!P:P,Dump!B:B,C133,Dump!A:A,V133)</f>
        <v>0</v>
      </c>
      <c r="T133" s="31">
        <f t="shared" si="12"/>
        <v>0</v>
      </c>
      <c r="U133" s="34"/>
      <c r="V133" s="47"/>
    </row>
    <row r="134">
      <c r="C134" s="46"/>
      <c r="G134" s="1" t="str">
        <f t="shared" si="16"/>
        <v/>
      </c>
      <c r="I134" s="33" t="str">
        <f t="shared" si="8"/>
        <v/>
      </c>
      <c r="K134" s="27"/>
      <c r="L134" s="28">
        <f>SUMIFS(Dump!$D:$D,Dump!$B:$B,$C134,Dump!$A:$A,$V134)</f>
        <v>0</v>
      </c>
      <c r="M134" s="28">
        <f>SUMIFS(Dump!R:R,Dump!B:B,C134,Dump!A:A,V134)</f>
        <v>0</v>
      </c>
      <c r="N134" s="29">
        <f t="shared" si="10"/>
        <v>0</v>
      </c>
      <c r="P134" s="30">
        <f>SUMIFS(Dump!E:E,Dump!B:B,C134,Dump!A:A,V134)</f>
        <v>0</v>
      </c>
      <c r="Q134" s="31">
        <f t="shared" si="11"/>
        <v>0</v>
      </c>
      <c r="S134" s="30">
        <f>SUMIFS(Dump!P:P,Dump!B:B,C134,Dump!A:A,V134)</f>
        <v>0</v>
      </c>
      <c r="T134" s="31">
        <f t="shared" si="12"/>
        <v>0</v>
      </c>
      <c r="U134" s="34"/>
      <c r="V134" s="47"/>
    </row>
    <row r="135">
      <c r="C135" s="46"/>
      <c r="G135" s="1" t="str">
        <f t="shared" si="16"/>
        <v/>
      </c>
      <c r="I135" s="33" t="str">
        <f t="shared" si="8"/>
        <v/>
      </c>
      <c r="K135" s="27"/>
      <c r="L135" s="28">
        <f>SUMIFS(Dump!$D:$D,Dump!$B:$B,$C135,Dump!$A:$A,$V135)</f>
        <v>0</v>
      </c>
      <c r="M135" s="28">
        <f>SUMIFS(Dump!R:R,Dump!B:B,C135,Dump!A:A,V135)</f>
        <v>0</v>
      </c>
      <c r="N135" s="29">
        <f t="shared" si="10"/>
        <v>0</v>
      </c>
      <c r="P135" s="30">
        <f>SUMIFS(Dump!E:E,Dump!B:B,C135,Dump!A:A,V135)</f>
        <v>0</v>
      </c>
      <c r="Q135" s="31">
        <f t="shared" si="11"/>
        <v>0</v>
      </c>
      <c r="S135" s="30">
        <f>SUMIFS(Dump!P:P,Dump!B:B,C135,Dump!A:A,V135)</f>
        <v>0</v>
      </c>
      <c r="T135" s="31">
        <f t="shared" si="12"/>
        <v>0</v>
      </c>
      <c r="U135" s="34"/>
      <c r="V135" s="47"/>
    </row>
    <row r="136">
      <c r="C136" s="46"/>
      <c r="G136" s="1" t="str">
        <f t="shared" si="16"/>
        <v/>
      </c>
      <c r="I136" s="33" t="str">
        <f t="shared" si="8"/>
        <v/>
      </c>
      <c r="K136" s="27"/>
      <c r="L136" s="28">
        <f>SUMIFS(Dump!$D:$D,Dump!$B:$B,$C136,Dump!$A:$A,$V136)</f>
        <v>0</v>
      </c>
      <c r="M136" s="28">
        <f>SUMIFS(Dump!R:R,Dump!B:B,C136,Dump!A:A,V136)</f>
        <v>0</v>
      </c>
      <c r="N136" s="29">
        <f t="shared" si="10"/>
        <v>0</v>
      </c>
      <c r="P136" s="30">
        <f>SUMIFS(Dump!E:E,Dump!B:B,C136,Dump!A:A,V136)</f>
        <v>0</v>
      </c>
      <c r="Q136" s="31">
        <f t="shared" si="11"/>
        <v>0</v>
      </c>
      <c r="S136" s="30">
        <f>SUMIFS(Dump!P:P,Dump!B:B,C136,Dump!A:A,V136)</f>
        <v>0</v>
      </c>
      <c r="T136" s="31">
        <f t="shared" si="12"/>
        <v>0</v>
      </c>
      <c r="U136" s="34"/>
      <c r="V136" s="47"/>
    </row>
    <row r="137">
      <c r="C137" s="46"/>
      <c r="G137" s="1" t="str">
        <f t="shared" si="16"/>
        <v/>
      </c>
      <c r="I137" s="33" t="str">
        <f t="shared" si="8"/>
        <v/>
      </c>
      <c r="K137" s="27"/>
      <c r="L137" s="28">
        <f>SUMIFS(Dump!$D:$D,Dump!$B:$B,$C137,Dump!$A:$A,$V137)</f>
        <v>0</v>
      </c>
      <c r="M137" s="28">
        <f>SUMIFS(Dump!R:R,Dump!B:B,C137,Dump!A:A,V137)</f>
        <v>0</v>
      </c>
      <c r="N137" s="29">
        <f t="shared" si="10"/>
        <v>0</v>
      </c>
      <c r="P137" s="30">
        <f>SUMIFS(Dump!E:E,Dump!B:B,C137,Dump!A:A,V137)</f>
        <v>0</v>
      </c>
      <c r="Q137" s="31">
        <f t="shared" si="11"/>
        <v>0</v>
      </c>
      <c r="S137" s="30">
        <f>SUMIFS(Dump!P:P,Dump!B:B,C137,Dump!A:A,V137)</f>
        <v>0</v>
      </c>
      <c r="T137" s="31">
        <f t="shared" si="12"/>
        <v>0</v>
      </c>
      <c r="U137" s="34"/>
      <c r="V137" s="47"/>
    </row>
    <row r="138">
      <c r="C138" s="46"/>
      <c r="G138" s="1" t="str">
        <f t="shared" si="16"/>
        <v/>
      </c>
      <c r="I138" s="33" t="str">
        <f t="shared" si="8"/>
        <v/>
      </c>
      <c r="K138" s="27"/>
      <c r="L138" s="28">
        <f>SUMIFS(Dump!$D:$D,Dump!$B:$B,$C138,Dump!$A:$A,$V138)</f>
        <v>0</v>
      </c>
      <c r="M138" s="28">
        <f>SUMIFS(Dump!R:R,Dump!B:B,C138,Dump!A:A,V138)</f>
        <v>0</v>
      </c>
      <c r="N138" s="29">
        <f t="shared" si="10"/>
        <v>0</v>
      </c>
      <c r="P138" s="30">
        <f>SUMIFS(Dump!E:E,Dump!B:B,C138,Dump!A:A,V138)</f>
        <v>0</v>
      </c>
      <c r="Q138" s="31">
        <f t="shared" si="11"/>
        <v>0</v>
      </c>
      <c r="S138" s="30">
        <f>SUMIFS(Dump!P:P,Dump!B:B,C138,Dump!A:A,V138)</f>
        <v>0</v>
      </c>
      <c r="T138" s="31">
        <f t="shared" si="12"/>
        <v>0</v>
      </c>
      <c r="U138" s="34"/>
      <c r="V138" s="47"/>
    </row>
    <row r="139">
      <c r="C139" s="46"/>
      <c r="G139" s="1" t="str">
        <f t="shared" si="16"/>
        <v/>
      </c>
      <c r="I139" s="33" t="str">
        <f t="shared" si="8"/>
        <v/>
      </c>
      <c r="K139" s="27"/>
      <c r="L139" s="28">
        <f>SUMIFS(Dump!$D:$D,Dump!$B:$B,$C139,Dump!$A:$A,$V139)</f>
        <v>0</v>
      </c>
      <c r="M139" s="28">
        <f>SUMIFS(Dump!R:R,Dump!B:B,C139,Dump!A:A,V139)</f>
        <v>0</v>
      </c>
      <c r="N139" s="29">
        <f t="shared" si="10"/>
        <v>0</v>
      </c>
      <c r="P139" s="30">
        <f>SUMIFS(Dump!E:E,Dump!B:B,C139,Dump!A:A,V139)</f>
        <v>0</v>
      </c>
      <c r="Q139" s="31">
        <f t="shared" si="11"/>
        <v>0</v>
      </c>
      <c r="S139" s="30">
        <f>SUMIFS(Dump!P:P,Dump!B:B,C139,Dump!A:A,V139)</f>
        <v>0</v>
      </c>
      <c r="T139" s="31">
        <f t="shared" si="12"/>
        <v>0</v>
      </c>
      <c r="U139" s="34"/>
      <c r="V139" s="47"/>
    </row>
    <row r="140">
      <c r="C140" s="46"/>
      <c r="G140" s="1" t="str">
        <f t="shared" si="16"/>
        <v/>
      </c>
      <c r="I140" s="33" t="str">
        <f t="shared" si="8"/>
        <v/>
      </c>
      <c r="K140" s="27"/>
      <c r="L140" s="28">
        <f>SUMIFS(Dump!$D:$D,Dump!$B:$B,$C140,Dump!$A:$A,$V140)</f>
        <v>0</v>
      </c>
      <c r="M140" s="28">
        <f>SUMIFS(Dump!R:R,Dump!B:B,C140,Dump!A:A,V140)</f>
        <v>0</v>
      </c>
      <c r="N140" s="29">
        <f t="shared" si="10"/>
        <v>0</v>
      </c>
      <c r="P140" s="30">
        <f>SUMIFS(Dump!E:E,Dump!B:B,C140,Dump!A:A,V140)</f>
        <v>0</v>
      </c>
      <c r="Q140" s="31">
        <f t="shared" si="11"/>
        <v>0</v>
      </c>
      <c r="S140" s="30">
        <f>SUMIFS(Dump!P:P,Dump!B:B,C140,Dump!A:A,V140)</f>
        <v>0</v>
      </c>
      <c r="T140" s="31">
        <f t="shared" si="12"/>
        <v>0</v>
      </c>
      <c r="U140" s="34"/>
      <c r="V140" s="47"/>
    </row>
    <row r="141">
      <c r="C141" s="46"/>
      <c r="G141" s="1" t="str">
        <f t="shared" si="16"/>
        <v/>
      </c>
      <c r="I141" s="33" t="str">
        <f t="shared" si="8"/>
        <v/>
      </c>
      <c r="K141" s="27"/>
      <c r="L141" s="28">
        <f>SUMIFS(Dump!$D:$D,Dump!$B:$B,$C141,Dump!$A:$A,$V141)</f>
        <v>0</v>
      </c>
      <c r="M141" s="28">
        <f>SUMIFS(Dump!R:R,Dump!B:B,C141,Dump!A:A,V141)</f>
        <v>0</v>
      </c>
      <c r="N141" s="29">
        <f t="shared" si="10"/>
        <v>0</v>
      </c>
      <c r="P141" s="30">
        <f>SUMIFS(Dump!E:E,Dump!B:B,C141,Dump!A:A,V141)</f>
        <v>0</v>
      </c>
      <c r="Q141" s="31">
        <f t="shared" si="11"/>
        <v>0</v>
      </c>
      <c r="S141" s="30">
        <f>SUMIFS(Dump!P:P,Dump!B:B,C141,Dump!A:A,V141)</f>
        <v>0</v>
      </c>
      <c r="T141" s="31">
        <f t="shared" si="12"/>
        <v>0</v>
      </c>
      <c r="U141" s="34"/>
      <c r="V141" s="47"/>
    </row>
    <row r="142">
      <c r="C142" s="46"/>
      <c r="G142" s="1" t="str">
        <f t="shared" si="16"/>
        <v/>
      </c>
      <c r="I142" s="33" t="str">
        <f t="shared" si="8"/>
        <v/>
      </c>
      <c r="K142" s="27"/>
      <c r="L142" s="28">
        <f>SUMIFS(Dump!$D:$D,Dump!$B:$B,$C142,Dump!$A:$A,$V142)</f>
        <v>0</v>
      </c>
      <c r="M142" s="28">
        <f>SUMIFS(Dump!R:R,Dump!B:B,C142,Dump!A:A,V142)</f>
        <v>0</v>
      </c>
      <c r="N142" s="29">
        <f t="shared" si="10"/>
        <v>0</v>
      </c>
      <c r="P142" s="30">
        <f>SUMIFS(Dump!E:E,Dump!B:B,C142,Dump!A:A,V142)</f>
        <v>0</v>
      </c>
      <c r="Q142" s="31">
        <f t="shared" si="11"/>
        <v>0</v>
      </c>
      <c r="S142" s="30">
        <f>SUMIFS(Dump!P:P,Dump!B:B,C142,Dump!A:A,V142)</f>
        <v>0</v>
      </c>
      <c r="T142" s="31">
        <f t="shared" si="12"/>
        <v>0</v>
      </c>
      <c r="U142" s="34"/>
      <c r="V142" s="47"/>
    </row>
    <row r="143">
      <c r="C143" s="46"/>
      <c r="G143" s="1" t="str">
        <f t="shared" si="16"/>
        <v/>
      </c>
      <c r="I143" s="33" t="str">
        <f t="shared" si="8"/>
        <v/>
      </c>
      <c r="K143" s="27"/>
      <c r="L143" s="28">
        <f>SUMIFS(Dump!$D:$D,Dump!$B:$B,$C143,Dump!$A:$A,$V143)</f>
        <v>0</v>
      </c>
      <c r="M143" s="28">
        <f>SUMIFS(Dump!R:R,Dump!B:B,C143,Dump!A:A,V143)</f>
        <v>0</v>
      </c>
      <c r="N143" s="29">
        <f t="shared" si="10"/>
        <v>0</v>
      </c>
      <c r="P143" s="30">
        <f>SUMIFS(Dump!E:E,Dump!B:B,C143,Dump!A:A,V143)</f>
        <v>0</v>
      </c>
      <c r="Q143" s="31">
        <f t="shared" si="11"/>
        <v>0</v>
      </c>
      <c r="S143" s="30">
        <f>SUMIFS(Dump!P:P,Dump!B:B,C143,Dump!A:A,V143)</f>
        <v>0</v>
      </c>
      <c r="T143" s="31">
        <f t="shared" si="12"/>
        <v>0</v>
      </c>
      <c r="U143" s="34"/>
      <c r="V143" s="47"/>
    </row>
    <row r="144">
      <c r="C144" s="46"/>
      <c r="G144" s="1" t="str">
        <f t="shared" si="16"/>
        <v/>
      </c>
      <c r="I144" s="33" t="str">
        <f t="shared" si="8"/>
        <v/>
      </c>
      <c r="K144" s="27"/>
      <c r="L144" s="28">
        <f>SUMIFS(Dump!$D:$D,Dump!$B:$B,$C144,Dump!$A:$A,$V144)</f>
        <v>0</v>
      </c>
      <c r="M144" s="28">
        <f>SUMIFS(Dump!R:R,Dump!B:B,C144,Dump!A:A,V144)</f>
        <v>0</v>
      </c>
      <c r="N144" s="29">
        <f t="shared" si="10"/>
        <v>0</v>
      </c>
      <c r="P144" s="30">
        <f>SUMIFS(Dump!E:E,Dump!B:B,C144,Dump!A:A,V144)</f>
        <v>0</v>
      </c>
      <c r="Q144" s="31">
        <f t="shared" si="11"/>
        <v>0</v>
      </c>
      <c r="S144" s="30">
        <f>SUMIFS(Dump!P:P,Dump!B:B,C144,Dump!A:A,V144)</f>
        <v>0</v>
      </c>
      <c r="T144" s="31">
        <f t="shared" si="12"/>
        <v>0</v>
      </c>
      <c r="U144" s="34"/>
      <c r="V144" s="47"/>
    </row>
    <row r="145">
      <c r="C145" s="46"/>
      <c r="G145" s="1" t="str">
        <f t="shared" si="16"/>
        <v/>
      </c>
      <c r="I145" s="33" t="str">
        <f t="shared" si="8"/>
        <v/>
      </c>
      <c r="K145" s="27"/>
      <c r="L145" s="28">
        <f>SUMIFS(Dump!$D:$D,Dump!$B:$B,$C145,Dump!$A:$A,$V145)</f>
        <v>0</v>
      </c>
      <c r="M145" s="28">
        <f>SUMIFS(Dump!R:R,Dump!B:B,C145,Dump!A:A,V145)</f>
        <v>0</v>
      </c>
      <c r="N145" s="29">
        <f t="shared" si="10"/>
        <v>0</v>
      </c>
      <c r="P145" s="30">
        <f>SUMIFS(Dump!E:E,Dump!B:B,C145,Dump!A:A,V145)</f>
        <v>0</v>
      </c>
      <c r="Q145" s="31">
        <f t="shared" si="11"/>
        <v>0</v>
      </c>
      <c r="S145" s="30">
        <f>SUMIFS(Dump!P:P,Dump!B:B,C145,Dump!A:A,V145)</f>
        <v>0</v>
      </c>
      <c r="T145" s="31">
        <f t="shared" si="12"/>
        <v>0</v>
      </c>
      <c r="U145" s="34"/>
      <c r="V145" s="47"/>
    </row>
    <row r="146">
      <c r="C146" s="46"/>
      <c r="G146" s="1" t="str">
        <f t="shared" si="16"/>
        <v/>
      </c>
      <c r="I146" s="33" t="str">
        <f t="shared" si="8"/>
        <v/>
      </c>
      <c r="K146" s="27"/>
      <c r="L146" s="28">
        <f>SUMIFS(Dump!$D:$D,Dump!$B:$B,$C146,Dump!$A:$A,$V146)</f>
        <v>0</v>
      </c>
      <c r="M146" s="28">
        <f>SUMIFS(Dump!R:R,Dump!B:B,C146,Dump!A:A,V146)</f>
        <v>0</v>
      </c>
      <c r="N146" s="29">
        <f t="shared" si="10"/>
        <v>0</v>
      </c>
      <c r="P146" s="30">
        <f>SUMIFS(Dump!E:E,Dump!B:B,C146,Dump!A:A,V146)</f>
        <v>0</v>
      </c>
      <c r="Q146" s="31">
        <f t="shared" si="11"/>
        <v>0</v>
      </c>
      <c r="S146" s="30">
        <f>SUMIFS(Dump!P:P,Dump!B:B,C146,Dump!A:A,V146)</f>
        <v>0</v>
      </c>
      <c r="T146" s="31">
        <f t="shared" si="12"/>
        <v>0</v>
      </c>
      <c r="U146" s="34"/>
      <c r="V146" s="47"/>
    </row>
    <row r="147">
      <c r="C147" s="46"/>
      <c r="G147" s="1" t="str">
        <f t="shared" si="16"/>
        <v/>
      </c>
      <c r="I147" s="33" t="str">
        <f t="shared" si="8"/>
        <v/>
      </c>
      <c r="K147" s="27"/>
      <c r="L147" s="28">
        <f>SUMIFS(Dump!$D:$D,Dump!$B:$B,$C147,Dump!$A:$A,$V147)</f>
        <v>0</v>
      </c>
      <c r="M147" s="28">
        <f>SUMIFS(Dump!R:R,Dump!B:B,C147,Dump!A:A,V147)</f>
        <v>0</v>
      </c>
      <c r="N147" s="29">
        <f t="shared" si="10"/>
        <v>0</v>
      </c>
      <c r="P147" s="30">
        <f>SUMIFS(Dump!E:E,Dump!B:B,C147,Dump!A:A,V147)</f>
        <v>0</v>
      </c>
      <c r="Q147" s="31">
        <f t="shared" si="11"/>
        <v>0</v>
      </c>
      <c r="S147" s="30">
        <f>SUMIFS(Dump!P:P,Dump!B:B,C147,Dump!A:A,V147)</f>
        <v>0</v>
      </c>
      <c r="T147" s="31">
        <f t="shared" si="12"/>
        <v>0</v>
      </c>
      <c r="U147" s="34"/>
      <c r="V147" s="47"/>
    </row>
    <row r="148">
      <c r="C148" s="46"/>
      <c r="G148" s="1" t="str">
        <f t="shared" si="16"/>
        <v/>
      </c>
      <c r="I148" s="33" t="str">
        <f t="shared" si="8"/>
        <v/>
      </c>
      <c r="K148" s="27"/>
      <c r="L148" s="28">
        <f>SUMIFS(Dump!$D:$D,Dump!$B:$B,$C148,Dump!$A:$A,$V148)</f>
        <v>0</v>
      </c>
      <c r="M148" s="28">
        <f>SUMIFS(Dump!R:R,Dump!B:B,C148,Dump!A:A,V148)</f>
        <v>0</v>
      </c>
      <c r="N148" s="29">
        <f t="shared" si="10"/>
        <v>0</v>
      </c>
      <c r="P148" s="30">
        <f>SUMIFS(Dump!E:E,Dump!B:B,C148,Dump!A:A,V148)</f>
        <v>0</v>
      </c>
      <c r="Q148" s="31">
        <f t="shared" si="11"/>
        <v>0</v>
      </c>
      <c r="S148" s="30">
        <f>SUMIFS(Dump!P:P,Dump!B:B,C148,Dump!A:A,V148)</f>
        <v>0</v>
      </c>
      <c r="T148" s="31">
        <f t="shared" si="12"/>
        <v>0</v>
      </c>
      <c r="U148" s="34"/>
      <c r="V148" s="47"/>
    </row>
    <row r="149">
      <c r="C149" s="46"/>
      <c r="G149" s="1" t="str">
        <f t="shared" si="16"/>
        <v/>
      </c>
      <c r="I149" s="33" t="str">
        <f t="shared" si="8"/>
        <v/>
      </c>
      <c r="K149" s="27"/>
      <c r="L149" s="28">
        <f>SUMIFS(Dump!$D:$D,Dump!$B:$B,$C149,Dump!$A:$A,$V149)</f>
        <v>0</v>
      </c>
      <c r="M149" s="28">
        <f>SUMIFS(Dump!R:R,Dump!B:B,C149,Dump!A:A,V149)</f>
        <v>0</v>
      </c>
      <c r="N149" s="29">
        <f t="shared" si="10"/>
        <v>0</v>
      </c>
      <c r="P149" s="30">
        <f>SUMIFS(Dump!E:E,Dump!B:B,C149,Dump!A:A,V149)</f>
        <v>0</v>
      </c>
      <c r="Q149" s="31">
        <f t="shared" si="11"/>
        <v>0</v>
      </c>
      <c r="S149" s="30">
        <f>SUMIFS(Dump!P:P,Dump!B:B,C149,Dump!A:A,V149)</f>
        <v>0</v>
      </c>
      <c r="T149" s="31">
        <f t="shared" si="12"/>
        <v>0</v>
      </c>
      <c r="U149" s="34"/>
      <c r="V149" s="47"/>
    </row>
    <row r="150">
      <c r="C150" s="46"/>
      <c r="G150" s="1" t="str">
        <f t="shared" si="16"/>
        <v/>
      </c>
      <c r="I150" s="33" t="str">
        <f t="shared" si="8"/>
        <v/>
      </c>
      <c r="K150" s="27"/>
      <c r="L150" s="28">
        <f>SUMIFS(Dump!$D:$D,Dump!$B:$B,$C150,Dump!$A:$A,$V150)</f>
        <v>0</v>
      </c>
      <c r="M150" s="28">
        <f>SUMIFS(Dump!R:R,Dump!B:B,C150,Dump!A:A,V150)</f>
        <v>0</v>
      </c>
      <c r="N150" s="29">
        <f t="shared" si="10"/>
        <v>0</v>
      </c>
      <c r="P150" s="30">
        <f>SUMIFS(Dump!E:E,Dump!B:B,C150,Dump!A:A,V150)</f>
        <v>0</v>
      </c>
      <c r="Q150" s="31">
        <f t="shared" si="11"/>
        <v>0</v>
      </c>
      <c r="S150" s="30">
        <f>SUMIFS(Dump!P:P,Dump!B:B,C150,Dump!A:A,V150)</f>
        <v>0</v>
      </c>
      <c r="T150" s="31">
        <f t="shared" si="12"/>
        <v>0</v>
      </c>
      <c r="U150" s="34"/>
      <c r="V150" s="47"/>
    </row>
    <row r="151">
      <c r="C151" s="46"/>
      <c r="G151" s="1" t="str">
        <f t="shared" si="16"/>
        <v/>
      </c>
      <c r="I151" s="33" t="str">
        <f t="shared" si="8"/>
        <v/>
      </c>
      <c r="K151" s="27"/>
      <c r="L151" s="28">
        <f>SUMIFS(Dump!$D:$D,Dump!$B:$B,$C151,Dump!$A:$A,$V151)</f>
        <v>0</v>
      </c>
      <c r="M151" s="28">
        <f>SUMIFS(Dump!R:R,Dump!B:B,C151,Dump!A:A,V151)</f>
        <v>0</v>
      </c>
      <c r="N151" s="29">
        <f t="shared" si="10"/>
        <v>0</v>
      </c>
      <c r="P151" s="30">
        <f>SUMIFS(Dump!E:E,Dump!B:B,C151,Dump!A:A,V151)</f>
        <v>0</v>
      </c>
      <c r="Q151" s="31">
        <f t="shared" si="11"/>
        <v>0</v>
      </c>
      <c r="S151" s="30">
        <f>SUMIFS(Dump!P:P,Dump!B:B,C151,Dump!A:A,V151)</f>
        <v>0</v>
      </c>
      <c r="T151" s="31">
        <f t="shared" si="12"/>
        <v>0</v>
      </c>
      <c r="U151" s="34"/>
      <c r="V151" s="47"/>
    </row>
    <row r="152">
      <c r="C152" s="46"/>
      <c r="G152" s="1" t="str">
        <f t="shared" si="16"/>
        <v/>
      </c>
      <c r="I152" s="33" t="str">
        <f t="shared" si="8"/>
        <v/>
      </c>
      <c r="K152" s="27"/>
      <c r="L152" s="28">
        <f>SUMIFS(Dump!$D:$D,Dump!$B:$B,$C152,Dump!$A:$A,$V152)</f>
        <v>0</v>
      </c>
      <c r="M152" s="28">
        <f>SUMIFS(Dump!R:R,Dump!B:B,C152,Dump!A:A,V152)</f>
        <v>0</v>
      </c>
      <c r="N152" s="29">
        <f t="shared" si="10"/>
        <v>0</v>
      </c>
      <c r="P152" s="30">
        <f>SUMIFS(Dump!E:E,Dump!B:B,C152,Dump!A:A,V152)</f>
        <v>0</v>
      </c>
      <c r="Q152" s="31">
        <f t="shared" si="11"/>
        <v>0</v>
      </c>
      <c r="S152" s="30">
        <f>SUMIFS(Dump!P:P,Dump!B:B,C152,Dump!A:A,V152)</f>
        <v>0</v>
      </c>
      <c r="T152" s="31">
        <f t="shared" si="12"/>
        <v>0</v>
      </c>
      <c r="U152" s="34"/>
      <c r="V152" s="47"/>
    </row>
    <row r="153">
      <c r="C153" s="46"/>
      <c r="G153" s="1" t="str">
        <f t="shared" si="16"/>
        <v/>
      </c>
      <c r="I153" s="33" t="str">
        <f t="shared" si="8"/>
        <v/>
      </c>
      <c r="K153" s="27"/>
      <c r="L153" s="28">
        <f>SUMIFS(Dump!$D:$D,Dump!$B:$B,$C153,Dump!$A:$A,$V153)</f>
        <v>0</v>
      </c>
      <c r="M153" s="28">
        <f>SUMIFS(Dump!R:R,Dump!B:B,C153,Dump!A:A,V153)</f>
        <v>0</v>
      </c>
      <c r="N153" s="29">
        <f t="shared" si="10"/>
        <v>0</v>
      </c>
      <c r="P153" s="30">
        <f>SUMIFS(Dump!E:E,Dump!B:B,C153,Dump!A:A,V153)</f>
        <v>0</v>
      </c>
      <c r="Q153" s="31">
        <f t="shared" si="11"/>
        <v>0</v>
      </c>
      <c r="S153" s="30">
        <f>SUMIFS(Dump!P:P,Dump!B:B,C153,Dump!A:A,V153)</f>
        <v>0</v>
      </c>
      <c r="T153" s="31">
        <f t="shared" si="12"/>
        <v>0</v>
      </c>
      <c r="U153" s="34"/>
      <c r="V153" s="47"/>
    </row>
    <row r="154">
      <c r="C154" s="46"/>
      <c r="G154" s="1" t="str">
        <f t="shared" si="16"/>
        <v/>
      </c>
      <c r="I154" s="33" t="str">
        <f t="shared" si="8"/>
        <v/>
      </c>
      <c r="K154" s="27"/>
      <c r="L154" s="28">
        <f>SUMIFS(Dump!$D:$D,Dump!$B:$B,$C154,Dump!$A:$A,$V154)</f>
        <v>0</v>
      </c>
      <c r="M154" s="28">
        <f>SUMIFS(Dump!R:R,Dump!B:B,C154,Dump!A:A,V154)</f>
        <v>0</v>
      </c>
      <c r="N154" s="29">
        <f t="shared" si="10"/>
        <v>0</v>
      </c>
      <c r="P154" s="30">
        <f>SUMIFS(Dump!E:E,Dump!B:B,C154,Dump!A:A,V154)</f>
        <v>0</v>
      </c>
      <c r="Q154" s="31">
        <f t="shared" si="11"/>
        <v>0</v>
      </c>
      <c r="S154" s="30">
        <f>SUMIFS(Dump!P:P,Dump!B:B,C154,Dump!A:A,V154)</f>
        <v>0</v>
      </c>
      <c r="T154" s="31">
        <f t="shared" si="12"/>
        <v>0</v>
      </c>
      <c r="U154" s="34"/>
      <c r="V154" s="47"/>
    </row>
    <row r="155">
      <c r="C155" s="46"/>
      <c r="G155" s="1" t="str">
        <f t="shared" si="16"/>
        <v/>
      </c>
      <c r="I155" s="33" t="str">
        <f t="shared" si="8"/>
        <v/>
      </c>
      <c r="K155" s="27"/>
      <c r="L155" s="28">
        <f>SUMIFS(Dump!$D:$D,Dump!$B:$B,$C155,Dump!$A:$A,$V155)</f>
        <v>0</v>
      </c>
      <c r="M155" s="28">
        <f>SUMIFS(Dump!R:R,Dump!B:B,C155,Dump!A:A,V155)</f>
        <v>0</v>
      </c>
      <c r="N155" s="29">
        <f t="shared" si="10"/>
        <v>0</v>
      </c>
      <c r="P155" s="30">
        <f>SUMIFS(Dump!E:E,Dump!B:B,C155,Dump!A:A,V155)</f>
        <v>0</v>
      </c>
      <c r="Q155" s="31">
        <f t="shared" si="11"/>
        <v>0</v>
      </c>
      <c r="S155" s="30">
        <f>SUMIFS(Dump!P:P,Dump!B:B,C155,Dump!A:A,V155)</f>
        <v>0</v>
      </c>
      <c r="T155" s="31">
        <f t="shared" si="12"/>
        <v>0</v>
      </c>
      <c r="U155" s="34"/>
      <c r="V155" s="47"/>
    </row>
    <row r="156">
      <c r="C156" s="46"/>
      <c r="G156" s="1" t="str">
        <f t="shared" si="16"/>
        <v/>
      </c>
      <c r="I156" s="33" t="str">
        <f t="shared" si="8"/>
        <v/>
      </c>
      <c r="K156" s="27"/>
      <c r="L156" s="28">
        <f>SUMIFS(Dump!$D:$D,Dump!$B:$B,$C156,Dump!$A:$A,$V156)</f>
        <v>0</v>
      </c>
      <c r="M156" s="28">
        <f>SUMIFS(Dump!R:R,Dump!B:B,C156,Dump!A:A,V156)</f>
        <v>0</v>
      </c>
      <c r="N156" s="29">
        <f t="shared" si="10"/>
        <v>0</v>
      </c>
      <c r="P156" s="30">
        <f>SUMIFS(Dump!E:E,Dump!B:B,C156,Dump!A:A,V156)</f>
        <v>0</v>
      </c>
      <c r="Q156" s="31">
        <f t="shared" si="11"/>
        <v>0</v>
      </c>
      <c r="S156" s="30">
        <f>SUMIFS(Dump!P:P,Dump!B:B,C156,Dump!A:A,V156)</f>
        <v>0</v>
      </c>
      <c r="T156" s="31">
        <f t="shared" si="12"/>
        <v>0</v>
      </c>
      <c r="U156" s="34"/>
      <c r="V156" s="47"/>
    </row>
    <row r="157">
      <c r="C157" s="46"/>
      <c r="G157" s="1" t="str">
        <f t="shared" si="16"/>
        <v/>
      </c>
      <c r="I157" s="33" t="str">
        <f t="shared" si="8"/>
        <v/>
      </c>
      <c r="K157" s="27"/>
      <c r="L157" s="28">
        <f>SUMIFS(Dump!$D:$D,Dump!$B:$B,$C157,Dump!$A:$A,$V157)</f>
        <v>0</v>
      </c>
      <c r="M157" s="28">
        <f>SUMIFS(Dump!R:R,Dump!B:B,C157,Dump!A:A,V157)</f>
        <v>0</v>
      </c>
      <c r="N157" s="29">
        <f t="shared" si="10"/>
        <v>0</v>
      </c>
      <c r="P157" s="30">
        <f>SUMIFS(Dump!E:E,Dump!B:B,C157,Dump!A:A,V157)</f>
        <v>0</v>
      </c>
      <c r="Q157" s="31">
        <f t="shared" si="11"/>
        <v>0</v>
      </c>
      <c r="S157" s="30">
        <f>SUMIFS(Dump!P:P,Dump!B:B,C157,Dump!A:A,V157)</f>
        <v>0</v>
      </c>
      <c r="T157" s="31">
        <f t="shared" si="12"/>
        <v>0</v>
      </c>
      <c r="U157" s="34"/>
      <c r="V157" s="47"/>
    </row>
    <row r="158">
      <c r="C158" s="46"/>
      <c r="G158" s="1" t="str">
        <f t="shared" si="16"/>
        <v/>
      </c>
      <c r="I158" s="33" t="str">
        <f t="shared" si="8"/>
        <v/>
      </c>
      <c r="K158" s="27"/>
      <c r="L158" s="28">
        <f>SUMIFS(Dump!$D:$D,Dump!$B:$B,$C158,Dump!$A:$A,$V158)</f>
        <v>0</v>
      </c>
      <c r="M158" s="28">
        <f>SUMIFS(Dump!R:R,Dump!B:B,C158,Dump!A:A,V158)</f>
        <v>0</v>
      </c>
      <c r="N158" s="29">
        <f t="shared" si="10"/>
        <v>0</v>
      </c>
      <c r="P158" s="30">
        <f>SUMIFS(Dump!E:E,Dump!B:B,C158,Dump!A:A,V158)</f>
        <v>0</v>
      </c>
      <c r="Q158" s="31">
        <f t="shared" si="11"/>
        <v>0</v>
      </c>
      <c r="S158" s="30">
        <f>SUMIFS(Dump!P:P,Dump!B:B,C158,Dump!A:A,V158)</f>
        <v>0</v>
      </c>
      <c r="T158" s="31">
        <f t="shared" si="12"/>
        <v>0</v>
      </c>
      <c r="U158" s="34"/>
      <c r="V158" s="47"/>
    </row>
    <row r="159">
      <c r="C159" s="46"/>
      <c r="G159" s="1" t="str">
        <f t="shared" si="16"/>
        <v/>
      </c>
      <c r="I159" s="33" t="str">
        <f t="shared" si="8"/>
        <v/>
      </c>
      <c r="K159" s="27"/>
      <c r="L159" s="28">
        <f>SUMIFS(Dump!$D:$D,Dump!$B:$B,$C159,Dump!$A:$A,$V159)</f>
        <v>0</v>
      </c>
      <c r="M159" s="28">
        <f>SUMIFS(Dump!R:R,Dump!B:B,C159,Dump!A:A,V159)</f>
        <v>0</v>
      </c>
      <c r="N159" s="29">
        <f t="shared" si="10"/>
        <v>0</v>
      </c>
      <c r="P159" s="30">
        <f>SUMIFS(Dump!E:E,Dump!B:B,C159,Dump!A:A,V159)</f>
        <v>0</v>
      </c>
      <c r="Q159" s="31">
        <f t="shared" si="11"/>
        <v>0</v>
      </c>
      <c r="S159" s="30">
        <f>SUMIFS(Dump!P:P,Dump!B:B,C159,Dump!A:A,V159)</f>
        <v>0</v>
      </c>
      <c r="T159" s="31">
        <f t="shared" si="12"/>
        <v>0</v>
      </c>
      <c r="U159" s="34"/>
      <c r="V159" s="47"/>
    </row>
    <row r="160">
      <c r="C160" s="46"/>
      <c r="G160" s="1" t="str">
        <f t="shared" si="16"/>
        <v/>
      </c>
      <c r="I160" s="33" t="str">
        <f t="shared" si="8"/>
        <v/>
      </c>
      <c r="K160" s="27"/>
      <c r="L160" s="28">
        <f>SUMIFS(Dump!$D:$D,Dump!$B:$B,$C160,Dump!$A:$A,$V160)</f>
        <v>0</v>
      </c>
      <c r="M160" s="28">
        <f>SUMIFS(Dump!R:R,Dump!B:B,C160,Dump!A:A,V160)</f>
        <v>0</v>
      </c>
      <c r="N160" s="29">
        <f t="shared" si="10"/>
        <v>0</v>
      </c>
      <c r="P160" s="30">
        <f>SUMIFS(Dump!E:E,Dump!B:B,C160,Dump!A:A,V160)</f>
        <v>0</v>
      </c>
      <c r="Q160" s="31">
        <f t="shared" si="11"/>
        <v>0</v>
      </c>
      <c r="S160" s="30">
        <f>SUMIFS(Dump!P:P,Dump!B:B,C160,Dump!A:A,V160)</f>
        <v>0</v>
      </c>
      <c r="T160" s="31">
        <f t="shared" si="12"/>
        <v>0</v>
      </c>
      <c r="U160" s="34"/>
      <c r="V160" s="47"/>
    </row>
    <row r="161">
      <c r="C161" s="46"/>
      <c r="G161" s="1" t="str">
        <f t="shared" si="16"/>
        <v/>
      </c>
      <c r="I161" s="33" t="str">
        <f t="shared" si="8"/>
        <v/>
      </c>
      <c r="K161" s="27"/>
      <c r="L161" s="28">
        <f>SUMIFS(Dump!$D:$D,Dump!$B:$B,$C161,Dump!$A:$A,$V161)</f>
        <v>0</v>
      </c>
      <c r="M161" s="28">
        <f>SUMIFS(Dump!R:R,Dump!B:B,C161,Dump!A:A,V161)</f>
        <v>0</v>
      </c>
      <c r="N161" s="29">
        <f t="shared" si="10"/>
        <v>0</v>
      </c>
      <c r="P161" s="30">
        <f>SUMIFS(Dump!E:E,Dump!B:B,C161,Dump!A:A,V161)</f>
        <v>0</v>
      </c>
      <c r="Q161" s="31">
        <f t="shared" si="11"/>
        <v>0</v>
      </c>
      <c r="S161" s="30">
        <f>SUMIFS(Dump!P:P,Dump!B:B,C161,Dump!A:A,V161)</f>
        <v>0</v>
      </c>
      <c r="T161" s="31">
        <f t="shared" si="12"/>
        <v>0</v>
      </c>
      <c r="U161" s="34"/>
      <c r="V161" s="47"/>
    </row>
    <row r="162">
      <c r="C162" s="46"/>
      <c r="G162" s="1" t="str">
        <f t="shared" si="16"/>
        <v/>
      </c>
      <c r="I162" s="33" t="str">
        <f t="shared" si="8"/>
        <v/>
      </c>
      <c r="K162" s="27"/>
      <c r="L162" s="28">
        <f>SUMIFS(Dump!$D:$D,Dump!$B:$B,$C162,Dump!$A:$A,$V162)</f>
        <v>0</v>
      </c>
      <c r="M162" s="28">
        <f>SUMIFS(Dump!R:R,Dump!B:B,C162,Dump!A:A,V162)</f>
        <v>0</v>
      </c>
      <c r="N162" s="29">
        <f t="shared" si="10"/>
        <v>0</v>
      </c>
      <c r="P162" s="30">
        <f>SUMIFS(Dump!E:E,Dump!B:B,C162,Dump!A:A,V162)</f>
        <v>0</v>
      </c>
      <c r="Q162" s="31">
        <f t="shared" si="11"/>
        <v>0</v>
      </c>
      <c r="S162" s="30">
        <f>SUMIFS(Dump!P:P,Dump!B:B,C162,Dump!A:A,V162)</f>
        <v>0</v>
      </c>
      <c r="T162" s="31">
        <f t="shared" si="12"/>
        <v>0</v>
      </c>
      <c r="U162" s="34"/>
      <c r="V162" s="47"/>
    </row>
    <row r="163">
      <c r="C163" s="46"/>
      <c r="G163" s="1" t="str">
        <f t="shared" si="16"/>
        <v/>
      </c>
      <c r="I163" s="33" t="str">
        <f t="shared" si="8"/>
        <v/>
      </c>
      <c r="K163" s="27"/>
      <c r="L163" s="28">
        <f>SUMIFS(Dump!$D:$D,Dump!$B:$B,$C163,Dump!$A:$A,$V163)</f>
        <v>0</v>
      </c>
      <c r="M163" s="28">
        <f>SUMIFS(Dump!R:R,Dump!B:B,C163,Dump!A:A,V163)</f>
        <v>0</v>
      </c>
      <c r="N163" s="29">
        <f t="shared" si="10"/>
        <v>0</v>
      </c>
      <c r="P163" s="30">
        <f>SUMIFS(Dump!E:E,Dump!B:B,C163,Dump!A:A,V163)</f>
        <v>0</v>
      </c>
      <c r="Q163" s="31">
        <f t="shared" si="11"/>
        <v>0</v>
      </c>
      <c r="S163" s="30">
        <f>SUMIFS(Dump!P:P,Dump!B:B,C163,Dump!A:A,V163)</f>
        <v>0</v>
      </c>
      <c r="T163" s="31">
        <f t="shared" si="12"/>
        <v>0</v>
      </c>
      <c r="U163" s="34"/>
      <c r="V163" s="47"/>
    </row>
    <row r="164">
      <c r="C164" s="46"/>
      <c r="G164" s="1" t="str">
        <f t="shared" si="16"/>
        <v/>
      </c>
      <c r="I164" s="33" t="str">
        <f t="shared" si="8"/>
        <v/>
      </c>
      <c r="K164" s="27"/>
      <c r="L164" s="28">
        <f>SUMIFS(Dump!$D:$D,Dump!$B:$B,$C164,Dump!$A:$A,$V164)</f>
        <v>0</v>
      </c>
      <c r="M164" s="28">
        <f>SUMIFS(Dump!R:R,Dump!B:B,C164,Dump!A:A,V164)</f>
        <v>0</v>
      </c>
      <c r="N164" s="29">
        <f t="shared" si="10"/>
        <v>0</v>
      </c>
      <c r="P164" s="30">
        <f>SUMIFS(Dump!E:E,Dump!B:B,C164,Dump!A:A,V164)</f>
        <v>0</v>
      </c>
      <c r="Q164" s="31">
        <f t="shared" si="11"/>
        <v>0</v>
      </c>
      <c r="S164" s="30">
        <f>SUMIFS(Dump!P:P,Dump!B:B,C164,Dump!A:A,V164)</f>
        <v>0</v>
      </c>
      <c r="T164" s="31">
        <f t="shared" si="12"/>
        <v>0</v>
      </c>
      <c r="U164" s="34"/>
      <c r="V164" s="47"/>
    </row>
    <row r="165">
      <c r="C165" s="46"/>
      <c r="G165" s="1" t="str">
        <f t="shared" si="16"/>
        <v/>
      </c>
      <c r="I165" s="33" t="str">
        <f t="shared" si="8"/>
        <v/>
      </c>
      <c r="K165" s="27"/>
      <c r="L165" s="28">
        <f>SUMIFS(Dump!$D:$D,Dump!$B:$B,$C165,Dump!$A:$A,$V165)</f>
        <v>0</v>
      </c>
      <c r="M165" s="28">
        <f>SUMIFS(Dump!R:R,Dump!B:B,C165,Dump!A:A,V165)</f>
        <v>0</v>
      </c>
      <c r="N165" s="29">
        <f t="shared" si="10"/>
        <v>0</v>
      </c>
      <c r="P165" s="30">
        <f>SUMIFS(Dump!E:E,Dump!B:B,C165,Dump!A:A,V165)</f>
        <v>0</v>
      </c>
      <c r="Q165" s="31">
        <f t="shared" si="11"/>
        <v>0</v>
      </c>
      <c r="S165" s="30">
        <f>SUMIFS(Dump!P:P,Dump!B:B,C165,Dump!A:A,V165)</f>
        <v>0</v>
      </c>
      <c r="T165" s="31">
        <f t="shared" si="12"/>
        <v>0</v>
      </c>
      <c r="U165" s="34"/>
      <c r="V165" s="47"/>
    </row>
    <row r="166">
      <c r="C166" s="46"/>
      <c r="G166" s="1" t="str">
        <f t="shared" si="16"/>
        <v/>
      </c>
      <c r="I166" s="33" t="str">
        <f t="shared" si="8"/>
        <v/>
      </c>
      <c r="K166" s="27"/>
      <c r="L166" s="28">
        <f>SUMIFS(Dump!$D:$D,Dump!$B:$B,$C166,Dump!$A:$A,$V166)</f>
        <v>0</v>
      </c>
      <c r="M166" s="28">
        <f>SUMIFS(Dump!R:R,Dump!B:B,C166,Dump!A:A,V166)</f>
        <v>0</v>
      </c>
      <c r="N166" s="29">
        <f t="shared" si="10"/>
        <v>0</v>
      </c>
      <c r="P166" s="30">
        <f>SUMIFS(Dump!E:E,Dump!B:B,C166,Dump!A:A,V166)</f>
        <v>0</v>
      </c>
      <c r="Q166" s="31">
        <f t="shared" si="11"/>
        <v>0</v>
      </c>
      <c r="S166" s="30">
        <f>SUMIFS(Dump!P:P,Dump!B:B,C166,Dump!A:A,V166)</f>
        <v>0</v>
      </c>
      <c r="T166" s="31">
        <f t="shared" si="12"/>
        <v>0</v>
      </c>
      <c r="U166" s="34"/>
      <c r="V166" s="47"/>
    </row>
    <row r="167">
      <c r="C167" s="46"/>
      <c r="G167" s="1" t="str">
        <f t="shared" si="16"/>
        <v/>
      </c>
      <c r="I167" s="33" t="str">
        <f t="shared" si="8"/>
        <v/>
      </c>
      <c r="K167" s="27"/>
      <c r="L167" s="28">
        <f>SUMIFS(Dump!$D:$D,Dump!$B:$B,$C167,Dump!$A:$A,$V167)</f>
        <v>0</v>
      </c>
      <c r="M167" s="28">
        <f>SUMIFS(Dump!R:R,Dump!B:B,C167,Dump!A:A,V167)</f>
        <v>0</v>
      </c>
      <c r="N167" s="29">
        <f t="shared" si="10"/>
        <v>0</v>
      </c>
      <c r="P167" s="30">
        <f>SUMIFS(Dump!E:E,Dump!B:B,C167,Dump!A:A,V167)</f>
        <v>0</v>
      </c>
      <c r="Q167" s="31">
        <f t="shared" si="11"/>
        <v>0</v>
      </c>
      <c r="S167" s="30">
        <f>SUMIFS(Dump!P:P,Dump!B:B,C167,Dump!A:A,V167)</f>
        <v>0</v>
      </c>
      <c r="T167" s="31">
        <f t="shared" si="12"/>
        <v>0</v>
      </c>
      <c r="U167" s="34"/>
      <c r="V167" s="47"/>
    </row>
    <row r="168">
      <c r="C168" s="46"/>
      <c r="G168" s="1" t="str">
        <f t="shared" si="16"/>
        <v/>
      </c>
      <c r="I168" s="33" t="str">
        <f t="shared" si="8"/>
        <v/>
      </c>
      <c r="K168" s="27"/>
      <c r="L168" s="28">
        <f>SUMIFS(Dump!$D:$D,Dump!$B:$B,$C168,Dump!$A:$A,$V168)</f>
        <v>0</v>
      </c>
      <c r="M168" s="28">
        <f>SUMIFS(Dump!R:R,Dump!B:B,C168,Dump!A:A,V168)</f>
        <v>0</v>
      </c>
      <c r="N168" s="29">
        <f t="shared" si="10"/>
        <v>0</v>
      </c>
      <c r="P168" s="30">
        <f>SUMIFS(Dump!E:E,Dump!B:B,C168,Dump!A:A,V168)</f>
        <v>0</v>
      </c>
      <c r="Q168" s="31">
        <f t="shared" si="11"/>
        <v>0</v>
      </c>
      <c r="S168" s="30">
        <f>SUMIFS(Dump!P:P,Dump!B:B,C168,Dump!A:A,V168)</f>
        <v>0</v>
      </c>
      <c r="T168" s="31">
        <f t="shared" si="12"/>
        <v>0</v>
      </c>
      <c r="U168" s="34"/>
      <c r="V168" s="47"/>
    </row>
    <row r="169">
      <c r="C169" s="46"/>
      <c r="G169" s="1" t="str">
        <f t="shared" si="16"/>
        <v/>
      </c>
      <c r="I169" s="33" t="str">
        <f t="shared" si="8"/>
        <v/>
      </c>
      <c r="K169" s="27"/>
      <c r="L169" s="28">
        <f>SUMIFS(Dump!$D:$D,Dump!$B:$B,$C169,Dump!$A:$A,$V169)</f>
        <v>0</v>
      </c>
      <c r="M169" s="28">
        <f>SUMIFS(Dump!R:R,Dump!B:B,C169,Dump!A:A,V169)</f>
        <v>0</v>
      </c>
      <c r="N169" s="29">
        <f t="shared" si="10"/>
        <v>0</v>
      </c>
      <c r="P169" s="30">
        <f>SUMIFS(Dump!E:E,Dump!B:B,C169,Dump!A:A,V169)</f>
        <v>0</v>
      </c>
      <c r="Q169" s="31">
        <f t="shared" si="11"/>
        <v>0</v>
      </c>
      <c r="S169" s="30">
        <f>SUMIFS(Dump!P:P,Dump!B:B,C169,Dump!A:A,V169)</f>
        <v>0</v>
      </c>
      <c r="T169" s="31">
        <f t="shared" si="12"/>
        <v>0</v>
      </c>
      <c r="U169" s="34"/>
      <c r="V169" s="47"/>
    </row>
    <row r="170">
      <c r="C170" s="46"/>
      <c r="G170" s="1" t="str">
        <f t="shared" si="16"/>
        <v/>
      </c>
      <c r="I170" s="33" t="str">
        <f t="shared" si="8"/>
        <v/>
      </c>
      <c r="K170" s="27"/>
      <c r="L170" s="28">
        <f>SUMIFS(Dump!$D:$D,Dump!$B:$B,$C170,Dump!$A:$A,$V170)</f>
        <v>0</v>
      </c>
      <c r="M170" s="28">
        <f>SUMIFS(Dump!R:R,Dump!B:B,C170,Dump!A:A,V170)</f>
        <v>0</v>
      </c>
      <c r="N170" s="29">
        <f t="shared" si="10"/>
        <v>0</v>
      </c>
      <c r="P170" s="30">
        <f>SUMIFS(Dump!E:E,Dump!B:B,C170,Dump!A:A,V170)</f>
        <v>0</v>
      </c>
      <c r="Q170" s="31">
        <f t="shared" si="11"/>
        <v>0</v>
      </c>
      <c r="S170" s="30">
        <f>SUMIFS(Dump!P:P,Dump!B:B,C170,Dump!A:A,V170)</f>
        <v>0</v>
      </c>
      <c r="T170" s="31">
        <f t="shared" si="12"/>
        <v>0</v>
      </c>
      <c r="U170" s="34"/>
      <c r="V170" s="47"/>
    </row>
    <row r="171">
      <c r="C171" s="46"/>
      <c r="G171" s="1" t="str">
        <f t="shared" si="16"/>
        <v/>
      </c>
      <c r="I171" s="33" t="str">
        <f t="shared" si="8"/>
        <v/>
      </c>
      <c r="K171" s="27"/>
      <c r="L171" s="28">
        <f>SUMIFS(Dump!$D:$D,Dump!$B:$B,$C171,Dump!$A:$A,$V171)</f>
        <v>0</v>
      </c>
      <c r="M171" s="28">
        <f>SUMIFS(Dump!R:R,Dump!B:B,C171,Dump!A:A,V171)</f>
        <v>0</v>
      </c>
      <c r="N171" s="29">
        <f t="shared" si="10"/>
        <v>0</v>
      </c>
      <c r="P171" s="30">
        <f>SUMIFS(Dump!E:E,Dump!B:B,C171,Dump!A:A,V171)</f>
        <v>0</v>
      </c>
      <c r="Q171" s="31">
        <f t="shared" si="11"/>
        <v>0</v>
      </c>
      <c r="S171" s="30">
        <f>SUMIFS(Dump!P:P,Dump!B:B,C171,Dump!A:A,V171)</f>
        <v>0</v>
      </c>
      <c r="T171" s="31">
        <f t="shared" si="12"/>
        <v>0</v>
      </c>
      <c r="U171" s="34"/>
      <c r="V171" s="47"/>
    </row>
    <row r="172">
      <c r="C172" s="46"/>
      <c r="G172" s="1" t="str">
        <f t="shared" si="16"/>
        <v/>
      </c>
      <c r="I172" s="33" t="str">
        <f t="shared" si="8"/>
        <v/>
      </c>
      <c r="K172" s="27"/>
      <c r="L172" s="28">
        <f>SUMIFS(Dump!$D:$D,Dump!$B:$B,$C172,Dump!$A:$A,$V172)</f>
        <v>0</v>
      </c>
      <c r="M172" s="28">
        <f>SUMIFS(Dump!R:R,Dump!B:B,C172,Dump!A:A,V172)</f>
        <v>0</v>
      </c>
      <c r="N172" s="29">
        <f t="shared" si="10"/>
        <v>0</v>
      </c>
      <c r="P172" s="30">
        <f>SUMIFS(Dump!E:E,Dump!B:B,C172,Dump!A:A,V172)</f>
        <v>0</v>
      </c>
      <c r="Q172" s="31">
        <f t="shared" si="11"/>
        <v>0</v>
      </c>
      <c r="S172" s="30">
        <f>SUMIFS(Dump!P:P,Dump!B:B,C172,Dump!A:A,V172)</f>
        <v>0</v>
      </c>
      <c r="T172" s="31">
        <f t="shared" si="12"/>
        <v>0</v>
      </c>
      <c r="U172" s="34"/>
      <c r="V172" s="47"/>
    </row>
    <row r="173">
      <c r="C173" s="46"/>
      <c r="G173" s="1" t="str">
        <f t="shared" si="16"/>
        <v/>
      </c>
      <c r="I173" s="33" t="str">
        <f t="shared" si="8"/>
        <v/>
      </c>
      <c r="K173" s="27"/>
      <c r="L173" s="28">
        <f>SUMIFS(Dump!$D:$D,Dump!$B:$B,$C173,Dump!$A:$A,$V173)</f>
        <v>0</v>
      </c>
      <c r="M173" s="28">
        <f>SUMIFS(Dump!R:R,Dump!B:B,C173,Dump!A:A,V173)</f>
        <v>0</v>
      </c>
      <c r="N173" s="29">
        <f t="shared" si="10"/>
        <v>0</v>
      </c>
      <c r="P173" s="30">
        <f>SUMIFS(Dump!E:E,Dump!B:B,C173,Dump!A:A,V173)</f>
        <v>0</v>
      </c>
      <c r="Q173" s="31">
        <f t="shared" si="11"/>
        <v>0</v>
      </c>
      <c r="S173" s="30">
        <f>SUMIFS(Dump!P:P,Dump!B:B,C173,Dump!A:A,V173)</f>
        <v>0</v>
      </c>
      <c r="T173" s="31">
        <f t="shared" si="12"/>
        <v>0</v>
      </c>
      <c r="U173" s="34"/>
      <c r="V173" s="47"/>
    </row>
    <row r="174">
      <c r="C174" s="46"/>
      <c r="G174" s="1" t="str">
        <f t="shared" si="16"/>
        <v/>
      </c>
      <c r="I174" s="33" t="str">
        <f t="shared" si="8"/>
        <v/>
      </c>
      <c r="K174" s="27"/>
      <c r="L174" s="28">
        <f>SUMIFS(Dump!$D:$D,Dump!$B:$B,$C174,Dump!$A:$A,$V174)</f>
        <v>0</v>
      </c>
      <c r="M174" s="28">
        <f>SUMIFS(Dump!R:R,Dump!B:B,C174,Dump!A:A,V174)</f>
        <v>0</v>
      </c>
      <c r="N174" s="29">
        <f t="shared" si="10"/>
        <v>0</v>
      </c>
      <c r="P174" s="30">
        <f>SUMIFS(Dump!E:E,Dump!B:B,C174,Dump!A:A,V174)</f>
        <v>0</v>
      </c>
      <c r="Q174" s="31">
        <f t="shared" si="11"/>
        <v>0</v>
      </c>
      <c r="S174" s="30">
        <f>SUMIFS(Dump!P:P,Dump!B:B,C174,Dump!A:A,V174)</f>
        <v>0</v>
      </c>
      <c r="T174" s="31">
        <f t="shared" si="12"/>
        <v>0</v>
      </c>
      <c r="U174" s="34"/>
      <c r="V174" s="47"/>
    </row>
    <row r="175">
      <c r="C175" s="46"/>
      <c r="G175" s="1" t="str">
        <f t="shared" si="16"/>
        <v/>
      </c>
      <c r="I175" s="33" t="str">
        <f t="shared" si="8"/>
        <v/>
      </c>
      <c r="K175" s="27"/>
      <c r="L175" s="28">
        <f>SUMIFS(Dump!$D:$D,Dump!$B:$B,$C175,Dump!$A:$A,$V175)</f>
        <v>0</v>
      </c>
      <c r="M175" s="28">
        <f>SUMIFS(Dump!R:R,Dump!B:B,C175,Dump!A:A,V175)</f>
        <v>0</v>
      </c>
      <c r="N175" s="29">
        <f t="shared" si="10"/>
        <v>0</v>
      </c>
      <c r="P175" s="30">
        <f>SUMIFS(Dump!E:E,Dump!B:B,C175,Dump!A:A,V175)</f>
        <v>0</v>
      </c>
      <c r="Q175" s="31">
        <f t="shared" si="11"/>
        <v>0</v>
      </c>
      <c r="S175" s="30">
        <f>SUMIFS(Dump!P:P,Dump!B:B,C175,Dump!A:A,V175)</f>
        <v>0</v>
      </c>
      <c r="T175" s="31">
        <f t="shared" si="12"/>
        <v>0</v>
      </c>
      <c r="U175" s="34"/>
      <c r="V175" s="47"/>
    </row>
    <row r="176">
      <c r="C176" s="46"/>
      <c r="G176" s="1" t="str">
        <f t="shared" si="16"/>
        <v/>
      </c>
      <c r="I176" s="33" t="str">
        <f t="shared" si="8"/>
        <v/>
      </c>
      <c r="K176" s="27"/>
      <c r="L176" s="28">
        <f>SUMIFS(Dump!$D:$D,Dump!$B:$B,$C176,Dump!$A:$A,$V176)</f>
        <v>0</v>
      </c>
      <c r="M176" s="28">
        <f>SUMIFS(Dump!R:R,Dump!B:B,C176,Dump!A:A,V176)</f>
        <v>0</v>
      </c>
      <c r="N176" s="29">
        <f t="shared" si="10"/>
        <v>0</v>
      </c>
      <c r="P176" s="30">
        <f>SUMIFS(Dump!E:E,Dump!B:B,C176,Dump!A:A,V176)</f>
        <v>0</v>
      </c>
      <c r="Q176" s="31">
        <f t="shared" si="11"/>
        <v>0</v>
      </c>
      <c r="S176" s="30">
        <f>SUMIFS(Dump!P:P,Dump!B:B,C176,Dump!A:A,V176)</f>
        <v>0</v>
      </c>
      <c r="T176" s="31">
        <f t="shared" si="12"/>
        <v>0</v>
      </c>
      <c r="U176" s="34"/>
      <c r="V176" s="47"/>
    </row>
    <row r="177">
      <c r="C177" s="46"/>
      <c r="G177" s="1" t="str">
        <f t="shared" si="16"/>
        <v/>
      </c>
      <c r="I177" s="33" t="str">
        <f t="shared" si="8"/>
        <v/>
      </c>
      <c r="K177" s="27"/>
      <c r="L177" s="28">
        <f>SUMIFS(Dump!$D:$D,Dump!$B:$B,$C177,Dump!$A:$A,$V177)</f>
        <v>0</v>
      </c>
      <c r="M177" s="28">
        <f>SUMIFS(Dump!R:R,Dump!B:B,C177,Dump!A:A,V177)</f>
        <v>0</v>
      </c>
      <c r="N177" s="29">
        <f t="shared" si="10"/>
        <v>0</v>
      </c>
      <c r="P177" s="30">
        <f>SUMIFS(Dump!E:E,Dump!B:B,C177,Dump!A:A,V177)</f>
        <v>0</v>
      </c>
      <c r="Q177" s="31">
        <f t="shared" si="11"/>
        <v>0</v>
      </c>
      <c r="S177" s="30">
        <f>SUMIFS(Dump!P:P,Dump!B:B,C177,Dump!A:A,V177)</f>
        <v>0</v>
      </c>
      <c r="T177" s="31">
        <f t="shared" si="12"/>
        <v>0</v>
      </c>
      <c r="U177" s="34"/>
      <c r="V177" s="47"/>
    </row>
    <row r="178">
      <c r="C178" s="46"/>
      <c r="G178" s="1" t="str">
        <f t="shared" si="16"/>
        <v/>
      </c>
      <c r="I178" s="33" t="str">
        <f t="shared" si="8"/>
        <v/>
      </c>
      <c r="K178" s="27"/>
      <c r="L178" s="28">
        <f>SUMIFS(Dump!$D:$D,Dump!$B:$B,$C178,Dump!$A:$A,$V178)</f>
        <v>0</v>
      </c>
      <c r="M178" s="28">
        <f>SUMIFS(Dump!R:R,Dump!B:B,C178,Dump!A:A,V178)</f>
        <v>0</v>
      </c>
      <c r="N178" s="29">
        <f t="shared" si="10"/>
        <v>0</v>
      </c>
      <c r="P178" s="30">
        <f>SUMIFS(Dump!E:E,Dump!B:B,C178,Dump!A:A,V178)</f>
        <v>0</v>
      </c>
      <c r="Q178" s="31">
        <f t="shared" si="11"/>
        <v>0</v>
      </c>
      <c r="S178" s="30">
        <f>SUMIFS(Dump!P:P,Dump!B:B,C178,Dump!A:A,V178)</f>
        <v>0</v>
      </c>
      <c r="T178" s="31">
        <f t="shared" si="12"/>
        <v>0</v>
      </c>
      <c r="U178" s="34"/>
      <c r="V178" s="47"/>
    </row>
    <row r="179">
      <c r="C179" s="46"/>
      <c r="G179" s="1" t="str">
        <f t="shared" si="16"/>
        <v/>
      </c>
      <c r="I179" s="33" t="str">
        <f t="shared" si="8"/>
        <v/>
      </c>
      <c r="K179" s="27"/>
      <c r="L179" s="28">
        <f>SUMIFS(Dump!$D:$D,Dump!$B:$B,$C179,Dump!$A:$A,$V179)</f>
        <v>0</v>
      </c>
      <c r="M179" s="28">
        <f>SUMIFS(Dump!R:R,Dump!B:B,C179,Dump!A:A,V179)</f>
        <v>0</v>
      </c>
      <c r="N179" s="29">
        <f t="shared" si="10"/>
        <v>0</v>
      </c>
      <c r="P179" s="30">
        <f>SUMIFS(Dump!E:E,Dump!B:B,C179,Dump!A:A,V179)</f>
        <v>0</v>
      </c>
      <c r="Q179" s="31">
        <f t="shared" si="11"/>
        <v>0</v>
      </c>
      <c r="S179" s="30">
        <f>SUMIFS(Dump!P:P,Dump!B:B,C179,Dump!A:A,V179)</f>
        <v>0</v>
      </c>
      <c r="T179" s="31">
        <f t="shared" si="12"/>
        <v>0</v>
      </c>
      <c r="U179" s="34"/>
      <c r="V179" s="47"/>
    </row>
    <row r="180">
      <c r="C180" s="46"/>
      <c r="G180" s="1" t="str">
        <f t="shared" si="16"/>
        <v/>
      </c>
      <c r="I180" s="33" t="str">
        <f t="shared" si="8"/>
        <v/>
      </c>
      <c r="K180" s="27"/>
      <c r="L180" s="28">
        <f>SUMIFS(Dump!$D:$D,Dump!$B:$B,$C180,Dump!$A:$A,$V180)</f>
        <v>0</v>
      </c>
      <c r="M180" s="28">
        <f>SUMIFS(Dump!R:R,Dump!B:B,C180,Dump!A:A,V180)</f>
        <v>0</v>
      </c>
      <c r="N180" s="29">
        <f t="shared" si="10"/>
        <v>0</v>
      </c>
      <c r="P180" s="30">
        <f>SUMIFS(Dump!E:E,Dump!B:B,C180,Dump!A:A,V180)</f>
        <v>0</v>
      </c>
      <c r="Q180" s="31">
        <f t="shared" si="11"/>
        <v>0</v>
      </c>
      <c r="S180" s="30">
        <f>SUMIFS(Dump!P:P,Dump!B:B,C180,Dump!A:A,V180)</f>
        <v>0</v>
      </c>
      <c r="T180" s="31">
        <f t="shared" si="12"/>
        <v>0</v>
      </c>
      <c r="U180" s="34"/>
      <c r="V180" s="47"/>
    </row>
    <row r="181">
      <c r="C181" s="46"/>
      <c r="G181" s="1" t="str">
        <f t="shared" si="16"/>
        <v/>
      </c>
      <c r="I181" s="33" t="str">
        <f t="shared" si="8"/>
        <v/>
      </c>
      <c r="K181" s="27"/>
      <c r="L181" s="28">
        <f>SUMIFS(Dump!$D:$D,Dump!$B:$B,$C181,Dump!$A:$A,$V181)</f>
        <v>0</v>
      </c>
      <c r="M181" s="28">
        <f>SUMIFS(Dump!R:R,Dump!B:B,C181,Dump!A:A,V181)</f>
        <v>0</v>
      </c>
      <c r="N181" s="29">
        <f t="shared" si="10"/>
        <v>0</v>
      </c>
      <c r="P181" s="30">
        <f>SUMIFS(Dump!E:E,Dump!B:B,C181,Dump!A:A,V181)</f>
        <v>0</v>
      </c>
      <c r="Q181" s="31">
        <f t="shared" si="11"/>
        <v>0</v>
      </c>
      <c r="S181" s="30">
        <f>SUMIFS(Dump!P:P,Dump!B:B,C181,Dump!A:A,V181)</f>
        <v>0</v>
      </c>
      <c r="T181" s="31">
        <f t="shared" si="12"/>
        <v>0</v>
      </c>
      <c r="U181" s="34"/>
      <c r="V181" s="47"/>
    </row>
    <row r="182">
      <c r="C182" s="46"/>
      <c r="G182" s="1" t="str">
        <f t="shared" si="16"/>
        <v/>
      </c>
      <c r="I182" s="33" t="str">
        <f t="shared" si="8"/>
        <v/>
      </c>
      <c r="K182" s="27"/>
      <c r="L182" s="28">
        <f>SUMIFS(Dump!$D:$D,Dump!$B:$B,$C182,Dump!$A:$A,$V182)</f>
        <v>0</v>
      </c>
      <c r="M182" s="28">
        <f>SUMIFS(Dump!R:R,Dump!B:B,C182,Dump!A:A,V182)</f>
        <v>0</v>
      </c>
      <c r="N182" s="29">
        <f t="shared" si="10"/>
        <v>0</v>
      </c>
      <c r="P182" s="30">
        <f>SUMIFS(Dump!E:E,Dump!B:B,C182,Dump!A:A,V182)</f>
        <v>0</v>
      </c>
      <c r="Q182" s="31">
        <f t="shared" si="11"/>
        <v>0</v>
      </c>
      <c r="S182" s="30">
        <f>SUMIFS(Dump!P:P,Dump!B:B,C182,Dump!A:A,V182)</f>
        <v>0</v>
      </c>
      <c r="T182" s="31">
        <f t="shared" si="12"/>
        <v>0</v>
      </c>
      <c r="U182" s="34"/>
      <c r="V182" s="47"/>
    </row>
    <row r="183">
      <c r="C183" s="46"/>
      <c r="G183" s="1" t="str">
        <f t="shared" si="16"/>
        <v/>
      </c>
      <c r="I183" s="33" t="str">
        <f t="shared" si="8"/>
        <v/>
      </c>
      <c r="K183" s="27"/>
      <c r="L183" s="28">
        <f>SUMIFS(Dump!$D:$D,Dump!$B:$B,$C183,Dump!$A:$A,$V183)</f>
        <v>0</v>
      </c>
      <c r="M183" s="28">
        <f>SUMIFS(Dump!R:R,Dump!B:B,C183,Dump!A:A,V183)</f>
        <v>0</v>
      </c>
      <c r="N183" s="29">
        <f t="shared" si="10"/>
        <v>0</v>
      </c>
      <c r="P183" s="30">
        <f>SUMIFS(Dump!E:E,Dump!B:B,C183,Dump!A:A,V183)</f>
        <v>0</v>
      </c>
      <c r="Q183" s="31">
        <f t="shared" si="11"/>
        <v>0</v>
      </c>
      <c r="S183" s="30">
        <f>SUMIFS(Dump!P:P,Dump!B:B,C183,Dump!A:A,V183)</f>
        <v>0</v>
      </c>
      <c r="T183" s="31">
        <f t="shared" si="12"/>
        <v>0</v>
      </c>
      <c r="U183" s="34"/>
      <c r="V183" s="47"/>
    </row>
    <row r="184">
      <c r="C184" s="46"/>
      <c r="G184" s="1" t="str">
        <f t="shared" si="16"/>
        <v/>
      </c>
      <c r="I184" s="33" t="str">
        <f t="shared" si="8"/>
        <v/>
      </c>
      <c r="K184" s="27"/>
      <c r="L184" s="28">
        <f>SUMIFS(Dump!$D:$D,Dump!$B:$B,$C184,Dump!$A:$A,$V184)</f>
        <v>0</v>
      </c>
      <c r="M184" s="28">
        <f>SUMIFS(Dump!R:R,Dump!B:B,C184,Dump!A:A,V184)</f>
        <v>0</v>
      </c>
      <c r="N184" s="29">
        <f t="shared" si="10"/>
        <v>0</v>
      </c>
      <c r="P184" s="30">
        <f>SUMIFS(Dump!E:E,Dump!B:B,C184,Dump!A:A,V184)</f>
        <v>0</v>
      </c>
      <c r="Q184" s="31">
        <f t="shared" si="11"/>
        <v>0</v>
      </c>
      <c r="S184" s="30">
        <f>SUMIFS(Dump!P:P,Dump!B:B,C184,Dump!A:A,V184)</f>
        <v>0</v>
      </c>
      <c r="T184" s="31">
        <f t="shared" si="12"/>
        <v>0</v>
      </c>
      <c r="U184" s="34"/>
      <c r="V184" s="47"/>
    </row>
    <row r="185">
      <c r="C185" s="46"/>
      <c r="G185" s="1" t="str">
        <f t="shared" si="16"/>
        <v/>
      </c>
      <c r="I185" s="33" t="str">
        <f t="shared" si="8"/>
        <v/>
      </c>
      <c r="K185" s="27"/>
      <c r="L185" s="28">
        <f>SUMIFS(Dump!$D:$D,Dump!$B:$B,$C185,Dump!$A:$A,$V185)</f>
        <v>0</v>
      </c>
      <c r="M185" s="28">
        <f>SUMIFS(Dump!R:R,Dump!B:B,C185,Dump!A:A,V185)</f>
        <v>0</v>
      </c>
      <c r="N185" s="29">
        <f t="shared" si="10"/>
        <v>0</v>
      </c>
      <c r="P185" s="30">
        <f>SUMIFS(Dump!E:E,Dump!B:B,C185,Dump!A:A,V185)</f>
        <v>0</v>
      </c>
      <c r="Q185" s="31">
        <f t="shared" si="11"/>
        <v>0</v>
      </c>
      <c r="S185" s="30">
        <f>SUMIFS(Dump!P:P,Dump!B:B,C185,Dump!A:A,V185)</f>
        <v>0</v>
      </c>
      <c r="T185" s="31">
        <f t="shared" si="12"/>
        <v>0</v>
      </c>
      <c r="U185" s="34"/>
      <c r="V185" s="47"/>
    </row>
    <row r="186">
      <c r="C186" s="46"/>
      <c r="G186" s="1" t="str">
        <f t="shared" si="16"/>
        <v/>
      </c>
      <c r="I186" s="33" t="str">
        <f t="shared" si="8"/>
        <v/>
      </c>
      <c r="K186" s="27"/>
      <c r="L186" s="28">
        <f>SUMIFS(Dump!$D:$D,Dump!$B:$B,$C186,Dump!$A:$A,$V186)</f>
        <v>0</v>
      </c>
      <c r="M186" s="28">
        <f>SUMIFS(Dump!R:R,Dump!B:B,C186,Dump!A:A,V186)</f>
        <v>0</v>
      </c>
      <c r="N186" s="29">
        <f t="shared" si="10"/>
        <v>0</v>
      </c>
      <c r="P186" s="30">
        <f>SUMIFS(Dump!E:E,Dump!B:B,C186,Dump!A:A,V186)</f>
        <v>0</v>
      </c>
      <c r="Q186" s="31">
        <f t="shared" si="11"/>
        <v>0</v>
      </c>
      <c r="S186" s="30">
        <f>SUMIFS(Dump!P:P,Dump!B:B,C186,Dump!A:A,V186)</f>
        <v>0</v>
      </c>
      <c r="T186" s="31">
        <f t="shared" si="12"/>
        <v>0</v>
      </c>
      <c r="U186" s="34"/>
      <c r="V186" s="47"/>
    </row>
    <row r="187">
      <c r="C187" s="46"/>
      <c r="G187" s="1" t="str">
        <f t="shared" si="16"/>
        <v/>
      </c>
      <c r="I187" s="33" t="str">
        <f t="shared" si="8"/>
        <v/>
      </c>
      <c r="K187" s="27"/>
      <c r="L187" s="28">
        <f>SUMIFS(Dump!$D:$D,Dump!$B:$B,$C187,Dump!$A:$A,$V187)</f>
        <v>0</v>
      </c>
      <c r="M187" s="28">
        <f>SUMIFS(Dump!R:R,Dump!B:B,C187,Dump!A:A,V187)</f>
        <v>0</v>
      </c>
      <c r="N187" s="29">
        <f t="shared" si="10"/>
        <v>0</v>
      </c>
      <c r="P187" s="30">
        <f>SUMIFS(Dump!E:E,Dump!B:B,C187,Dump!A:A,V187)</f>
        <v>0</v>
      </c>
      <c r="Q187" s="31">
        <f t="shared" si="11"/>
        <v>0</v>
      </c>
      <c r="S187" s="30">
        <f>SUMIFS(Dump!P:P,Dump!B:B,C187,Dump!A:A,V187)</f>
        <v>0</v>
      </c>
      <c r="T187" s="31">
        <f t="shared" si="12"/>
        <v>0</v>
      </c>
      <c r="U187" s="34"/>
      <c r="V187" s="47"/>
    </row>
    <row r="188">
      <c r="C188" s="46"/>
      <c r="G188" s="1" t="str">
        <f t="shared" si="16"/>
        <v/>
      </c>
      <c r="I188" s="33" t="str">
        <f t="shared" si="8"/>
        <v/>
      </c>
      <c r="K188" s="27"/>
      <c r="L188" s="28">
        <f>SUMIFS(Dump!$D:$D,Dump!$B:$B,$C188,Dump!$A:$A,$V188)</f>
        <v>0</v>
      </c>
      <c r="M188" s="28">
        <f>SUMIFS(Dump!R:R,Dump!B:B,C188,Dump!A:A,V188)</f>
        <v>0</v>
      </c>
      <c r="N188" s="29">
        <f t="shared" si="10"/>
        <v>0</v>
      </c>
      <c r="P188" s="30">
        <f>SUMIFS(Dump!E:E,Dump!B:B,C188,Dump!A:A,V188)</f>
        <v>0</v>
      </c>
      <c r="Q188" s="31">
        <f t="shared" si="11"/>
        <v>0</v>
      </c>
      <c r="S188" s="30">
        <f>SUMIFS(Dump!P:P,Dump!B:B,C188,Dump!A:A,V188)</f>
        <v>0</v>
      </c>
      <c r="T188" s="31">
        <f t="shared" si="12"/>
        <v>0</v>
      </c>
      <c r="U188" s="34"/>
      <c r="V188" s="47"/>
    </row>
    <row r="189">
      <c r="C189" s="46"/>
      <c r="G189" s="1" t="str">
        <f t="shared" si="16"/>
        <v/>
      </c>
      <c r="I189" s="33" t="str">
        <f t="shared" si="8"/>
        <v/>
      </c>
      <c r="K189" s="27"/>
      <c r="L189" s="28">
        <f>SUMIFS(Dump!$D:$D,Dump!$B:$B,$C189,Dump!$A:$A,$V189)</f>
        <v>0</v>
      </c>
      <c r="M189" s="28">
        <f>SUMIFS(Dump!R:R,Dump!B:B,C189,Dump!A:A,V189)</f>
        <v>0</v>
      </c>
      <c r="N189" s="29">
        <f t="shared" si="10"/>
        <v>0</v>
      </c>
      <c r="P189" s="30">
        <f>SUMIFS(Dump!E:E,Dump!B:B,C189,Dump!A:A,V189)</f>
        <v>0</v>
      </c>
      <c r="Q189" s="31">
        <f t="shared" si="11"/>
        <v>0</v>
      </c>
      <c r="S189" s="30">
        <f>SUMIFS(Dump!P:P,Dump!B:B,C189,Dump!A:A,V189)</f>
        <v>0</v>
      </c>
      <c r="T189" s="31">
        <f t="shared" si="12"/>
        <v>0</v>
      </c>
      <c r="U189" s="34"/>
      <c r="V189" s="47"/>
    </row>
    <row r="190">
      <c r="C190" s="46"/>
      <c r="G190" s="1" t="str">
        <f t="shared" si="16"/>
        <v/>
      </c>
      <c r="I190" s="33" t="str">
        <f t="shared" si="8"/>
        <v/>
      </c>
      <c r="K190" s="27"/>
      <c r="L190" s="28">
        <f>SUMIFS(Dump!$D:$D,Dump!$B:$B,$C190,Dump!$A:$A,$V190)</f>
        <v>0</v>
      </c>
      <c r="M190" s="28">
        <f>SUMIFS(Dump!R:R,Dump!B:B,C190,Dump!A:A,V190)</f>
        <v>0</v>
      </c>
      <c r="N190" s="29">
        <f t="shared" si="10"/>
        <v>0</v>
      </c>
      <c r="P190" s="30">
        <f>SUMIFS(Dump!E:E,Dump!B:B,C190,Dump!A:A,V190)</f>
        <v>0</v>
      </c>
      <c r="Q190" s="31">
        <f t="shared" si="11"/>
        <v>0</v>
      </c>
      <c r="S190" s="30">
        <f>SUMIFS(Dump!P:P,Dump!B:B,C190,Dump!A:A,V190)</f>
        <v>0</v>
      </c>
      <c r="T190" s="31">
        <f t="shared" si="12"/>
        <v>0</v>
      </c>
      <c r="U190" s="34"/>
      <c r="V190" s="47"/>
    </row>
    <row r="191">
      <c r="C191" s="46"/>
      <c r="G191" s="1" t="str">
        <f t="shared" si="16"/>
        <v/>
      </c>
      <c r="I191" s="33" t="str">
        <f t="shared" si="8"/>
        <v/>
      </c>
      <c r="K191" s="27"/>
      <c r="L191" s="28">
        <f>SUMIFS(Dump!$D:$D,Dump!$B:$B,$C191,Dump!$A:$A,$V191)</f>
        <v>0</v>
      </c>
      <c r="M191" s="28">
        <f>SUMIFS(Dump!R:R,Dump!B:B,C191,Dump!A:A,V191)</f>
        <v>0</v>
      </c>
      <c r="N191" s="29">
        <f t="shared" si="10"/>
        <v>0</v>
      </c>
      <c r="P191" s="30">
        <f>SUMIFS(Dump!E:E,Dump!B:B,C191,Dump!A:A,V191)</f>
        <v>0</v>
      </c>
      <c r="Q191" s="31">
        <f t="shared" si="11"/>
        <v>0</v>
      </c>
      <c r="S191" s="30">
        <f>SUMIFS(Dump!P:P,Dump!B:B,C191,Dump!A:A,V191)</f>
        <v>0</v>
      </c>
      <c r="T191" s="31">
        <f t="shared" si="12"/>
        <v>0</v>
      </c>
      <c r="U191" s="34"/>
      <c r="V191" s="47"/>
    </row>
    <row r="192">
      <c r="C192" s="46"/>
      <c r="G192" s="1" t="str">
        <f t="shared" si="16"/>
        <v/>
      </c>
      <c r="I192" s="33" t="str">
        <f t="shared" si="8"/>
        <v/>
      </c>
      <c r="K192" s="27"/>
      <c r="L192" s="28">
        <f>SUMIFS(Dump!$D:$D,Dump!$B:$B,$C192,Dump!$A:$A,$V192)</f>
        <v>0</v>
      </c>
      <c r="M192" s="28">
        <f>SUMIFS(Dump!R:R,Dump!B:B,C192,Dump!A:A,V192)</f>
        <v>0</v>
      </c>
      <c r="N192" s="29">
        <f t="shared" si="10"/>
        <v>0</v>
      </c>
      <c r="P192" s="30">
        <f>SUMIFS(Dump!E:E,Dump!B:B,C192,Dump!A:A,V192)</f>
        <v>0</v>
      </c>
      <c r="Q192" s="31">
        <f t="shared" si="11"/>
        <v>0</v>
      </c>
      <c r="S192" s="30">
        <f>SUMIFS(Dump!P:P,Dump!B:B,C192,Dump!A:A,V192)</f>
        <v>0</v>
      </c>
      <c r="T192" s="31">
        <f t="shared" si="12"/>
        <v>0</v>
      </c>
      <c r="U192" s="34"/>
      <c r="V192" s="47"/>
    </row>
    <row r="193">
      <c r="C193" s="46"/>
      <c r="G193" s="1" t="str">
        <f t="shared" si="16"/>
        <v/>
      </c>
      <c r="I193" s="33" t="str">
        <f t="shared" si="8"/>
        <v/>
      </c>
      <c r="K193" s="27"/>
      <c r="L193" s="28">
        <f>SUMIFS(Dump!$D:$D,Dump!$B:$B,$C193,Dump!$A:$A,$V193)</f>
        <v>0</v>
      </c>
      <c r="M193" s="28">
        <f>SUMIFS(Dump!R:R,Dump!B:B,C193,Dump!A:A,V193)</f>
        <v>0</v>
      </c>
      <c r="N193" s="29">
        <f t="shared" si="10"/>
        <v>0</v>
      </c>
      <c r="P193" s="30">
        <f>SUMIFS(Dump!E:E,Dump!B:B,C193,Dump!A:A,V193)</f>
        <v>0</v>
      </c>
      <c r="Q193" s="31">
        <f t="shared" si="11"/>
        <v>0</v>
      </c>
      <c r="S193" s="30">
        <f>SUMIFS(Dump!P:P,Dump!B:B,C193,Dump!A:A,V193)</f>
        <v>0</v>
      </c>
      <c r="T193" s="31">
        <f t="shared" si="12"/>
        <v>0</v>
      </c>
      <c r="U193" s="34"/>
      <c r="V193" s="47"/>
    </row>
    <row r="194">
      <c r="C194" s="46"/>
      <c r="G194" s="1" t="str">
        <f t="shared" si="16"/>
        <v/>
      </c>
      <c r="I194" s="33" t="str">
        <f t="shared" si="8"/>
        <v/>
      </c>
      <c r="K194" s="27"/>
      <c r="L194" s="28">
        <f>SUMIFS(Dump!$D:$D,Dump!$B:$B,$C194,Dump!$A:$A,$V194)</f>
        <v>0</v>
      </c>
      <c r="M194" s="28">
        <f>SUMIFS(Dump!R:R,Dump!B:B,C194,Dump!A:A,V194)</f>
        <v>0</v>
      </c>
      <c r="N194" s="29">
        <f t="shared" si="10"/>
        <v>0</v>
      </c>
      <c r="P194" s="30">
        <f>SUMIFS(Dump!E:E,Dump!B:B,C194,Dump!A:A,V194)</f>
        <v>0</v>
      </c>
      <c r="Q194" s="31">
        <f t="shared" si="11"/>
        <v>0</v>
      </c>
      <c r="S194" s="30">
        <f>SUMIFS(Dump!P:P,Dump!B:B,C194,Dump!A:A,V194)</f>
        <v>0</v>
      </c>
      <c r="T194" s="31">
        <f t="shared" si="12"/>
        <v>0</v>
      </c>
      <c r="U194" s="34"/>
      <c r="V194" s="47"/>
    </row>
    <row r="195">
      <c r="C195" s="46"/>
      <c r="G195" s="1" t="str">
        <f t="shared" si="16"/>
        <v/>
      </c>
      <c r="I195" s="33" t="str">
        <f t="shared" si="8"/>
        <v/>
      </c>
      <c r="K195" s="27"/>
      <c r="L195" s="28">
        <f>SUMIFS(Dump!$D:$D,Dump!$B:$B,$C195,Dump!$A:$A,$V195)</f>
        <v>0</v>
      </c>
      <c r="M195" s="28">
        <f>SUMIFS(Dump!R:R,Dump!B:B,C195,Dump!A:A,V195)</f>
        <v>0</v>
      </c>
      <c r="N195" s="29">
        <f t="shared" si="10"/>
        <v>0</v>
      </c>
      <c r="P195" s="30">
        <f>SUMIFS(Dump!E:E,Dump!B:B,C195,Dump!A:A,V195)</f>
        <v>0</v>
      </c>
      <c r="Q195" s="31">
        <f t="shared" si="11"/>
        <v>0</v>
      </c>
      <c r="S195" s="30">
        <f>SUMIFS(Dump!P:P,Dump!B:B,C195,Dump!A:A,V195)</f>
        <v>0</v>
      </c>
      <c r="T195" s="31">
        <f t="shared" si="12"/>
        <v>0</v>
      </c>
      <c r="U195" s="34"/>
      <c r="V195" s="47"/>
    </row>
    <row r="196">
      <c r="C196" s="46"/>
      <c r="G196" s="1" t="str">
        <f t="shared" si="16"/>
        <v/>
      </c>
      <c r="I196" s="33" t="str">
        <f t="shared" si="8"/>
        <v/>
      </c>
      <c r="K196" s="27"/>
      <c r="L196" s="28">
        <f>SUMIFS(Dump!$D:$D,Dump!$B:$B,$C196,Dump!$A:$A,$V196)</f>
        <v>0</v>
      </c>
      <c r="M196" s="28">
        <f>SUMIFS(Dump!R:R,Dump!B:B,C196,Dump!A:A,V196)</f>
        <v>0</v>
      </c>
      <c r="N196" s="29">
        <f t="shared" si="10"/>
        <v>0</v>
      </c>
      <c r="P196" s="30">
        <f>SUMIFS(Dump!E:E,Dump!B:B,C196,Dump!A:A,V196)</f>
        <v>0</v>
      </c>
      <c r="Q196" s="31">
        <f t="shared" si="11"/>
        <v>0</v>
      </c>
      <c r="S196" s="30">
        <f>SUMIFS(Dump!P:P,Dump!B:B,C196,Dump!A:A,V196)</f>
        <v>0</v>
      </c>
      <c r="T196" s="31">
        <f t="shared" si="12"/>
        <v>0</v>
      </c>
      <c r="U196" s="34"/>
      <c r="V196" s="47"/>
    </row>
    <row r="197">
      <c r="C197" s="46"/>
      <c r="G197" s="1" t="str">
        <f t="shared" si="16"/>
        <v/>
      </c>
      <c r="I197" s="33" t="str">
        <f t="shared" si="8"/>
        <v/>
      </c>
      <c r="K197" s="27"/>
      <c r="L197" s="28">
        <f>SUMIFS(Dump!$D:$D,Dump!$B:$B,$C197,Dump!$A:$A,$V197)</f>
        <v>0</v>
      </c>
      <c r="M197" s="28">
        <f>SUMIFS(Dump!R:R,Dump!B:B,C197,Dump!A:A,V197)</f>
        <v>0</v>
      </c>
      <c r="N197" s="29">
        <f t="shared" si="10"/>
        <v>0</v>
      </c>
      <c r="P197" s="30">
        <f>SUMIFS(Dump!E:E,Dump!B:B,C197,Dump!A:A,V197)</f>
        <v>0</v>
      </c>
      <c r="Q197" s="31">
        <f t="shared" si="11"/>
        <v>0</v>
      </c>
      <c r="S197" s="30">
        <f>SUMIFS(Dump!P:P,Dump!B:B,C197,Dump!A:A,V197)</f>
        <v>0</v>
      </c>
      <c r="T197" s="31">
        <f t="shared" si="12"/>
        <v>0</v>
      </c>
      <c r="U197" s="34"/>
      <c r="V197" s="47"/>
    </row>
    <row r="198">
      <c r="C198" s="46"/>
      <c r="G198" s="1" t="str">
        <f t="shared" si="16"/>
        <v/>
      </c>
      <c r="I198" s="33" t="str">
        <f t="shared" si="8"/>
        <v/>
      </c>
      <c r="K198" s="27"/>
      <c r="L198" s="28">
        <f>SUMIFS(Dump!$D:$D,Dump!$B:$B,$C198,Dump!$A:$A,$V198)</f>
        <v>0</v>
      </c>
      <c r="M198" s="28">
        <f>SUMIFS(Dump!R:R,Dump!B:B,C198,Dump!A:A,V198)</f>
        <v>0</v>
      </c>
      <c r="N198" s="29">
        <f t="shared" si="10"/>
        <v>0</v>
      </c>
      <c r="P198" s="30">
        <f>SUMIFS(Dump!E:E,Dump!B:B,C198,Dump!A:A,V198)</f>
        <v>0</v>
      </c>
      <c r="Q198" s="31">
        <f t="shared" si="11"/>
        <v>0</v>
      </c>
      <c r="S198" s="30">
        <f>SUMIFS(Dump!P:P,Dump!B:B,C198,Dump!A:A,V198)</f>
        <v>0</v>
      </c>
      <c r="T198" s="31">
        <f t="shared" si="12"/>
        <v>0</v>
      </c>
      <c r="U198" s="34"/>
      <c r="V198" s="47"/>
    </row>
    <row r="199">
      <c r="C199" s="46"/>
      <c r="G199" s="1" t="str">
        <f t="shared" si="16"/>
        <v/>
      </c>
      <c r="I199" s="33" t="str">
        <f t="shared" si="8"/>
        <v/>
      </c>
      <c r="K199" s="27"/>
      <c r="L199" s="28">
        <f>SUMIFS(Dump!$D:$D,Dump!$B:$B,$C199,Dump!$A:$A,$V199)</f>
        <v>0</v>
      </c>
      <c r="M199" s="28">
        <f>SUMIFS(Dump!R:R,Dump!B:B,C199,Dump!A:A,V199)</f>
        <v>0</v>
      </c>
      <c r="N199" s="29">
        <f t="shared" si="10"/>
        <v>0</v>
      </c>
      <c r="P199" s="30">
        <f>SUMIFS(Dump!E:E,Dump!B:B,C199,Dump!A:A,V199)</f>
        <v>0</v>
      </c>
      <c r="Q199" s="31">
        <f t="shared" si="11"/>
        <v>0</v>
      </c>
      <c r="S199" s="30">
        <f>SUMIFS(Dump!P:P,Dump!B:B,C199,Dump!A:A,V199)</f>
        <v>0</v>
      </c>
      <c r="T199" s="31">
        <f t="shared" si="12"/>
        <v>0</v>
      </c>
      <c r="U199" s="34"/>
      <c r="V199" s="47"/>
    </row>
    <row r="200">
      <c r="C200" s="46"/>
      <c r="G200" s="1" t="str">
        <f t="shared" si="16"/>
        <v/>
      </c>
      <c r="I200" s="33" t="str">
        <f t="shared" si="8"/>
        <v/>
      </c>
      <c r="K200" s="27"/>
      <c r="L200" s="28">
        <f>SUMIFS(Dump!$D:$D,Dump!$B:$B,$C200,Dump!$A:$A,$V200)</f>
        <v>0</v>
      </c>
      <c r="M200" s="28">
        <f>SUMIFS(Dump!R:R,Dump!B:B,C200,Dump!A:A,V200)</f>
        <v>0</v>
      </c>
      <c r="N200" s="29">
        <f t="shared" si="10"/>
        <v>0</v>
      </c>
      <c r="P200" s="30">
        <f>SUMIFS(Dump!E:E,Dump!B:B,C200,Dump!A:A,V200)</f>
        <v>0</v>
      </c>
      <c r="Q200" s="31">
        <f t="shared" si="11"/>
        <v>0</v>
      </c>
      <c r="S200" s="30">
        <f>SUMIFS(Dump!P:P,Dump!B:B,C200,Dump!A:A,V200)</f>
        <v>0</v>
      </c>
      <c r="T200" s="31">
        <f t="shared" si="12"/>
        <v>0</v>
      </c>
      <c r="U200" s="34"/>
      <c r="V200" s="47"/>
    </row>
    <row r="201">
      <c r="C201" s="46"/>
      <c r="G201" s="1" t="str">
        <f t="shared" si="16"/>
        <v/>
      </c>
      <c r="I201" s="33" t="str">
        <f t="shared" si="8"/>
        <v/>
      </c>
      <c r="K201" s="27"/>
      <c r="L201" s="28">
        <f>SUMIFS(Dump!$D:$D,Dump!$B:$B,$C201,Dump!$A:$A,$V201)</f>
        <v>0</v>
      </c>
      <c r="M201" s="28">
        <f>SUMIFS(Dump!R:R,Dump!B:B,C201,Dump!A:A,V201)</f>
        <v>0</v>
      </c>
      <c r="N201" s="29">
        <f t="shared" si="10"/>
        <v>0</v>
      </c>
      <c r="P201" s="30">
        <f>SUMIFS(Dump!E:E,Dump!B:B,C201,Dump!A:A,V201)</f>
        <v>0</v>
      </c>
      <c r="Q201" s="31">
        <f t="shared" si="11"/>
        <v>0</v>
      </c>
      <c r="S201" s="30">
        <f>SUMIFS(Dump!P:P,Dump!B:B,C201,Dump!A:A,V201)</f>
        <v>0</v>
      </c>
      <c r="T201" s="31">
        <f t="shared" si="12"/>
        <v>0</v>
      </c>
      <c r="U201" s="34"/>
      <c r="V201" s="47"/>
    </row>
    <row r="202">
      <c r="C202" s="46"/>
      <c r="G202" s="1" t="str">
        <f t="shared" si="16"/>
        <v/>
      </c>
      <c r="I202" s="33" t="str">
        <f t="shared" si="8"/>
        <v/>
      </c>
      <c r="K202" s="27"/>
      <c r="L202" s="28">
        <f>SUMIFS(Dump!$D:$D,Dump!$B:$B,$C202,Dump!$A:$A,$V202)</f>
        <v>0</v>
      </c>
      <c r="M202" s="28">
        <f>SUMIFS(Dump!R:R,Dump!B:B,C202,Dump!A:A,V202)</f>
        <v>0</v>
      </c>
      <c r="N202" s="29">
        <f t="shared" si="10"/>
        <v>0</v>
      </c>
      <c r="P202" s="30">
        <f>SUMIFS(Dump!E:E,Dump!B:B,C202,Dump!A:A,V202)</f>
        <v>0</v>
      </c>
      <c r="Q202" s="31">
        <f t="shared" si="11"/>
        <v>0</v>
      </c>
      <c r="S202" s="30">
        <f>SUMIFS(Dump!P:P,Dump!B:B,C202,Dump!A:A,V202)</f>
        <v>0</v>
      </c>
      <c r="T202" s="31">
        <f t="shared" si="12"/>
        <v>0</v>
      </c>
      <c r="U202" s="34"/>
      <c r="V202" s="47"/>
    </row>
    <row r="203">
      <c r="C203" s="46"/>
      <c r="G203" s="1" t="str">
        <f t="shared" si="16"/>
        <v/>
      </c>
      <c r="I203" s="33" t="str">
        <f t="shared" si="8"/>
        <v/>
      </c>
      <c r="K203" s="27"/>
      <c r="L203" s="28">
        <f>SUMIFS(Dump!$D:$D,Dump!$B:$B,$C203,Dump!$A:$A,$V203)</f>
        <v>0</v>
      </c>
      <c r="M203" s="28">
        <f>SUMIFS(Dump!R:R,Dump!B:B,C203,Dump!A:A,V203)</f>
        <v>0</v>
      </c>
      <c r="N203" s="29">
        <f t="shared" si="10"/>
        <v>0</v>
      </c>
      <c r="P203" s="30">
        <f>SUMIFS(Dump!E:E,Dump!B:B,C203,Dump!A:A,V203)</f>
        <v>0</v>
      </c>
      <c r="Q203" s="31">
        <f t="shared" si="11"/>
        <v>0</v>
      </c>
      <c r="S203" s="30">
        <f>SUMIFS(Dump!P:P,Dump!B:B,C203,Dump!A:A,V203)</f>
        <v>0</v>
      </c>
      <c r="T203" s="31">
        <f t="shared" si="12"/>
        <v>0</v>
      </c>
      <c r="U203" s="34"/>
      <c r="V203" s="47"/>
    </row>
    <row r="204">
      <c r="C204" s="46"/>
      <c r="G204" s="1" t="str">
        <f t="shared" si="16"/>
        <v/>
      </c>
      <c r="I204" s="33" t="str">
        <f t="shared" si="8"/>
        <v/>
      </c>
      <c r="K204" s="27"/>
      <c r="L204" s="28">
        <f>SUMIFS(Dump!$D:$D,Dump!$B:$B,$C204,Dump!$A:$A,$V204)</f>
        <v>0</v>
      </c>
      <c r="M204" s="28">
        <f>SUMIFS(Dump!R:R,Dump!B:B,C204,Dump!A:A,V204)</f>
        <v>0</v>
      </c>
      <c r="N204" s="29">
        <f t="shared" si="10"/>
        <v>0</v>
      </c>
      <c r="P204" s="30">
        <f>SUMIFS(Dump!E:E,Dump!B:B,C204,Dump!A:A,V204)</f>
        <v>0</v>
      </c>
      <c r="Q204" s="31">
        <f t="shared" si="11"/>
        <v>0</v>
      </c>
      <c r="S204" s="30">
        <f>SUMIFS(Dump!P:P,Dump!B:B,C204,Dump!A:A,V204)</f>
        <v>0</v>
      </c>
      <c r="T204" s="31">
        <f t="shared" si="12"/>
        <v>0</v>
      </c>
      <c r="U204" s="34"/>
      <c r="V204" s="47"/>
    </row>
    <row r="205">
      <c r="C205" s="46"/>
      <c r="G205" s="1" t="str">
        <f t="shared" si="16"/>
        <v/>
      </c>
      <c r="I205" s="33" t="str">
        <f t="shared" si="8"/>
        <v/>
      </c>
      <c r="K205" s="27"/>
      <c r="L205" s="28">
        <f>SUMIFS(Dump!$D:$D,Dump!$B:$B,$C205,Dump!$A:$A,$V205)</f>
        <v>0</v>
      </c>
      <c r="M205" s="28">
        <f>SUMIFS(Dump!R:R,Dump!B:B,C205,Dump!A:A,V205)</f>
        <v>0</v>
      </c>
      <c r="N205" s="29">
        <f t="shared" si="10"/>
        <v>0</v>
      </c>
      <c r="P205" s="30">
        <f>SUMIFS(Dump!E:E,Dump!B:B,C205,Dump!A:A,V205)</f>
        <v>0</v>
      </c>
      <c r="Q205" s="31">
        <f t="shared" si="11"/>
        <v>0</v>
      </c>
      <c r="S205" s="30">
        <f>SUMIFS(Dump!P:P,Dump!B:B,C205,Dump!A:A,V205)</f>
        <v>0</v>
      </c>
      <c r="T205" s="31">
        <f t="shared" si="12"/>
        <v>0</v>
      </c>
      <c r="U205" s="34"/>
      <c r="V205" s="47"/>
    </row>
    <row r="206">
      <c r="C206" s="46"/>
      <c r="G206" s="1" t="str">
        <f t="shared" si="16"/>
        <v/>
      </c>
      <c r="I206" s="33" t="str">
        <f t="shared" si="8"/>
        <v/>
      </c>
      <c r="K206" s="27"/>
      <c r="L206" s="28">
        <f>SUMIFS(Dump!$D:$D,Dump!$B:$B,$C206,Dump!$A:$A,$V206)</f>
        <v>0</v>
      </c>
      <c r="M206" s="28">
        <f>SUMIFS(Dump!R:R,Dump!B:B,C206,Dump!A:A,V206)</f>
        <v>0</v>
      </c>
      <c r="N206" s="29">
        <f t="shared" si="10"/>
        <v>0</v>
      </c>
      <c r="P206" s="30">
        <f>SUMIFS(Dump!E:E,Dump!B:B,C206,Dump!A:A,V206)</f>
        <v>0</v>
      </c>
      <c r="Q206" s="31">
        <f t="shared" si="11"/>
        <v>0</v>
      </c>
      <c r="S206" s="30">
        <f>SUMIFS(Dump!P:P,Dump!B:B,C206,Dump!A:A,V206)</f>
        <v>0</v>
      </c>
      <c r="T206" s="31">
        <f t="shared" si="12"/>
        <v>0</v>
      </c>
      <c r="U206" s="34"/>
      <c r="V206" s="47"/>
    </row>
    <row r="207">
      <c r="C207" s="46"/>
      <c r="G207" s="1" t="str">
        <f t="shared" si="16"/>
        <v/>
      </c>
      <c r="I207" s="33" t="str">
        <f t="shared" si="8"/>
        <v/>
      </c>
      <c r="K207" s="27"/>
      <c r="L207" s="28">
        <f>SUMIFS(Dump!$D:$D,Dump!$B:$B,$C207,Dump!$A:$A,$V207)</f>
        <v>0</v>
      </c>
      <c r="M207" s="28">
        <f>SUMIFS(Dump!R:R,Dump!B:B,C207,Dump!A:A,V207)</f>
        <v>0</v>
      </c>
      <c r="N207" s="29">
        <f t="shared" si="10"/>
        <v>0</v>
      </c>
      <c r="P207" s="30">
        <f>SUMIFS(Dump!E:E,Dump!B:B,C207,Dump!A:A,V207)</f>
        <v>0</v>
      </c>
      <c r="Q207" s="31">
        <f t="shared" si="11"/>
        <v>0</v>
      </c>
      <c r="S207" s="30">
        <f>SUMIFS(Dump!P:P,Dump!B:B,C207,Dump!A:A,V207)</f>
        <v>0</v>
      </c>
      <c r="T207" s="31">
        <f t="shared" si="12"/>
        <v>0</v>
      </c>
      <c r="U207" s="34"/>
      <c r="V207" s="47"/>
    </row>
    <row r="208">
      <c r="C208" s="46"/>
      <c r="G208" s="1" t="str">
        <f t="shared" si="16"/>
        <v/>
      </c>
      <c r="I208" s="33" t="str">
        <f t="shared" si="8"/>
        <v/>
      </c>
      <c r="K208" s="27"/>
      <c r="L208" s="28">
        <f>SUMIFS(Dump!$D:$D,Dump!$B:$B,$C208,Dump!$A:$A,$V208)</f>
        <v>0</v>
      </c>
      <c r="M208" s="28">
        <f>SUMIFS(Dump!R:R,Dump!B:B,C208,Dump!A:A,V208)</f>
        <v>0</v>
      </c>
      <c r="N208" s="29">
        <f t="shared" si="10"/>
        <v>0</v>
      </c>
      <c r="P208" s="30">
        <f>SUMIFS(Dump!E:E,Dump!B:B,C208,Dump!A:A,V208)</f>
        <v>0</v>
      </c>
      <c r="Q208" s="31">
        <f t="shared" si="11"/>
        <v>0</v>
      </c>
      <c r="S208" s="30">
        <f>SUMIFS(Dump!P:P,Dump!B:B,C208,Dump!A:A,V208)</f>
        <v>0</v>
      </c>
      <c r="T208" s="31">
        <f t="shared" si="12"/>
        <v>0</v>
      </c>
      <c r="U208" s="34"/>
      <c r="V208" s="47"/>
    </row>
    <row r="209">
      <c r="C209" s="46"/>
      <c r="G209" s="1" t="str">
        <f t="shared" si="16"/>
        <v/>
      </c>
      <c r="I209" s="33" t="str">
        <f t="shared" si="8"/>
        <v/>
      </c>
      <c r="K209" s="27"/>
      <c r="L209" s="28">
        <f>SUMIFS(Dump!$D:$D,Dump!$B:$B,$C209,Dump!$A:$A,$V209)</f>
        <v>0</v>
      </c>
      <c r="M209" s="28">
        <f>SUMIFS(Dump!R:R,Dump!B:B,C209,Dump!A:A,V209)</f>
        <v>0</v>
      </c>
      <c r="N209" s="29">
        <f t="shared" si="10"/>
        <v>0</v>
      </c>
      <c r="P209" s="30">
        <f>SUMIFS(Dump!E:E,Dump!B:B,C209,Dump!A:A,V209)</f>
        <v>0</v>
      </c>
      <c r="Q209" s="31">
        <f t="shared" si="11"/>
        <v>0</v>
      </c>
      <c r="S209" s="30">
        <f>SUMIFS(Dump!P:P,Dump!B:B,C209,Dump!A:A,V209)</f>
        <v>0</v>
      </c>
      <c r="T209" s="31">
        <f t="shared" si="12"/>
        <v>0</v>
      </c>
      <c r="U209" s="34"/>
      <c r="V209" s="47"/>
    </row>
    <row r="210">
      <c r="C210" s="46"/>
      <c r="G210" s="1" t="str">
        <f t="shared" si="16"/>
        <v/>
      </c>
      <c r="I210" s="33" t="str">
        <f t="shared" si="8"/>
        <v/>
      </c>
      <c r="K210" s="27"/>
      <c r="L210" s="28">
        <f>SUMIFS(Dump!$D:$D,Dump!$B:$B,$C210,Dump!$A:$A,$V210)</f>
        <v>0</v>
      </c>
      <c r="M210" s="28">
        <f>SUMIFS(Dump!R:R,Dump!B:B,C210,Dump!A:A,V210)</f>
        <v>0</v>
      </c>
      <c r="N210" s="29">
        <f t="shared" si="10"/>
        <v>0</v>
      </c>
      <c r="P210" s="30">
        <f>SUMIFS(Dump!E:E,Dump!B:B,C210,Dump!A:A,V210)</f>
        <v>0</v>
      </c>
      <c r="Q210" s="31">
        <f t="shared" si="11"/>
        <v>0</v>
      </c>
      <c r="S210" s="30">
        <f>SUMIFS(Dump!P:P,Dump!B:B,C210,Dump!A:A,V210)</f>
        <v>0</v>
      </c>
      <c r="T210" s="31">
        <f t="shared" si="12"/>
        <v>0</v>
      </c>
      <c r="U210" s="34"/>
      <c r="V210" s="47"/>
    </row>
    <row r="211">
      <c r="C211" s="46"/>
      <c r="G211" s="1" t="str">
        <f t="shared" si="16"/>
        <v/>
      </c>
      <c r="I211" s="33" t="str">
        <f t="shared" si="8"/>
        <v/>
      </c>
      <c r="K211" s="27"/>
      <c r="L211" s="28">
        <f>SUMIFS(Dump!$D:$D,Dump!$B:$B,$C211,Dump!$A:$A,$V211)</f>
        <v>0</v>
      </c>
      <c r="M211" s="28">
        <f>SUMIFS(Dump!R:R,Dump!B:B,C211,Dump!A:A,V211)</f>
        <v>0</v>
      </c>
      <c r="N211" s="29">
        <f t="shared" si="10"/>
        <v>0</v>
      </c>
      <c r="P211" s="30">
        <f>SUMIFS(Dump!E:E,Dump!B:B,C211,Dump!A:A,V211)</f>
        <v>0</v>
      </c>
      <c r="Q211" s="31">
        <f t="shared" si="11"/>
        <v>0</v>
      </c>
      <c r="S211" s="30">
        <f>SUMIFS(Dump!P:P,Dump!B:B,C211,Dump!A:A,V211)</f>
        <v>0</v>
      </c>
      <c r="T211" s="31">
        <f t="shared" si="12"/>
        <v>0</v>
      </c>
      <c r="U211" s="34"/>
      <c r="V211" s="47"/>
    </row>
    <row r="212">
      <c r="C212" s="46"/>
      <c r="G212" s="1" t="str">
        <f t="shared" si="16"/>
        <v/>
      </c>
      <c r="I212" s="33" t="str">
        <f t="shared" si="8"/>
        <v/>
      </c>
      <c r="K212" s="27"/>
      <c r="L212" s="28">
        <f>SUMIFS(Dump!$D:$D,Dump!$B:$B,$C212,Dump!$A:$A,$V212)</f>
        <v>0</v>
      </c>
      <c r="M212" s="28">
        <f>SUMIFS(Dump!R:R,Dump!B:B,C212,Dump!A:A,V212)</f>
        <v>0</v>
      </c>
      <c r="N212" s="29">
        <f t="shared" si="10"/>
        <v>0</v>
      </c>
      <c r="P212" s="30">
        <f>SUMIFS(Dump!E:E,Dump!B:B,C212,Dump!A:A,V212)</f>
        <v>0</v>
      </c>
      <c r="Q212" s="31">
        <f t="shared" si="11"/>
        <v>0</v>
      </c>
      <c r="S212" s="30">
        <f>SUMIFS(Dump!P:P,Dump!B:B,C212,Dump!A:A,V212)</f>
        <v>0</v>
      </c>
      <c r="T212" s="31">
        <f t="shared" si="12"/>
        <v>0</v>
      </c>
      <c r="U212" s="34"/>
      <c r="V212" s="47"/>
    </row>
    <row r="213">
      <c r="C213" s="46"/>
      <c r="G213" s="1" t="str">
        <f t="shared" si="16"/>
        <v/>
      </c>
      <c r="I213" s="33" t="str">
        <f t="shared" si="8"/>
        <v/>
      </c>
      <c r="K213" s="27"/>
      <c r="L213" s="28">
        <f>SUMIFS(Dump!$D:$D,Dump!$B:$B,$C213,Dump!$A:$A,$V213)</f>
        <v>0</v>
      </c>
      <c r="M213" s="28">
        <f>SUMIFS(Dump!R:R,Dump!B:B,C213,Dump!A:A,V213)</f>
        <v>0</v>
      </c>
      <c r="N213" s="29">
        <f t="shared" si="10"/>
        <v>0</v>
      </c>
      <c r="P213" s="30">
        <f>SUMIFS(Dump!E:E,Dump!B:B,C213,Dump!A:A,V213)</f>
        <v>0</v>
      </c>
      <c r="Q213" s="31">
        <f t="shared" si="11"/>
        <v>0</v>
      </c>
      <c r="S213" s="30">
        <f>SUMIFS(Dump!P:P,Dump!B:B,C213,Dump!A:A,V213)</f>
        <v>0</v>
      </c>
      <c r="T213" s="31">
        <f t="shared" si="12"/>
        <v>0</v>
      </c>
      <c r="U213" s="34"/>
      <c r="V213" s="47"/>
    </row>
    <row r="214">
      <c r="C214" s="46"/>
      <c r="G214" s="1" t="str">
        <f t="shared" si="16"/>
        <v/>
      </c>
      <c r="I214" s="33" t="str">
        <f t="shared" si="8"/>
        <v/>
      </c>
      <c r="K214" s="27"/>
      <c r="L214" s="28">
        <f>SUMIFS(Dump!$D:$D,Dump!$B:$B,$C214,Dump!$A:$A,$V214)</f>
        <v>0</v>
      </c>
      <c r="M214" s="28">
        <f>SUMIFS(Dump!R:R,Dump!B:B,C214,Dump!A:A,V214)</f>
        <v>0</v>
      </c>
      <c r="N214" s="29">
        <f t="shared" si="10"/>
        <v>0</v>
      </c>
      <c r="P214" s="30">
        <f>SUMIFS(Dump!E:E,Dump!B:B,C214,Dump!A:A,V214)</f>
        <v>0</v>
      </c>
      <c r="Q214" s="31">
        <f t="shared" si="11"/>
        <v>0</v>
      </c>
      <c r="S214" s="30">
        <f>SUMIFS(Dump!P:P,Dump!B:B,C214,Dump!A:A,V214)</f>
        <v>0</v>
      </c>
      <c r="T214" s="31">
        <f t="shared" si="12"/>
        <v>0</v>
      </c>
      <c r="U214" s="34"/>
      <c r="V214" s="47"/>
    </row>
    <row r="215">
      <c r="C215" s="46"/>
      <c r="G215" s="1" t="str">
        <f t="shared" si="16"/>
        <v/>
      </c>
      <c r="I215" s="33" t="str">
        <f t="shared" si="8"/>
        <v/>
      </c>
      <c r="K215" s="27"/>
      <c r="L215" s="28">
        <f>SUMIFS(Dump!$D:$D,Dump!$B:$B,$C215,Dump!$A:$A,$V215)</f>
        <v>0</v>
      </c>
      <c r="M215" s="28">
        <f>SUMIFS(Dump!R:R,Dump!B:B,C215,Dump!A:A,V215)</f>
        <v>0</v>
      </c>
      <c r="N215" s="29">
        <f t="shared" si="10"/>
        <v>0</v>
      </c>
      <c r="P215" s="30">
        <f>SUMIFS(Dump!E:E,Dump!B:B,C215,Dump!A:A,V215)</f>
        <v>0</v>
      </c>
      <c r="Q215" s="31">
        <f t="shared" si="11"/>
        <v>0</v>
      </c>
      <c r="S215" s="30">
        <f>SUMIFS(Dump!P:P,Dump!B:B,C215,Dump!A:A,V215)</f>
        <v>0</v>
      </c>
      <c r="T215" s="31">
        <f t="shared" si="12"/>
        <v>0</v>
      </c>
      <c r="U215" s="34"/>
      <c r="V215" s="47"/>
    </row>
    <row r="216">
      <c r="C216" s="46"/>
      <c r="G216" s="1" t="str">
        <f t="shared" si="16"/>
        <v/>
      </c>
      <c r="I216" s="33" t="str">
        <f t="shared" si="8"/>
        <v/>
      </c>
      <c r="K216" s="27"/>
      <c r="L216" s="28">
        <f>SUMIFS(Dump!$D:$D,Dump!$B:$B,$C216,Dump!$A:$A,$V216)</f>
        <v>0</v>
      </c>
      <c r="M216" s="28">
        <f>SUMIFS(Dump!R:R,Dump!B:B,C216,Dump!A:A,V216)</f>
        <v>0</v>
      </c>
      <c r="N216" s="29">
        <f t="shared" si="10"/>
        <v>0</v>
      </c>
      <c r="P216" s="30">
        <f>SUMIFS(Dump!E:E,Dump!B:B,C216,Dump!A:A,V216)</f>
        <v>0</v>
      </c>
      <c r="Q216" s="31">
        <f t="shared" si="11"/>
        <v>0</v>
      </c>
      <c r="S216" s="30">
        <f>SUMIFS(Dump!P:P,Dump!B:B,C216,Dump!A:A,V216)</f>
        <v>0</v>
      </c>
      <c r="T216" s="31">
        <f t="shared" si="12"/>
        <v>0</v>
      </c>
      <c r="U216" s="34"/>
      <c r="V216" s="47"/>
    </row>
    <row r="217">
      <c r="C217" s="46"/>
      <c r="G217" s="1" t="str">
        <f t="shared" si="16"/>
        <v/>
      </c>
      <c r="I217" s="33" t="str">
        <f t="shared" si="8"/>
        <v/>
      </c>
      <c r="K217" s="27"/>
      <c r="L217" s="28">
        <f>SUMIFS(Dump!$D:$D,Dump!$B:$B,$C217,Dump!$A:$A,$V217)</f>
        <v>0</v>
      </c>
      <c r="M217" s="28">
        <f>SUMIFS(Dump!R:R,Dump!B:B,C217,Dump!A:A,V217)</f>
        <v>0</v>
      </c>
      <c r="N217" s="29">
        <f t="shared" si="10"/>
        <v>0</v>
      </c>
      <c r="P217" s="30">
        <f>SUMIFS(Dump!E:E,Dump!B:B,C217,Dump!A:A,V217)</f>
        <v>0</v>
      </c>
      <c r="Q217" s="31">
        <f t="shared" si="11"/>
        <v>0</v>
      </c>
      <c r="S217" s="30">
        <f>SUMIFS(Dump!P:P,Dump!B:B,C217,Dump!A:A,V217)</f>
        <v>0</v>
      </c>
      <c r="T217" s="31">
        <f t="shared" si="12"/>
        <v>0</v>
      </c>
      <c r="U217" s="34"/>
      <c r="V217" s="47"/>
    </row>
    <row r="218">
      <c r="C218" s="46"/>
      <c r="G218" s="1" t="str">
        <f t="shared" si="16"/>
        <v/>
      </c>
      <c r="I218" s="33" t="str">
        <f t="shared" si="8"/>
        <v/>
      </c>
      <c r="K218" s="27"/>
      <c r="L218" s="28">
        <f>SUMIFS(Dump!$D:$D,Dump!$B:$B,$C218,Dump!$A:$A,$V218)</f>
        <v>0</v>
      </c>
      <c r="M218" s="28">
        <f>SUMIFS(Dump!R:R,Dump!B:B,C218,Dump!A:A,V218)</f>
        <v>0</v>
      </c>
      <c r="N218" s="29">
        <f t="shared" si="10"/>
        <v>0</v>
      </c>
      <c r="P218" s="30">
        <f>SUMIFS(Dump!E:E,Dump!B:B,C218,Dump!A:A,V218)</f>
        <v>0</v>
      </c>
      <c r="Q218" s="31">
        <f t="shared" si="11"/>
        <v>0</v>
      </c>
      <c r="S218" s="30">
        <f>SUMIFS(Dump!P:P,Dump!B:B,C218,Dump!A:A,V218)</f>
        <v>0</v>
      </c>
      <c r="T218" s="31">
        <f t="shared" si="12"/>
        <v>0</v>
      </c>
      <c r="U218" s="34"/>
      <c r="V218" s="47"/>
    </row>
    <row r="219">
      <c r="C219" s="46"/>
      <c r="G219" s="1" t="str">
        <f t="shared" si="16"/>
        <v/>
      </c>
      <c r="I219" s="33" t="str">
        <f t="shared" si="8"/>
        <v/>
      </c>
      <c r="K219" s="27"/>
      <c r="L219" s="28">
        <f>SUMIFS(Dump!$D:$D,Dump!$B:$B,$C219,Dump!$A:$A,$V219)</f>
        <v>0</v>
      </c>
      <c r="M219" s="28">
        <f>SUMIFS(Dump!R:R,Dump!B:B,C219,Dump!A:A,V219)</f>
        <v>0</v>
      </c>
      <c r="N219" s="29">
        <f t="shared" si="10"/>
        <v>0</v>
      </c>
      <c r="P219" s="30">
        <f>SUMIFS(Dump!E:E,Dump!B:B,C219,Dump!A:A,V219)</f>
        <v>0</v>
      </c>
      <c r="Q219" s="31">
        <f t="shared" si="11"/>
        <v>0</v>
      </c>
      <c r="S219" s="30">
        <f>SUMIFS(Dump!P:P,Dump!B:B,C219,Dump!A:A,V219)</f>
        <v>0</v>
      </c>
      <c r="T219" s="31">
        <f t="shared" si="12"/>
        <v>0</v>
      </c>
      <c r="U219" s="34"/>
      <c r="V219" s="47"/>
    </row>
    <row r="220">
      <c r="C220" s="46"/>
      <c r="G220" s="1" t="str">
        <f t="shared" si="16"/>
        <v/>
      </c>
      <c r="I220" s="33" t="str">
        <f t="shared" si="8"/>
        <v/>
      </c>
      <c r="K220" s="27"/>
      <c r="L220" s="28">
        <f>SUMIFS(Dump!$D:$D,Dump!$B:$B,$C220,Dump!$A:$A,$V220)</f>
        <v>0</v>
      </c>
      <c r="M220" s="28">
        <f>SUMIFS(Dump!R:R,Dump!B:B,C220,Dump!A:A,V220)</f>
        <v>0</v>
      </c>
      <c r="N220" s="29">
        <f t="shared" si="10"/>
        <v>0</v>
      </c>
      <c r="P220" s="30">
        <f>SUMIFS(Dump!E:E,Dump!B:B,C220,Dump!A:A,V220)</f>
        <v>0</v>
      </c>
      <c r="Q220" s="31">
        <f t="shared" si="11"/>
        <v>0</v>
      </c>
      <c r="S220" s="30">
        <f>SUMIFS(Dump!P:P,Dump!B:B,C220,Dump!A:A,V220)</f>
        <v>0</v>
      </c>
      <c r="T220" s="31">
        <f t="shared" si="12"/>
        <v>0</v>
      </c>
      <c r="U220" s="34"/>
      <c r="V220" s="47"/>
    </row>
    <row r="221">
      <c r="C221" s="46"/>
      <c r="G221" s="1" t="str">
        <f t="shared" si="16"/>
        <v/>
      </c>
      <c r="I221" s="33" t="str">
        <f t="shared" si="8"/>
        <v/>
      </c>
      <c r="K221" s="27"/>
      <c r="L221" s="28">
        <f>SUMIFS(Dump!$D:$D,Dump!$B:$B,$C221,Dump!$A:$A,$V221)</f>
        <v>0</v>
      </c>
      <c r="M221" s="28">
        <f>SUMIFS(Dump!R:R,Dump!B:B,C221,Dump!A:A,V221)</f>
        <v>0</v>
      </c>
      <c r="N221" s="29">
        <f t="shared" si="10"/>
        <v>0</v>
      </c>
      <c r="P221" s="30">
        <f>SUMIFS(Dump!E:E,Dump!B:B,C221,Dump!A:A,V221)</f>
        <v>0</v>
      </c>
      <c r="Q221" s="31">
        <f t="shared" si="11"/>
        <v>0</v>
      </c>
      <c r="S221" s="30">
        <f>SUMIFS(Dump!P:P,Dump!B:B,C221,Dump!A:A,V221)</f>
        <v>0</v>
      </c>
      <c r="T221" s="31">
        <f t="shared" si="12"/>
        <v>0</v>
      </c>
      <c r="U221" s="34"/>
      <c r="V221" s="47"/>
    </row>
    <row r="222">
      <c r="C222" s="46"/>
      <c r="G222" s="1" t="str">
        <f t="shared" si="16"/>
        <v/>
      </c>
      <c r="I222" s="33" t="str">
        <f t="shared" si="8"/>
        <v/>
      </c>
      <c r="K222" s="27"/>
      <c r="L222" s="28">
        <f>SUMIFS(Dump!$D:$D,Dump!$B:$B,$C222,Dump!$A:$A,$V222)</f>
        <v>0</v>
      </c>
      <c r="M222" s="28">
        <f>SUMIFS(Dump!R:R,Dump!B:B,C222,Dump!A:A,V222)</f>
        <v>0</v>
      </c>
      <c r="N222" s="29">
        <f t="shared" si="10"/>
        <v>0</v>
      </c>
      <c r="P222" s="30">
        <f>SUMIFS(Dump!E:E,Dump!B:B,C222,Dump!A:A,V222)</f>
        <v>0</v>
      </c>
      <c r="Q222" s="31">
        <f t="shared" si="11"/>
        <v>0</v>
      </c>
      <c r="S222" s="30">
        <f>SUMIFS(Dump!P:P,Dump!B:B,C222,Dump!A:A,V222)</f>
        <v>0</v>
      </c>
      <c r="T222" s="31">
        <f t="shared" si="12"/>
        <v>0</v>
      </c>
      <c r="U222" s="34"/>
      <c r="V222" s="47"/>
    </row>
    <row r="223">
      <c r="C223" s="46"/>
      <c r="G223" s="1" t="str">
        <f t="shared" si="16"/>
        <v/>
      </c>
      <c r="I223" s="33" t="str">
        <f t="shared" si="8"/>
        <v/>
      </c>
      <c r="K223" s="27"/>
      <c r="L223" s="28">
        <f>SUMIFS(Dump!$D:$D,Dump!$B:$B,$C223,Dump!$A:$A,$V223)</f>
        <v>0</v>
      </c>
      <c r="M223" s="28">
        <f>SUMIFS(Dump!R:R,Dump!B:B,C223,Dump!A:A,V223)</f>
        <v>0</v>
      </c>
      <c r="N223" s="29">
        <f t="shared" si="10"/>
        <v>0</v>
      </c>
      <c r="P223" s="30">
        <f>SUMIFS(Dump!E:E,Dump!B:B,C223,Dump!A:A,V223)</f>
        <v>0</v>
      </c>
      <c r="Q223" s="31">
        <f t="shared" si="11"/>
        <v>0</v>
      </c>
      <c r="S223" s="30">
        <f>SUMIFS(Dump!P:P,Dump!B:B,C223,Dump!A:A,V223)</f>
        <v>0</v>
      </c>
      <c r="T223" s="31">
        <f t="shared" si="12"/>
        <v>0</v>
      </c>
      <c r="U223" s="34"/>
      <c r="V223" s="47"/>
    </row>
    <row r="224">
      <c r="C224" s="46"/>
      <c r="G224" s="1" t="str">
        <f t="shared" si="16"/>
        <v/>
      </c>
      <c r="I224" s="33" t="str">
        <f t="shared" si="8"/>
        <v/>
      </c>
      <c r="K224" s="27"/>
      <c r="L224" s="28">
        <f>SUMIFS(Dump!$D:$D,Dump!$B:$B,$C224,Dump!$A:$A,$V224)</f>
        <v>0</v>
      </c>
      <c r="M224" s="28">
        <f>SUMIFS(Dump!R:R,Dump!B:B,C224,Dump!A:A,V224)</f>
        <v>0</v>
      </c>
      <c r="N224" s="29">
        <f t="shared" si="10"/>
        <v>0</v>
      </c>
      <c r="P224" s="30">
        <f>SUMIFS(Dump!E:E,Dump!B:B,C224,Dump!A:A,V224)</f>
        <v>0</v>
      </c>
      <c r="Q224" s="31">
        <f t="shared" si="11"/>
        <v>0</v>
      </c>
      <c r="S224" s="30">
        <f>SUMIFS(Dump!P:P,Dump!B:B,C224,Dump!A:A,V224)</f>
        <v>0</v>
      </c>
      <c r="T224" s="31">
        <f t="shared" si="12"/>
        <v>0</v>
      </c>
      <c r="U224" s="34"/>
      <c r="V224" s="47"/>
    </row>
    <row r="225">
      <c r="C225" s="46"/>
      <c r="G225" s="1" t="str">
        <f t="shared" si="16"/>
        <v/>
      </c>
      <c r="I225" s="33" t="str">
        <f t="shared" si="8"/>
        <v/>
      </c>
      <c r="K225" s="27"/>
      <c r="L225" s="28">
        <f>SUMIFS(Dump!$D:$D,Dump!$B:$B,$C225,Dump!$A:$A,$V225)</f>
        <v>0</v>
      </c>
      <c r="M225" s="28">
        <f>SUMIFS(Dump!R:R,Dump!B:B,C225,Dump!A:A,V225)</f>
        <v>0</v>
      </c>
      <c r="N225" s="29">
        <f t="shared" si="10"/>
        <v>0</v>
      </c>
      <c r="P225" s="30">
        <f>SUMIFS(Dump!E:E,Dump!B:B,C225,Dump!A:A,V225)</f>
        <v>0</v>
      </c>
      <c r="Q225" s="31">
        <f t="shared" si="11"/>
        <v>0</v>
      </c>
      <c r="S225" s="30">
        <f>SUMIFS(Dump!P:P,Dump!B:B,C225,Dump!A:A,V225)</f>
        <v>0</v>
      </c>
      <c r="T225" s="31">
        <f t="shared" si="12"/>
        <v>0</v>
      </c>
      <c r="U225" s="34"/>
      <c r="V225" s="47"/>
    </row>
    <row r="226">
      <c r="C226" s="46"/>
      <c r="G226" s="1" t="str">
        <f t="shared" si="16"/>
        <v/>
      </c>
      <c r="I226" s="33" t="str">
        <f t="shared" si="8"/>
        <v/>
      </c>
      <c r="K226" s="27"/>
      <c r="L226" s="28">
        <f>SUMIFS(Dump!$D:$D,Dump!$B:$B,$C226,Dump!$A:$A,$V226)</f>
        <v>0</v>
      </c>
      <c r="M226" s="28">
        <f>SUMIFS(Dump!R:R,Dump!B:B,C226,Dump!A:A,V226)</f>
        <v>0</v>
      </c>
      <c r="N226" s="29">
        <f t="shared" si="10"/>
        <v>0</v>
      </c>
      <c r="P226" s="30">
        <f>SUMIFS(Dump!E:E,Dump!B:B,C226,Dump!A:A,V226)</f>
        <v>0</v>
      </c>
      <c r="Q226" s="31">
        <f t="shared" si="11"/>
        <v>0</v>
      </c>
      <c r="S226" s="30">
        <f>SUMIFS(Dump!P:P,Dump!B:B,C226,Dump!A:A,V226)</f>
        <v>0</v>
      </c>
      <c r="T226" s="31">
        <f t="shared" si="12"/>
        <v>0</v>
      </c>
      <c r="U226" s="34"/>
      <c r="V226" s="47"/>
    </row>
    <row r="227">
      <c r="C227" s="46"/>
      <c r="G227" s="1" t="str">
        <f t="shared" si="16"/>
        <v/>
      </c>
      <c r="I227" s="33" t="str">
        <f t="shared" si="8"/>
        <v/>
      </c>
      <c r="K227" s="27"/>
      <c r="L227" s="28">
        <f>SUMIFS(Dump!$D:$D,Dump!$B:$B,$C227,Dump!$A:$A,$V227)</f>
        <v>0</v>
      </c>
      <c r="M227" s="28">
        <f>SUMIFS(Dump!R:R,Dump!B:B,C227,Dump!A:A,V227)</f>
        <v>0</v>
      </c>
      <c r="N227" s="29">
        <f t="shared" si="10"/>
        <v>0</v>
      </c>
      <c r="P227" s="30">
        <f>SUMIFS(Dump!E:E,Dump!B:B,C227,Dump!A:A,V227)</f>
        <v>0</v>
      </c>
      <c r="Q227" s="31">
        <f t="shared" si="11"/>
        <v>0</v>
      </c>
      <c r="S227" s="30">
        <f>SUMIFS(Dump!P:P,Dump!B:B,C227,Dump!A:A,V227)</f>
        <v>0</v>
      </c>
      <c r="T227" s="31">
        <f t="shared" si="12"/>
        <v>0</v>
      </c>
      <c r="U227" s="34"/>
      <c r="V227" s="47"/>
    </row>
    <row r="228">
      <c r="C228" s="46"/>
      <c r="G228" s="1" t="str">
        <f t="shared" si="16"/>
        <v/>
      </c>
      <c r="I228" s="33" t="str">
        <f t="shared" si="8"/>
        <v/>
      </c>
      <c r="K228" s="27"/>
      <c r="L228" s="28">
        <f>SUMIFS(Dump!$D:$D,Dump!$B:$B,$C228,Dump!$A:$A,$V228)</f>
        <v>0</v>
      </c>
      <c r="M228" s="28">
        <f>SUMIFS(Dump!R:R,Dump!B:B,C228,Dump!A:A,V228)</f>
        <v>0</v>
      </c>
      <c r="N228" s="29">
        <f t="shared" si="10"/>
        <v>0</v>
      </c>
      <c r="P228" s="30">
        <f>SUMIFS(Dump!E:E,Dump!B:B,C228,Dump!A:A,V228)</f>
        <v>0</v>
      </c>
      <c r="Q228" s="31">
        <f t="shared" si="11"/>
        <v>0</v>
      </c>
      <c r="S228" s="30">
        <f>SUMIFS(Dump!P:P,Dump!B:B,C228,Dump!A:A,V228)</f>
        <v>0</v>
      </c>
      <c r="T228" s="31">
        <f t="shared" si="12"/>
        <v>0</v>
      </c>
      <c r="U228" s="34"/>
      <c r="V228" s="47"/>
    </row>
    <row r="229">
      <c r="C229" s="46"/>
      <c r="G229" s="1" t="str">
        <f t="shared" si="16"/>
        <v/>
      </c>
      <c r="I229" s="33" t="str">
        <f t="shared" si="8"/>
        <v/>
      </c>
      <c r="K229" s="27"/>
      <c r="L229" s="28">
        <f>SUMIFS(Dump!$D:$D,Dump!$B:$B,$C229,Dump!$A:$A,$V229)</f>
        <v>0</v>
      </c>
      <c r="M229" s="28">
        <f>SUMIFS(Dump!R:R,Dump!B:B,C229,Dump!A:A,V229)</f>
        <v>0</v>
      </c>
      <c r="N229" s="29">
        <f t="shared" si="10"/>
        <v>0</v>
      </c>
      <c r="P229" s="30">
        <f>SUMIFS(Dump!E:E,Dump!B:B,C229,Dump!A:A,V229)</f>
        <v>0</v>
      </c>
      <c r="Q229" s="31">
        <f t="shared" si="11"/>
        <v>0</v>
      </c>
      <c r="S229" s="30">
        <f>SUMIFS(Dump!P:P,Dump!B:B,C229,Dump!A:A,V229)</f>
        <v>0</v>
      </c>
      <c r="T229" s="31">
        <f t="shared" si="12"/>
        <v>0</v>
      </c>
      <c r="U229" s="34"/>
      <c r="V229" s="47"/>
    </row>
    <row r="230">
      <c r="C230" s="46"/>
      <c r="G230" s="1" t="str">
        <f t="shared" si="16"/>
        <v/>
      </c>
      <c r="I230" s="33" t="str">
        <f t="shared" si="8"/>
        <v/>
      </c>
      <c r="K230" s="27"/>
      <c r="L230" s="28">
        <f>SUMIFS(Dump!$D:$D,Dump!$B:$B,$C230,Dump!$A:$A,$V230)</f>
        <v>0</v>
      </c>
      <c r="M230" s="28">
        <f>SUMIFS(Dump!R:R,Dump!B:B,C230,Dump!A:A,V230)</f>
        <v>0</v>
      </c>
      <c r="N230" s="29">
        <f t="shared" si="10"/>
        <v>0</v>
      </c>
      <c r="P230" s="30">
        <f>SUMIFS(Dump!E:E,Dump!B:B,C230,Dump!A:A,V230)</f>
        <v>0</v>
      </c>
      <c r="Q230" s="31">
        <f t="shared" si="11"/>
        <v>0</v>
      </c>
      <c r="S230" s="30">
        <f>SUMIFS(Dump!P:P,Dump!B:B,C230,Dump!A:A,V230)</f>
        <v>0</v>
      </c>
      <c r="T230" s="31">
        <f t="shared" si="12"/>
        <v>0</v>
      </c>
      <c r="U230" s="34"/>
      <c r="V230" s="47"/>
    </row>
    <row r="231">
      <c r="C231" s="46"/>
      <c r="G231" s="1" t="str">
        <f t="shared" si="16"/>
        <v/>
      </c>
      <c r="I231" s="33" t="str">
        <f t="shared" si="8"/>
        <v/>
      </c>
      <c r="K231" s="27"/>
      <c r="L231" s="28">
        <f>SUMIFS(Dump!$D:$D,Dump!$B:$B,$C231,Dump!$A:$A,$V231)</f>
        <v>0</v>
      </c>
      <c r="M231" s="28">
        <f>SUMIFS(Dump!R:R,Dump!B:B,C231,Dump!A:A,V231)</f>
        <v>0</v>
      </c>
      <c r="N231" s="29">
        <f t="shared" si="10"/>
        <v>0</v>
      </c>
      <c r="P231" s="30">
        <f>SUMIFS(Dump!E:E,Dump!B:B,C231,Dump!A:A,V231)</f>
        <v>0</v>
      </c>
      <c r="Q231" s="31">
        <f t="shared" si="11"/>
        <v>0</v>
      </c>
      <c r="S231" s="30">
        <f>SUMIFS(Dump!P:P,Dump!B:B,C231,Dump!A:A,V231)</f>
        <v>0</v>
      </c>
      <c r="T231" s="31">
        <f t="shared" si="12"/>
        <v>0</v>
      </c>
      <c r="U231" s="34"/>
      <c r="V231" s="47"/>
    </row>
    <row r="232">
      <c r="C232" s="46"/>
      <c r="G232" s="1" t="str">
        <f t="shared" si="16"/>
        <v/>
      </c>
      <c r="I232" s="33" t="str">
        <f t="shared" si="8"/>
        <v/>
      </c>
      <c r="K232" s="27"/>
      <c r="L232" s="28">
        <f>SUMIFS(Dump!$D:$D,Dump!$B:$B,$C232,Dump!$A:$A,$V232)</f>
        <v>0</v>
      </c>
      <c r="M232" s="28">
        <f>SUMIFS(Dump!R:R,Dump!B:B,C232,Dump!A:A,V232)</f>
        <v>0</v>
      </c>
      <c r="N232" s="29">
        <f t="shared" si="10"/>
        <v>0</v>
      </c>
      <c r="P232" s="30">
        <f>SUMIFS(Dump!E:E,Dump!B:B,C232,Dump!A:A,V232)</f>
        <v>0</v>
      </c>
      <c r="Q232" s="31">
        <f t="shared" si="11"/>
        <v>0</v>
      </c>
      <c r="S232" s="30">
        <f>SUMIFS(Dump!P:P,Dump!B:B,C232,Dump!A:A,V232)</f>
        <v>0</v>
      </c>
      <c r="T232" s="31">
        <f t="shared" si="12"/>
        <v>0</v>
      </c>
      <c r="U232" s="34"/>
      <c r="V232" s="47"/>
    </row>
    <row r="233">
      <c r="C233" s="46"/>
      <c r="G233" s="1" t="str">
        <f t="shared" si="16"/>
        <v/>
      </c>
      <c r="I233" s="33" t="str">
        <f t="shared" si="8"/>
        <v/>
      </c>
      <c r="K233" s="27"/>
      <c r="L233" s="28">
        <f>SUMIFS(Dump!$D:$D,Dump!$B:$B,$C233,Dump!$A:$A,$V233)</f>
        <v>0</v>
      </c>
      <c r="M233" s="28">
        <f>SUMIFS(Dump!R:R,Dump!B:B,C233,Dump!A:A,V233)</f>
        <v>0</v>
      </c>
      <c r="N233" s="29">
        <f t="shared" si="10"/>
        <v>0</v>
      </c>
      <c r="P233" s="30">
        <f>SUMIFS(Dump!E:E,Dump!B:B,C233,Dump!A:A,V233)</f>
        <v>0</v>
      </c>
      <c r="Q233" s="31">
        <f t="shared" si="11"/>
        <v>0</v>
      </c>
      <c r="S233" s="30">
        <f>SUMIFS(Dump!P:P,Dump!B:B,C233,Dump!A:A,V233)</f>
        <v>0</v>
      </c>
      <c r="T233" s="31">
        <f t="shared" si="12"/>
        <v>0</v>
      </c>
      <c r="U233" s="34"/>
      <c r="V233" s="47"/>
    </row>
    <row r="234">
      <c r="C234" s="46"/>
      <c r="G234" s="1" t="str">
        <f t="shared" si="16"/>
        <v/>
      </c>
      <c r="I234" s="33" t="str">
        <f t="shared" si="8"/>
        <v/>
      </c>
      <c r="K234" s="27"/>
      <c r="L234" s="28">
        <f>SUMIFS(Dump!$D:$D,Dump!$B:$B,$C234,Dump!$A:$A,$V234)</f>
        <v>0</v>
      </c>
      <c r="M234" s="28">
        <f>SUMIFS(Dump!R:R,Dump!B:B,C234,Dump!A:A,V234)</f>
        <v>0</v>
      </c>
      <c r="N234" s="29">
        <f t="shared" si="10"/>
        <v>0</v>
      </c>
      <c r="P234" s="30">
        <f>SUMIFS(Dump!E:E,Dump!B:B,C234,Dump!A:A,V234)</f>
        <v>0</v>
      </c>
      <c r="Q234" s="31">
        <f t="shared" si="11"/>
        <v>0</v>
      </c>
      <c r="S234" s="30">
        <f>SUMIFS(Dump!P:P,Dump!B:B,C234,Dump!A:A,V234)</f>
        <v>0</v>
      </c>
      <c r="T234" s="31">
        <f t="shared" si="12"/>
        <v>0</v>
      </c>
      <c r="U234" s="34"/>
      <c r="V234" s="47"/>
    </row>
    <row r="235">
      <c r="C235" s="46"/>
      <c r="G235" s="1" t="str">
        <f t="shared" si="16"/>
        <v/>
      </c>
      <c r="I235" s="33" t="str">
        <f t="shared" si="8"/>
        <v/>
      </c>
      <c r="K235" s="27"/>
      <c r="L235" s="28">
        <f>SUMIFS(Dump!$D:$D,Dump!$B:$B,$C235,Dump!$A:$A,$V235)</f>
        <v>0</v>
      </c>
      <c r="M235" s="28">
        <f>SUMIFS(Dump!R:R,Dump!B:B,C235,Dump!A:A,V235)</f>
        <v>0</v>
      </c>
      <c r="N235" s="29">
        <f t="shared" si="10"/>
        <v>0</v>
      </c>
      <c r="P235" s="30">
        <f>SUMIFS(Dump!E:E,Dump!B:B,C235,Dump!A:A,V235)</f>
        <v>0</v>
      </c>
      <c r="Q235" s="31">
        <f t="shared" si="11"/>
        <v>0</v>
      </c>
      <c r="S235" s="30">
        <f>SUMIFS(Dump!P:P,Dump!B:B,C235,Dump!A:A,V235)</f>
        <v>0</v>
      </c>
      <c r="T235" s="31">
        <f t="shared" si="12"/>
        <v>0</v>
      </c>
      <c r="U235" s="34"/>
      <c r="V235" s="47"/>
    </row>
    <row r="236">
      <c r="C236" s="46"/>
      <c r="G236" s="1" t="str">
        <f t="shared" si="16"/>
        <v/>
      </c>
      <c r="I236" s="33" t="str">
        <f t="shared" si="8"/>
        <v/>
      </c>
      <c r="K236" s="27"/>
      <c r="L236" s="28">
        <f>SUMIFS(Dump!$D:$D,Dump!$B:$B,$C236,Dump!$A:$A,$V236)</f>
        <v>0</v>
      </c>
      <c r="M236" s="28">
        <f>SUMIFS(Dump!R:R,Dump!B:B,C236,Dump!A:A,V236)</f>
        <v>0</v>
      </c>
      <c r="N236" s="29">
        <f t="shared" si="10"/>
        <v>0</v>
      </c>
      <c r="P236" s="30">
        <f>SUMIFS(Dump!E:E,Dump!B:B,C236,Dump!A:A,V236)</f>
        <v>0</v>
      </c>
      <c r="Q236" s="31">
        <f t="shared" si="11"/>
        <v>0</v>
      </c>
      <c r="S236" s="30">
        <f>SUMIFS(Dump!P:P,Dump!B:B,C236,Dump!A:A,V236)</f>
        <v>0</v>
      </c>
      <c r="T236" s="31">
        <f t="shared" si="12"/>
        <v>0</v>
      </c>
      <c r="U236" s="34"/>
      <c r="V236" s="47"/>
    </row>
    <row r="237">
      <c r="C237" s="46"/>
      <c r="G237" s="1" t="str">
        <f t="shared" si="16"/>
        <v/>
      </c>
      <c r="I237" s="33" t="str">
        <f t="shared" si="8"/>
        <v/>
      </c>
      <c r="K237" s="27"/>
      <c r="L237" s="28">
        <f>SUMIFS(Dump!$D:$D,Dump!$B:$B,$C237,Dump!$A:$A,$V237)</f>
        <v>0</v>
      </c>
      <c r="M237" s="28">
        <f>SUMIFS(Dump!R:R,Dump!B:B,C237,Dump!A:A,V237)</f>
        <v>0</v>
      </c>
      <c r="N237" s="29">
        <f t="shared" si="10"/>
        <v>0</v>
      </c>
      <c r="P237" s="30">
        <f>SUMIFS(Dump!E:E,Dump!B:B,C237,Dump!A:A,V237)</f>
        <v>0</v>
      </c>
      <c r="Q237" s="31">
        <f t="shared" si="11"/>
        <v>0</v>
      </c>
      <c r="S237" s="30">
        <f>SUMIFS(Dump!P:P,Dump!B:B,C237,Dump!A:A,V237)</f>
        <v>0</v>
      </c>
      <c r="T237" s="31">
        <f t="shared" si="12"/>
        <v>0</v>
      </c>
      <c r="U237" s="34"/>
      <c r="V237" s="47"/>
    </row>
    <row r="238">
      <c r="C238" s="46"/>
      <c r="G238" s="1" t="str">
        <f t="shared" si="16"/>
        <v/>
      </c>
      <c r="I238" s="33" t="str">
        <f t="shared" si="8"/>
        <v/>
      </c>
      <c r="K238" s="27"/>
      <c r="L238" s="28">
        <f>SUMIFS(Dump!$D:$D,Dump!$B:$B,$C238,Dump!$A:$A,$V238)</f>
        <v>0</v>
      </c>
      <c r="M238" s="28">
        <f>SUMIFS(Dump!R:R,Dump!B:B,C238,Dump!A:A,V238)</f>
        <v>0</v>
      </c>
      <c r="N238" s="29">
        <f t="shared" si="10"/>
        <v>0</v>
      </c>
      <c r="P238" s="30">
        <f>SUMIFS(Dump!E:E,Dump!B:B,C238,Dump!A:A,V238)</f>
        <v>0</v>
      </c>
      <c r="Q238" s="31">
        <f t="shared" si="11"/>
        <v>0</v>
      </c>
      <c r="S238" s="30">
        <f>SUMIFS(Dump!P:P,Dump!B:B,C238,Dump!A:A,V238)</f>
        <v>0</v>
      </c>
      <c r="T238" s="31">
        <f t="shared" si="12"/>
        <v>0</v>
      </c>
      <c r="U238" s="34"/>
      <c r="V238" s="47"/>
    </row>
    <row r="239">
      <c r="C239" s="46"/>
      <c r="G239" s="1" t="str">
        <f t="shared" si="16"/>
        <v/>
      </c>
      <c r="I239" s="33" t="str">
        <f t="shared" si="8"/>
        <v/>
      </c>
      <c r="K239" s="27"/>
      <c r="L239" s="28">
        <f>SUMIFS(Dump!$D:$D,Dump!$B:$B,$C239,Dump!$A:$A,$V239)</f>
        <v>0</v>
      </c>
      <c r="M239" s="28">
        <f>SUMIFS(Dump!R:R,Dump!B:B,C239,Dump!A:A,V239)</f>
        <v>0</v>
      </c>
      <c r="N239" s="29">
        <f t="shared" si="10"/>
        <v>0</v>
      </c>
      <c r="P239" s="30">
        <f>SUMIFS(Dump!E:E,Dump!B:B,C239,Dump!A:A,V239)</f>
        <v>0</v>
      </c>
      <c r="Q239" s="31">
        <f t="shared" si="11"/>
        <v>0</v>
      </c>
      <c r="S239" s="30">
        <f>SUMIFS(Dump!P:P,Dump!B:B,C239,Dump!A:A,V239)</f>
        <v>0</v>
      </c>
      <c r="T239" s="31">
        <f t="shared" si="12"/>
        <v>0</v>
      </c>
      <c r="U239" s="34"/>
      <c r="V239" s="47"/>
    </row>
    <row r="240">
      <c r="C240" s="46"/>
      <c r="G240" s="1" t="str">
        <f t="shared" si="16"/>
        <v/>
      </c>
      <c r="I240" s="33" t="str">
        <f t="shared" si="8"/>
        <v/>
      </c>
      <c r="K240" s="27"/>
      <c r="L240" s="28">
        <f>SUMIFS(Dump!$D:$D,Dump!$B:$B,$C240,Dump!$A:$A,$V240)</f>
        <v>0</v>
      </c>
      <c r="M240" s="28">
        <f>SUMIFS(Dump!R:R,Dump!B:B,C240,Dump!A:A,V240)</f>
        <v>0</v>
      </c>
      <c r="N240" s="29">
        <f t="shared" si="10"/>
        <v>0</v>
      </c>
      <c r="P240" s="30">
        <f>SUMIFS(Dump!E:E,Dump!B:B,C240,Dump!A:A,V240)</f>
        <v>0</v>
      </c>
      <c r="Q240" s="31">
        <f t="shared" si="11"/>
        <v>0</v>
      </c>
      <c r="S240" s="30">
        <f>SUMIFS(Dump!P:P,Dump!B:B,C240,Dump!A:A,V240)</f>
        <v>0</v>
      </c>
      <c r="T240" s="31">
        <f t="shared" si="12"/>
        <v>0</v>
      </c>
      <c r="U240" s="34"/>
      <c r="V240" s="47"/>
    </row>
    <row r="241">
      <c r="C241" s="46"/>
      <c r="G241" s="1" t="str">
        <f t="shared" si="16"/>
        <v/>
      </c>
      <c r="I241" s="33" t="str">
        <f t="shared" si="8"/>
        <v/>
      </c>
      <c r="K241" s="27"/>
      <c r="L241" s="28">
        <f>SUMIFS(Dump!$D:$D,Dump!$B:$B,$C241,Dump!$A:$A,$V241)</f>
        <v>0</v>
      </c>
      <c r="M241" s="28">
        <f>SUMIFS(Dump!R:R,Dump!B:B,C241,Dump!A:A,V241)</f>
        <v>0</v>
      </c>
      <c r="N241" s="29">
        <f t="shared" si="10"/>
        <v>0</v>
      </c>
      <c r="P241" s="30">
        <f>SUMIFS(Dump!E:E,Dump!B:B,C241,Dump!A:A,V241)</f>
        <v>0</v>
      </c>
      <c r="Q241" s="31">
        <f t="shared" si="11"/>
        <v>0</v>
      </c>
      <c r="S241" s="30">
        <f>SUMIFS(Dump!P:P,Dump!B:B,C241,Dump!A:A,V241)</f>
        <v>0</v>
      </c>
      <c r="T241" s="31">
        <f t="shared" si="12"/>
        <v>0</v>
      </c>
      <c r="U241" s="34"/>
      <c r="V241" s="47"/>
    </row>
    <row r="242">
      <c r="C242" s="46"/>
      <c r="G242" s="1" t="str">
        <f t="shared" si="16"/>
        <v/>
      </c>
      <c r="I242" s="33" t="str">
        <f t="shared" si="8"/>
        <v/>
      </c>
      <c r="K242" s="27"/>
      <c r="L242" s="28">
        <f>SUMIFS(Dump!$D:$D,Dump!$B:$B,$C242,Dump!$A:$A,$V242)</f>
        <v>0</v>
      </c>
      <c r="M242" s="28">
        <f>SUMIFS(Dump!R:R,Dump!B:B,C242,Dump!A:A,V242)</f>
        <v>0</v>
      </c>
      <c r="N242" s="29">
        <f t="shared" si="10"/>
        <v>0</v>
      </c>
      <c r="P242" s="30">
        <f>SUMIFS(Dump!E:E,Dump!B:B,C242,Dump!A:A,V242)</f>
        <v>0</v>
      </c>
      <c r="Q242" s="31">
        <f t="shared" si="11"/>
        <v>0</v>
      </c>
      <c r="S242" s="30">
        <f>SUMIFS(Dump!P:P,Dump!B:B,C242,Dump!A:A,V242)</f>
        <v>0</v>
      </c>
      <c r="T242" s="31">
        <f t="shared" si="12"/>
        <v>0</v>
      </c>
      <c r="U242" s="34"/>
      <c r="V242" s="47"/>
    </row>
    <row r="243">
      <c r="C243" s="46"/>
      <c r="G243" s="1" t="str">
        <f t="shared" si="16"/>
        <v/>
      </c>
      <c r="I243" s="33" t="str">
        <f t="shared" si="8"/>
        <v/>
      </c>
      <c r="K243" s="27"/>
      <c r="L243" s="28">
        <f>SUMIFS(Dump!$D:$D,Dump!$B:$B,$C243,Dump!$A:$A,$V243)</f>
        <v>0</v>
      </c>
      <c r="M243" s="28">
        <f>SUMIFS(Dump!R:R,Dump!B:B,C243,Dump!A:A,V243)</f>
        <v>0</v>
      </c>
      <c r="N243" s="29">
        <f t="shared" si="10"/>
        <v>0</v>
      </c>
      <c r="P243" s="30">
        <f>SUMIFS(Dump!E:E,Dump!B:B,C243,Dump!A:A,V243)</f>
        <v>0</v>
      </c>
      <c r="Q243" s="31">
        <f t="shared" si="11"/>
        <v>0</v>
      </c>
      <c r="S243" s="30">
        <f>SUMIFS(Dump!P:P,Dump!B:B,C243,Dump!A:A,V243)</f>
        <v>0</v>
      </c>
      <c r="T243" s="31">
        <f t="shared" si="12"/>
        <v>0</v>
      </c>
      <c r="U243" s="34"/>
      <c r="V243" s="47"/>
    </row>
    <row r="244">
      <c r="C244" s="46"/>
      <c r="G244" s="1" t="str">
        <f t="shared" si="16"/>
        <v/>
      </c>
      <c r="I244" s="33" t="str">
        <f t="shared" si="8"/>
        <v/>
      </c>
      <c r="K244" s="27"/>
      <c r="L244" s="28">
        <f>SUMIFS(Dump!$D:$D,Dump!$B:$B,$C244,Dump!$A:$A,$V244)</f>
        <v>0</v>
      </c>
      <c r="M244" s="28">
        <f>SUMIFS(Dump!R:R,Dump!B:B,C244,Dump!A:A,V244)</f>
        <v>0</v>
      </c>
      <c r="N244" s="29">
        <f t="shared" si="10"/>
        <v>0</v>
      </c>
      <c r="P244" s="30">
        <f>SUMIFS(Dump!E:E,Dump!B:B,C244,Dump!A:A,V244)</f>
        <v>0</v>
      </c>
      <c r="Q244" s="31">
        <f t="shared" si="11"/>
        <v>0</v>
      </c>
      <c r="S244" s="30">
        <f>SUMIFS(Dump!P:P,Dump!B:B,C244,Dump!A:A,V244)</f>
        <v>0</v>
      </c>
      <c r="T244" s="31">
        <f t="shared" si="12"/>
        <v>0</v>
      </c>
      <c r="U244" s="34"/>
      <c r="V244" s="47"/>
    </row>
    <row r="245">
      <c r="C245" s="46"/>
      <c r="G245" s="1" t="str">
        <f t="shared" si="16"/>
        <v/>
      </c>
      <c r="I245" s="33" t="str">
        <f t="shared" si="8"/>
        <v/>
      </c>
      <c r="K245" s="27"/>
      <c r="L245" s="28">
        <f>SUMIFS(Dump!$D:$D,Dump!$B:$B,$C245,Dump!$A:$A,$V245)</f>
        <v>0</v>
      </c>
      <c r="M245" s="28">
        <f>SUMIFS(Dump!R:R,Dump!B:B,C245,Dump!A:A,V245)</f>
        <v>0</v>
      </c>
      <c r="N245" s="29">
        <f t="shared" si="10"/>
        <v>0</v>
      </c>
      <c r="P245" s="30">
        <f>SUMIFS(Dump!E:E,Dump!B:B,C245,Dump!A:A,V245)</f>
        <v>0</v>
      </c>
      <c r="Q245" s="31">
        <f t="shared" si="11"/>
        <v>0</v>
      </c>
      <c r="S245" s="30">
        <f>SUMIFS(Dump!P:P,Dump!B:B,C245,Dump!A:A,V245)</f>
        <v>0</v>
      </c>
      <c r="T245" s="31">
        <f t="shared" si="12"/>
        <v>0</v>
      </c>
      <c r="U245" s="34"/>
      <c r="V245" s="47"/>
    </row>
    <row r="246">
      <c r="C246" s="46"/>
      <c r="G246" s="1" t="str">
        <f t="shared" si="16"/>
        <v/>
      </c>
      <c r="I246" s="33" t="str">
        <f t="shared" si="8"/>
        <v/>
      </c>
      <c r="K246" s="27"/>
      <c r="L246" s="28">
        <f>SUMIFS(Dump!$D:$D,Dump!$B:$B,$C246,Dump!$A:$A,$V246)</f>
        <v>0</v>
      </c>
      <c r="M246" s="28">
        <f>SUMIFS(Dump!R:R,Dump!B:B,C246,Dump!A:A,V246)</f>
        <v>0</v>
      </c>
      <c r="N246" s="29">
        <f t="shared" si="10"/>
        <v>0</v>
      </c>
      <c r="P246" s="30">
        <f>SUMIFS(Dump!E:E,Dump!B:B,C246,Dump!A:A,V246)</f>
        <v>0</v>
      </c>
      <c r="Q246" s="31">
        <f t="shared" si="11"/>
        <v>0</v>
      </c>
      <c r="S246" s="30">
        <f>SUMIFS(Dump!P:P,Dump!B:B,C246,Dump!A:A,V246)</f>
        <v>0</v>
      </c>
      <c r="T246" s="31">
        <f t="shared" si="12"/>
        <v>0</v>
      </c>
      <c r="U246" s="34"/>
      <c r="V246" s="47"/>
    </row>
    <row r="247">
      <c r="C247" s="46"/>
      <c r="G247" s="1" t="str">
        <f t="shared" si="16"/>
        <v/>
      </c>
      <c r="I247" s="33" t="str">
        <f t="shared" si="8"/>
        <v/>
      </c>
      <c r="K247" s="27"/>
      <c r="L247" s="28">
        <f>SUMIFS(Dump!$D:$D,Dump!$B:$B,$C247,Dump!$A:$A,$V247)</f>
        <v>0</v>
      </c>
      <c r="M247" s="28">
        <f>SUMIFS(Dump!R:R,Dump!B:B,C247,Dump!A:A,V247)</f>
        <v>0</v>
      </c>
      <c r="N247" s="29">
        <f t="shared" si="10"/>
        <v>0</v>
      </c>
      <c r="P247" s="30">
        <f>SUMIFS(Dump!E:E,Dump!B:B,C247,Dump!A:A,V247)</f>
        <v>0</v>
      </c>
      <c r="Q247" s="31">
        <f t="shared" si="11"/>
        <v>0</v>
      </c>
      <c r="S247" s="30">
        <f>SUMIFS(Dump!P:P,Dump!B:B,C247,Dump!A:A,V247)</f>
        <v>0</v>
      </c>
      <c r="T247" s="31">
        <f t="shared" si="12"/>
        <v>0</v>
      </c>
      <c r="U247" s="34"/>
      <c r="V247" s="47"/>
    </row>
    <row r="248">
      <c r="C248" s="46"/>
      <c r="G248" s="1" t="str">
        <f t="shared" si="16"/>
        <v/>
      </c>
      <c r="I248" s="33" t="str">
        <f t="shared" si="8"/>
        <v/>
      </c>
      <c r="K248" s="27"/>
      <c r="L248" s="28">
        <f>SUMIFS(Dump!$D:$D,Dump!$B:$B,$C248,Dump!$A:$A,$V248)</f>
        <v>0</v>
      </c>
      <c r="M248" s="28">
        <f>SUMIFS(Dump!R:R,Dump!B:B,C248,Dump!A:A,V248)</f>
        <v>0</v>
      </c>
      <c r="N248" s="29">
        <f t="shared" si="10"/>
        <v>0</v>
      </c>
      <c r="P248" s="30">
        <f>SUMIFS(Dump!E:E,Dump!B:B,C248,Dump!A:A,V248)</f>
        <v>0</v>
      </c>
      <c r="Q248" s="31">
        <f t="shared" si="11"/>
        <v>0</v>
      </c>
      <c r="S248" s="30">
        <f>SUMIFS(Dump!P:P,Dump!B:B,C248,Dump!A:A,V248)</f>
        <v>0</v>
      </c>
      <c r="T248" s="31">
        <f t="shared" si="12"/>
        <v>0</v>
      </c>
      <c r="U248" s="34"/>
      <c r="V248" s="47"/>
    </row>
    <row r="249">
      <c r="C249" s="46"/>
      <c r="G249" s="1" t="str">
        <f t="shared" si="16"/>
        <v/>
      </c>
      <c r="I249" s="33" t="str">
        <f t="shared" si="8"/>
        <v/>
      </c>
      <c r="K249" s="27"/>
      <c r="L249" s="28">
        <f>SUMIFS(Dump!$D:$D,Dump!$B:$B,$C249,Dump!$A:$A,$V249)</f>
        <v>0</v>
      </c>
      <c r="M249" s="28">
        <f>SUMIFS(Dump!R:R,Dump!B:B,C249,Dump!A:A,V249)</f>
        <v>0</v>
      </c>
      <c r="N249" s="29">
        <f t="shared" si="10"/>
        <v>0</v>
      </c>
      <c r="P249" s="30">
        <f>SUMIFS(Dump!E:E,Dump!B:B,C249,Dump!A:A,V249)</f>
        <v>0</v>
      </c>
      <c r="Q249" s="31">
        <f t="shared" si="11"/>
        <v>0</v>
      </c>
      <c r="S249" s="30">
        <f>SUMIFS(Dump!P:P,Dump!B:B,C249,Dump!A:A,V249)</f>
        <v>0</v>
      </c>
      <c r="T249" s="31">
        <f t="shared" si="12"/>
        <v>0</v>
      </c>
      <c r="U249" s="34"/>
      <c r="V249" s="47"/>
    </row>
    <row r="250">
      <c r="C250" s="46"/>
      <c r="G250" s="1" t="str">
        <f t="shared" si="16"/>
        <v/>
      </c>
      <c r="I250" s="33" t="str">
        <f t="shared" si="8"/>
        <v/>
      </c>
      <c r="K250" s="27"/>
      <c r="L250" s="28">
        <f>SUMIFS(Dump!$D:$D,Dump!$B:$B,$C250,Dump!$A:$A,$V250)</f>
        <v>0</v>
      </c>
      <c r="M250" s="28">
        <f>SUMIFS(Dump!R:R,Dump!B:B,C250,Dump!A:A,V250)</f>
        <v>0</v>
      </c>
      <c r="N250" s="29">
        <f t="shared" si="10"/>
        <v>0</v>
      </c>
      <c r="P250" s="30">
        <f>SUMIFS(Dump!E:E,Dump!B:B,C250,Dump!A:A,V250)</f>
        <v>0</v>
      </c>
      <c r="Q250" s="31">
        <f t="shared" si="11"/>
        <v>0</v>
      </c>
      <c r="S250" s="30">
        <f>SUMIFS(Dump!P:P,Dump!B:B,C250,Dump!A:A,V250)</f>
        <v>0</v>
      </c>
      <c r="T250" s="31">
        <f t="shared" si="12"/>
        <v>0</v>
      </c>
      <c r="U250" s="34"/>
      <c r="V250" s="47"/>
    </row>
    <row r="251">
      <c r="C251" s="46"/>
      <c r="G251" s="1" t="str">
        <f t="shared" si="16"/>
        <v/>
      </c>
      <c r="I251" s="33" t="str">
        <f t="shared" si="8"/>
        <v/>
      </c>
      <c r="K251" s="27"/>
      <c r="L251" s="28">
        <f>SUMIFS(Dump!$D:$D,Dump!$B:$B,$C251,Dump!$A:$A,$V251)</f>
        <v>0</v>
      </c>
      <c r="M251" s="28">
        <f>SUMIFS(Dump!R:R,Dump!B:B,C251,Dump!A:A,V251)</f>
        <v>0</v>
      </c>
      <c r="N251" s="29">
        <f t="shared" si="10"/>
        <v>0</v>
      </c>
      <c r="P251" s="30">
        <f>SUMIFS(Dump!E:E,Dump!B:B,C251,Dump!A:A,V251)</f>
        <v>0</v>
      </c>
      <c r="Q251" s="31">
        <f t="shared" si="11"/>
        <v>0</v>
      </c>
      <c r="S251" s="30">
        <f>SUMIFS(Dump!P:P,Dump!B:B,C251,Dump!A:A,V251)</f>
        <v>0</v>
      </c>
      <c r="T251" s="31">
        <f t="shared" si="12"/>
        <v>0</v>
      </c>
      <c r="U251" s="34"/>
      <c r="V251" s="47"/>
    </row>
    <row r="252">
      <c r="C252" s="46"/>
      <c r="G252" s="1" t="str">
        <f t="shared" si="16"/>
        <v/>
      </c>
      <c r="I252" s="33" t="str">
        <f t="shared" si="8"/>
        <v/>
      </c>
      <c r="K252" s="27"/>
      <c r="L252" s="28">
        <f>SUMIFS(Dump!$D:$D,Dump!$B:$B,$C252,Dump!$A:$A,$V252)</f>
        <v>0</v>
      </c>
      <c r="M252" s="28">
        <f>SUMIFS(Dump!R:R,Dump!B:B,C252,Dump!A:A,V252)</f>
        <v>0</v>
      </c>
      <c r="N252" s="29">
        <f t="shared" si="10"/>
        <v>0</v>
      </c>
      <c r="P252" s="30">
        <f>SUMIFS(Dump!E:E,Dump!B:B,C252,Dump!A:A,V252)</f>
        <v>0</v>
      </c>
      <c r="Q252" s="31">
        <f t="shared" si="11"/>
        <v>0</v>
      </c>
      <c r="S252" s="30">
        <f>SUMIFS(Dump!P:P,Dump!B:B,C252,Dump!A:A,V252)</f>
        <v>0</v>
      </c>
      <c r="T252" s="31">
        <f t="shared" si="12"/>
        <v>0</v>
      </c>
      <c r="U252" s="34"/>
      <c r="V252" s="47"/>
    </row>
    <row r="253">
      <c r="C253" s="46"/>
      <c r="G253" s="1" t="str">
        <f t="shared" si="16"/>
        <v/>
      </c>
      <c r="I253" s="33" t="str">
        <f t="shared" si="8"/>
        <v/>
      </c>
      <c r="K253" s="27"/>
      <c r="L253" s="28">
        <f>SUMIFS(Dump!$D:$D,Dump!$B:$B,$C253,Dump!$A:$A,$V253)</f>
        <v>0</v>
      </c>
      <c r="M253" s="28">
        <f>SUMIFS(Dump!R:R,Dump!B:B,C253,Dump!A:A,V253)</f>
        <v>0</v>
      </c>
      <c r="N253" s="29">
        <f t="shared" si="10"/>
        <v>0</v>
      </c>
      <c r="P253" s="30">
        <f>SUMIFS(Dump!E:E,Dump!B:B,C253,Dump!A:A,V253)</f>
        <v>0</v>
      </c>
      <c r="Q253" s="31">
        <f t="shared" si="11"/>
        <v>0</v>
      </c>
      <c r="S253" s="30">
        <f>SUMIFS(Dump!P:P,Dump!B:B,C253,Dump!A:A,V253)</f>
        <v>0</v>
      </c>
      <c r="T253" s="31">
        <f t="shared" si="12"/>
        <v>0</v>
      </c>
      <c r="U253" s="34"/>
      <c r="V253" s="47"/>
    </row>
    <row r="254">
      <c r="C254" s="46"/>
      <c r="G254" s="1" t="str">
        <f t="shared" si="16"/>
        <v/>
      </c>
      <c r="I254" s="33" t="str">
        <f t="shared" si="8"/>
        <v/>
      </c>
      <c r="K254" s="27"/>
      <c r="L254" s="28">
        <f>SUMIFS(Dump!$D:$D,Dump!$B:$B,$C254,Dump!$A:$A,$V254)</f>
        <v>0</v>
      </c>
      <c r="M254" s="28">
        <f>SUMIFS(Dump!R:R,Dump!B:B,C254,Dump!A:A,V254)</f>
        <v>0</v>
      </c>
      <c r="N254" s="29">
        <f t="shared" si="10"/>
        <v>0</v>
      </c>
      <c r="P254" s="30">
        <f>SUMIFS(Dump!E:E,Dump!B:B,C254,Dump!A:A,V254)</f>
        <v>0</v>
      </c>
      <c r="Q254" s="31">
        <f t="shared" si="11"/>
        <v>0</v>
      </c>
      <c r="S254" s="30">
        <f>SUMIFS(Dump!P:P,Dump!B:B,C254,Dump!A:A,V254)</f>
        <v>0</v>
      </c>
      <c r="T254" s="31">
        <f t="shared" si="12"/>
        <v>0</v>
      </c>
      <c r="U254" s="34"/>
      <c r="V254" s="47"/>
    </row>
    <row r="255">
      <c r="C255" s="46"/>
      <c r="G255" s="1" t="str">
        <f t="shared" si="16"/>
        <v/>
      </c>
      <c r="I255" s="33" t="str">
        <f t="shared" si="8"/>
        <v/>
      </c>
      <c r="K255" s="27"/>
      <c r="L255" s="28">
        <f>SUMIFS(Dump!$D:$D,Dump!$B:$B,$C255,Dump!$A:$A,$V255)</f>
        <v>0</v>
      </c>
      <c r="M255" s="28">
        <f>SUMIFS(Dump!R:R,Dump!B:B,C255,Dump!A:A,V255)</f>
        <v>0</v>
      </c>
      <c r="N255" s="29">
        <f t="shared" si="10"/>
        <v>0</v>
      </c>
      <c r="P255" s="30">
        <f>SUMIFS(Dump!E:E,Dump!B:B,C255,Dump!A:A,V255)</f>
        <v>0</v>
      </c>
      <c r="Q255" s="31">
        <f t="shared" si="11"/>
        <v>0</v>
      </c>
      <c r="S255" s="30">
        <f>SUMIFS(Dump!P:P,Dump!B:B,C255,Dump!A:A,V255)</f>
        <v>0</v>
      </c>
      <c r="T255" s="31">
        <f t="shared" si="12"/>
        <v>0</v>
      </c>
      <c r="U255" s="34"/>
      <c r="V255" s="47"/>
    </row>
    <row r="256">
      <c r="C256" s="46"/>
      <c r="G256" s="1" t="str">
        <f t="shared" si="16"/>
        <v/>
      </c>
      <c r="I256" s="33" t="str">
        <f t="shared" si="8"/>
        <v/>
      </c>
      <c r="K256" s="27"/>
      <c r="L256" s="28">
        <f>SUMIFS(Dump!$D:$D,Dump!$B:$B,$C256,Dump!$A:$A,$V256)</f>
        <v>0</v>
      </c>
      <c r="M256" s="28">
        <f>SUMIFS(Dump!R:R,Dump!B:B,C256,Dump!A:A,V256)</f>
        <v>0</v>
      </c>
      <c r="N256" s="29">
        <f t="shared" si="10"/>
        <v>0</v>
      </c>
      <c r="P256" s="30">
        <f>SUMIFS(Dump!E:E,Dump!B:B,C256,Dump!A:A,V256)</f>
        <v>0</v>
      </c>
      <c r="Q256" s="31">
        <f t="shared" si="11"/>
        <v>0</v>
      </c>
      <c r="S256" s="30">
        <f>SUMIFS(Dump!P:P,Dump!B:B,C256,Dump!A:A,V256)</f>
        <v>0</v>
      </c>
      <c r="T256" s="31">
        <f t="shared" si="12"/>
        <v>0</v>
      </c>
      <c r="U256" s="34"/>
      <c r="V256" s="47"/>
    </row>
    <row r="257">
      <c r="C257" s="46"/>
      <c r="G257" s="1" t="str">
        <f t="shared" si="16"/>
        <v/>
      </c>
      <c r="I257" s="33" t="str">
        <f t="shared" si="8"/>
        <v/>
      </c>
      <c r="K257" s="27"/>
      <c r="L257" s="28">
        <f>SUMIFS(Dump!$D:$D,Dump!$B:$B,$C257,Dump!$A:$A,$V257)</f>
        <v>0</v>
      </c>
      <c r="M257" s="28">
        <f>SUMIFS(Dump!R:R,Dump!B:B,C257,Dump!A:A,V257)</f>
        <v>0</v>
      </c>
      <c r="N257" s="29">
        <f t="shared" si="10"/>
        <v>0</v>
      </c>
      <c r="P257" s="30">
        <f>SUMIFS(Dump!E:E,Dump!B:B,C257,Dump!A:A,V257)</f>
        <v>0</v>
      </c>
      <c r="Q257" s="31">
        <f t="shared" si="11"/>
        <v>0</v>
      </c>
      <c r="S257" s="30">
        <f>SUMIFS(Dump!P:P,Dump!B:B,C257,Dump!A:A,V257)</f>
        <v>0</v>
      </c>
      <c r="T257" s="31">
        <f t="shared" si="12"/>
        <v>0</v>
      </c>
      <c r="U257" s="34"/>
      <c r="V257" s="47"/>
    </row>
    <row r="258">
      <c r="C258" s="46"/>
      <c r="G258" s="1" t="str">
        <f t="shared" si="16"/>
        <v/>
      </c>
      <c r="I258" s="33" t="str">
        <f t="shared" si="8"/>
        <v/>
      </c>
      <c r="K258" s="27"/>
      <c r="L258" s="28">
        <f>SUMIFS(Dump!$D:$D,Dump!$B:$B,$C258,Dump!$A:$A,$V258)</f>
        <v>0</v>
      </c>
      <c r="M258" s="28">
        <f>SUMIFS(Dump!R:R,Dump!B:B,C258,Dump!A:A,V258)</f>
        <v>0</v>
      </c>
      <c r="N258" s="29">
        <f t="shared" si="10"/>
        <v>0</v>
      </c>
      <c r="P258" s="30">
        <f>SUMIFS(Dump!E:E,Dump!B:B,C258,Dump!A:A,V258)</f>
        <v>0</v>
      </c>
      <c r="Q258" s="31">
        <f t="shared" si="11"/>
        <v>0</v>
      </c>
      <c r="S258" s="30">
        <f>SUMIFS(Dump!P:P,Dump!B:B,C258,Dump!A:A,V258)</f>
        <v>0</v>
      </c>
      <c r="T258" s="31">
        <f t="shared" si="12"/>
        <v>0</v>
      </c>
      <c r="U258" s="34"/>
      <c r="V258" s="47"/>
    </row>
    <row r="259">
      <c r="C259" s="46"/>
      <c r="G259" s="1" t="str">
        <f t="shared" si="16"/>
        <v/>
      </c>
      <c r="I259" s="33" t="str">
        <f t="shared" si="8"/>
        <v/>
      </c>
      <c r="K259" s="27"/>
      <c r="L259" s="28">
        <f>SUMIFS(Dump!$D:$D,Dump!$B:$B,$C259,Dump!$A:$A,$V259)</f>
        <v>0</v>
      </c>
      <c r="M259" s="28">
        <f>SUMIFS(Dump!R:R,Dump!B:B,C259,Dump!A:A,V259)</f>
        <v>0</v>
      </c>
      <c r="N259" s="29">
        <f t="shared" si="10"/>
        <v>0</v>
      </c>
      <c r="P259" s="30">
        <f>SUMIFS(Dump!E:E,Dump!B:B,C259,Dump!A:A,V259)</f>
        <v>0</v>
      </c>
      <c r="Q259" s="31">
        <f t="shared" si="11"/>
        <v>0</v>
      </c>
      <c r="S259" s="30">
        <f>SUMIFS(Dump!P:P,Dump!B:B,C259,Dump!A:A,V259)</f>
        <v>0</v>
      </c>
      <c r="T259" s="31">
        <f t="shared" si="12"/>
        <v>0</v>
      </c>
      <c r="U259" s="34"/>
      <c r="V259" s="47"/>
    </row>
    <row r="260">
      <c r="C260" s="46"/>
      <c r="G260" s="1" t="str">
        <f t="shared" si="16"/>
        <v/>
      </c>
      <c r="I260" s="33" t="str">
        <f t="shared" si="8"/>
        <v/>
      </c>
      <c r="K260" s="27"/>
      <c r="L260" s="28">
        <f>SUMIFS(Dump!$D:$D,Dump!$B:$B,$C260,Dump!$A:$A,$V260)</f>
        <v>0</v>
      </c>
      <c r="M260" s="28">
        <f>SUMIFS(Dump!R:R,Dump!B:B,C260,Dump!A:A,V260)</f>
        <v>0</v>
      </c>
      <c r="N260" s="29">
        <f t="shared" si="10"/>
        <v>0</v>
      </c>
      <c r="P260" s="30">
        <f>SUMIFS(Dump!E:E,Dump!B:B,C260,Dump!A:A,V260)</f>
        <v>0</v>
      </c>
      <c r="Q260" s="31">
        <f t="shared" si="11"/>
        <v>0</v>
      </c>
      <c r="S260" s="30">
        <f>SUMIFS(Dump!P:P,Dump!B:B,C260,Dump!A:A,V260)</f>
        <v>0</v>
      </c>
      <c r="T260" s="31">
        <f t="shared" si="12"/>
        <v>0</v>
      </c>
      <c r="U260" s="34"/>
      <c r="V260" s="47"/>
    </row>
    <row r="261">
      <c r="C261" s="46"/>
      <c r="G261" s="1" t="str">
        <f t="shared" si="16"/>
        <v/>
      </c>
      <c r="I261" s="33" t="str">
        <f t="shared" si="8"/>
        <v/>
      </c>
      <c r="K261" s="27"/>
      <c r="L261" s="28">
        <f>SUMIFS(Dump!$D:$D,Dump!$B:$B,$C261,Dump!$A:$A,$V261)</f>
        <v>0</v>
      </c>
      <c r="M261" s="28">
        <f>SUMIFS(Dump!R:R,Dump!B:B,C261,Dump!A:A,V261)</f>
        <v>0</v>
      </c>
      <c r="N261" s="29">
        <f t="shared" si="10"/>
        <v>0</v>
      </c>
      <c r="P261" s="30">
        <f>SUMIFS(Dump!E:E,Dump!B:B,C261,Dump!A:A,V261)</f>
        <v>0</v>
      </c>
      <c r="Q261" s="31">
        <f t="shared" si="11"/>
        <v>0</v>
      </c>
      <c r="S261" s="30">
        <f>SUMIFS(Dump!P:P,Dump!B:B,C261,Dump!A:A,V261)</f>
        <v>0</v>
      </c>
      <c r="T261" s="31">
        <f t="shared" si="12"/>
        <v>0</v>
      </c>
      <c r="U261" s="34"/>
      <c r="V261" s="47"/>
    </row>
    <row r="262">
      <c r="C262" s="46"/>
      <c r="G262" s="1" t="str">
        <f t="shared" si="16"/>
        <v/>
      </c>
      <c r="I262" s="33" t="str">
        <f t="shared" si="8"/>
        <v/>
      </c>
      <c r="K262" s="27"/>
      <c r="L262" s="28">
        <f>SUMIFS(Dump!$D:$D,Dump!$B:$B,$C262,Dump!$A:$A,$V262)</f>
        <v>0</v>
      </c>
      <c r="M262" s="28">
        <f>SUMIFS(Dump!R:R,Dump!B:B,C262,Dump!A:A,V262)</f>
        <v>0</v>
      </c>
      <c r="N262" s="29">
        <f t="shared" si="10"/>
        <v>0</v>
      </c>
      <c r="P262" s="30">
        <f>SUMIFS(Dump!E:E,Dump!B:B,C262,Dump!A:A,V262)</f>
        <v>0</v>
      </c>
      <c r="Q262" s="31">
        <f t="shared" si="11"/>
        <v>0</v>
      </c>
      <c r="S262" s="30">
        <f>SUMIFS(Dump!P:P,Dump!B:B,C262,Dump!A:A,V262)</f>
        <v>0</v>
      </c>
      <c r="T262" s="31">
        <f t="shared" si="12"/>
        <v>0</v>
      </c>
      <c r="U262" s="34"/>
      <c r="V262" s="47"/>
    </row>
    <row r="263">
      <c r="C263" s="46"/>
      <c r="G263" s="1" t="str">
        <f t="shared" si="16"/>
        <v/>
      </c>
      <c r="I263" s="33" t="str">
        <f t="shared" si="8"/>
        <v/>
      </c>
      <c r="K263" s="27"/>
      <c r="L263" s="28">
        <f>SUMIFS(Dump!$D:$D,Dump!$B:$B,$C263,Dump!$A:$A,$V263)</f>
        <v>0</v>
      </c>
      <c r="M263" s="28">
        <f>SUMIFS(Dump!R:R,Dump!B:B,C263,Dump!A:A,V263)</f>
        <v>0</v>
      </c>
      <c r="N263" s="29">
        <f t="shared" si="10"/>
        <v>0</v>
      </c>
      <c r="P263" s="30">
        <f>SUMIFS(Dump!E:E,Dump!B:B,C263,Dump!A:A,V263)</f>
        <v>0</v>
      </c>
      <c r="Q263" s="31">
        <f t="shared" si="11"/>
        <v>0</v>
      </c>
      <c r="S263" s="30">
        <f>SUMIFS(Dump!P:P,Dump!B:B,C263,Dump!A:A,V263)</f>
        <v>0</v>
      </c>
      <c r="T263" s="31">
        <f t="shared" si="12"/>
        <v>0</v>
      </c>
      <c r="U263" s="34"/>
      <c r="V263" s="47"/>
    </row>
    <row r="264">
      <c r="C264" s="46"/>
      <c r="G264" s="1" t="str">
        <f t="shared" si="16"/>
        <v/>
      </c>
      <c r="I264" s="33" t="str">
        <f t="shared" si="8"/>
        <v/>
      </c>
      <c r="K264" s="27"/>
      <c r="L264" s="28">
        <f>SUMIFS(Dump!$D:$D,Dump!$B:$B,$C264,Dump!$A:$A,$V264)</f>
        <v>0</v>
      </c>
      <c r="M264" s="28">
        <f>SUMIFS(Dump!R:R,Dump!B:B,C264,Dump!A:A,V264)</f>
        <v>0</v>
      </c>
      <c r="N264" s="29">
        <f t="shared" si="10"/>
        <v>0</v>
      </c>
      <c r="P264" s="30">
        <f>SUMIFS(Dump!E:E,Dump!B:B,C264,Dump!A:A,V264)</f>
        <v>0</v>
      </c>
      <c r="Q264" s="31">
        <f t="shared" si="11"/>
        <v>0</v>
      </c>
      <c r="S264" s="30">
        <f>SUMIFS(Dump!P:P,Dump!B:B,C264,Dump!A:A,V264)</f>
        <v>0</v>
      </c>
      <c r="T264" s="31">
        <f t="shared" si="12"/>
        <v>0</v>
      </c>
      <c r="U264" s="34"/>
      <c r="V264" s="47"/>
    </row>
    <row r="265">
      <c r="C265" s="46"/>
      <c r="G265" s="1" t="str">
        <f t="shared" si="16"/>
        <v/>
      </c>
      <c r="I265" s="33" t="str">
        <f t="shared" si="8"/>
        <v/>
      </c>
      <c r="K265" s="27"/>
      <c r="L265" s="28">
        <f>SUMIFS(Dump!$D:$D,Dump!$B:$B,$C265,Dump!$A:$A,$V265)</f>
        <v>0</v>
      </c>
      <c r="M265" s="28">
        <f>SUMIFS(Dump!R:R,Dump!B:B,C265,Dump!A:A,V265)</f>
        <v>0</v>
      </c>
      <c r="N265" s="29">
        <f t="shared" si="10"/>
        <v>0</v>
      </c>
      <c r="P265" s="30">
        <f>SUMIFS(Dump!E:E,Dump!B:B,C265,Dump!A:A,V265)</f>
        <v>0</v>
      </c>
      <c r="Q265" s="31">
        <f t="shared" si="11"/>
        <v>0</v>
      </c>
      <c r="S265" s="30">
        <f>SUMIFS(Dump!P:P,Dump!B:B,C265,Dump!A:A,V265)</f>
        <v>0</v>
      </c>
      <c r="T265" s="31">
        <f t="shared" si="12"/>
        <v>0</v>
      </c>
      <c r="U265" s="34"/>
      <c r="V265" s="47"/>
    </row>
    <row r="266">
      <c r="C266" s="46"/>
      <c r="G266" s="1" t="str">
        <f t="shared" si="16"/>
        <v/>
      </c>
      <c r="I266" s="33" t="str">
        <f t="shared" si="8"/>
        <v/>
      </c>
      <c r="K266" s="27"/>
      <c r="L266" s="28">
        <f>SUMIFS(Dump!$D:$D,Dump!$B:$B,$C266,Dump!$A:$A,$V266)</f>
        <v>0</v>
      </c>
      <c r="M266" s="28">
        <f>SUMIFS(Dump!R:R,Dump!B:B,C266,Dump!A:A,V266)</f>
        <v>0</v>
      </c>
      <c r="N266" s="29">
        <f t="shared" si="10"/>
        <v>0</v>
      </c>
      <c r="P266" s="30">
        <f>SUMIFS(Dump!E:E,Dump!B:B,C266,Dump!A:A,V266)</f>
        <v>0</v>
      </c>
      <c r="Q266" s="31">
        <f t="shared" si="11"/>
        <v>0</v>
      </c>
      <c r="S266" s="30">
        <f>SUMIFS(Dump!P:P,Dump!B:B,C266,Dump!A:A,V266)</f>
        <v>0</v>
      </c>
      <c r="T266" s="31">
        <f t="shared" si="12"/>
        <v>0</v>
      </c>
      <c r="U266" s="34"/>
      <c r="V266" s="47"/>
    </row>
    <row r="267">
      <c r="C267" s="46"/>
      <c r="G267" s="1" t="str">
        <f t="shared" si="16"/>
        <v/>
      </c>
      <c r="I267" s="33" t="str">
        <f t="shared" si="8"/>
        <v/>
      </c>
      <c r="K267" s="27"/>
      <c r="L267" s="28">
        <f>SUMIFS(Dump!$D:$D,Dump!$B:$B,$C267,Dump!$A:$A,$V267)</f>
        <v>0</v>
      </c>
      <c r="M267" s="28">
        <f>SUMIFS(Dump!R:R,Dump!B:B,C267,Dump!A:A,V267)</f>
        <v>0</v>
      </c>
      <c r="N267" s="29">
        <f t="shared" si="10"/>
        <v>0</v>
      </c>
      <c r="P267" s="30">
        <f>SUMIFS(Dump!E:E,Dump!B:B,C267,Dump!A:A,V267)</f>
        <v>0</v>
      </c>
      <c r="Q267" s="31">
        <f t="shared" si="11"/>
        <v>0</v>
      </c>
      <c r="S267" s="30">
        <f>SUMIFS(Dump!P:P,Dump!B:B,C267,Dump!A:A,V267)</f>
        <v>0</v>
      </c>
      <c r="T267" s="31">
        <f t="shared" si="12"/>
        <v>0</v>
      </c>
      <c r="U267" s="34"/>
      <c r="V267" s="47"/>
    </row>
    <row r="268">
      <c r="C268" s="46"/>
      <c r="G268" s="1" t="str">
        <f t="shared" si="16"/>
        <v/>
      </c>
      <c r="I268" s="33" t="str">
        <f t="shared" si="8"/>
        <v/>
      </c>
      <c r="K268" s="27"/>
      <c r="L268" s="28">
        <f>SUMIFS(Dump!$D:$D,Dump!$B:$B,$C268,Dump!$A:$A,$V268)</f>
        <v>0</v>
      </c>
      <c r="M268" s="28">
        <f>SUMIFS(Dump!R:R,Dump!B:B,C268,Dump!A:A,V268)</f>
        <v>0</v>
      </c>
      <c r="N268" s="29">
        <f t="shared" si="10"/>
        <v>0</v>
      </c>
      <c r="P268" s="30">
        <f>SUMIFS(Dump!E:E,Dump!B:B,C268,Dump!A:A,V268)</f>
        <v>0</v>
      </c>
      <c r="Q268" s="31">
        <f t="shared" si="11"/>
        <v>0</v>
      </c>
      <c r="S268" s="30">
        <f>SUMIFS(Dump!P:P,Dump!B:B,C268,Dump!A:A,V268)</f>
        <v>0</v>
      </c>
      <c r="T268" s="31">
        <f t="shared" si="12"/>
        <v>0</v>
      </c>
      <c r="U268" s="34"/>
      <c r="V268" s="47"/>
    </row>
    <row r="269">
      <c r="C269" s="46"/>
      <c r="G269" s="1" t="str">
        <f t="shared" si="16"/>
        <v/>
      </c>
      <c r="I269" s="33" t="str">
        <f t="shared" si="8"/>
        <v/>
      </c>
      <c r="K269" s="27"/>
      <c r="L269" s="28">
        <f>SUMIFS(Dump!$D:$D,Dump!$B:$B,$C269,Dump!$A:$A,$V269)</f>
        <v>0</v>
      </c>
      <c r="M269" s="28">
        <f>SUMIFS(Dump!R:R,Dump!B:B,C269,Dump!A:A,V269)</f>
        <v>0</v>
      </c>
      <c r="N269" s="29">
        <f t="shared" si="10"/>
        <v>0</v>
      </c>
      <c r="P269" s="30">
        <f>SUMIFS(Dump!E:E,Dump!B:B,C269,Dump!A:A,V269)</f>
        <v>0</v>
      </c>
      <c r="Q269" s="31">
        <f t="shared" si="11"/>
        <v>0</v>
      </c>
      <c r="S269" s="30">
        <f>SUMIFS(Dump!P:P,Dump!B:B,C269,Dump!A:A,V269)</f>
        <v>0</v>
      </c>
      <c r="T269" s="31">
        <f t="shared" si="12"/>
        <v>0</v>
      </c>
      <c r="U269" s="34"/>
      <c r="V269" s="47"/>
    </row>
    <row r="270">
      <c r="C270" s="46"/>
      <c r="G270" s="1" t="str">
        <f t="shared" si="16"/>
        <v/>
      </c>
      <c r="I270" s="33" t="str">
        <f t="shared" si="8"/>
        <v/>
      </c>
      <c r="K270" s="27"/>
      <c r="L270" s="28">
        <f>SUMIFS(Dump!$D:$D,Dump!$B:$B,$C270,Dump!$A:$A,$V270)</f>
        <v>0</v>
      </c>
      <c r="M270" s="28">
        <f>SUMIFS(Dump!R:R,Dump!B:B,C270,Dump!A:A,V270)</f>
        <v>0</v>
      </c>
      <c r="N270" s="29">
        <f t="shared" si="10"/>
        <v>0</v>
      </c>
      <c r="P270" s="30">
        <f>SUMIFS(Dump!E:E,Dump!B:B,C270,Dump!A:A,V270)</f>
        <v>0</v>
      </c>
      <c r="Q270" s="31">
        <f t="shared" si="11"/>
        <v>0</v>
      </c>
      <c r="S270" s="30">
        <f>SUMIFS(Dump!P:P,Dump!B:B,C270,Dump!A:A,V270)</f>
        <v>0</v>
      </c>
      <c r="T270" s="31">
        <f t="shared" si="12"/>
        <v>0</v>
      </c>
      <c r="U270" s="34"/>
      <c r="V270" s="47"/>
    </row>
    <row r="271">
      <c r="C271" s="46"/>
      <c r="G271" s="1" t="str">
        <f t="shared" si="16"/>
        <v/>
      </c>
      <c r="I271" s="33" t="str">
        <f t="shared" si="8"/>
        <v/>
      </c>
      <c r="K271" s="27"/>
      <c r="L271" s="28">
        <f>SUMIFS(Dump!$D:$D,Dump!$B:$B,$C271,Dump!$A:$A,$V271)</f>
        <v>0</v>
      </c>
      <c r="M271" s="28">
        <f>SUMIFS(Dump!R:R,Dump!B:B,C271,Dump!A:A,V271)</f>
        <v>0</v>
      </c>
      <c r="N271" s="29">
        <f t="shared" si="10"/>
        <v>0</v>
      </c>
      <c r="P271" s="30">
        <f>SUMIFS(Dump!E:E,Dump!B:B,C271,Dump!A:A,V271)</f>
        <v>0</v>
      </c>
      <c r="Q271" s="31">
        <f t="shared" si="11"/>
        <v>0</v>
      </c>
      <c r="S271" s="30">
        <f>SUMIFS(Dump!P:P,Dump!B:B,C271,Dump!A:A,V271)</f>
        <v>0</v>
      </c>
      <c r="T271" s="31">
        <f t="shared" si="12"/>
        <v>0</v>
      </c>
      <c r="U271" s="34"/>
      <c r="V271" s="47"/>
    </row>
    <row r="272">
      <c r="C272" s="46"/>
      <c r="G272" s="1" t="str">
        <f t="shared" si="16"/>
        <v/>
      </c>
      <c r="I272" s="33" t="str">
        <f t="shared" si="8"/>
        <v/>
      </c>
      <c r="K272" s="27"/>
      <c r="L272" s="28">
        <f>SUMIFS(Dump!$D:$D,Dump!$B:$B,$C272,Dump!$A:$A,$V272)</f>
        <v>0</v>
      </c>
      <c r="M272" s="28">
        <f>SUMIFS(Dump!R:R,Dump!B:B,C272,Dump!A:A,V272)</f>
        <v>0</v>
      </c>
      <c r="N272" s="29">
        <f t="shared" si="10"/>
        <v>0</v>
      </c>
      <c r="P272" s="30">
        <f>SUMIFS(Dump!E:E,Dump!B:B,C272,Dump!A:A,V272)</f>
        <v>0</v>
      </c>
      <c r="Q272" s="31">
        <f t="shared" si="11"/>
        <v>0</v>
      </c>
      <c r="S272" s="30">
        <f>SUMIFS(Dump!P:P,Dump!B:B,C272,Dump!A:A,V272)</f>
        <v>0</v>
      </c>
      <c r="T272" s="31">
        <f t="shared" si="12"/>
        <v>0</v>
      </c>
      <c r="U272" s="34"/>
      <c r="V272" s="47"/>
    </row>
    <row r="273">
      <c r="C273" s="46"/>
      <c r="G273" s="1" t="str">
        <f t="shared" si="16"/>
        <v/>
      </c>
      <c r="I273" s="33" t="str">
        <f t="shared" si="8"/>
        <v/>
      </c>
      <c r="K273" s="27"/>
      <c r="L273" s="28">
        <f>SUMIFS(Dump!$D:$D,Dump!$B:$B,$C273,Dump!$A:$A,$V273)</f>
        <v>0</v>
      </c>
      <c r="M273" s="28">
        <f>SUMIFS(Dump!R:R,Dump!B:B,C273,Dump!A:A,V273)</f>
        <v>0</v>
      </c>
      <c r="N273" s="29">
        <f t="shared" si="10"/>
        <v>0</v>
      </c>
      <c r="P273" s="30">
        <f>SUMIFS(Dump!E:E,Dump!B:B,C273,Dump!A:A,V273)</f>
        <v>0</v>
      </c>
      <c r="Q273" s="31">
        <f t="shared" si="11"/>
        <v>0</v>
      </c>
      <c r="S273" s="30">
        <f>SUMIFS(Dump!P:P,Dump!B:B,C273,Dump!A:A,V273)</f>
        <v>0</v>
      </c>
      <c r="T273" s="31">
        <f t="shared" si="12"/>
        <v>0</v>
      </c>
      <c r="U273" s="34"/>
      <c r="V273" s="47"/>
    </row>
    <row r="274">
      <c r="C274" s="46"/>
      <c r="G274" s="1" t="str">
        <f t="shared" si="16"/>
        <v/>
      </c>
      <c r="I274" s="33" t="str">
        <f t="shared" si="8"/>
        <v/>
      </c>
      <c r="K274" s="27"/>
      <c r="L274" s="28">
        <f>SUMIFS(Dump!$D:$D,Dump!$B:$B,$C274,Dump!$A:$A,$V274)</f>
        <v>0</v>
      </c>
      <c r="M274" s="28">
        <f>SUMIFS(Dump!R:R,Dump!B:B,C274,Dump!A:A,V274)</f>
        <v>0</v>
      </c>
      <c r="N274" s="29">
        <f t="shared" si="10"/>
        <v>0</v>
      </c>
      <c r="P274" s="30">
        <f>SUMIFS(Dump!E:E,Dump!B:B,C274,Dump!A:A,V274)</f>
        <v>0</v>
      </c>
      <c r="Q274" s="31">
        <f t="shared" si="11"/>
        <v>0</v>
      </c>
      <c r="S274" s="30">
        <f>SUMIFS(Dump!P:P,Dump!B:B,C274,Dump!A:A,V274)</f>
        <v>0</v>
      </c>
      <c r="T274" s="31">
        <f t="shared" si="12"/>
        <v>0</v>
      </c>
      <c r="U274" s="34"/>
      <c r="V274" s="47"/>
    </row>
    <row r="275">
      <c r="C275" s="46"/>
      <c r="G275" s="1" t="str">
        <f t="shared" si="16"/>
        <v/>
      </c>
      <c r="I275" s="33" t="str">
        <f t="shared" si="8"/>
        <v/>
      </c>
      <c r="K275" s="27"/>
      <c r="L275" s="28">
        <f>SUMIFS(Dump!$D:$D,Dump!$B:$B,$C275,Dump!$A:$A,$V275)</f>
        <v>0</v>
      </c>
      <c r="M275" s="28">
        <f>SUMIFS(Dump!R:R,Dump!B:B,C275,Dump!A:A,V275)</f>
        <v>0</v>
      </c>
      <c r="N275" s="29">
        <f t="shared" si="10"/>
        <v>0</v>
      </c>
      <c r="P275" s="30">
        <f>SUMIFS(Dump!E:E,Dump!B:B,C275,Dump!A:A,V275)</f>
        <v>0</v>
      </c>
      <c r="Q275" s="31">
        <f t="shared" si="11"/>
        <v>0</v>
      </c>
      <c r="S275" s="30">
        <f>SUMIFS(Dump!P:P,Dump!B:B,C275,Dump!A:A,V275)</f>
        <v>0</v>
      </c>
      <c r="T275" s="31">
        <f t="shared" si="12"/>
        <v>0</v>
      </c>
      <c r="U275" s="34"/>
      <c r="V275" s="47"/>
    </row>
    <row r="276">
      <c r="C276" s="46"/>
      <c r="G276" s="1" t="str">
        <f t="shared" si="16"/>
        <v/>
      </c>
      <c r="I276" s="33" t="str">
        <f t="shared" si="8"/>
        <v/>
      </c>
      <c r="K276" s="27"/>
      <c r="L276" s="28">
        <f>SUMIFS(Dump!$D:$D,Dump!$B:$B,$C276,Dump!$A:$A,$V276)</f>
        <v>0</v>
      </c>
      <c r="M276" s="28">
        <f>SUMIFS(Dump!R:R,Dump!B:B,C276,Dump!A:A,V276)</f>
        <v>0</v>
      </c>
      <c r="N276" s="29">
        <f t="shared" si="10"/>
        <v>0</v>
      </c>
      <c r="P276" s="30">
        <f>SUMIFS(Dump!E:E,Dump!B:B,C276,Dump!A:A,V276)</f>
        <v>0</v>
      </c>
      <c r="Q276" s="31">
        <f t="shared" si="11"/>
        <v>0</v>
      </c>
      <c r="S276" s="30">
        <f>SUMIFS(Dump!P:P,Dump!B:B,C276,Dump!A:A,V276)</f>
        <v>0</v>
      </c>
      <c r="T276" s="31">
        <f t="shared" si="12"/>
        <v>0</v>
      </c>
      <c r="U276" s="34"/>
      <c r="V276" s="47"/>
    </row>
    <row r="277">
      <c r="C277" s="46"/>
      <c r="G277" s="1" t="str">
        <f t="shared" si="16"/>
        <v/>
      </c>
      <c r="I277" s="33" t="str">
        <f t="shared" si="8"/>
        <v/>
      </c>
      <c r="K277" s="27"/>
      <c r="L277" s="28">
        <f>SUMIFS(Dump!$D:$D,Dump!$B:$B,$C277,Dump!$A:$A,$V277)</f>
        <v>0</v>
      </c>
      <c r="M277" s="28">
        <f>SUMIFS(Dump!R:R,Dump!B:B,C277,Dump!A:A,V277)</f>
        <v>0</v>
      </c>
      <c r="N277" s="29">
        <f t="shared" si="10"/>
        <v>0</v>
      </c>
      <c r="P277" s="30">
        <f>SUMIFS(Dump!E:E,Dump!B:B,C277,Dump!A:A,V277)</f>
        <v>0</v>
      </c>
      <c r="Q277" s="31">
        <f t="shared" si="11"/>
        <v>0</v>
      </c>
      <c r="S277" s="30">
        <f>SUMIFS(Dump!P:P,Dump!B:B,C277,Dump!A:A,V277)</f>
        <v>0</v>
      </c>
      <c r="T277" s="31">
        <f t="shared" si="12"/>
        <v>0</v>
      </c>
      <c r="U277" s="34"/>
      <c r="V277" s="47"/>
    </row>
    <row r="278">
      <c r="C278" s="46"/>
      <c r="G278" s="1" t="str">
        <f t="shared" si="16"/>
        <v/>
      </c>
      <c r="I278" s="33" t="str">
        <f t="shared" si="8"/>
        <v/>
      </c>
      <c r="K278" s="27"/>
      <c r="L278" s="28">
        <f>SUMIFS(Dump!$D:$D,Dump!$B:$B,$C278,Dump!$A:$A,$V278)</f>
        <v>0</v>
      </c>
      <c r="M278" s="28">
        <f>SUMIFS(Dump!R:R,Dump!B:B,C278,Dump!A:A,V278)</f>
        <v>0</v>
      </c>
      <c r="N278" s="29">
        <f t="shared" si="10"/>
        <v>0</v>
      </c>
      <c r="P278" s="30">
        <f>SUMIFS(Dump!E:E,Dump!B:B,C278,Dump!A:A,V278)</f>
        <v>0</v>
      </c>
      <c r="Q278" s="31">
        <f t="shared" si="11"/>
        <v>0</v>
      </c>
      <c r="S278" s="30">
        <f>SUMIFS(Dump!P:P,Dump!B:B,C278,Dump!A:A,V278)</f>
        <v>0</v>
      </c>
      <c r="T278" s="31">
        <f t="shared" si="12"/>
        <v>0</v>
      </c>
      <c r="U278" s="34"/>
      <c r="V278" s="47"/>
    </row>
    <row r="279">
      <c r="C279" s="46"/>
      <c r="G279" s="1" t="str">
        <f t="shared" si="16"/>
        <v/>
      </c>
      <c r="I279" s="33" t="str">
        <f t="shared" si="8"/>
        <v/>
      </c>
      <c r="K279" s="27"/>
      <c r="L279" s="28">
        <f>SUMIFS(Dump!$D:$D,Dump!$B:$B,$C279,Dump!$A:$A,$V279)</f>
        <v>0</v>
      </c>
      <c r="M279" s="28">
        <f>SUMIFS(Dump!R:R,Dump!B:B,C279,Dump!A:A,V279)</f>
        <v>0</v>
      </c>
      <c r="N279" s="29">
        <f t="shared" si="10"/>
        <v>0</v>
      </c>
      <c r="P279" s="30">
        <f>SUMIFS(Dump!E:E,Dump!B:B,C279,Dump!A:A,V279)</f>
        <v>0</v>
      </c>
      <c r="Q279" s="31">
        <f t="shared" si="11"/>
        <v>0</v>
      </c>
      <c r="S279" s="30">
        <f>SUMIFS(Dump!P:P,Dump!B:B,C279,Dump!A:A,V279)</f>
        <v>0</v>
      </c>
      <c r="T279" s="31">
        <f t="shared" si="12"/>
        <v>0</v>
      </c>
      <c r="U279" s="34"/>
      <c r="V279" s="47"/>
    </row>
    <row r="280">
      <c r="C280" s="46"/>
      <c r="G280" s="1" t="str">
        <f t="shared" si="16"/>
        <v/>
      </c>
      <c r="I280" s="33" t="str">
        <f t="shared" si="8"/>
        <v/>
      </c>
      <c r="K280" s="27"/>
      <c r="L280" s="28">
        <f>SUMIFS(Dump!$D:$D,Dump!$B:$B,$C280,Dump!$A:$A,$V280)</f>
        <v>0</v>
      </c>
      <c r="M280" s="28">
        <f>SUMIFS(Dump!R:R,Dump!B:B,C280,Dump!A:A,V280)</f>
        <v>0</v>
      </c>
      <c r="N280" s="29">
        <f t="shared" si="10"/>
        <v>0</v>
      </c>
      <c r="P280" s="30">
        <f>SUMIFS(Dump!E:E,Dump!B:B,C280,Dump!A:A,V280)</f>
        <v>0</v>
      </c>
      <c r="Q280" s="31">
        <f t="shared" si="11"/>
        <v>0</v>
      </c>
      <c r="S280" s="30">
        <f>SUMIFS(Dump!P:P,Dump!B:B,C280,Dump!A:A,V280)</f>
        <v>0</v>
      </c>
      <c r="T280" s="31">
        <f t="shared" si="12"/>
        <v>0</v>
      </c>
      <c r="U280" s="34"/>
      <c r="V280" s="47"/>
    </row>
    <row r="281">
      <c r="C281" s="46"/>
      <c r="G281" s="1" t="str">
        <f t="shared" si="16"/>
        <v/>
      </c>
      <c r="I281" s="33" t="str">
        <f t="shared" si="8"/>
        <v/>
      </c>
      <c r="K281" s="27"/>
      <c r="L281" s="28">
        <f>SUMIFS(Dump!$D:$D,Dump!$B:$B,$C281,Dump!$A:$A,$V281)</f>
        <v>0</v>
      </c>
      <c r="M281" s="28">
        <f>SUMIFS(Dump!R:R,Dump!B:B,C281,Dump!A:A,V281)</f>
        <v>0</v>
      </c>
      <c r="N281" s="29">
        <f t="shared" si="10"/>
        <v>0</v>
      </c>
      <c r="P281" s="30">
        <f>SUMIFS(Dump!E:E,Dump!B:B,C281,Dump!A:A,V281)</f>
        <v>0</v>
      </c>
      <c r="Q281" s="31">
        <f t="shared" si="11"/>
        <v>0</v>
      </c>
      <c r="S281" s="30">
        <f>SUMIFS(Dump!P:P,Dump!B:B,C281,Dump!A:A,V281)</f>
        <v>0</v>
      </c>
      <c r="T281" s="31">
        <f t="shared" si="12"/>
        <v>0</v>
      </c>
      <c r="U281" s="34"/>
      <c r="V281" s="47"/>
    </row>
    <row r="282">
      <c r="C282" s="46"/>
      <c r="G282" s="1" t="str">
        <f t="shared" si="16"/>
        <v/>
      </c>
      <c r="I282" s="33" t="str">
        <f t="shared" si="8"/>
        <v/>
      </c>
      <c r="K282" s="27"/>
      <c r="L282" s="28">
        <f>SUMIFS(Dump!$D:$D,Dump!$B:$B,$C282,Dump!$A:$A,$V282)</f>
        <v>0</v>
      </c>
      <c r="M282" s="28">
        <f>SUMIFS(Dump!R:R,Dump!B:B,C282,Dump!A:A,V282)</f>
        <v>0</v>
      </c>
      <c r="N282" s="29">
        <f t="shared" si="10"/>
        <v>0</v>
      </c>
      <c r="P282" s="30">
        <f>SUMIFS(Dump!E:E,Dump!B:B,C282,Dump!A:A,V282)</f>
        <v>0</v>
      </c>
      <c r="Q282" s="31">
        <f t="shared" si="11"/>
        <v>0</v>
      </c>
      <c r="S282" s="30">
        <f>SUMIFS(Dump!P:P,Dump!B:B,C282,Dump!A:A,V282)</f>
        <v>0</v>
      </c>
      <c r="T282" s="31">
        <f t="shared" si="12"/>
        <v>0</v>
      </c>
      <c r="U282" s="34"/>
      <c r="V282" s="47"/>
    </row>
    <row r="283">
      <c r="C283" s="46"/>
      <c r="G283" s="1" t="str">
        <f t="shared" si="16"/>
        <v/>
      </c>
      <c r="I283" s="33" t="str">
        <f t="shared" si="8"/>
        <v/>
      </c>
      <c r="K283" s="27"/>
      <c r="L283" s="28">
        <f>SUMIFS(Dump!$D:$D,Dump!$B:$B,$C283,Dump!$A:$A,$V283)</f>
        <v>0</v>
      </c>
      <c r="M283" s="28">
        <f>SUMIFS(Dump!R:R,Dump!B:B,C283,Dump!A:A,V283)</f>
        <v>0</v>
      </c>
      <c r="N283" s="29">
        <f t="shared" si="10"/>
        <v>0</v>
      </c>
      <c r="P283" s="30">
        <f>SUMIFS(Dump!E:E,Dump!B:B,C283,Dump!A:A,V283)</f>
        <v>0</v>
      </c>
      <c r="Q283" s="31">
        <f t="shared" si="11"/>
        <v>0</v>
      </c>
      <c r="S283" s="30">
        <f>SUMIFS(Dump!P:P,Dump!B:B,C283,Dump!A:A,V283)</f>
        <v>0</v>
      </c>
      <c r="T283" s="31">
        <f t="shared" si="12"/>
        <v>0</v>
      </c>
      <c r="U283" s="34"/>
      <c r="V283" s="47"/>
    </row>
    <row r="284">
      <c r="C284" s="46"/>
      <c r="G284" s="1" t="str">
        <f t="shared" si="16"/>
        <v/>
      </c>
      <c r="I284" s="33" t="str">
        <f t="shared" si="8"/>
        <v/>
      </c>
      <c r="K284" s="27"/>
      <c r="L284" s="28">
        <f>SUMIFS(Dump!$D:$D,Dump!$B:$B,$C284,Dump!$A:$A,$V284)</f>
        <v>0</v>
      </c>
      <c r="M284" s="28">
        <f>SUMIFS(Dump!R:R,Dump!B:B,C284,Dump!A:A,V284)</f>
        <v>0</v>
      </c>
      <c r="N284" s="29">
        <f t="shared" si="10"/>
        <v>0</v>
      </c>
      <c r="P284" s="30">
        <f>SUMIFS(Dump!E:E,Dump!B:B,C284,Dump!A:A,V284)</f>
        <v>0</v>
      </c>
      <c r="Q284" s="31">
        <f t="shared" si="11"/>
        <v>0</v>
      </c>
      <c r="S284" s="30">
        <f>SUMIFS(Dump!P:P,Dump!B:B,C284,Dump!A:A,V284)</f>
        <v>0</v>
      </c>
      <c r="T284" s="31">
        <f t="shared" si="12"/>
        <v>0</v>
      </c>
      <c r="U284" s="34"/>
      <c r="V284" s="47"/>
    </row>
    <row r="285">
      <c r="C285" s="46"/>
      <c r="G285" s="1" t="str">
        <f t="shared" si="16"/>
        <v/>
      </c>
      <c r="I285" s="33" t="str">
        <f t="shared" si="8"/>
        <v/>
      </c>
      <c r="K285" s="27"/>
      <c r="L285" s="28">
        <f>SUMIFS(Dump!$D:$D,Dump!$B:$B,$C285,Dump!$A:$A,$V285)</f>
        <v>0</v>
      </c>
      <c r="M285" s="28">
        <f>SUMIFS(Dump!R:R,Dump!B:B,C285,Dump!A:A,V285)</f>
        <v>0</v>
      </c>
      <c r="N285" s="29">
        <f t="shared" si="10"/>
        <v>0</v>
      </c>
      <c r="P285" s="30">
        <f>SUMIFS(Dump!E:E,Dump!B:B,C285,Dump!A:A,V285)</f>
        <v>0</v>
      </c>
      <c r="Q285" s="31">
        <f t="shared" si="11"/>
        <v>0</v>
      </c>
      <c r="S285" s="30">
        <f>SUMIFS(Dump!P:P,Dump!B:B,C285,Dump!A:A,V285)</f>
        <v>0</v>
      </c>
      <c r="T285" s="31">
        <f t="shared" si="12"/>
        <v>0</v>
      </c>
      <c r="U285" s="34"/>
      <c r="V285" s="47"/>
    </row>
    <row r="286">
      <c r="C286" s="46"/>
      <c r="G286" s="1" t="str">
        <f t="shared" si="16"/>
        <v/>
      </c>
      <c r="I286" s="33" t="str">
        <f t="shared" si="8"/>
        <v/>
      </c>
      <c r="K286" s="27"/>
      <c r="L286" s="28">
        <f>SUMIFS(Dump!$D:$D,Dump!$B:$B,$C286,Dump!$A:$A,$V286)</f>
        <v>0</v>
      </c>
      <c r="M286" s="28">
        <f>SUMIFS(Dump!R:R,Dump!B:B,C286,Dump!A:A,V286)</f>
        <v>0</v>
      </c>
      <c r="N286" s="29">
        <f t="shared" si="10"/>
        <v>0</v>
      </c>
      <c r="P286" s="30">
        <f>SUMIFS(Dump!E:E,Dump!B:B,C286,Dump!A:A,V286)</f>
        <v>0</v>
      </c>
      <c r="Q286" s="31">
        <f t="shared" si="11"/>
        <v>0</v>
      </c>
      <c r="S286" s="30">
        <f>SUMIFS(Dump!P:P,Dump!B:B,C286,Dump!A:A,V286)</f>
        <v>0</v>
      </c>
      <c r="T286" s="31">
        <f t="shared" si="12"/>
        <v>0</v>
      </c>
      <c r="U286" s="34"/>
      <c r="V286" s="47"/>
    </row>
    <row r="287">
      <c r="C287" s="46"/>
      <c r="G287" s="1" t="str">
        <f t="shared" si="16"/>
        <v/>
      </c>
      <c r="I287" s="33" t="str">
        <f t="shared" si="8"/>
        <v/>
      </c>
      <c r="K287" s="27"/>
      <c r="L287" s="28">
        <f>SUMIFS(Dump!$D:$D,Dump!$B:$B,$C287,Dump!$A:$A,$V287)</f>
        <v>0</v>
      </c>
      <c r="M287" s="28">
        <f>SUMIFS(Dump!R:R,Dump!B:B,C287,Dump!A:A,V287)</f>
        <v>0</v>
      </c>
      <c r="N287" s="29">
        <f t="shared" si="10"/>
        <v>0</v>
      </c>
      <c r="P287" s="30">
        <f>SUMIFS(Dump!E:E,Dump!B:B,C287,Dump!A:A,V287)</f>
        <v>0</v>
      </c>
      <c r="Q287" s="31">
        <f t="shared" si="11"/>
        <v>0</v>
      </c>
      <c r="S287" s="30">
        <f>SUMIFS(Dump!P:P,Dump!B:B,C287,Dump!A:A,V287)</f>
        <v>0</v>
      </c>
      <c r="T287" s="31">
        <f t="shared" si="12"/>
        <v>0</v>
      </c>
      <c r="U287" s="34"/>
      <c r="V287" s="47"/>
    </row>
    <row r="288">
      <c r="C288" s="46"/>
      <c r="G288" s="1" t="str">
        <f t="shared" si="16"/>
        <v/>
      </c>
      <c r="I288" s="33" t="str">
        <f t="shared" si="8"/>
        <v/>
      </c>
      <c r="K288" s="27"/>
      <c r="L288" s="28">
        <f>SUMIFS(Dump!$D:$D,Dump!$B:$B,$C288,Dump!$A:$A,$V288)</f>
        <v>0</v>
      </c>
      <c r="M288" s="28">
        <f>SUMIFS(Dump!R:R,Dump!B:B,C288,Dump!A:A,V288)</f>
        <v>0</v>
      </c>
      <c r="N288" s="29">
        <f t="shared" si="10"/>
        <v>0</v>
      </c>
      <c r="P288" s="30">
        <f>SUMIFS(Dump!E:E,Dump!B:B,C288,Dump!A:A,V288)</f>
        <v>0</v>
      </c>
      <c r="Q288" s="31">
        <f t="shared" si="11"/>
        <v>0</v>
      </c>
      <c r="S288" s="30">
        <f>SUMIFS(Dump!P:P,Dump!B:B,C288,Dump!A:A,V288)</f>
        <v>0</v>
      </c>
      <c r="T288" s="31">
        <f t="shared" si="12"/>
        <v>0</v>
      </c>
      <c r="U288" s="34"/>
      <c r="V288" s="47"/>
    </row>
    <row r="289">
      <c r="C289" s="46"/>
      <c r="G289" s="1" t="str">
        <f t="shared" si="16"/>
        <v/>
      </c>
      <c r="I289" s="33" t="str">
        <f t="shared" si="8"/>
        <v/>
      </c>
      <c r="K289" s="27"/>
      <c r="L289" s="28">
        <f>SUMIFS(Dump!$D:$D,Dump!$B:$B,$C289,Dump!$A:$A,$V289)</f>
        <v>0</v>
      </c>
      <c r="M289" s="28">
        <f>SUMIFS(Dump!R:R,Dump!B:B,C289,Dump!A:A,V289)</f>
        <v>0</v>
      </c>
      <c r="N289" s="29">
        <f t="shared" si="10"/>
        <v>0</v>
      </c>
      <c r="P289" s="30">
        <f>SUMIFS(Dump!E:E,Dump!B:B,C289,Dump!A:A,V289)</f>
        <v>0</v>
      </c>
      <c r="Q289" s="31">
        <f t="shared" si="11"/>
        <v>0</v>
      </c>
      <c r="S289" s="30">
        <f>SUMIFS(Dump!P:P,Dump!B:B,C289,Dump!A:A,V289)</f>
        <v>0</v>
      </c>
      <c r="T289" s="31">
        <f t="shared" si="12"/>
        <v>0</v>
      </c>
      <c r="U289" s="34"/>
      <c r="V289" s="47"/>
    </row>
    <row r="290">
      <c r="C290" s="46"/>
      <c r="G290" s="1" t="str">
        <f t="shared" si="16"/>
        <v/>
      </c>
      <c r="I290" s="33" t="str">
        <f t="shared" si="8"/>
        <v/>
      </c>
      <c r="K290" s="27"/>
      <c r="L290" s="28">
        <f>SUMIFS(Dump!$D:$D,Dump!$B:$B,$C290,Dump!$A:$A,$V290)</f>
        <v>0</v>
      </c>
      <c r="M290" s="28">
        <f>SUMIFS(Dump!R:R,Dump!B:B,C290,Dump!A:A,V290)</f>
        <v>0</v>
      </c>
      <c r="N290" s="29">
        <f t="shared" si="10"/>
        <v>0</v>
      </c>
      <c r="P290" s="30">
        <f>SUMIFS(Dump!E:E,Dump!B:B,C290,Dump!A:A,V290)</f>
        <v>0</v>
      </c>
      <c r="Q290" s="31">
        <f t="shared" si="11"/>
        <v>0</v>
      </c>
      <c r="S290" s="30">
        <f>SUMIFS(Dump!P:P,Dump!B:B,C290,Dump!A:A,V290)</f>
        <v>0</v>
      </c>
      <c r="T290" s="31">
        <f t="shared" si="12"/>
        <v>0</v>
      </c>
      <c r="U290" s="34"/>
      <c r="V290" s="47"/>
    </row>
    <row r="291">
      <c r="C291" s="46"/>
      <c r="G291" s="1" t="str">
        <f t="shared" si="16"/>
        <v/>
      </c>
      <c r="I291" s="33" t="str">
        <f t="shared" si="8"/>
        <v/>
      </c>
      <c r="K291" s="27"/>
      <c r="L291" s="28">
        <f>SUMIFS(Dump!$D:$D,Dump!$B:$B,$C291,Dump!$A:$A,$V291)</f>
        <v>0</v>
      </c>
      <c r="M291" s="28">
        <f>SUMIFS(Dump!R:R,Dump!B:B,C291,Dump!A:A,V291)</f>
        <v>0</v>
      </c>
      <c r="N291" s="29">
        <f t="shared" si="10"/>
        <v>0</v>
      </c>
      <c r="P291" s="30">
        <f>SUMIFS(Dump!E:E,Dump!B:B,C291,Dump!A:A,V291)</f>
        <v>0</v>
      </c>
      <c r="Q291" s="31">
        <f t="shared" si="11"/>
        <v>0</v>
      </c>
      <c r="S291" s="30">
        <f>SUMIFS(Dump!P:P,Dump!B:B,C291,Dump!A:A,V291)</f>
        <v>0</v>
      </c>
      <c r="T291" s="31">
        <f t="shared" si="12"/>
        <v>0</v>
      </c>
      <c r="U291" s="34"/>
      <c r="V291" s="47"/>
    </row>
    <row r="292">
      <c r="C292" s="46"/>
      <c r="G292" s="1" t="str">
        <f t="shared" si="16"/>
        <v/>
      </c>
      <c r="I292" s="33" t="str">
        <f t="shared" si="8"/>
        <v/>
      </c>
      <c r="K292" s="27"/>
      <c r="L292" s="28">
        <f>SUMIFS(Dump!$D:$D,Dump!$B:$B,$C292,Dump!$A:$A,$V292)</f>
        <v>0</v>
      </c>
      <c r="M292" s="28">
        <f>SUMIFS(Dump!R:R,Dump!B:B,C292,Dump!A:A,V292)</f>
        <v>0</v>
      </c>
      <c r="N292" s="29">
        <f t="shared" si="10"/>
        <v>0</v>
      </c>
      <c r="P292" s="30">
        <f>SUMIFS(Dump!E:E,Dump!B:B,C292,Dump!A:A,V292)</f>
        <v>0</v>
      </c>
      <c r="Q292" s="31">
        <f t="shared" si="11"/>
        <v>0</v>
      </c>
      <c r="S292" s="30">
        <f>SUMIFS(Dump!P:P,Dump!B:B,C292,Dump!A:A,V292)</f>
        <v>0</v>
      </c>
      <c r="T292" s="31">
        <f t="shared" si="12"/>
        <v>0</v>
      </c>
      <c r="U292" s="34"/>
      <c r="V292" s="47"/>
    </row>
    <row r="293">
      <c r="C293" s="46"/>
      <c r="G293" s="1" t="str">
        <f t="shared" si="16"/>
        <v/>
      </c>
      <c r="I293" s="33" t="str">
        <f t="shared" si="8"/>
        <v/>
      </c>
      <c r="K293" s="27"/>
      <c r="L293" s="28">
        <f>SUMIFS(Dump!$D:$D,Dump!$B:$B,$C293,Dump!$A:$A,$V293)</f>
        <v>0</v>
      </c>
      <c r="M293" s="28">
        <f>SUMIFS(Dump!R:R,Dump!B:B,C293,Dump!A:A,V293)</f>
        <v>0</v>
      </c>
      <c r="N293" s="29">
        <f t="shared" si="10"/>
        <v>0</v>
      </c>
      <c r="P293" s="30">
        <f>SUMIFS(Dump!E:E,Dump!B:B,C293,Dump!A:A,V293)</f>
        <v>0</v>
      </c>
      <c r="Q293" s="31">
        <f t="shared" si="11"/>
        <v>0</v>
      </c>
      <c r="S293" s="30">
        <f>SUMIFS(Dump!P:P,Dump!B:B,C293,Dump!A:A,V293)</f>
        <v>0</v>
      </c>
      <c r="T293" s="31">
        <f t="shared" si="12"/>
        <v>0</v>
      </c>
      <c r="U293" s="34"/>
      <c r="V293" s="47"/>
    </row>
    <row r="294">
      <c r="C294" s="46"/>
      <c r="G294" s="1" t="str">
        <f t="shared" si="16"/>
        <v/>
      </c>
      <c r="I294" s="33" t="str">
        <f t="shared" si="8"/>
        <v/>
      </c>
      <c r="K294" s="27"/>
      <c r="L294" s="28">
        <f>SUMIFS(Dump!$D:$D,Dump!$B:$B,$C294,Dump!$A:$A,$V294)</f>
        <v>0</v>
      </c>
      <c r="M294" s="28">
        <f>SUMIFS(Dump!R:R,Dump!B:B,C294,Dump!A:A,V294)</f>
        <v>0</v>
      </c>
      <c r="N294" s="29">
        <f t="shared" si="10"/>
        <v>0</v>
      </c>
      <c r="P294" s="30">
        <f>SUMIFS(Dump!E:E,Dump!B:B,C294,Dump!A:A,V294)</f>
        <v>0</v>
      </c>
      <c r="Q294" s="31">
        <f t="shared" si="11"/>
        <v>0</v>
      </c>
      <c r="S294" s="30">
        <f>SUMIFS(Dump!P:P,Dump!B:B,C294,Dump!A:A,V294)</f>
        <v>0</v>
      </c>
      <c r="T294" s="31">
        <f t="shared" si="12"/>
        <v>0</v>
      </c>
      <c r="U294" s="34"/>
      <c r="V294" s="47"/>
    </row>
    <row r="295">
      <c r="C295" s="46"/>
      <c r="G295" s="1" t="str">
        <f t="shared" si="16"/>
        <v/>
      </c>
      <c r="I295" s="33" t="str">
        <f t="shared" si="8"/>
        <v/>
      </c>
      <c r="K295" s="27"/>
      <c r="L295" s="28">
        <f>SUMIFS(Dump!$D:$D,Dump!$B:$B,$C295,Dump!$A:$A,$V295)</f>
        <v>0</v>
      </c>
      <c r="M295" s="28">
        <f>SUMIFS(Dump!R:R,Dump!B:B,C295,Dump!A:A,V295)</f>
        <v>0</v>
      </c>
      <c r="N295" s="29">
        <f t="shared" si="10"/>
        <v>0</v>
      </c>
      <c r="P295" s="30">
        <f>SUMIFS(Dump!E:E,Dump!B:B,C295,Dump!A:A,V295)</f>
        <v>0</v>
      </c>
      <c r="Q295" s="31">
        <f t="shared" si="11"/>
        <v>0</v>
      </c>
      <c r="S295" s="30">
        <f>SUMIFS(Dump!P:P,Dump!B:B,C295,Dump!A:A,V295)</f>
        <v>0</v>
      </c>
      <c r="T295" s="31">
        <f t="shared" si="12"/>
        <v>0</v>
      </c>
      <c r="U295" s="34"/>
      <c r="V295" s="47"/>
    </row>
    <row r="296">
      <c r="C296" s="46"/>
      <c r="G296" s="1" t="str">
        <f t="shared" si="16"/>
        <v/>
      </c>
      <c r="I296" s="33" t="str">
        <f t="shared" si="8"/>
        <v/>
      </c>
      <c r="K296" s="27"/>
      <c r="L296" s="28">
        <f>SUMIFS(Dump!$D:$D,Dump!$B:$B,$C296,Dump!$A:$A,$V296)</f>
        <v>0</v>
      </c>
      <c r="M296" s="28">
        <f>SUMIFS(Dump!R:R,Dump!B:B,C296,Dump!A:A,V296)</f>
        <v>0</v>
      </c>
      <c r="N296" s="29">
        <f t="shared" si="10"/>
        <v>0</v>
      </c>
      <c r="P296" s="30">
        <f>SUMIFS(Dump!E:E,Dump!B:B,C296,Dump!A:A,V296)</f>
        <v>0</v>
      </c>
      <c r="Q296" s="31">
        <f t="shared" si="11"/>
        <v>0</v>
      </c>
      <c r="S296" s="30">
        <f>SUMIFS(Dump!P:P,Dump!B:B,C296,Dump!A:A,V296)</f>
        <v>0</v>
      </c>
      <c r="T296" s="31">
        <f t="shared" si="12"/>
        <v>0</v>
      </c>
      <c r="U296" s="34"/>
      <c r="V296" s="47"/>
    </row>
    <row r="297">
      <c r="C297" s="46"/>
      <c r="G297" s="1" t="str">
        <f t="shared" si="16"/>
        <v/>
      </c>
      <c r="I297" s="33" t="str">
        <f t="shared" si="8"/>
        <v/>
      </c>
      <c r="K297" s="27"/>
      <c r="L297" s="28">
        <f>SUMIFS(Dump!$D:$D,Dump!$B:$B,$C297,Dump!$A:$A,$V297)</f>
        <v>0</v>
      </c>
      <c r="M297" s="28">
        <f>SUMIFS(Dump!R:R,Dump!B:B,C297,Dump!A:A,V297)</f>
        <v>0</v>
      </c>
      <c r="N297" s="29">
        <f t="shared" si="10"/>
        <v>0</v>
      </c>
      <c r="P297" s="30">
        <f>SUMIFS(Dump!E:E,Dump!B:B,C297,Dump!A:A,V297)</f>
        <v>0</v>
      </c>
      <c r="Q297" s="31">
        <f t="shared" si="11"/>
        <v>0</v>
      </c>
      <c r="S297" s="30">
        <f>SUMIFS(Dump!P:P,Dump!B:B,C297,Dump!A:A,V297)</f>
        <v>0</v>
      </c>
      <c r="T297" s="31">
        <f t="shared" si="12"/>
        <v>0</v>
      </c>
      <c r="U297" s="34"/>
      <c r="V297" s="47"/>
    </row>
    <row r="298">
      <c r="C298" s="46"/>
      <c r="G298" s="1" t="str">
        <f t="shared" si="16"/>
        <v/>
      </c>
      <c r="I298" s="33" t="str">
        <f t="shared" si="8"/>
        <v/>
      </c>
      <c r="K298" s="27"/>
      <c r="L298" s="28">
        <f>SUMIFS(Dump!$D:$D,Dump!$B:$B,$C298,Dump!$A:$A,$V298)</f>
        <v>0</v>
      </c>
      <c r="M298" s="28">
        <f>SUMIFS(Dump!R:R,Dump!B:B,C298,Dump!A:A,V298)</f>
        <v>0</v>
      </c>
      <c r="N298" s="29">
        <f t="shared" si="10"/>
        <v>0</v>
      </c>
      <c r="P298" s="30">
        <f>SUMIFS(Dump!E:E,Dump!B:B,C298,Dump!A:A,V298)</f>
        <v>0</v>
      </c>
      <c r="Q298" s="31">
        <f t="shared" si="11"/>
        <v>0</v>
      </c>
      <c r="S298" s="30">
        <f>SUMIFS(Dump!P:P,Dump!B:B,C298,Dump!A:A,V298)</f>
        <v>0</v>
      </c>
      <c r="T298" s="31">
        <f t="shared" si="12"/>
        <v>0</v>
      </c>
      <c r="U298" s="34"/>
      <c r="V298" s="47"/>
    </row>
    <row r="299">
      <c r="C299" s="46"/>
      <c r="G299" s="1" t="str">
        <f t="shared" si="16"/>
        <v/>
      </c>
      <c r="I299" s="33" t="str">
        <f t="shared" si="8"/>
        <v/>
      </c>
      <c r="K299" s="27"/>
      <c r="L299" s="28">
        <f>SUMIFS(Dump!$D:$D,Dump!$B:$B,$C299,Dump!$A:$A,$V299)</f>
        <v>0</v>
      </c>
      <c r="M299" s="28">
        <f>SUMIFS(Dump!R:R,Dump!B:B,C299,Dump!A:A,V299)</f>
        <v>0</v>
      </c>
      <c r="N299" s="29">
        <f t="shared" si="10"/>
        <v>0</v>
      </c>
      <c r="P299" s="30">
        <f>SUMIFS(Dump!E:E,Dump!B:B,C299,Dump!A:A,V299)</f>
        <v>0</v>
      </c>
      <c r="Q299" s="31">
        <f t="shared" si="11"/>
        <v>0</v>
      </c>
      <c r="S299" s="30">
        <f>SUMIFS(Dump!P:P,Dump!B:B,C299,Dump!A:A,V299)</f>
        <v>0</v>
      </c>
      <c r="T299" s="31">
        <f t="shared" si="12"/>
        <v>0</v>
      </c>
      <c r="U299" s="34"/>
      <c r="V299" s="47"/>
    </row>
    <row r="300">
      <c r="C300" s="46"/>
      <c r="G300" s="1" t="str">
        <f t="shared" si="16"/>
        <v/>
      </c>
      <c r="I300" s="33" t="str">
        <f t="shared" si="8"/>
        <v/>
      </c>
      <c r="K300" s="27"/>
      <c r="L300" s="28">
        <f>SUMIFS(Dump!$D:$D,Dump!$B:$B,$C300,Dump!$A:$A,$V300)</f>
        <v>0</v>
      </c>
      <c r="M300" s="28">
        <f>SUMIFS(Dump!R:R,Dump!B:B,C300,Dump!A:A,V300)</f>
        <v>0</v>
      </c>
      <c r="N300" s="29">
        <f t="shared" si="10"/>
        <v>0</v>
      </c>
      <c r="P300" s="30">
        <f>SUMIFS(Dump!E:E,Dump!B:B,C300,Dump!A:A,V300)</f>
        <v>0</v>
      </c>
      <c r="Q300" s="31">
        <f t="shared" si="11"/>
        <v>0</v>
      </c>
      <c r="S300" s="30">
        <f>SUMIFS(Dump!P:P,Dump!B:B,C300,Dump!A:A,V300)</f>
        <v>0</v>
      </c>
      <c r="T300" s="31">
        <f t="shared" si="12"/>
        <v>0</v>
      </c>
      <c r="U300" s="34"/>
      <c r="V300" s="47"/>
    </row>
    <row r="301">
      <c r="C301" s="46"/>
      <c r="G301" s="1" t="str">
        <f t="shared" si="16"/>
        <v/>
      </c>
      <c r="I301" s="33" t="str">
        <f t="shared" si="8"/>
        <v/>
      </c>
      <c r="K301" s="27"/>
      <c r="L301" s="28">
        <f>SUMIFS(Dump!$D:$D,Dump!$B:$B,$C301,Dump!$A:$A,$V301)</f>
        <v>0</v>
      </c>
      <c r="M301" s="28">
        <f>SUMIFS(Dump!R:R,Dump!B:B,C301,Dump!A:A,V301)</f>
        <v>0</v>
      </c>
      <c r="N301" s="29">
        <f t="shared" si="10"/>
        <v>0</v>
      </c>
      <c r="P301" s="30">
        <f>SUMIFS(Dump!E:E,Dump!B:B,C301,Dump!A:A,V301)</f>
        <v>0</v>
      </c>
      <c r="Q301" s="31">
        <f t="shared" si="11"/>
        <v>0</v>
      </c>
      <c r="S301" s="30">
        <f>SUMIFS(Dump!P:P,Dump!B:B,C301,Dump!A:A,V301)</f>
        <v>0</v>
      </c>
      <c r="T301" s="31">
        <f t="shared" si="12"/>
        <v>0</v>
      </c>
      <c r="U301" s="34"/>
      <c r="V301" s="47"/>
    </row>
    <row r="302">
      <c r="C302" s="46"/>
      <c r="G302" s="1" t="str">
        <f t="shared" si="16"/>
        <v/>
      </c>
      <c r="I302" s="33" t="str">
        <f t="shared" si="8"/>
        <v/>
      </c>
      <c r="K302" s="27"/>
      <c r="L302" s="28">
        <f>SUMIFS(Dump!$D:$D,Dump!$B:$B,$C302,Dump!$A:$A,$V302)</f>
        <v>0</v>
      </c>
      <c r="M302" s="28">
        <f>SUMIFS(Dump!R:R,Dump!B:B,C302,Dump!A:A,V302)</f>
        <v>0</v>
      </c>
      <c r="N302" s="29">
        <f t="shared" si="10"/>
        <v>0</v>
      </c>
      <c r="P302" s="30">
        <f>SUMIFS(Dump!E:E,Dump!B:B,C302,Dump!A:A,V302)</f>
        <v>0</v>
      </c>
      <c r="Q302" s="31">
        <f t="shared" si="11"/>
        <v>0</v>
      </c>
      <c r="S302" s="30">
        <f>SUMIFS(Dump!P:P,Dump!B:B,C302,Dump!A:A,V302)</f>
        <v>0</v>
      </c>
      <c r="T302" s="31">
        <f t="shared" si="12"/>
        <v>0</v>
      </c>
      <c r="U302" s="34"/>
      <c r="V302" s="47"/>
    </row>
    <row r="303">
      <c r="C303" s="46"/>
      <c r="G303" s="1" t="str">
        <f t="shared" si="16"/>
        <v/>
      </c>
      <c r="I303" s="33" t="str">
        <f t="shared" si="8"/>
        <v/>
      </c>
      <c r="K303" s="27"/>
      <c r="L303" s="28">
        <f>SUMIFS(Dump!$D:$D,Dump!$B:$B,$C303,Dump!$A:$A,$V303)</f>
        <v>0</v>
      </c>
      <c r="M303" s="28">
        <f>SUMIFS(Dump!R:R,Dump!B:B,C303,Dump!A:A,V303)</f>
        <v>0</v>
      </c>
      <c r="N303" s="29">
        <f t="shared" si="10"/>
        <v>0</v>
      </c>
      <c r="P303" s="30">
        <f>SUMIFS(Dump!E:E,Dump!B:B,C303,Dump!A:A,V303)</f>
        <v>0</v>
      </c>
      <c r="Q303" s="31">
        <f t="shared" si="11"/>
        <v>0</v>
      </c>
      <c r="S303" s="30">
        <f>SUMIFS(Dump!P:P,Dump!B:B,C303,Dump!A:A,V303)</f>
        <v>0</v>
      </c>
      <c r="T303" s="31">
        <f t="shared" si="12"/>
        <v>0</v>
      </c>
      <c r="U303" s="34"/>
      <c r="V303" s="47"/>
    </row>
    <row r="304">
      <c r="C304" s="46"/>
      <c r="G304" s="1" t="str">
        <f t="shared" si="16"/>
        <v/>
      </c>
      <c r="I304" s="33" t="str">
        <f t="shared" si="8"/>
        <v/>
      </c>
      <c r="K304" s="27"/>
      <c r="L304" s="28">
        <f>SUMIFS(Dump!$D:$D,Dump!$B:$B,$C304,Dump!$A:$A,$V304)</f>
        <v>0</v>
      </c>
      <c r="M304" s="28">
        <f>SUMIFS(Dump!R:R,Dump!B:B,C304,Dump!A:A,V304)</f>
        <v>0</v>
      </c>
      <c r="N304" s="29">
        <f t="shared" si="10"/>
        <v>0</v>
      </c>
      <c r="P304" s="30">
        <f>SUMIFS(Dump!E:E,Dump!B:B,C304,Dump!A:A,V304)</f>
        <v>0</v>
      </c>
      <c r="Q304" s="31">
        <f t="shared" si="11"/>
        <v>0</v>
      </c>
      <c r="S304" s="30">
        <f>SUMIFS(Dump!P:P,Dump!B:B,C304,Dump!A:A,V304)</f>
        <v>0</v>
      </c>
      <c r="T304" s="31">
        <f t="shared" si="12"/>
        <v>0</v>
      </c>
      <c r="U304" s="34"/>
      <c r="V304" s="47"/>
    </row>
    <row r="305">
      <c r="C305" s="46"/>
      <c r="G305" s="1" t="str">
        <f t="shared" si="16"/>
        <v/>
      </c>
      <c r="I305" s="33" t="str">
        <f t="shared" si="8"/>
        <v/>
      </c>
      <c r="K305" s="27"/>
      <c r="L305" s="28">
        <f>SUMIFS(Dump!$D:$D,Dump!$B:$B,$C305,Dump!$A:$A,$V305)</f>
        <v>0</v>
      </c>
      <c r="M305" s="28">
        <f>SUMIFS(Dump!R:R,Dump!B:B,C305,Dump!A:A,V305)</f>
        <v>0</v>
      </c>
      <c r="N305" s="29">
        <f t="shared" si="10"/>
        <v>0</v>
      </c>
      <c r="P305" s="30">
        <f>SUMIFS(Dump!E:E,Dump!B:B,C305,Dump!A:A,V305)</f>
        <v>0</v>
      </c>
      <c r="Q305" s="31">
        <f t="shared" si="11"/>
        <v>0</v>
      </c>
      <c r="S305" s="30">
        <f>SUMIFS(Dump!P:P,Dump!B:B,C305,Dump!A:A,V305)</f>
        <v>0</v>
      </c>
      <c r="T305" s="31">
        <f t="shared" si="12"/>
        <v>0</v>
      </c>
      <c r="U305" s="34"/>
      <c r="V305" s="47"/>
    </row>
    <row r="306">
      <c r="C306" s="46"/>
      <c r="G306" s="1" t="str">
        <f t="shared" si="16"/>
        <v/>
      </c>
      <c r="I306" s="33" t="str">
        <f t="shared" si="8"/>
        <v/>
      </c>
      <c r="K306" s="27"/>
      <c r="L306" s="28">
        <f>SUMIFS(Dump!$D:$D,Dump!$B:$B,$C306,Dump!$A:$A,$V306)</f>
        <v>0</v>
      </c>
      <c r="M306" s="28">
        <f>SUMIFS(Dump!R:R,Dump!B:B,C306,Dump!A:A,V306)</f>
        <v>0</v>
      </c>
      <c r="N306" s="29">
        <f t="shared" si="10"/>
        <v>0</v>
      </c>
      <c r="P306" s="30">
        <f>SUMIFS(Dump!E:E,Dump!B:B,C306,Dump!A:A,V306)</f>
        <v>0</v>
      </c>
      <c r="Q306" s="31">
        <f t="shared" si="11"/>
        <v>0</v>
      </c>
      <c r="S306" s="30">
        <f>SUMIFS(Dump!P:P,Dump!B:B,C306,Dump!A:A,V306)</f>
        <v>0</v>
      </c>
      <c r="T306" s="31">
        <f t="shared" si="12"/>
        <v>0</v>
      </c>
      <c r="U306" s="34"/>
      <c r="V306" s="47"/>
    </row>
    <row r="307">
      <c r="C307" s="46"/>
      <c r="G307" s="1" t="str">
        <f t="shared" si="16"/>
        <v/>
      </c>
      <c r="I307" s="33" t="str">
        <f t="shared" si="8"/>
        <v/>
      </c>
      <c r="K307" s="27"/>
      <c r="L307" s="28">
        <f>SUMIFS(Dump!$D:$D,Dump!$B:$B,$C307,Dump!$A:$A,$V307)</f>
        <v>0</v>
      </c>
      <c r="M307" s="28">
        <f>SUMIFS(Dump!R:R,Dump!B:B,C307,Dump!A:A,V307)</f>
        <v>0</v>
      </c>
      <c r="N307" s="29">
        <f t="shared" si="10"/>
        <v>0</v>
      </c>
      <c r="P307" s="30">
        <f>SUMIFS(Dump!E:E,Dump!B:B,C307,Dump!A:A,V307)</f>
        <v>0</v>
      </c>
      <c r="Q307" s="31">
        <f t="shared" si="11"/>
        <v>0</v>
      </c>
      <c r="S307" s="30">
        <f>SUMIFS(Dump!P:P,Dump!B:B,C307,Dump!A:A,V307)</f>
        <v>0</v>
      </c>
      <c r="T307" s="31">
        <f t="shared" si="12"/>
        <v>0</v>
      </c>
      <c r="U307" s="34"/>
      <c r="V307" s="47"/>
    </row>
    <row r="308">
      <c r="C308" s="46"/>
      <c r="G308" s="1" t="str">
        <f t="shared" si="16"/>
        <v/>
      </c>
      <c r="I308" s="33" t="str">
        <f t="shared" si="8"/>
        <v/>
      </c>
      <c r="K308" s="27"/>
      <c r="L308" s="28">
        <f>SUMIFS(Dump!$D:$D,Dump!$B:$B,$C308,Dump!$A:$A,$V308)</f>
        <v>0</v>
      </c>
      <c r="M308" s="28">
        <f>SUMIFS(Dump!R:R,Dump!B:B,C308,Dump!A:A,V308)</f>
        <v>0</v>
      </c>
      <c r="N308" s="29">
        <f t="shared" si="10"/>
        <v>0</v>
      </c>
      <c r="P308" s="30">
        <f>SUMIFS(Dump!E:E,Dump!B:B,C308,Dump!A:A,V308)</f>
        <v>0</v>
      </c>
      <c r="Q308" s="31">
        <f t="shared" si="11"/>
        <v>0</v>
      </c>
      <c r="S308" s="30">
        <f>SUMIFS(Dump!P:P,Dump!B:B,C308,Dump!A:A,V308)</f>
        <v>0</v>
      </c>
      <c r="T308" s="31">
        <f t="shared" si="12"/>
        <v>0</v>
      </c>
      <c r="U308" s="34"/>
      <c r="V308" s="47"/>
    </row>
    <row r="309">
      <c r="C309" s="46"/>
      <c r="G309" s="1" t="str">
        <f t="shared" si="16"/>
        <v/>
      </c>
      <c r="I309" s="33" t="str">
        <f t="shared" si="8"/>
        <v/>
      </c>
      <c r="K309" s="27"/>
      <c r="L309" s="28">
        <f>SUMIFS(Dump!$D:$D,Dump!$B:$B,$C309,Dump!$A:$A,$V309)</f>
        <v>0</v>
      </c>
      <c r="M309" s="28">
        <f>SUMIFS(Dump!R:R,Dump!B:B,C309,Dump!A:A,V309)</f>
        <v>0</v>
      </c>
      <c r="N309" s="29">
        <f t="shared" si="10"/>
        <v>0</v>
      </c>
      <c r="P309" s="30">
        <f>SUMIFS(Dump!E:E,Dump!B:B,C309,Dump!A:A,V309)</f>
        <v>0</v>
      </c>
      <c r="Q309" s="31">
        <f t="shared" si="11"/>
        <v>0</v>
      </c>
      <c r="S309" s="30">
        <f>SUMIFS(Dump!P:P,Dump!B:B,C309,Dump!A:A,V309)</f>
        <v>0</v>
      </c>
      <c r="T309" s="31">
        <f t="shared" si="12"/>
        <v>0</v>
      </c>
      <c r="U309" s="34"/>
      <c r="V309" s="47"/>
    </row>
    <row r="310">
      <c r="C310" s="46"/>
      <c r="G310" s="1" t="str">
        <f t="shared" si="16"/>
        <v/>
      </c>
      <c r="I310" s="33" t="str">
        <f t="shared" si="8"/>
        <v/>
      </c>
      <c r="K310" s="27"/>
      <c r="L310" s="28">
        <f>SUMIFS(Dump!$D:$D,Dump!$B:$B,$C310,Dump!$A:$A,$V310)</f>
        <v>0</v>
      </c>
      <c r="M310" s="28">
        <f>SUMIFS(Dump!R:R,Dump!B:B,C310,Dump!A:A,V310)</f>
        <v>0</v>
      </c>
      <c r="N310" s="29">
        <f t="shared" si="10"/>
        <v>0</v>
      </c>
      <c r="P310" s="30">
        <f>SUMIFS(Dump!E:E,Dump!B:B,C310,Dump!A:A,V310)</f>
        <v>0</v>
      </c>
      <c r="Q310" s="31">
        <f t="shared" si="11"/>
        <v>0</v>
      </c>
      <c r="S310" s="30">
        <f>SUMIFS(Dump!P:P,Dump!B:B,C310,Dump!A:A,V310)</f>
        <v>0</v>
      </c>
      <c r="T310" s="31">
        <f t="shared" si="12"/>
        <v>0</v>
      </c>
      <c r="U310" s="34"/>
      <c r="V310" s="47"/>
    </row>
    <row r="311">
      <c r="C311" s="46"/>
      <c r="G311" s="1" t="str">
        <f t="shared" si="16"/>
        <v/>
      </c>
      <c r="I311" s="33" t="str">
        <f t="shared" si="8"/>
        <v/>
      </c>
      <c r="K311" s="27"/>
      <c r="L311" s="28">
        <f>SUMIFS(Dump!$D:$D,Dump!$B:$B,$C311,Dump!$A:$A,$V311)</f>
        <v>0</v>
      </c>
      <c r="M311" s="28">
        <f>SUMIFS(Dump!R:R,Dump!B:B,C311,Dump!A:A,V311)</f>
        <v>0</v>
      </c>
      <c r="N311" s="29">
        <f t="shared" si="10"/>
        <v>0</v>
      </c>
      <c r="P311" s="30">
        <f>SUMIFS(Dump!E:E,Dump!B:B,C311,Dump!A:A,V311)</f>
        <v>0</v>
      </c>
      <c r="Q311" s="31">
        <f t="shared" si="11"/>
        <v>0</v>
      </c>
      <c r="S311" s="30">
        <f>SUMIFS(Dump!P:P,Dump!B:B,C311,Dump!A:A,V311)</f>
        <v>0</v>
      </c>
      <c r="T311" s="31">
        <f t="shared" si="12"/>
        <v>0</v>
      </c>
      <c r="U311" s="34"/>
      <c r="V311" s="47"/>
    </row>
    <row r="312">
      <c r="C312" s="46"/>
      <c r="G312" s="1" t="str">
        <f t="shared" si="16"/>
        <v/>
      </c>
      <c r="I312" s="33" t="str">
        <f t="shared" si="8"/>
        <v/>
      </c>
      <c r="K312" s="27"/>
      <c r="L312" s="28">
        <f>SUMIFS(Dump!$D:$D,Dump!$B:$B,$C312,Dump!$A:$A,$V312)</f>
        <v>0</v>
      </c>
      <c r="M312" s="28">
        <f>SUMIFS(Dump!R:R,Dump!B:B,C312,Dump!A:A,V312)</f>
        <v>0</v>
      </c>
      <c r="N312" s="29">
        <f t="shared" si="10"/>
        <v>0</v>
      </c>
      <c r="P312" s="30">
        <f>SUMIFS(Dump!E:E,Dump!B:B,C312,Dump!A:A,V312)</f>
        <v>0</v>
      </c>
      <c r="Q312" s="31">
        <f t="shared" si="11"/>
        <v>0</v>
      </c>
      <c r="S312" s="30">
        <f>SUMIFS(Dump!P:P,Dump!B:B,C312,Dump!A:A,V312)</f>
        <v>0</v>
      </c>
      <c r="T312" s="31">
        <f t="shared" si="12"/>
        <v>0</v>
      </c>
      <c r="U312" s="34"/>
      <c r="V312" s="47"/>
    </row>
    <row r="313">
      <c r="C313" s="46"/>
      <c r="G313" s="1" t="str">
        <f t="shared" si="16"/>
        <v/>
      </c>
      <c r="I313" s="33" t="str">
        <f t="shared" si="8"/>
        <v/>
      </c>
      <c r="K313" s="27"/>
      <c r="L313" s="28">
        <f>SUMIFS(Dump!$D:$D,Dump!$B:$B,$C313,Dump!$A:$A,$V313)</f>
        <v>0</v>
      </c>
      <c r="M313" s="28">
        <f>SUMIFS(Dump!R:R,Dump!B:B,C313,Dump!A:A,V313)</f>
        <v>0</v>
      </c>
      <c r="N313" s="29">
        <f t="shared" si="10"/>
        <v>0</v>
      </c>
      <c r="P313" s="30">
        <f>SUMIFS(Dump!E:E,Dump!B:B,C313,Dump!A:A,V313)</f>
        <v>0</v>
      </c>
      <c r="Q313" s="31">
        <f t="shared" si="11"/>
        <v>0</v>
      </c>
      <c r="S313" s="30">
        <f>SUMIFS(Dump!P:P,Dump!B:B,C313,Dump!A:A,V313)</f>
        <v>0</v>
      </c>
      <c r="T313" s="31">
        <f t="shared" si="12"/>
        <v>0</v>
      </c>
      <c r="U313" s="34"/>
      <c r="V313" s="47"/>
    </row>
    <row r="314">
      <c r="C314" s="46"/>
      <c r="G314" s="1" t="str">
        <f t="shared" si="16"/>
        <v/>
      </c>
      <c r="I314" s="33" t="str">
        <f t="shared" si="8"/>
        <v/>
      </c>
      <c r="K314" s="27"/>
      <c r="L314" s="28">
        <f>SUMIFS(Dump!$D:$D,Dump!$B:$B,$C314,Dump!$A:$A,$V314)</f>
        <v>0</v>
      </c>
      <c r="M314" s="28">
        <f>SUMIFS(Dump!R:R,Dump!B:B,C314,Dump!A:A,V314)</f>
        <v>0</v>
      </c>
      <c r="N314" s="29">
        <f t="shared" si="10"/>
        <v>0</v>
      </c>
      <c r="P314" s="30">
        <f>SUMIFS(Dump!E:E,Dump!B:B,C314,Dump!A:A,V314)</f>
        <v>0</v>
      </c>
      <c r="Q314" s="31">
        <f t="shared" si="11"/>
        <v>0</v>
      </c>
      <c r="S314" s="30">
        <f>SUMIFS(Dump!P:P,Dump!B:B,C314,Dump!A:A,V314)</f>
        <v>0</v>
      </c>
      <c r="T314" s="31">
        <f t="shared" si="12"/>
        <v>0</v>
      </c>
      <c r="U314" s="34"/>
      <c r="V314" s="47"/>
    </row>
    <row r="315">
      <c r="C315" s="46"/>
      <c r="G315" s="1" t="str">
        <f t="shared" si="16"/>
        <v/>
      </c>
      <c r="I315" s="33" t="str">
        <f t="shared" si="8"/>
        <v/>
      </c>
      <c r="K315" s="27"/>
      <c r="L315" s="28">
        <f>SUMIFS(Dump!$D:$D,Dump!$B:$B,$C315,Dump!$A:$A,$V315)</f>
        <v>0</v>
      </c>
      <c r="M315" s="28">
        <f>SUMIFS(Dump!R:R,Dump!B:B,C315,Dump!A:A,V315)</f>
        <v>0</v>
      </c>
      <c r="N315" s="29">
        <f t="shared" si="10"/>
        <v>0</v>
      </c>
      <c r="P315" s="30">
        <f>SUMIFS(Dump!E:E,Dump!B:B,C315,Dump!A:A,V315)</f>
        <v>0</v>
      </c>
      <c r="Q315" s="31">
        <f t="shared" si="11"/>
        <v>0</v>
      </c>
      <c r="S315" s="30">
        <f>SUMIFS(Dump!P:P,Dump!B:B,C315,Dump!A:A,V315)</f>
        <v>0</v>
      </c>
      <c r="T315" s="31">
        <f t="shared" si="12"/>
        <v>0</v>
      </c>
      <c r="U315" s="34"/>
      <c r="V315" s="47"/>
    </row>
    <row r="316">
      <c r="C316" s="46"/>
      <c r="G316" s="1" t="str">
        <f t="shared" si="16"/>
        <v/>
      </c>
      <c r="I316" s="33" t="str">
        <f t="shared" si="8"/>
        <v/>
      </c>
      <c r="K316" s="27"/>
      <c r="L316" s="28">
        <f>SUMIFS(Dump!$D:$D,Dump!$B:$B,$C316,Dump!$A:$A,$V316)</f>
        <v>0</v>
      </c>
      <c r="M316" s="28">
        <f>SUMIFS(Dump!R:R,Dump!B:B,C316,Dump!A:A,V316)</f>
        <v>0</v>
      </c>
      <c r="N316" s="29">
        <f t="shared" si="10"/>
        <v>0</v>
      </c>
      <c r="P316" s="30">
        <f>SUMIFS(Dump!E:E,Dump!B:B,C316,Dump!A:A,V316)</f>
        <v>0</v>
      </c>
      <c r="Q316" s="31">
        <f t="shared" si="11"/>
        <v>0</v>
      </c>
      <c r="S316" s="30">
        <f>SUMIFS(Dump!P:P,Dump!B:B,C316,Dump!A:A,V316)</f>
        <v>0</v>
      </c>
      <c r="T316" s="31">
        <f t="shared" si="12"/>
        <v>0</v>
      </c>
      <c r="U316" s="34"/>
      <c r="V316" s="47"/>
    </row>
    <row r="317">
      <c r="C317" s="46"/>
      <c r="G317" s="1" t="str">
        <f t="shared" si="16"/>
        <v/>
      </c>
      <c r="I317" s="33" t="str">
        <f t="shared" si="8"/>
        <v/>
      </c>
      <c r="K317" s="27"/>
      <c r="L317" s="28">
        <f>SUMIFS(Dump!$D:$D,Dump!$B:$B,$C317,Dump!$A:$A,$V317)</f>
        <v>0</v>
      </c>
      <c r="M317" s="28">
        <f>SUMIFS(Dump!R:R,Dump!B:B,C317,Dump!A:A,V317)</f>
        <v>0</v>
      </c>
      <c r="N317" s="29">
        <f t="shared" si="10"/>
        <v>0</v>
      </c>
      <c r="P317" s="30">
        <f>SUMIFS(Dump!E:E,Dump!B:B,C317,Dump!A:A,V317)</f>
        <v>0</v>
      </c>
      <c r="Q317" s="31">
        <f t="shared" si="11"/>
        <v>0</v>
      </c>
      <c r="S317" s="30">
        <f>SUMIFS(Dump!P:P,Dump!B:B,C317,Dump!A:A,V317)</f>
        <v>0</v>
      </c>
      <c r="T317" s="31">
        <f t="shared" si="12"/>
        <v>0</v>
      </c>
      <c r="U317" s="34"/>
      <c r="V317" s="47"/>
    </row>
    <row r="318">
      <c r="C318" s="46"/>
      <c r="G318" s="1" t="str">
        <f t="shared" si="16"/>
        <v/>
      </c>
      <c r="I318" s="33" t="str">
        <f t="shared" si="8"/>
        <v/>
      </c>
      <c r="K318" s="27"/>
      <c r="L318" s="28">
        <f>SUMIFS(Dump!$D:$D,Dump!$B:$B,$C318,Dump!$A:$A,$V318)</f>
        <v>0</v>
      </c>
      <c r="M318" s="28">
        <f>SUMIFS(Dump!R:R,Dump!B:B,C318,Dump!A:A,V318)</f>
        <v>0</v>
      </c>
      <c r="N318" s="29">
        <f t="shared" si="10"/>
        <v>0</v>
      </c>
      <c r="P318" s="30">
        <f>SUMIFS(Dump!E:E,Dump!B:B,C318,Dump!A:A,V318)</f>
        <v>0</v>
      </c>
      <c r="Q318" s="31">
        <f t="shared" si="11"/>
        <v>0</v>
      </c>
      <c r="S318" s="30">
        <f>SUMIFS(Dump!P:P,Dump!B:B,C318,Dump!A:A,V318)</f>
        <v>0</v>
      </c>
      <c r="T318" s="31">
        <f t="shared" si="12"/>
        <v>0</v>
      </c>
      <c r="U318" s="34"/>
      <c r="V318" s="47"/>
    </row>
    <row r="319">
      <c r="C319" s="46"/>
      <c r="G319" s="1" t="str">
        <f t="shared" si="16"/>
        <v/>
      </c>
      <c r="I319" s="33" t="str">
        <f t="shared" si="8"/>
        <v/>
      </c>
      <c r="K319" s="27"/>
      <c r="L319" s="28">
        <f>SUMIFS(Dump!$D:$D,Dump!$B:$B,$C319,Dump!$A:$A,$V319)</f>
        <v>0</v>
      </c>
      <c r="M319" s="28">
        <f>SUMIFS(Dump!R:R,Dump!B:B,C319,Dump!A:A,V319)</f>
        <v>0</v>
      </c>
      <c r="N319" s="29">
        <f t="shared" si="10"/>
        <v>0</v>
      </c>
      <c r="P319" s="30">
        <f>SUMIFS(Dump!E:E,Dump!B:B,C319,Dump!A:A,V319)</f>
        <v>0</v>
      </c>
      <c r="Q319" s="31">
        <f t="shared" si="11"/>
        <v>0</v>
      </c>
      <c r="S319" s="30">
        <f>SUMIFS(Dump!P:P,Dump!B:B,C319,Dump!A:A,V319)</f>
        <v>0</v>
      </c>
      <c r="T319" s="31">
        <f t="shared" si="12"/>
        <v>0</v>
      </c>
      <c r="U319" s="34"/>
      <c r="V319" s="47"/>
    </row>
    <row r="320">
      <c r="C320" s="46"/>
      <c r="G320" s="1" t="str">
        <f t="shared" si="16"/>
        <v/>
      </c>
      <c r="I320" s="33" t="str">
        <f t="shared" si="8"/>
        <v/>
      </c>
      <c r="K320" s="27"/>
      <c r="L320" s="28">
        <f>SUMIFS(Dump!$D:$D,Dump!$B:$B,$C320,Dump!$A:$A,$V320)</f>
        <v>0</v>
      </c>
      <c r="M320" s="28">
        <f>SUMIFS(Dump!R:R,Dump!B:B,C320,Dump!A:A,V320)</f>
        <v>0</v>
      </c>
      <c r="N320" s="29">
        <f t="shared" si="10"/>
        <v>0</v>
      </c>
      <c r="P320" s="30">
        <f>SUMIFS(Dump!E:E,Dump!B:B,C320,Dump!A:A,V320)</f>
        <v>0</v>
      </c>
      <c r="Q320" s="31">
        <f t="shared" si="11"/>
        <v>0</v>
      </c>
      <c r="S320" s="30">
        <f>SUMIFS(Dump!P:P,Dump!B:B,C320,Dump!A:A,V320)</f>
        <v>0</v>
      </c>
      <c r="T320" s="31">
        <f t="shared" si="12"/>
        <v>0</v>
      </c>
      <c r="U320" s="34"/>
      <c r="V320" s="47"/>
    </row>
    <row r="321">
      <c r="C321" s="46"/>
      <c r="G321" s="1" t="str">
        <f t="shared" si="16"/>
        <v/>
      </c>
      <c r="I321" s="33" t="str">
        <f t="shared" si="8"/>
        <v/>
      </c>
      <c r="K321" s="27"/>
      <c r="L321" s="28">
        <f>SUMIFS(Dump!$D:$D,Dump!$B:$B,$C321,Dump!$A:$A,$V321)</f>
        <v>0</v>
      </c>
      <c r="M321" s="28">
        <f>SUMIFS(Dump!R:R,Dump!B:B,C321,Dump!A:A,V321)</f>
        <v>0</v>
      </c>
      <c r="N321" s="29">
        <f t="shared" si="10"/>
        <v>0</v>
      </c>
      <c r="P321" s="30">
        <f>SUMIFS(Dump!E:E,Dump!B:B,C321,Dump!A:A,V321)</f>
        <v>0</v>
      </c>
      <c r="Q321" s="31">
        <f t="shared" si="11"/>
        <v>0</v>
      </c>
      <c r="S321" s="30">
        <f>SUMIFS(Dump!P:P,Dump!B:B,C321,Dump!A:A,V321)</f>
        <v>0</v>
      </c>
      <c r="T321" s="31">
        <f t="shared" si="12"/>
        <v>0</v>
      </c>
      <c r="U321" s="34"/>
      <c r="V321" s="47"/>
    </row>
    <row r="322">
      <c r="C322" s="46"/>
      <c r="G322" s="1" t="str">
        <f t="shared" si="16"/>
        <v/>
      </c>
      <c r="I322" s="33" t="str">
        <f t="shared" si="8"/>
        <v/>
      </c>
      <c r="K322" s="27"/>
      <c r="L322" s="28">
        <f>SUMIFS(Dump!$D:$D,Dump!$B:$B,$C322,Dump!$A:$A,$V322)</f>
        <v>0</v>
      </c>
      <c r="M322" s="28">
        <f>SUMIFS(Dump!R:R,Dump!B:B,C322,Dump!A:A,V322)</f>
        <v>0</v>
      </c>
      <c r="N322" s="29">
        <f t="shared" si="10"/>
        <v>0</v>
      </c>
      <c r="P322" s="30">
        <f>SUMIFS(Dump!E:E,Dump!B:B,C322,Dump!A:A,V322)</f>
        <v>0</v>
      </c>
      <c r="Q322" s="31">
        <f t="shared" si="11"/>
        <v>0</v>
      </c>
      <c r="S322" s="30">
        <f>SUMIFS(Dump!P:P,Dump!B:B,C322,Dump!A:A,V322)</f>
        <v>0</v>
      </c>
      <c r="T322" s="31">
        <f t="shared" si="12"/>
        <v>0</v>
      </c>
      <c r="U322" s="34"/>
      <c r="V322" s="47"/>
    </row>
    <row r="323">
      <c r="C323" s="46"/>
      <c r="G323" s="1" t="str">
        <f t="shared" si="16"/>
        <v/>
      </c>
      <c r="I323" s="33" t="str">
        <f t="shared" si="8"/>
        <v/>
      </c>
      <c r="K323" s="27"/>
      <c r="L323" s="28">
        <f>SUMIFS(Dump!$D:$D,Dump!$B:$B,$C323,Dump!$A:$A,$V323)</f>
        <v>0</v>
      </c>
      <c r="M323" s="28">
        <f>SUMIFS(Dump!R:R,Dump!B:B,C323,Dump!A:A,V323)</f>
        <v>0</v>
      </c>
      <c r="N323" s="29">
        <f t="shared" si="10"/>
        <v>0</v>
      </c>
      <c r="P323" s="30">
        <f>SUMIFS(Dump!E:E,Dump!B:B,C323,Dump!A:A,V323)</f>
        <v>0</v>
      </c>
      <c r="Q323" s="31">
        <f t="shared" si="11"/>
        <v>0</v>
      </c>
      <c r="S323" s="30">
        <f>SUMIFS(Dump!P:P,Dump!B:B,C323,Dump!A:A,V323)</f>
        <v>0</v>
      </c>
      <c r="T323" s="31">
        <f t="shared" si="12"/>
        <v>0</v>
      </c>
      <c r="U323" s="34"/>
      <c r="V323" s="47"/>
    </row>
    <row r="324">
      <c r="C324" s="46"/>
      <c r="G324" s="1" t="str">
        <f t="shared" si="16"/>
        <v/>
      </c>
      <c r="I324" s="33" t="str">
        <f t="shared" si="8"/>
        <v/>
      </c>
      <c r="K324" s="27"/>
      <c r="L324" s="28">
        <f>SUMIFS(Dump!$D:$D,Dump!$B:$B,$C324,Dump!$A:$A,$V324)</f>
        <v>0</v>
      </c>
      <c r="M324" s="28">
        <f>SUMIFS(Dump!R:R,Dump!B:B,C324,Dump!A:A,V324)</f>
        <v>0</v>
      </c>
      <c r="N324" s="29">
        <f t="shared" si="10"/>
        <v>0</v>
      </c>
      <c r="P324" s="30">
        <f>SUMIFS(Dump!E:E,Dump!B:B,C324,Dump!A:A,V324)</f>
        <v>0</v>
      </c>
      <c r="Q324" s="31">
        <f t="shared" si="11"/>
        <v>0</v>
      </c>
      <c r="S324" s="30">
        <f>SUMIFS(Dump!P:P,Dump!B:B,C324,Dump!A:A,V324)</f>
        <v>0</v>
      </c>
      <c r="T324" s="31">
        <f t="shared" si="12"/>
        <v>0</v>
      </c>
      <c r="U324" s="34"/>
      <c r="V324" s="47"/>
    </row>
    <row r="325">
      <c r="C325" s="46"/>
      <c r="G325" s="1" t="str">
        <f t="shared" si="16"/>
        <v/>
      </c>
      <c r="I325" s="33" t="str">
        <f t="shared" si="8"/>
        <v/>
      </c>
      <c r="K325" s="27"/>
      <c r="L325" s="28">
        <f>SUMIFS(Dump!$D:$D,Dump!$B:$B,$C325,Dump!$A:$A,$V325)</f>
        <v>0</v>
      </c>
      <c r="M325" s="28">
        <f>SUMIFS(Dump!R:R,Dump!B:B,C325,Dump!A:A,V325)</f>
        <v>0</v>
      </c>
      <c r="N325" s="29">
        <f t="shared" si="10"/>
        <v>0</v>
      </c>
      <c r="P325" s="30">
        <f>SUMIFS(Dump!E:E,Dump!B:B,C325,Dump!A:A,V325)</f>
        <v>0</v>
      </c>
      <c r="Q325" s="31">
        <f t="shared" si="11"/>
        <v>0</v>
      </c>
      <c r="S325" s="30">
        <f>SUMIFS(Dump!P:P,Dump!B:B,C325,Dump!A:A,V325)</f>
        <v>0</v>
      </c>
      <c r="T325" s="31">
        <f t="shared" si="12"/>
        <v>0</v>
      </c>
      <c r="U325" s="34"/>
      <c r="V325" s="47"/>
    </row>
    <row r="326">
      <c r="C326" s="46"/>
      <c r="G326" s="1" t="str">
        <f t="shared" si="16"/>
        <v/>
      </c>
      <c r="I326" s="33" t="str">
        <f t="shared" si="8"/>
        <v/>
      </c>
      <c r="K326" s="27"/>
      <c r="L326" s="28">
        <f>SUMIFS(Dump!$D:$D,Dump!$B:$B,$C326,Dump!$A:$A,$V326)</f>
        <v>0</v>
      </c>
      <c r="M326" s="28">
        <f>SUMIFS(Dump!R:R,Dump!B:B,C326,Dump!A:A,V326)</f>
        <v>0</v>
      </c>
      <c r="N326" s="29">
        <f t="shared" si="10"/>
        <v>0</v>
      </c>
      <c r="P326" s="30">
        <f>SUMIFS(Dump!E:E,Dump!B:B,C326,Dump!A:A,V326)</f>
        <v>0</v>
      </c>
      <c r="Q326" s="31">
        <f t="shared" si="11"/>
        <v>0</v>
      </c>
      <c r="S326" s="30">
        <f>SUMIFS(Dump!P:P,Dump!B:B,C326,Dump!A:A,V326)</f>
        <v>0</v>
      </c>
      <c r="T326" s="31">
        <f t="shared" si="12"/>
        <v>0</v>
      </c>
      <c r="U326" s="34"/>
      <c r="V326" s="47"/>
    </row>
    <row r="327">
      <c r="C327" s="46"/>
      <c r="G327" s="1" t="str">
        <f t="shared" si="16"/>
        <v/>
      </c>
      <c r="I327" s="33" t="str">
        <f t="shared" si="8"/>
        <v/>
      </c>
      <c r="K327" s="27"/>
      <c r="L327" s="28">
        <f>SUMIFS(Dump!$D:$D,Dump!$B:$B,$C327,Dump!$A:$A,$V327)</f>
        <v>0</v>
      </c>
      <c r="M327" s="28">
        <f>SUMIFS(Dump!R:R,Dump!B:B,C327,Dump!A:A,V327)</f>
        <v>0</v>
      </c>
      <c r="N327" s="29">
        <f t="shared" si="10"/>
        <v>0</v>
      </c>
      <c r="P327" s="30">
        <f>SUMIFS(Dump!E:E,Dump!B:B,C327,Dump!A:A,V327)</f>
        <v>0</v>
      </c>
      <c r="Q327" s="31">
        <f t="shared" si="11"/>
        <v>0</v>
      </c>
      <c r="S327" s="30">
        <f>SUMIFS(Dump!P:P,Dump!B:B,C327,Dump!A:A,V327)</f>
        <v>0</v>
      </c>
      <c r="T327" s="31">
        <f t="shared" si="12"/>
        <v>0</v>
      </c>
      <c r="U327" s="34"/>
      <c r="V327" s="47"/>
    </row>
    <row r="328">
      <c r="C328" s="46"/>
      <c r="G328" s="1" t="str">
        <f t="shared" si="16"/>
        <v/>
      </c>
      <c r="I328" s="33" t="str">
        <f t="shared" si="8"/>
        <v/>
      </c>
      <c r="K328" s="27"/>
      <c r="L328" s="28">
        <f>SUMIFS(Dump!$D:$D,Dump!$B:$B,$C328,Dump!$A:$A,$V328)</f>
        <v>0</v>
      </c>
      <c r="M328" s="28">
        <f>SUMIFS(Dump!R:R,Dump!B:B,C328,Dump!A:A,V328)</f>
        <v>0</v>
      </c>
      <c r="N328" s="29">
        <f t="shared" si="10"/>
        <v>0</v>
      </c>
      <c r="P328" s="30">
        <f>SUMIFS(Dump!E:E,Dump!B:B,C328,Dump!A:A,V328)</f>
        <v>0</v>
      </c>
      <c r="Q328" s="31">
        <f t="shared" si="11"/>
        <v>0</v>
      </c>
      <c r="S328" s="30">
        <f>SUMIFS(Dump!P:P,Dump!B:B,C328,Dump!A:A,V328)</f>
        <v>0</v>
      </c>
      <c r="T328" s="31">
        <f t="shared" si="12"/>
        <v>0</v>
      </c>
      <c r="U328" s="34"/>
      <c r="V328" s="47"/>
    </row>
    <row r="329">
      <c r="C329" s="46"/>
      <c r="G329" s="1" t="str">
        <f t="shared" si="16"/>
        <v/>
      </c>
      <c r="I329" s="33" t="str">
        <f t="shared" si="8"/>
        <v/>
      </c>
      <c r="K329" s="27"/>
      <c r="L329" s="28">
        <f>SUMIFS(Dump!$D:$D,Dump!$B:$B,$C329,Dump!$A:$A,$V329)</f>
        <v>0</v>
      </c>
      <c r="M329" s="28">
        <f>SUMIFS(Dump!R:R,Dump!B:B,C329,Dump!A:A,V329)</f>
        <v>0</v>
      </c>
      <c r="N329" s="29">
        <f t="shared" si="10"/>
        <v>0</v>
      </c>
      <c r="P329" s="30">
        <f>SUMIFS(Dump!E:E,Dump!B:B,C329,Dump!A:A,V329)</f>
        <v>0</v>
      </c>
      <c r="Q329" s="31">
        <f t="shared" si="11"/>
        <v>0</v>
      </c>
      <c r="S329" s="30">
        <f>SUMIFS(Dump!P:P,Dump!B:B,C329,Dump!A:A,V329)</f>
        <v>0</v>
      </c>
      <c r="T329" s="31">
        <f t="shared" si="12"/>
        <v>0</v>
      </c>
      <c r="U329" s="34"/>
      <c r="V329" s="47"/>
    </row>
    <row r="330">
      <c r="C330" s="46"/>
      <c r="G330" s="1" t="str">
        <f t="shared" si="16"/>
        <v/>
      </c>
      <c r="I330" s="33" t="str">
        <f t="shared" si="8"/>
        <v/>
      </c>
      <c r="K330" s="27"/>
      <c r="L330" s="28">
        <f>SUMIFS(Dump!$D:$D,Dump!$B:$B,$C330,Dump!$A:$A,$V330)</f>
        <v>0</v>
      </c>
      <c r="M330" s="28">
        <f>SUMIFS(Dump!R:R,Dump!B:B,C330,Dump!A:A,V330)</f>
        <v>0</v>
      </c>
      <c r="N330" s="29">
        <f t="shared" si="10"/>
        <v>0</v>
      </c>
      <c r="P330" s="30">
        <f>SUMIFS(Dump!E:E,Dump!B:B,C330,Dump!A:A,V330)</f>
        <v>0</v>
      </c>
      <c r="Q330" s="31">
        <f t="shared" si="11"/>
        <v>0</v>
      </c>
      <c r="S330" s="30">
        <f>SUMIFS(Dump!P:P,Dump!B:B,C330,Dump!A:A,V330)</f>
        <v>0</v>
      </c>
      <c r="T330" s="31">
        <f t="shared" si="12"/>
        <v>0</v>
      </c>
      <c r="U330" s="34"/>
      <c r="V330" s="47"/>
    </row>
    <row r="331">
      <c r="C331" s="46"/>
      <c r="G331" s="1" t="str">
        <f t="shared" si="16"/>
        <v/>
      </c>
      <c r="I331" s="33" t="str">
        <f t="shared" si="8"/>
        <v/>
      </c>
      <c r="K331" s="27"/>
      <c r="L331" s="28">
        <f>SUMIFS(Dump!$D:$D,Dump!$B:$B,$C331,Dump!$A:$A,$V331)</f>
        <v>0</v>
      </c>
      <c r="M331" s="28">
        <f>SUMIFS(Dump!R:R,Dump!B:B,C331,Dump!A:A,V331)</f>
        <v>0</v>
      </c>
      <c r="N331" s="29">
        <f t="shared" si="10"/>
        <v>0</v>
      </c>
      <c r="P331" s="30">
        <f>SUMIFS(Dump!E:E,Dump!B:B,C331,Dump!A:A,V331)</f>
        <v>0</v>
      </c>
      <c r="Q331" s="31">
        <f t="shared" si="11"/>
        <v>0</v>
      </c>
      <c r="S331" s="30">
        <f>SUMIFS(Dump!P:P,Dump!B:B,C331,Dump!A:A,V331)</f>
        <v>0</v>
      </c>
      <c r="T331" s="31">
        <f t="shared" si="12"/>
        <v>0</v>
      </c>
      <c r="U331" s="34"/>
      <c r="V331" s="47"/>
    </row>
    <row r="332">
      <c r="C332" s="46"/>
      <c r="G332" s="1" t="str">
        <f t="shared" si="16"/>
        <v/>
      </c>
      <c r="I332" s="33" t="str">
        <f t="shared" si="8"/>
        <v/>
      </c>
      <c r="K332" s="27"/>
      <c r="L332" s="28">
        <f>SUMIFS(Dump!$D:$D,Dump!$B:$B,$C332,Dump!$A:$A,$V332)</f>
        <v>0</v>
      </c>
      <c r="M332" s="28">
        <f>SUMIFS(Dump!R:R,Dump!B:B,C332,Dump!A:A,V332)</f>
        <v>0</v>
      </c>
      <c r="N332" s="29">
        <f t="shared" si="10"/>
        <v>0</v>
      </c>
      <c r="P332" s="30">
        <f>SUMIFS(Dump!E:E,Dump!B:B,C332,Dump!A:A,V332)</f>
        <v>0</v>
      </c>
      <c r="Q332" s="31">
        <f t="shared" si="11"/>
        <v>0</v>
      </c>
      <c r="S332" s="30">
        <f>SUMIFS(Dump!P:P,Dump!B:B,C332,Dump!A:A,V332)</f>
        <v>0</v>
      </c>
      <c r="T332" s="31">
        <f t="shared" si="12"/>
        <v>0</v>
      </c>
      <c r="U332" s="34"/>
      <c r="V332" s="47"/>
    </row>
    <row r="333">
      <c r="C333" s="46"/>
      <c r="G333" s="1" t="str">
        <f t="shared" si="16"/>
        <v/>
      </c>
      <c r="I333" s="33" t="str">
        <f t="shared" si="8"/>
        <v/>
      </c>
      <c r="K333" s="27"/>
      <c r="L333" s="28">
        <f>SUMIFS(Dump!$D:$D,Dump!$B:$B,$C333,Dump!$A:$A,$V333)</f>
        <v>0</v>
      </c>
      <c r="M333" s="28">
        <f>SUMIFS(Dump!R:R,Dump!B:B,C333,Dump!A:A,V333)</f>
        <v>0</v>
      </c>
      <c r="N333" s="29">
        <f t="shared" si="10"/>
        <v>0</v>
      </c>
      <c r="P333" s="30">
        <f>SUMIFS(Dump!E:E,Dump!B:B,C333,Dump!A:A,V333)</f>
        <v>0</v>
      </c>
      <c r="Q333" s="31">
        <f t="shared" si="11"/>
        <v>0</v>
      </c>
      <c r="S333" s="30">
        <f>SUMIFS(Dump!P:P,Dump!B:B,C333,Dump!A:A,V333)</f>
        <v>0</v>
      </c>
      <c r="T333" s="31">
        <f t="shared" si="12"/>
        <v>0</v>
      </c>
      <c r="U333" s="34"/>
      <c r="V333" s="47"/>
    </row>
    <row r="334">
      <c r="C334" s="46"/>
      <c r="G334" s="1" t="str">
        <f t="shared" si="16"/>
        <v/>
      </c>
      <c r="I334" s="33" t="str">
        <f t="shared" si="8"/>
        <v/>
      </c>
      <c r="K334" s="27"/>
      <c r="L334" s="28">
        <f>SUMIFS(Dump!$D:$D,Dump!$B:$B,$C334,Dump!$A:$A,$V334)</f>
        <v>0</v>
      </c>
      <c r="M334" s="28">
        <f>SUMIFS(Dump!R:R,Dump!B:B,C334,Dump!A:A,V334)</f>
        <v>0</v>
      </c>
      <c r="N334" s="29">
        <f t="shared" si="10"/>
        <v>0</v>
      </c>
      <c r="P334" s="30">
        <f>SUMIFS(Dump!E:E,Dump!B:B,C334,Dump!A:A,V334)</f>
        <v>0</v>
      </c>
      <c r="Q334" s="31">
        <f t="shared" si="11"/>
        <v>0</v>
      </c>
      <c r="S334" s="30">
        <f>SUMIFS(Dump!P:P,Dump!B:B,C334,Dump!A:A,V334)</f>
        <v>0</v>
      </c>
      <c r="T334" s="31">
        <f t="shared" si="12"/>
        <v>0</v>
      </c>
      <c r="U334" s="34"/>
      <c r="V334" s="47"/>
    </row>
    <row r="335">
      <c r="C335" s="46"/>
      <c r="G335" s="1" t="str">
        <f t="shared" si="16"/>
        <v/>
      </c>
      <c r="I335" s="33" t="str">
        <f t="shared" si="8"/>
        <v/>
      </c>
      <c r="K335" s="27"/>
      <c r="L335" s="28">
        <f>SUMIFS(Dump!$D:$D,Dump!$B:$B,$C335,Dump!$A:$A,$V335)</f>
        <v>0</v>
      </c>
      <c r="M335" s="28">
        <f>SUMIFS(Dump!R:R,Dump!B:B,C335,Dump!A:A,V335)</f>
        <v>0</v>
      </c>
      <c r="N335" s="29">
        <f t="shared" si="10"/>
        <v>0</v>
      </c>
      <c r="P335" s="30">
        <f>SUMIFS(Dump!E:E,Dump!B:B,C335,Dump!A:A,V335)</f>
        <v>0</v>
      </c>
      <c r="Q335" s="31">
        <f t="shared" si="11"/>
        <v>0</v>
      </c>
      <c r="S335" s="30">
        <f>SUMIFS(Dump!P:P,Dump!B:B,C335,Dump!A:A,V335)</f>
        <v>0</v>
      </c>
      <c r="T335" s="31">
        <f t="shared" si="12"/>
        <v>0</v>
      </c>
      <c r="U335" s="34"/>
      <c r="V335" s="47"/>
    </row>
    <row r="336">
      <c r="C336" s="46"/>
      <c r="G336" s="1" t="str">
        <f t="shared" si="16"/>
        <v/>
      </c>
      <c r="I336" s="33" t="str">
        <f t="shared" si="8"/>
        <v/>
      </c>
      <c r="K336" s="27"/>
      <c r="L336" s="28">
        <f>SUMIFS(Dump!$D:$D,Dump!$B:$B,$C336,Dump!$A:$A,$V336)</f>
        <v>0</v>
      </c>
      <c r="M336" s="28">
        <f>SUMIFS(Dump!R:R,Dump!B:B,C336,Dump!A:A,V336)</f>
        <v>0</v>
      </c>
      <c r="N336" s="29">
        <f t="shared" si="10"/>
        <v>0</v>
      </c>
      <c r="P336" s="30">
        <f>SUMIFS(Dump!E:E,Dump!B:B,C336,Dump!A:A,V336)</f>
        <v>0</v>
      </c>
      <c r="Q336" s="31">
        <f t="shared" si="11"/>
        <v>0</v>
      </c>
      <c r="S336" s="30">
        <f>SUMIFS(Dump!P:P,Dump!B:B,C336,Dump!A:A,V336)</f>
        <v>0</v>
      </c>
      <c r="T336" s="31">
        <f t="shared" si="12"/>
        <v>0</v>
      </c>
      <c r="U336" s="34"/>
      <c r="V336" s="47"/>
    </row>
    <row r="337">
      <c r="C337" s="46"/>
      <c r="G337" s="1" t="str">
        <f t="shared" si="16"/>
        <v/>
      </c>
      <c r="I337" s="33" t="str">
        <f t="shared" si="8"/>
        <v/>
      </c>
      <c r="K337" s="27"/>
      <c r="L337" s="28">
        <f>SUMIFS(Dump!$D:$D,Dump!$B:$B,$C337,Dump!$A:$A,$V337)</f>
        <v>0</v>
      </c>
      <c r="M337" s="28">
        <f>SUMIFS(Dump!R:R,Dump!B:B,C337,Dump!A:A,V337)</f>
        <v>0</v>
      </c>
      <c r="N337" s="29">
        <f t="shared" si="10"/>
        <v>0</v>
      </c>
      <c r="P337" s="30">
        <f>SUMIFS(Dump!E:E,Dump!B:B,C337,Dump!A:A,V337)</f>
        <v>0</v>
      </c>
      <c r="Q337" s="31">
        <f t="shared" si="11"/>
        <v>0</v>
      </c>
      <c r="S337" s="30">
        <f>SUMIFS(Dump!P:P,Dump!B:B,C337,Dump!A:A,V337)</f>
        <v>0</v>
      </c>
      <c r="T337" s="31">
        <f t="shared" si="12"/>
        <v>0</v>
      </c>
      <c r="U337" s="34"/>
      <c r="V337" s="47"/>
    </row>
    <row r="338">
      <c r="C338" s="46"/>
      <c r="G338" s="1" t="str">
        <f t="shared" si="16"/>
        <v/>
      </c>
      <c r="I338" s="33" t="str">
        <f t="shared" si="8"/>
        <v/>
      </c>
      <c r="K338" s="27"/>
      <c r="L338" s="28">
        <f>SUMIFS(Dump!$D:$D,Dump!$B:$B,$C338,Dump!$A:$A,$V338)</f>
        <v>0</v>
      </c>
      <c r="M338" s="28">
        <f>SUMIFS(Dump!R:R,Dump!B:B,C338,Dump!A:A,V338)</f>
        <v>0</v>
      </c>
      <c r="N338" s="29">
        <f t="shared" si="10"/>
        <v>0</v>
      </c>
      <c r="P338" s="30">
        <f>SUMIFS(Dump!E:E,Dump!B:B,C338,Dump!A:A,V338)</f>
        <v>0</v>
      </c>
      <c r="Q338" s="31">
        <f t="shared" si="11"/>
        <v>0</v>
      </c>
      <c r="S338" s="30">
        <f>SUMIFS(Dump!P:P,Dump!B:B,C338,Dump!A:A,V338)</f>
        <v>0</v>
      </c>
      <c r="T338" s="31">
        <f t="shared" si="12"/>
        <v>0</v>
      </c>
      <c r="U338" s="34"/>
      <c r="V338" s="47"/>
    </row>
    <row r="339">
      <c r="C339" s="46"/>
      <c r="G339" s="1" t="str">
        <f t="shared" si="16"/>
        <v/>
      </c>
      <c r="I339" s="33" t="str">
        <f t="shared" si="8"/>
        <v/>
      </c>
      <c r="K339" s="27"/>
      <c r="L339" s="28">
        <f>SUMIFS(Dump!$D:$D,Dump!$B:$B,$C339,Dump!$A:$A,$V339)</f>
        <v>0</v>
      </c>
      <c r="M339" s="28">
        <f>SUMIFS(Dump!R:R,Dump!B:B,C339,Dump!A:A,V339)</f>
        <v>0</v>
      </c>
      <c r="N339" s="29">
        <f t="shared" si="10"/>
        <v>0</v>
      </c>
      <c r="P339" s="30">
        <f>SUMIFS(Dump!E:E,Dump!B:B,C339,Dump!A:A,V339)</f>
        <v>0</v>
      </c>
      <c r="Q339" s="31">
        <f t="shared" si="11"/>
        <v>0</v>
      </c>
      <c r="S339" s="30">
        <f>SUMIFS(Dump!P:P,Dump!B:B,C339,Dump!A:A,V339)</f>
        <v>0</v>
      </c>
      <c r="T339" s="31">
        <f t="shared" si="12"/>
        <v>0</v>
      </c>
      <c r="U339" s="34"/>
      <c r="V339" s="47"/>
    </row>
    <row r="340">
      <c r="C340" s="46"/>
      <c r="G340" s="1" t="str">
        <f t="shared" si="16"/>
        <v/>
      </c>
      <c r="I340" s="33" t="str">
        <f t="shared" si="8"/>
        <v/>
      </c>
      <c r="K340" s="27"/>
      <c r="L340" s="28">
        <f>SUMIFS(Dump!$D:$D,Dump!$B:$B,$C340,Dump!$A:$A,$V340)</f>
        <v>0</v>
      </c>
      <c r="M340" s="28">
        <f>SUMIFS(Dump!R:R,Dump!B:B,C340,Dump!A:A,V340)</f>
        <v>0</v>
      </c>
      <c r="N340" s="29">
        <f t="shared" si="10"/>
        <v>0</v>
      </c>
      <c r="P340" s="30">
        <f>SUMIFS(Dump!E:E,Dump!B:B,C340,Dump!A:A,V340)</f>
        <v>0</v>
      </c>
      <c r="Q340" s="31">
        <f t="shared" si="11"/>
        <v>0</v>
      </c>
      <c r="S340" s="30">
        <f>SUMIFS(Dump!P:P,Dump!B:B,C340,Dump!A:A,V340)</f>
        <v>0</v>
      </c>
      <c r="T340" s="31">
        <f t="shared" si="12"/>
        <v>0</v>
      </c>
      <c r="U340" s="34"/>
      <c r="V340" s="47"/>
    </row>
    <row r="341">
      <c r="C341" s="46"/>
      <c r="G341" s="1" t="str">
        <f t="shared" si="16"/>
        <v/>
      </c>
      <c r="I341" s="33" t="str">
        <f t="shared" si="8"/>
        <v/>
      </c>
      <c r="K341" s="27"/>
      <c r="L341" s="28">
        <f>SUMIFS(Dump!$D:$D,Dump!$B:$B,$C341,Dump!$A:$A,$V341)</f>
        <v>0</v>
      </c>
      <c r="M341" s="28">
        <f>SUMIFS(Dump!R:R,Dump!B:B,C341,Dump!A:A,V341)</f>
        <v>0</v>
      </c>
      <c r="N341" s="29">
        <f t="shared" si="10"/>
        <v>0</v>
      </c>
      <c r="P341" s="30">
        <f>SUMIFS(Dump!E:E,Dump!B:B,C341,Dump!A:A,V341)</f>
        <v>0</v>
      </c>
      <c r="Q341" s="31">
        <f t="shared" si="11"/>
        <v>0</v>
      </c>
      <c r="S341" s="30">
        <f>SUMIFS(Dump!P:P,Dump!B:B,C341,Dump!A:A,V341)</f>
        <v>0</v>
      </c>
      <c r="T341" s="31">
        <f t="shared" si="12"/>
        <v>0</v>
      </c>
      <c r="U341" s="34"/>
      <c r="V341" s="47"/>
    </row>
    <row r="342">
      <c r="C342" s="46"/>
      <c r="G342" s="1" t="str">
        <f t="shared" si="16"/>
        <v/>
      </c>
      <c r="I342" s="33" t="str">
        <f t="shared" si="8"/>
        <v/>
      </c>
      <c r="K342" s="27"/>
      <c r="L342" s="28">
        <f>SUMIFS(Dump!$D:$D,Dump!$B:$B,$C342,Dump!$A:$A,$V342)</f>
        <v>0</v>
      </c>
      <c r="M342" s="28">
        <f>SUMIFS(Dump!R:R,Dump!B:B,C342,Dump!A:A,V342)</f>
        <v>0</v>
      </c>
      <c r="N342" s="29">
        <f t="shared" si="10"/>
        <v>0</v>
      </c>
      <c r="P342" s="30">
        <f>SUMIFS(Dump!E:E,Dump!B:B,C342,Dump!A:A,V342)</f>
        <v>0</v>
      </c>
      <c r="Q342" s="31">
        <f t="shared" si="11"/>
        <v>0</v>
      </c>
      <c r="S342" s="30">
        <f>SUMIFS(Dump!P:P,Dump!B:B,C342,Dump!A:A,V342)</f>
        <v>0</v>
      </c>
      <c r="T342" s="31">
        <f t="shared" si="12"/>
        <v>0</v>
      </c>
      <c r="U342" s="34"/>
      <c r="V342" s="47"/>
    </row>
    <row r="343">
      <c r="C343" s="46"/>
      <c r="G343" s="1" t="str">
        <f t="shared" si="16"/>
        <v/>
      </c>
      <c r="I343" s="33" t="str">
        <f t="shared" si="8"/>
        <v/>
      </c>
      <c r="K343" s="27"/>
      <c r="L343" s="28">
        <f>SUMIFS(Dump!$D:$D,Dump!$B:$B,$C343,Dump!$A:$A,$V343)</f>
        <v>0</v>
      </c>
      <c r="M343" s="28">
        <f>SUMIFS(Dump!R:R,Dump!B:B,C343,Dump!A:A,V343)</f>
        <v>0</v>
      </c>
      <c r="N343" s="29">
        <f t="shared" si="10"/>
        <v>0</v>
      </c>
      <c r="P343" s="30">
        <f>SUMIFS(Dump!E:E,Dump!B:B,C343,Dump!A:A,V343)</f>
        <v>0</v>
      </c>
      <c r="Q343" s="31">
        <f t="shared" si="11"/>
        <v>0</v>
      </c>
      <c r="S343" s="30">
        <f>SUMIFS(Dump!P:P,Dump!B:B,C343,Dump!A:A,V343)</f>
        <v>0</v>
      </c>
      <c r="T343" s="31">
        <f t="shared" si="12"/>
        <v>0</v>
      </c>
      <c r="U343" s="34"/>
      <c r="V343" s="47"/>
    </row>
    <row r="344">
      <c r="C344" s="46"/>
      <c r="G344" s="1" t="str">
        <f t="shared" si="16"/>
        <v/>
      </c>
      <c r="I344" s="33" t="str">
        <f t="shared" si="8"/>
        <v/>
      </c>
      <c r="K344" s="27"/>
      <c r="L344" s="28">
        <f>SUMIFS(Dump!$D:$D,Dump!$B:$B,$C344,Dump!$A:$A,$V344)</f>
        <v>0</v>
      </c>
      <c r="M344" s="28">
        <f>SUMIFS(Dump!R:R,Dump!B:B,C344,Dump!A:A,V344)</f>
        <v>0</v>
      </c>
      <c r="N344" s="29">
        <f t="shared" si="10"/>
        <v>0</v>
      </c>
      <c r="P344" s="30">
        <f>SUMIFS(Dump!E:E,Dump!B:B,C344,Dump!A:A,V344)</f>
        <v>0</v>
      </c>
      <c r="Q344" s="31">
        <f t="shared" si="11"/>
        <v>0</v>
      </c>
      <c r="S344" s="30">
        <f>SUMIFS(Dump!P:P,Dump!B:B,C344,Dump!A:A,V344)</f>
        <v>0</v>
      </c>
      <c r="T344" s="31">
        <f t="shared" si="12"/>
        <v>0</v>
      </c>
      <c r="U344" s="34"/>
      <c r="V344" s="47"/>
    </row>
    <row r="345">
      <c r="C345" s="46"/>
      <c r="G345" s="1" t="str">
        <f t="shared" si="16"/>
        <v/>
      </c>
      <c r="I345" s="33" t="str">
        <f t="shared" si="8"/>
        <v/>
      </c>
      <c r="K345" s="27"/>
      <c r="L345" s="28">
        <f>SUMIFS(Dump!$D:$D,Dump!$B:$B,$C345,Dump!$A:$A,$V345)</f>
        <v>0</v>
      </c>
      <c r="M345" s="28">
        <f>SUMIFS(Dump!R:R,Dump!B:B,C345,Dump!A:A,V345)</f>
        <v>0</v>
      </c>
      <c r="N345" s="29">
        <f t="shared" si="10"/>
        <v>0</v>
      </c>
      <c r="P345" s="30">
        <f>SUMIFS(Dump!E:E,Dump!B:B,C345,Dump!A:A,V345)</f>
        <v>0</v>
      </c>
      <c r="Q345" s="31">
        <f t="shared" si="11"/>
        <v>0</v>
      </c>
      <c r="S345" s="30">
        <f>SUMIFS(Dump!P:P,Dump!B:B,C345,Dump!A:A,V345)</f>
        <v>0</v>
      </c>
      <c r="T345" s="31">
        <f t="shared" si="12"/>
        <v>0</v>
      </c>
      <c r="U345" s="34"/>
      <c r="V345" s="47"/>
    </row>
    <row r="346">
      <c r="C346" s="46"/>
      <c r="G346" s="1" t="str">
        <f t="shared" si="16"/>
        <v/>
      </c>
      <c r="I346" s="33" t="str">
        <f t="shared" si="8"/>
        <v/>
      </c>
      <c r="K346" s="27"/>
      <c r="L346" s="28">
        <f>SUMIFS(Dump!$D:$D,Dump!$B:$B,$C346,Dump!$A:$A,$V346)</f>
        <v>0</v>
      </c>
      <c r="M346" s="28">
        <f>SUMIFS(Dump!R:R,Dump!B:B,C346,Dump!A:A,V346)</f>
        <v>0</v>
      </c>
      <c r="N346" s="29">
        <f t="shared" si="10"/>
        <v>0</v>
      </c>
      <c r="P346" s="30">
        <f>SUMIFS(Dump!E:E,Dump!B:B,C346,Dump!A:A,V346)</f>
        <v>0</v>
      </c>
      <c r="Q346" s="31">
        <f t="shared" si="11"/>
        <v>0</v>
      </c>
      <c r="S346" s="30">
        <f>SUMIFS(Dump!P:P,Dump!B:B,C346,Dump!A:A,V346)</f>
        <v>0</v>
      </c>
      <c r="T346" s="31">
        <f t="shared" si="12"/>
        <v>0</v>
      </c>
      <c r="U346" s="34"/>
      <c r="V346" s="47"/>
    </row>
    <row r="347">
      <c r="C347" s="46"/>
      <c r="G347" s="1" t="str">
        <f t="shared" si="16"/>
        <v/>
      </c>
      <c r="I347" s="33" t="str">
        <f t="shared" si="8"/>
        <v/>
      </c>
      <c r="K347" s="27"/>
      <c r="L347" s="28">
        <f>SUMIFS(Dump!$D:$D,Dump!$B:$B,$C347,Dump!$A:$A,$V347)</f>
        <v>0</v>
      </c>
      <c r="M347" s="28">
        <f>SUMIFS(Dump!R:R,Dump!B:B,C347,Dump!A:A,V347)</f>
        <v>0</v>
      </c>
      <c r="N347" s="29">
        <f t="shared" si="10"/>
        <v>0</v>
      </c>
      <c r="P347" s="30">
        <f>SUMIFS(Dump!E:E,Dump!B:B,C347,Dump!A:A,V347)</f>
        <v>0</v>
      </c>
      <c r="Q347" s="31">
        <f t="shared" si="11"/>
        <v>0</v>
      </c>
      <c r="S347" s="30">
        <f>SUMIFS(Dump!P:P,Dump!B:B,C347,Dump!A:A,V347)</f>
        <v>0</v>
      </c>
      <c r="T347" s="31">
        <f t="shared" si="12"/>
        <v>0</v>
      </c>
      <c r="U347" s="34"/>
      <c r="V347" s="47"/>
    </row>
    <row r="348">
      <c r="C348" s="46"/>
      <c r="G348" s="1" t="str">
        <f t="shared" si="16"/>
        <v/>
      </c>
      <c r="I348" s="33" t="str">
        <f t="shared" si="8"/>
        <v/>
      </c>
      <c r="K348" s="27"/>
      <c r="L348" s="28">
        <f>SUMIFS(Dump!$D:$D,Dump!$B:$B,$C348,Dump!$A:$A,$V348)</f>
        <v>0</v>
      </c>
      <c r="M348" s="28">
        <f>SUMIFS(Dump!R:R,Dump!B:B,C348,Dump!A:A,V348)</f>
        <v>0</v>
      </c>
      <c r="N348" s="29">
        <f t="shared" si="10"/>
        <v>0</v>
      </c>
      <c r="P348" s="30">
        <f>SUMIFS(Dump!E:E,Dump!B:B,C348,Dump!A:A,V348)</f>
        <v>0</v>
      </c>
      <c r="Q348" s="31">
        <f t="shared" si="11"/>
        <v>0</v>
      </c>
      <c r="S348" s="30">
        <f>SUMIFS(Dump!P:P,Dump!B:B,C348,Dump!A:A,V348)</f>
        <v>0</v>
      </c>
      <c r="T348" s="31">
        <f t="shared" si="12"/>
        <v>0</v>
      </c>
      <c r="U348" s="34"/>
      <c r="V348" s="47"/>
    </row>
    <row r="349">
      <c r="C349" s="46"/>
      <c r="G349" s="1" t="str">
        <f t="shared" si="16"/>
        <v/>
      </c>
      <c r="I349" s="33" t="str">
        <f t="shared" si="8"/>
        <v/>
      </c>
      <c r="K349" s="27"/>
      <c r="L349" s="28">
        <f>SUMIFS(Dump!$D:$D,Dump!$B:$B,$C349,Dump!$A:$A,$V349)</f>
        <v>0</v>
      </c>
      <c r="M349" s="28">
        <f>SUMIFS(Dump!R:R,Dump!B:B,C349,Dump!A:A,V349)</f>
        <v>0</v>
      </c>
      <c r="N349" s="29">
        <f t="shared" si="10"/>
        <v>0</v>
      </c>
      <c r="P349" s="30">
        <f>SUMIFS(Dump!E:E,Dump!B:B,C349,Dump!A:A,V349)</f>
        <v>0</v>
      </c>
      <c r="Q349" s="31">
        <f t="shared" si="11"/>
        <v>0</v>
      </c>
      <c r="S349" s="30">
        <f>SUMIFS(Dump!P:P,Dump!B:B,C349,Dump!A:A,V349)</f>
        <v>0</v>
      </c>
      <c r="T349" s="31">
        <f t="shared" si="12"/>
        <v>0</v>
      </c>
      <c r="U349" s="34"/>
      <c r="V349" s="47"/>
    </row>
    <row r="350">
      <c r="C350" s="46"/>
      <c r="G350" s="1" t="str">
        <f t="shared" si="16"/>
        <v/>
      </c>
      <c r="I350" s="33" t="str">
        <f t="shared" si="8"/>
        <v/>
      </c>
      <c r="K350" s="27"/>
      <c r="L350" s="28">
        <f>SUMIFS(Dump!$D:$D,Dump!$B:$B,$C350,Dump!$A:$A,$V350)</f>
        <v>0</v>
      </c>
      <c r="M350" s="28">
        <f>SUMIFS(Dump!R:R,Dump!B:B,C350,Dump!A:A,V350)</f>
        <v>0</v>
      </c>
      <c r="N350" s="29">
        <f t="shared" si="10"/>
        <v>0</v>
      </c>
      <c r="P350" s="30">
        <f>SUMIFS(Dump!E:E,Dump!B:B,C350,Dump!A:A,V350)</f>
        <v>0</v>
      </c>
      <c r="Q350" s="31">
        <f t="shared" si="11"/>
        <v>0</v>
      </c>
      <c r="S350" s="30">
        <f>SUMIFS(Dump!P:P,Dump!B:B,C350,Dump!A:A,V350)</f>
        <v>0</v>
      </c>
      <c r="T350" s="31">
        <f t="shared" si="12"/>
        <v>0</v>
      </c>
      <c r="U350" s="34"/>
      <c r="V350" s="47"/>
    </row>
    <row r="351">
      <c r="C351" s="46"/>
      <c r="G351" s="1" t="str">
        <f t="shared" si="16"/>
        <v/>
      </c>
      <c r="I351" s="33" t="str">
        <f t="shared" si="8"/>
        <v/>
      </c>
      <c r="K351" s="27"/>
      <c r="L351" s="28">
        <f>SUMIFS(Dump!$D:$D,Dump!$B:$B,$C351,Dump!$A:$A,$V351)</f>
        <v>0</v>
      </c>
      <c r="M351" s="28">
        <f>SUMIFS(Dump!R:R,Dump!B:B,C351,Dump!A:A,V351)</f>
        <v>0</v>
      </c>
      <c r="N351" s="29">
        <f t="shared" si="10"/>
        <v>0</v>
      </c>
      <c r="P351" s="30">
        <f>SUMIFS(Dump!E:E,Dump!B:B,C351,Dump!A:A,V351)</f>
        <v>0</v>
      </c>
      <c r="Q351" s="31">
        <f t="shared" si="11"/>
        <v>0</v>
      </c>
      <c r="S351" s="30">
        <f>SUMIFS(Dump!P:P,Dump!B:B,C351,Dump!A:A,V351)</f>
        <v>0</v>
      </c>
      <c r="T351" s="31">
        <f t="shared" si="12"/>
        <v>0</v>
      </c>
      <c r="U351" s="34"/>
      <c r="V351" s="47"/>
    </row>
    <row r="352">
      <c r="C352" s="46"/>
      <c r="G352" s="1" t="str">
        <f t="shared" si="16"/>
        <v/>
      </c>
      <c r="I352" s="33" t="str">
        <f t="shared" si="8"/>
        <v/>
      </c>
      <c r="K352" s="27"/>
      <c r="L352" s="28">
        <f>SUMIFS(Dump!$D:$D,Dump!$B:$B,$C352,Dump!$A:$A,$V352)</f>
        <v>0</v>
      </c>
      <c r="M352" s="28">
        <f>SUMIFS(Dump!R:R,Dump!B:B,C352,Dump!A:A,V352)</f>
        <v>0</v>
      </c>
      <c r="N352" s="29">
        <f t="shared" si="10"/>
        <v>0</v>
      </c>
      <c r="P352" s="30">
        <f>SUMIFS(Dump!E:E,Dump!B:B,C352,Dump!A:A,V352)</f>
        <v>0</v>
      </c>
      <c r="Q352" s="31">
        <f t="shared" si="11"/>
        <v>0</v>
      </c>
      <c r="S352" s="30">
        <f>SUMIFS(Dump!P:P,Dump!B:B,C352,Dump!A:A,V352)</f>
        <v>0</v>
      </c>
      <c r="T352" s="31">
        <f t="shared" si="12"/>
        <v>0</v>
      </c>
      <c r="U352" s="34"/>
      <c r="V352" s="47"/>
    </row>
    <row r="353">
      <c r="C353" s="46"/>
      <c r="G353" s="1" t="str">
        <f t="shared" si="16"/>
        <v/>
      </c>
      <c r="I353" s="33" t="str">
        <f t="shared" si="8"/>
        <v/>
      </c>
      <c r="K353" s="27"/>
      <c r="L353" s="28">
        <f>SUMIFS(Dump!$D:$D,Dump!$B:$B,$C353,Dump!$A:$A,$V353)</f>
        <v>0</v>
      </c>
      <c r="M353" s="28">
        <f>SUMIFS(Dump!R:R,Dump!B:B,C353,Dump!A:A,V353)</f>
        <v>0</v>
      </c>
      <c r="N353" s="29">
        <f t="shared" si="10"/>
        <v>0</v>
      </c>
      <c r="P353" s="30">
        <f>SUMIFS(Dump!E:E,Dump!B:B,C353,Dump!A:A,V353)</f>
        <v>0</v>
      </c>
      <c r="Q353" s="31">
        <f t="shared" si="11"/>
        <v>0</v>
      </c>
      <c r="S353" s="30">
        <f>SUMIFS(Dump!P:P,Dump!B:B,C353,Dump!A:A,V353)</f>
        <v>0</v>
      </c>
      <c r="T353" s="31">
        <f t="shared" si="12"/>
        <v>0</v>
      </c>
      <c r="U353" s="34"/>
      <c r="V353" s="47"/>
    </row>
    <row r="354">
      <c r="C354" s="46"/>
      <c r="G354" s="1" t="str">
        <f t="shared" si="16"/>
        <v/>
      </c>
      <c r="I354" s="33" t="str">
        <f t="shared" si="8"/>
        <v/>
      </c>
      <c r="K354" s="27"/>
      <c r="L354" s="28">
        <f>SUMIFS(Dump!$D:$D,Dump!$B:$B,$C354,Dump!$A:$A,$V354)</f>
        <v>0</v>
      </c>
      <c r="M354" s="28">
        <f>SUMIFS(Dump!R:R,Dump!B:B,C354,Dump!A:A,V354)</f>
        <v>0</v>
      </c>
      <c r="N354" s="29">
        <f t="shared" si="10"/>
        <v>0</v>
      </c>
      <c r="P354" s="30">
        <f>SUMIFS(Dump!E:E,Dump!B:B,C354,Dump!A:A,V354)</f>
        <v>0</v>
      </c>
      <c r="Q354" s="31">
        <f t="shared" si="11"/>
        <v>0</v>
      </c>
      <c r="S354" s="30">
        <f>SUMIFS(Dump!P:P,Dump!B:B,C354,Dump!A:A,V354)</f>
        <v>0</v>
      </c>
      <c r="T354" s="31">
        <f t="shared" si="12"/>
        <v>0</v>
      </c>
      <c r="U354" s="34"/>
      <c r="V354" s="47"/>
    </row>
    <row r="355">
      <c r="C355" s="46"/>
      <c r="G355" s="1" t="str">
        <f t="shared" si="16"/>
        <v/>
      </c>
      <c r="I355" s="33" t="str">
        <f t="shared" si="8"/>
        <v/>
      </c>
      <c r="K355" s="27"/>
      <c r="L355" s="28">
        <f>SUMIFS(Dump!$D:$D,Dump!$B:$B,$C355,Dump!$A:$A,$V355)</f>
        <v>0</v>
      </c>
      <c r="M355" s="28">
        <f>SUMIFS(Dump!R:R,Dump!B:B,C355,Dump!A:A,V355)</f>
        <v>0</v>
      </c>
      <c r="N355" s="29">
        <f t="shared" si="10"/>
        <v>0</v>
      </c>
      <c r="P355" s="30">
        <f>SUMIFS(Dump!E:E,Dump!B:B,C355,Dump!A:A,V355)</f>
        <v>0</v>
      </c>
      <c r="Q355" s="31">
        <f t="shared" si="11"/>
        <v>0</v>
      </c>
      <c r="S355" s="30">
        <f>SUMIFS(Dump!P:P,Dump!B:B,C355,Dump!A:A,V355)</f>
        <v>0</v>
      </c>
      <c r="T355" s="31">
        <f t="shared" si="12"/>
        <v>0</v>
      </c>
      <c r="U355" s="34"/>
      <c r="V355" s="47"/>
    </row>
    <row r="356">
      <c r="C356" s="46"/>
      <c r="G356" s="1" t="str">
        <f t="shared" si="16"/>
        <v/>
      </c>
      <c r="I356" s="33" t="str">
        <f t="shared" si="8"/>
        <v/>
      </c>
      <c r="K356" s="27"/>
      <c r="L356" s="28">
        <f>SUMIFS(Dump!$D:$D,Dump!$B:$B,$C356,Dump!$A:$A,$V356)</f>
        <v>0</v>
      </c>
      <c r="M356" s="28">
        <f>SUMIFS(Dump!R:R,Dump!B:B,C356,Dump!A:A,V356)</f>
        <v>0</v>
      </c>
      <c r="N356" s="29">
        <f t="shared" si="10"/>
        <v>0</v>
      </c>
      <c r="P356" s="30">
        <f>SUMIFS(Dump!E:E,Dump!B:B,C356,Dump!A:A,V356)</f>
        <v>0</v>
      </c>
      <c r="Q356" s="31">
        <f t="shared" si="11"/>
        <v>0</v>
      </c>
      <c r="S356" s="30">
        <f>SUMIFS(Dump!P:P,Dump!B:B,C356,Dump!A:A,V356)</f>
        <v>0</v>
      </c>
      <c r="T356" s="31">
        <f t="shared" si="12"/>
        <v>0</v>
      </c>
      <c r="U356" s="34"/>
      <c r="V356" s="47"/>
    </row>
    <row r="357">
      <c r="C357" s="46"/>
      <c r="G357" s="1" t="str">
        <f t="shared" si="16"/>
        <v/>
      </c>
      <c r="I357" s="33" t="str">
        <f t="shared" si="8"/>
        <v/>
      </c>
      <c r="K357" s="27"/>
      <c r="L357" s="28">
        <f>SUMIFS(Dump!$D:$D,Dump!$B:$B,$C357,Dump!$A:$A,$V357)</f>
        <v>0</v>
      </c>
      <c r="M357" s="28">
        <f>SUMIFS(Dump!R:R,Dump!B:B,C357,Dump!A:A,V357)</f>
        <v>0</v>
      </c>
      <c r="N357" s="29">
        <f t="shared" si="10"/>
        <v>0</v>
      </c>
      <c r="P357" s="30">
        <f>SUMIFS(Dump!E:E,Dump!B:B,C357,Dump!A:A,V357)</f>
        <v>0</v>
      </c>
      <c r="Q357" s="31">
        <f t="shared" si="11"/>
        <v>0</v>
      </c>
      <c r="S357" s="30">
        <f>SUMIFS(Dump!P:P,Dump!B:B,C357,Dump!A:A,V357)</f>
        <v>0</v>
      </c>
      <c r="T357" s="31">
        <f t="shared" si="12"/>
        <v>0</v>
      </c>
      <c r="U357" s="34"/>
      <c r="V357" s="47"/>
    </row>
    <row r="358">
      <c r="C358" s="46"/>
      <c r="G358" s="1" t="str">
        <f t="shared" si="16"/>
        <v/>
      </c>
      <c r="I358" s="33" t="str">
        <f t="shared" si="8"/>
        <v/>
      </c>
      <c r="K358" s="27"/>
      <c r="L358" s="28">
        <f>SUMIFS(Dump!$D:$D,Dump!$B:$B,$C358,Dump!$A:$A,$V358)</f>
        <v>0</v>
      </c>
      <c r="M358" s="28">
        <f>SUMIFS(Dump!R:R,Dump!B:B,C358,Dump!A:A,V358)</f>
        <v>0</v>
      </c>
      <c r="N358" s="29">
        <f t="shared" si="10"/>
        <v>0</v>
      </c>
      <c r="P358" s="30">
        <f>SUMIFS(Dump!E:E,Dump!B:B,C358,Dump!A:A,V358)</f>
        <v>0</v>
      </c>
      <c r="Q358" s="31">
        <f t="shared" si="11"/>
        <v>0</v>
      </c>
      <c r="S358" s="30">
        <f>SUMIFS(Dump!P:P,Dump!B:B,C358,Dump!A:A,V358)</f>
        <v>0</v>
      </c>
      <c r="T358" s="31">
        <f t="shared" si="12"/>
        <v>0</v>
      </c>
      <c r="U358" s="34"/>
      <c r="V358" s="47"/>
    </row>
    <row r="359">
      <c r="C359" s="46"/>
      <c r="G359" s="1" t="str">
        <f t="shared" si="16"/>
        <v/>
      </c>
      <c r="I359" s="33" t="str">
        <f t="shared" si="8"/>
        <v/>
      </c>
      <c r="K359" s="27"/>
      <c r="L359" s="28">
        <f>SUMIFS(Dump!$D:$D,Dump!$B:$B,$C359,Dump!$A:$A,$V359)</f>
        <v>0</v>
      </c>
      <c r="M359" s="28">
        <f>SUMIFS(Dump!R:R,Dump!B:B,C359,Dump!A:A,V359)</f>
        <v>0</v>
      </c>
      <c r="N359" s="29">
        <f t="shared" si="10"/>
        <v>0</v>
      </c>
      <c r="P359" s="30">
        <f>SUMIFS(Dump!E:E,Dump!B:B,C359,Dump!A:A,V359)</f>
        <v>0</v>
      </c>
      <c r="Q359" s="31">
        <f t="shared" si="11"/>
        <v>0</v>
      </c>
      <c r="S359" s="30">
        <f>SUMIFS(Dump!P:P,Dump!B:B,C359,Dump!A:A,V359)</f>
        <v>0</v>
      </c>
      <c r="T359" s="31">
        <f t="shared" si="12"/>
        <v>0</v>
      </c>
      <c r="U359" s="34"/>
      <c r="V359" s="47"/>
    </row>
    <row r="360">
      <c r="C360" s="46"/>
      <c r="G360" s="1" t="str">
        <f t="shared" si="16"/>
        <v/>
      </c>
      <c r="I360" s="33" t="str">
        <f t="shared" si="8"/>
        <v/>
      </c>
      <c r="K360" s="27"/>
      <c r="L360" s="28">
        <f>SUMIFS(Dump!$D:$D,Dump!$B:$B,$C360,Dump!$A:$A,$V360)</f>
        <v>0</v>
      </c>
      <c r="M360" s="28">
        <f>SUMIFS(Dump!R:R,Dump!B:B,C360,Dump!A:A,V360)</f>
        <v>0</v>
      </c>
      <c r="N360" s="29">
        <f t="shared" si="10"/>
        <v>0</v>
      </c>
      <c r="P360" s="30">
        <f>SUMIFS(Dump!E:E,Dump!B:B,C360,Dump!A:A,V360)</f>
        <v>0</v>
      </c>
      <c r="Q360" s="31">
        <f t="shared" si="11"/>
        <v>0</v>
      </c>
      <c r="S360" s="30">
        <f>SUMIFS(Dump!P:P,Dump!B:B,C360,Dump!A:A,V360)</f>
        <v>0</v>
      </c>
      <c r="T360" s="31">
        <f t="shared" si="12"/>
        <v>0</v>
      </c>
      <c r="U360" s="34"/>
      <c r="V360" s="47"/>
    </row>
    <row r="361">
      <c r="C361" s="46"/>
      <c r="G361" s="1" t="str">
        <f t="shared" si="16"/>
        <v/>
      </c>
      <c r="I361" s="33" t="str">
        <f t="shared" si="8"/>
        <v/>
      </c>
      <c r="K361" s="27"/>
      <c r="L361" s="28">
        <f>SUMIFS(Dump!$D:$D,Dump!$B:$B,$C361,Dump!$A:$A,$V361)</f>
        <v>0</v>
      </c>
      <c r="M361" s="28">
        <f>SUMIFS(Dump!R:R,Dump!B:B,C361,Dump!A:A,V361)</f>
        <v>0</v>
      </c>
      <c r="N361" s="29">
        <f t="shared" si="10"/>
        <v>0</v>
      </c>
      <c r="P361" s="30">
        <f>SUMIFS(Dump!E:E,Dump!B:B,C361,Dump!A:A,V361)</f>
        <v>0</v>
      </c>
      <c r="Q361" s="31">
        <f t="shared" si="11"/>
        <v>0</v>
      </c>
      <c r="S361" s="30">
        <f>SUMIFS(Dump!P:P,Dump!B:B,C361,Dump!A:A,V361)</f>
        <v>0</v>
      </c>
      <c r="T361" s="31">
        <f t="shared" si="12"/>
        <v>0</v>
      </c>
      <c r="U361" s="34"/>
      <c r="V361" s="47"/>
    </row>
    <row r="362">
      <c r="C362" s="46"/>
      <c r="G362" s="1" t="str">
        <f t="shared" si="16"/>
        <v/>
      </c>
      <c r="I362" s="33" t="str">
        <f t="shared" si="8"/>
        <v/>
      </c>
      <c r="K362" s="27"/>
      <c r="L362" s="28">
        <f>SUMIFS(Dump!$D:$D,Dump!$B:$B,$C362,Dump!$A:$A,$V362)</f>
        <v>0</v>
      </c>
      <c r="M362" s="28">
        <f>SUMIFS(Dump!R:R,Dump!B:B,C362,Dump!A:A,V362)</f>
        <v>0</v>
      </c>
      <c r="N362" s="29">
        <f t="shared" si="10"/>
        <v>0</v>
      </c>
      <c r="P362" s="30">
        <f>SUMIFS(Dump!E:E,Dump!B:B,C362,Dump!A:A,V362)</f>
        <v>0</v>
      </c>
      <c r="Q362" s="31">
        <f t="shared" si="11"/>
        <v>0</v>
      </c>
      <c r="S362" s="30">
        <f>SUMIFS(Dump!P:P,Dump!B:B,C362,Dump!A:A,V362)</f>
        <v>0</v>
      </c>
      <c r="T362" s="31">
        <f t="shared" si="12"/>
        <v>0</v>
      </c>
      <c r="U362" s="34"/>
      <c r="V362" s="47"/>
    </row>
    <row r="363">
      <c r="C363" s="46"/>
      <c r="G363" s="1" t="str">
        <f t="shared" si="16"/>
        <v/>
      </c>
      <c r="I363" s="33" t="str">
        <f t="shared" si="8"/>
        <v/>
      </c>
      <c r="K363" s="27"/>
      <c r="L363" s="28">
        <f>SUMIFS(Dump!$D:$D,Dump!$B:$B,$C363,Dump!$A:$A,$V363)</f>
        <v>0</v>
      </c>
      <c r="M363" s="28">
        <f>SUMIFS(Dump!R:R,Dump!B:B,C363,Dump!A:A,V363)</f>
        <v>0</v>
      </c>
      <c r="N363" s="29">
        <f t="shared" si="10"/>
        <v>0</v>
      </c>
      <c r="P363" s="30">
        <f>SUMIFS(Dump!E:E,Dump!B:B,C363,Dump!A:A,V363)</f>
        <v>0</v>
      </c>
      <c r="Q363" s="31">
        <f t="shared" si="11"/>
        <v>0</v>
      </c>
      <c r="S363" s="30">
        <f>SUMIFS(Dump!P:P,Dump!B:B,C363,Dump!A:A,V363)</f>
        <v>0</v>
      </c>
      <c r="T363" s="31">
        <f t="shared" si="12"/>
        <v>0</v>
      </c>
      <c r="U363" s="34"/>
      <c r="V363" s="47"/>
    </row>
    <row r="364">
      <c r="C364" s="46"/>
      <c r="G364" s="1" t="str">
        <f t="shared" si="16"/>
        <v/>
      </c>
      <c r="I364" s="33" t="str">
        <f t="shared" si="8"/>
        <v/>
      </c>
      <c r="K364" s="27"/>
      <c r="L364" s="28">
        <f>SUMIFS(Dump!$D:$D,Dump!$B:$B,$C364,Dump!$A:$A,$V364)</f>
        <v>0</v>
      </c>
      <c r="M364" s="28">
        <f>SUMIFS(Dump!R:R,Dump!B:B,C364,Dump!A:A,V364)</f>
        <v>0</v>
      </c>
      <c r="N364" s="29">
        <f t="shared" si="10"/>
        <v>0</v>
      </c>
      <c r="P364" s="30">
        <f>SUMIFS(Dump!E:E,Dump!B:B,C364,Dump!A:A,V364)</f>
        <v>0</v>
      </c>
      <c r="Q364" s="31">
        <f t="shared" si="11"/>
        <v>0</v>
      </c>
      <c r="S364" s="30">
        <f>SUMIFS(Dump!P:P,Dump!B:B,C364,Dump!A:A,V364)</f>
        <v>0</v>
      </c>
      <c r="T364" s="31">
        <f t="shared" si="12"/>
        <v>0</v>
      </c>
      <c r="U364" s="34"/>
      <c r="V364" s="47"/>
    </row>
    <row r="365">
      <c r="C365" s="46"/>
      <c r="G365" s="1" t="str">
        <f t="shared" si="16"/>
        <v/>
      </c>
      <c r="I365" s="33" t="str">
        <f t="shared" si="8"/>
        <v/>
      </c>
      <c r="K365" s="27"/>
      <c r="L365" s="28">
        <f>SUMIFS(Dump!$D:$D,Dump!$B:$B,$C365,Dump!$A:$A,$V365)</f>
        <v>0</v>
      </c>
      <c r="M365" s="28">
        <f>SUMIFS(Dump!R:R,Dump!B:B,C365,Dump!A:A,V365)</f>
        <v>0</v>
      </c>
      <c r="N365" s="29">
        <f t="shared" si="10"/>
        <v>0</v>
      </c>
      <c r="P365" s="30">
        <f>SUMIFS(Dump!E:E,Dump!B:B,C365,Dump!A:A,V365)</f>
        <v>0</v>
      </c>
      <c r="Q365" s="31">
        <f t="shared" si="11"/>
        <v>0</v>
      </c>
      <c r="S365" s="30">
        <f>SUMIFS(Dump!P:P,Dump!B:B,C365,Dump!A:A,V365)</f>
        <v>0</v>
      </c>
      <c r="T365" s="31">
        <f t="shared" si="12"/>
        <v>0</v>
      </c>
      <c r="U365" s="34"/>
      <c r="V365" s="47"/>
    </row>
    <row r="366">
      <c r="C366" s="46"/>
      <c r="G366" s="1" t="str">
        <f t="shared" si="16"/>
        <v/>
      </c>
      <c r="I366" s="33" t="str">
        <f t="shared" si="8"/>
        <v/>
      </c>
      <c r="K366" s="27"/>
      <c r="L366" s="28">
        <f>SUMIFS(Dump!$D:$D,Dump!$B:$B,$C366,Dump!$A:$A,$V366)</f>
        <v>0</v>
      </c>
      <c r="M366" s="28">
        <f>SUMIFS(Dump!R:R,Dump!B:B,C366,Dump!A:A,V366)</f>
        <v>0</v>
      </c>
      <c r="N366" s="29">
        <f t="shared" si="10"/>
        <v>0</v>
      </c>
      <c r="P366" s="30">
        <f>SUMIFS(Dump!E:E,Dump!B:B,C366,Dump!A:A,V366)</f>
        <v>0</v>
      </c>
      <c r="Q366" s="31">
        <f t="shared" si="11"/>
        <v>0</v>
      </c>
      <c r="S366" s="30">
        <f>SUMIFS(Dump!P:P,Dump!B:B,C366,Dump!A:A,V366)</f>
        <v>0</v>
      </c>
      <c r="T366" s="31">
        <f t="shared" si="12"/>
        <v>0</v>
      </c>
      <c r="U366" s="34"/>
      <c r="V366" s="47"/>
    </row>
    <row r="367">
      <c r="C367" s="46"/>
      <c r="G367" s="1" t="str">
        <f t="shared" si="16"/>
        <v/>
      </c>
      <c r="I367" s="33" t="str">
        <f t="shared" si="8"/>
        <v/>
      </c>
      <c r="K367" s="27"/>
      <c r="L367" s="28">
        <f>SUMIFS(Dump!$D:$D,Dump!$B:$B,$C367,Dump!$A:$A,$V367)</f>
        <v>0</v>
      </c>
      <c r="M367" s="28">
        <f>SUMIFS(Dump!R:R,Dump!B:B,C367,Dump!A:A,V367)</f>
        <v>0</v>
      </c>
      <c r="N367" s="29">
        <f t="shared" si="10"/>
        <v>0</v>
      </c>
      <c r="P367" s="30">
        <f>SUMIFS(Dump!E:E,Dump!B:B,C367,Dump!A:A,V367)</f>
        <v>0</v>
      </c>
      <c r="Q367" s="31">
        <f t="shared" si="11"/>
        <v>0</v>
      </c>
      <c r="S367" s="30">
        <f>SUMIFS(Dump!P:P,Dump!B:B,C367,Dump!A:A,V367)</f>
        <v>0</v>
      </c>
      <c r="T367" s="31">
        <f t="shared" si="12"/>
        <v>0</v>
      </c>
      <c r="U367" s="34"/>
      <c r="V367" s="47"/>
    </row>
    <row r="368">
      <c r="C368" s="46"/>
      <c r="G368" s="1" t="str">
        <f t="shared" si="16"/>
        <v/>
      </c>
      <c r="I368" s="33" t="str">
        <f t="shared" si="8"/>
        <v/>
      </c>
      <c r="K368" s="27"/>
      <c r="L368" s="28">
        <f>SUMIFS(Dump!$D:$D,Dump!$B:$B,$C368,Dump!$A:$A,$V368)</f>
        <v>0</v>
      </c>
      <c r="M368" s="28">
        <f>SUMIFS(Dump!R:R,Dump!B:B,C368,Dump!A:A,V368)</f>
        <v>0</v>
      </c>
      <c r="N368" s="29">
        <f t="shared" si="10"/>
        <v>0</v>
      </c>
      <c r="P368" s="30">
        <f>SUMIFS(Dump!E:E,Dump!B:B,C368,Dump!A:A,V368)</f>
        <v>0</v>
      </c>
      <c r="Q368" s="31">
        <f t="shared" si="11"/>
        <v>0</v>
      </c>
      <c r="S368" s="30">
        <f>SUMIFS(Dump!P:P,Dump!B:B,C368,Dump!A:A,V368)</f>
        <v>0</v>
      </c>
      <c r="T368" s="31">
        <f t="shared" si="12"/>
        <v>0</v>
      </c>
      <c r="U368" s="34"/>
      <c r="V368" s="47"/>
    </row>
    <row r="369">
      <c r="C369" s="46"/>
      <c r="G369" s="1" t="str">
        <f t="shared" si="16"/>
        <v/>
      </c>
      <c r="I369" s="33" t="str">
        <f t="shared" si="8"/>
        <v/>
      </c>
      <c r="K369" s="27"/>
      <c r="L369" s="28">
        <f>SUMIFS(Dump!$D:$D,Dump!$B:$B,$C369,Dump!$A:$A,$V369)</f>
        <v>0</v>
      </c>
      <c r="M369" s="28">
        <f>SUMIFS(Dump!R:R,Dump!B:B,C369,Dump!A:A,V369)</f>
        <v>0</v>
      </c>
      <c r="N369" s="29">
        <f t="shared" si="10"/>
        <v>0</v>
      </c>
      <c r="P369" s="30">
        <f>SUMIFS(Dump!E:E,Dump!B:B,C369,Dump!A:A,V369)</f>
        <v>0</v>
      </c>
      <c r="Q369" s="31">
        <f t="shared" si="11"/>
        <v>0</v>
      </c>
      <c r="S369" s="30">
        <f>SUMIFS(Dump!P:P,Dump!B:B,C369,Dump!A:A,V369)</f>
        <v>0</v>
      </c>
      <c r="T369" s="31">
        <f t="shared" si="12"/>
        <v>0</v>
      </c>
      <c r="U369" s="34"/>
      <c r="V369" s="47"/>
    </row>
    <row r="370">
      <c r="C370" s="46"/>
      <c r="G370" s="1" t="str">
        <f t="shared" si="16"/>
        <v/>
      </c>
      <c r="I370" s="33" t="str">
        <f t="shared" si="8"/>
        <v/>
      </c>
      <c r="K370" s="27"/>
      <c r="L370" s="28">
        <f>SUMIFS(Dump!$D:$D,Dump!$B:$B,$C370,Dump!$A:$A,$V370)</f>
        <v>0</v>
      </c>
      <c r="M370" s="28">
        <f>SUMIFS(Dump!R:R,Dump!B:B,C370,Dump!A:A,V370)</f>
        <v>0</v>
      </c>
      <c r="N370" s="29">
        <f t="shared" si="10"/>
        <v>0</v>
      </c>
      <c r="P370" s="30">
        <f>SUMIFS(Dump!E:E,Dump!B:B,C370,Dump!A:A,V370)</f>
        <v>0</v>
      </c>
      <c r="Q370" s="31">
        <f t="shared" si="11"/>
        <v>0</v>
      </c>
      <c r="S370" s="30">
        <f>SUMIFS(Dump!P:P,Dump!B:B,C370,Dump!A:A,V370)</f>
        <v>0</v>
      </c>
      <c r="T370" s="31">
        <f t="shared" si="12"/>
        <v>0</v>
      </c>
      <c r="U370" s="34"/>
      <c r="V370" s="47"/>
    </row>
    <row r="371">
      <c r="C371" s="46"/>
      <c r="G371" s="1" t="str">
        <f t="shared" si="16"/>
        <v/>
      </c>
      <c r="I371" s="33" t="str">
        <f t="shared" si="8"/>
        <v/>
      </c>
      <c r="K371" s="27"/>
      <c r="L371" s="28">
        <f>SUMIFS(Dump!$D:$D,Dump!$B:$B,$C371,Dump!$A:$A,$V371)</f>
        <v>0</v>
      </c>
      <c r="M371" s="28">
        <f>SUMIFS(Dump!R:R,Dump!B:B,C371,Dump!A:A,V371)</f>
        <v>0</v>
      </c>
      <c r="N371" s="29">
        <f t="shared" si="10"/>
        <v>0</v>
      </c>
      <c r="P371" s="30">
        <f>SUMIFS(Dump!E:E,Dump!B:B,C371,Dump!A:A,V371)</f>
        <v>0</v>
      </c>
      <c r="Q371" s="31">
        <f t="shared" si="11"/>
        <v>0</v>
      </c>
      <c r="S371" s="30">
        <f>SUMIFS(Dump!P:P,Dump!B:B,C371,Dump!A:A,V371)</f>
        <v>0</v>
      </c>
      <c r="T371" s="31">
        <f t="shared" si="12"/>
        <v>0</v>
      </c>
      <c r="U371" s="34"/>
      <c r="V371" s="47"/>
    </row>
    <row r="372">
      <c r="C372" s="46"/>
      <c r="G372" s="1" t="str">
        <f t="shared" si="16"/>
        <v/>
      </c>
      <c r="I372" s="33" t="str">
        <f t="shared" si="8"/>
        <v/>
      </c>
      <c r="K372" s="27"/>
      <c r="L372" s="28">
        <f>SUMIFS(Dump!$D:$D,Dump!$B:$B,$C372,Dump!$A:$A,$V372)</f>
        <v>0</v>
      </c>
      <c r="M372" s="28">
        <f>SUMIFS(Dump!R:R,Dump!B:B,C372,Dump!A:A,V372)</f>
        <v>0</v>
      </c>
      <c r="N372" s="29">
        <f t="shared" si="10"/>
        <v>0</v>
      </c>
      <c r="P372" s="30">
        <f>SUMIFS(Dump!E:E,Dump!B:B,C372,Dump!A:A,V372)</f>
        <v>0</v>
      </c>
      <c r="Q372" s="31">
        <f t="shared" si="11"/>
        <v>0</v>
      </c>
      <c r="S372" s="30">
        <f>SUMIFS(Dump!P:P,Dump!B:B,C372,Dump!A:A,V372)</f>
        <v>0</v>
      </c>
      <c r="T372" s="31">
        <f t="shared" si="12"/>
        <v>0</v>
      </c>
      <c r="U372" s="34"/>
      <c r="V372" s="47"/>
    </row>
    <row r="373">
      <c r="C373" s="46"/>
      <c r="G373" s="1" t="str">
        <f t="shared" si="16"/>
        <v/>
      </c>
      <c r="I373" s="33" t="str">
        <f t="shared" si="8"/>
        <v/>
      </c>
      <c r="K373" s="27"/>
      <c r="L373" s="28">
        <f>SUMIFS(Dump!$D:$D,Dump!$B:$B,$C373,Dump!$A:$A,$V373)</f>
        <v>0</v>
      </c>
      <c r="M373" s="28">
        <f>SUMIFS(Dump!R:R,Dump!B:B,C373,Dump!A:A,V373)</f>
        <v>0</v>
      </c>
      <c r="N373" s="29">
        <f t="shared" si="10"/>
        <v>0</v>
      </c>
      <c r="P373" s="30">
        <f>SUMIFS(Dump!E:E,Dump!B:B,C373,Dump!A:A,V373)</f>
        <v>0</v>
      </c>
      <c r="Q373" s="31">
        <f t="shared" si="11"/>
        <v>0</v>
      </c>
      <c r="S373" s="30">
        <f>SUMIFS(Dump!P:P,Dump!B:B,C373,Dump!A:A,V373)</f>
        <v>0</v>
      </c>
      <c r="T373" s="31">
        <f t="shared" si="12"/>
        <v>0</v>
      </c>
      <c r="U373" s="34"/>
      <c r="V373" s="47"/>
    </row>
    <row r="374">
      <c r="C374" s="46"/>
      <c r="G374" s="1" t="str">
        <f t="shared" si="16"/>
        <v/>
      </c>
      <c r="I374" s="33" t="str">
        <f t="shared" si="8"/>
        <v/>
      </c>
      <c r="K374" s="27"/>
      <c r="L374" s="28">
        <f>SUMIFS(Dump!$D:$D,Dump!$B:$B,$C374,Dump!$A:$A,$V374)</f>
        <v>0</v>
      </c>
      <c r="M374" s="28">
        <f>SUMIFS(Dump!R:R,Dump!B:B,C374,Dump!A:A,V374)</f>
        <v>0</v>
      </c>
      <c r="N374" s="29">
        <f t="shared" si="10"/>
        <v>0</v>
      </c>
      <c r="P374" s="30">
        <f>SUMIFS(Dump!E:E,Dump!B:B,C374,Dump!A:A,V374)</f>
        <v>0</v>
      </c>
      <c r="Q374" s="31">
        <f t="shared" si="11"/>
        <v>0</v>
      </c>
      <c r="S374" s="30">
        <f>SUMIFS(Dump!P:P,Dump!B:B,C374,Dump!A:A,V374)</f>
        <v>0</v>
      </c>
      <c r="T374" s="31">
        <f t="shared" si="12"/>
        <v>0</v>
      </c>
      <c r="U374" s="34"/>
      <c r="V374" s="47"/>
    </row>
    <row r="375">
      <c r="C375" s="46"/>
      <c r="G375" s="1" t="str">
        <f t="shared" si="16"/>
        <v/>
      </c>
      <c r="I375" s="33" t="str">
        <f t="shared" si="8"/>
        <v/>
      </c>
      <c r="K375" s="27"/>
      <c r="L375" s="28">
        <f>SUMIFS(Dump!$D:$D,Dump!$B:$B,$C375,Dump!$A:$A,$V375)</f>
        <v>0</v>
      </c>
      <c r="M375" s="28">
        <f>SUMIFS(Dump!R:R,Dump!B:B,C375,Dump!A:A,V375)</f>
        <v>0</v>
      </c>
      <c r="N375" s="29">
        <f t="shared" si="10"/>
        <v>0</v>
      </c>
      <c r="P375" s="30">
        <f>SUMIFS(Dump!E:E,Dump!B:B,C375,Dump!A:A,V375)</f>
        <v>0</v>
      </c>
      <c r="Q375" s="31">
        <f t="shared" si="11"/>
        <v>0</v>
      </c>
      <c r="S375" s="30">
        <f>SUMIFS(Dump!P:P,Dump!B:B,C375,Dump!A:A,V375)</f>
        <v>0</v>
      </c>
      <c r="T375" s="31">
        <f t="shared" si="12"/>
        <v>0</v>
      </c>
      <c r="U375" s="34"/>
      <c r="V375" s="47"/>
    </row>
    <row r="376">
      <c r="C376" s="46"/>
      <c r="G376" s="1" t="str">
        <f t="shared" si="16"/>
        <v/>
      </c>
      <c r="I376" s="33" t="str">
        <f t="shared" si="8"/>
        <v/>
      </c>
      <c r="K376" s="27"/>
      <c r="L376" s="28">
        <f>SUMIFS(Dump!$D:$D,Dump!$B:$B,$C376,Dump!$A:$A,$V376)</f>
        <v>0</v>
      </c>
      <c r="M376" s="28">
        <f>SUMIFS(Dump!R:R,Dump!B:B,C376,Dump!A:A,V376)</f>
        <v>0</v>
      </c>
      <c r="N376" s="29">
        <f t="shared" si="10"/>
        <v>0</v>
      </c>
      <c r="P376" s="30">
        <f>SUMIFS(Dump!E:E,Dump!B:B,C376,Dump!A:A,V376)</f>
        <v>0</v>
      </c>
      <c r="Q376" s="31">
        <f t="shared" si="11"/>
        <v>0</v>
      </c>
      <c r="S376" s="30">
        <f>SUMIFS(Dump!P:P,Dump!B:B,C376,Dump!A:A,V376)</f>
        <v>0</v>
      </c>
      <c r="T376" s="31">
        <f t="shared" si="12"/>
        <v>0</v>
      </c>
      <c r="U376" s="34"/>
      <c r="V376" s="47"/>
    </row>
    <row r="377">
      <c r="C377" s="46"/>
      <c r="G377" s="1" t="str">
        <f t="shared" si="16"/>
        <v/>
      </c>
      <c r="I377" s="33" t="str">
        <f t="shared" si="8"/>
        <v/>
      </c>
      <c r="K377" s="27"/>
      <c r="L377" s="28">
        <f>SUMIFS(Dump!$D:$D,Dump!$B:$B,$C377,Dump!$A:$A,$V377)</f>
        <v>0</v>
      </c>
      <c r="M377" s="28">
        <f>SUMIFS(Dump!R:R,Dump!B:B,C377,Dump!A:A,V377)</f>
        <v>0</v>
      </c>
      <c r="N377" s="29">
        <f t="shared" si="10"/>
        <v>0</v>
      </c>
      <c r="P377" s="30">
        <f>SUMIFS(Dump!E:E,Dump!B:B,C377,Dump!A:A,V377)</f>
        <v>0</v>
      </c>
      <c r="Q377" s="31">
        <f t="shared" si="11"/>
        <v>0</v>
      </c>
      <c r="S377" s="30">
        <f>SUMIFS(Dump!P:P,Dump!B:B,C377,Dump!A:A,V377)</f>
        <v>0</v>
      </c>
      <c r="T377" s="31">
        <f t="shared" si="12"/>
        <v>0</v>
      </c>
      <c r="U377" s="34"/>
      <c r="V377" s="47"/>
    </row>
    <row r="378">
      <c r="C378" s="46"/>
      <c r="G378" s="1" t="str">
        <f t="shared" si="16"/>
        <v/>
      </c>
      <c r="I378" s="33" t="str">
        <f t="shared" si="8"/>
        <v/>
      </c>
      <c r="K378" s="27"/>
      <c r="L378" s="28">
        <f>SUMIFS(Dump!$D:$D,Dump!$B:$B,$C378,Dump!$A:$A,$V378)</f>
        <v>0</v>
      </c>
      <c r="M378" s="28">
        <f>SUMIFS(Dump!R:R,Dump!B:B,C378,Dump!A:A,V378)</f>
        <v>0</v>
      </c>
      <c r="N378" s="29">
        <f t="shared" si="10"/>
        <v>0</v>
      </c>
      <c r="P378" s="30">
        <f>SUMIFS(Dump!E:E,Dump!B:B,C378,Dump!A:A,V378)</f>
        <v>0</v>
      </c>
      <c r="Q378" s="31">
        <f t="shared" si="11"/>
        <v>0</v>
      </c>
      <c r="S378" s="30">
        <f>SUMIFS(Dump!P:P,Dump!B:B,C378,Dump!A:A,V378)</f>
        <v>0</v>
      </c>
      <c r="T378" s="31">
        <f t="shared" si="12"/>
        <v>0</v>
      </c>
      <c r="U378" s="34"/>
      <c r="V378" s="47"/>
    </row>
    <row r="379">
      <c r="C379" s="46"/>
      <c r="G379" s="1" t="str">
        <f t="shared" si="16"/>
        <v/>
      </c>
      <c r="I379" s="33" t="str">
        <f t="shared" si="8"/>
        <v/>
      </c>
      <c r="K379" s="27"/>
      <c r="L379" s="28">
        <f>SUMIFS(Dump!$D:$D,Dump!$B:$B,$C379,Dump!$A:$A,$V379)</f>
        <v>0</v>
      </c>
      <c r="M379" s="28">
        <f>SUMIFS(Dump!R:R,Dump!B:B,C379,Dump!A:A,V379)</f>
        <v>0</v>
      </c>
      <c r="N379" s="29">
        <f t="shared" si="10"/>
        <v>0</v>
      </c>
      <c r="P379" s="30">
        <f>SUMIFS(Dump!E:E,Dump!B:B,C379,Dump!A:A,V379)</f>
        <v>0</v>
      </c>
      <c r="Q379" s="31">
        <f t="shared" si="11"/>
        <v>0</v>
      </c>
      <c r="S379" s="30">
        <f>SUMIFS(Dump!P:P,Dump!B:B,C379,Dump!A:A,V379)</f>
        <v>0</v>
      </c>
      <c r="T379" s="31">
        <f t="shared" si="12"/>
        <v>0</v>
      </c>
      <c r="U379" s="34"/>
      <c r="V379" s="47"/>
    </row>
    <row r="380">
      <c r="C380" s="46"/>
      <c r="G380" s="1" t="str">
        <f t="shared" si="16"/>
        <v/>
      </c>
      <c r="I380" s="33" t="str">
        <f t="shared" si="8"/>
        <v/>
      </c>
      <c r="K380" s="27"/>
      <c r="L380" s="28">
        <f>SUMIFS(Dump!$D:$D,Dump!$B:$B,$C380,Dump!$A:$A,$V380)</f>
        <v>0</v>
      </c>
      <c r="M380" s="28">
        <f>SUMIFS(Dump!R:R,Dump!B:B,C380,Dump!A:A,V380)</f>
        <v>0</v>
      </c>
      <c r="N380" s="29">
        <f t="shared" si="10"/>
        <v>0</v>
      </c>
      <c r="P380" s="30">
        <f>SUMIFS(Dump!E:E,Dump!B:B,C380,Dump!A:A,V380)</f>
        <v>0</v>
      </c>
      <c r="Q380" s="31">
        <f t="shared" si="11"/>
        <v>0</v>
      </c>
      <c r="S380" s="30">
        <f>SUMIFS(Dump!P:P,Dump!B:B,C380,Dump!A:A,V380)</f>
        <v>0</v>
      </c>
      <c r="T380" s="31">
        <f t="shared" si="12"/>
        <v>0</v>
      </c>
      <c r="U380" s="34"/>
      <c r="V380" s="47"/>
    </row>
    <row r="381">
      <c r="C381" s="46"/>
      <c r="G381" s="1" t="str">
        <f t="shared" si="16"/>
        <v/>
      </c>
      <c r="I381" s="33" t="str">
        <f t="shared" si="8"/>
        <v/>
      </c>
      <c r="K381" s="27"/>
      <c r="L381" s="28">
        <f>SUMIFS(Dump!$D:$D,Dump!$B:$B,$C381,Dump!$A:$A,$V381)</f>
        <v>0</v>
      </c>
      <c r="M381" s="28">
        <f>SUMIFS(Dump!R:R,Dump!B:B,C381,Dump!A:A,V381)</f>
        <v>0</v>
      </c>
      <c r="N381" s="29">
        <f t="shared" si="10"/>
        <v>0</v>
      </c>
      <c r="P381" s="30">
        <f>SUMIFS(Dump!E:E,Dump!B:B,C381,Dump!A:A,V381)</f>
        <v>0</v>
      </c>
      <c r="Q381" s="31">
        <f t="shared" si="11"/>
        <v>0</v>
      </c>
      <c r="S381" s="30">
        <f>SUMIFS(Dump!P:P,Dump!B:B,C381,Dump!A:A,V381)</f>
        <v>0</v>
      </c>
      <c r="T381" s="31">
        <f t="shared" si="12"/>
        <v>0</v>
      </c>
      <c r="U381" s="34"/>
      <c r="V381" s="47"/>
    </row>
    <row r="382">
      <c r="C382" s="46"/>
      <c r="G382" s="1" t="str">
        <f t="shared" si="16"/>
        <v/>
      </c>
      <c r="I382" s="33" t="str">
        <f t="shared" si="8"/>
        <v/>
      </c>
      <c r="K382" s="27"/>
      <c r="L382" s="28">
        <f>SUMIFS(Dump!$D:$D,Dump!$B:$B,$C382,Dump!$A:$A,$V382)</f>
        <v>0</v>
      </c>
      <c r="M382" s="28">
        <f>SUMIFS(Dump!R:R,Dump!B:B,C382,Dump!A:A,V382)</f>
        <v>0</v>
      </c>
      <c r="N382" s="29">
        <f t="shared" si="10"/>
        <v>0</v>
      </c>
      <c r="P382" s="30">
        <f>SUMIFS(Dump!E:E,Dump!B:B,C382,Dump!A:A,V382)</f>
        <v>0</v>
      </c>
      <c r="Q382" s="31">
        <f t="shared" si="11"/>
        <v>0</v>
      </c>
      <c r="S382" s="30">
        <f>SUMIFS(Dump!P:P,Dump!B:B,C382,Dump!A:A,V382)</f>
        <v>0</v>
      </c>
      <c r="T382" s="31">
        <f t="shared" si="12"/>
        <v>0</v>
      </c>
      <c r="U382" s="34"/>
      <c r="V382" s="47"/>
    </row>
    <row r="383">
      <c r="C383" s="46"/>
      <c r="G383" s="1" t="str">
        <f t="shared" si="16"/>
        <v/>
      </c>
      <c r="I383" s="33" t="str">
        <f t="shared" si="8"/>
        <v/>
      </c>
      <c r="K383" s="27"/>
      <c r="L383" s="28">
        <f>SUMIFS(Dump!$D:$D,Dump!$B:$B,$C383,Dump!$A:$A,$V383)</f>
        <v>0</v>
      </c>
      <c r="M383" s="28">
        <f>SUMIFS(Dump!R:R,Dump!B:B,C383,Dump!A:A,V383)</f>
        <v>0</v>
      </c>
      <c r="N383" s="29">
        <f t="shared" si="10"/>
        <v>0</v>
      </c>
      <c r="P383" s="30">
        <f>SUMIFS(Dump!E:E,Dump!B:B,C383,Dump!A:A,V383)</f>
        <v>0</v>
      </c>
      <c r="Q383" s="31">
        <f t="shared" si="11"/>
        <v>0</v>
      </c>
      <c r="S383" s="30">
        <f>SUMIFS(Dump!P:P,Dump!B:B,C383,Dump!A:A,V383)</f>
        <v>0</v>
      </c>
      <c r="T383" s="31">
        <f t="shared" si="12"/>
        <v>0</v>
      </c>
      <c r="U383" s="34"/>
      <c r="V383" s="47"/>
    </row>
    <row r="384">
      <c r="C384" s="46"/>
      <c r="G384" s="1" t="str">
        <f t="shared" si="16"/>
        <v/>
      </c>
      <c r="I384" s="33" t="str">
        <f t="shared" si="8"/>
        <v/>
      </c>
      <c r="K384" s="27"/>
      <c r="L384" s="28">
        <f>SUMIFS(Dump!$D:$D,Dump!$B:$B,$C384,Dump!$A:$A,$V384)</f>
        <v>0</v>
      </c>
      <c r="M384" s="28">
        <f>SUMIFS(Dump!R:R,Dump!B:B,C384,Dump!A:A,V384)</f>
        <v>0</v>
      </c>
      <c r="N384" s="29">
        <f t="shared" si="10"/>
        <v>0</v>
      </c>
      <c r="P384" s="30">
        <f>SUMIFS(Dump!E:E,Dump!B:B,C384,Dump!A:A,V384)</f>
        <v>0</v>
      </c>
      <c r="Q384" s="31">
        <f t="shared" si="11"/>
        <v>0</v>
      </c>
      <c r="S384" s="30">
        <f>SUMIFS(Dump!P:P,Dump!B:B,C384,Dump!A:A,V384)</f>
        <v>0</v>
      </c>
      <c r="T384" s="31">
        <f t="shared" si="12"/>
        <v>0</v>
      </c>
      <c r="U384" s="34"/>
      <c r="V384" s="47"/>
    </row>
    <row r="385">
      <c r="C385" s="46"/>
      <c r="G385" s="1" t="str">
        <f t="shared" si="16"/>
        <v/>
      </c>
      <c r="I385" s="33" t="str">
        <f t="shared" si="8"/>
        <v/>
      </c>
      <c r="K385" s="27"/>
      <c r="L385" s="28">
        <f>SUMIFS(Dump!$D:$D,Dump!$B:$B,$C385,Dump!$A:$A,$V385)</f>
        <v>0</v>
      </c>
      <c r="M385" s="28">
        <f>SUMIFS(Dump!R:R,Dump!B:B,C385,Dump!A:A,V385)</f>
        <v>0</v>
      </c>
      <c r="N385" s="29">
        <f t="shared" si="10"/>
        <v>0</v>
      </c>
      <c r="P385" s="30">
        <f>SUMIFS(Dump!E:E,Dump!B:B,C385,Dump!A:A,V385)</f>
        <v>0</v>
      </c>
      <c r="Q385" s="31">
        <f t="shared" si="11"/>
        <v>0</v>
      </c>
      <c r="S385" s="30">
        <f>SUMIFS(Dump!P:P,Dump!B:B,C385,Dump!A:A,V385)</f>
        <v>0</v>
      </c>
      <c r="T385" s="31">
        <f t="shared" si="12"/>
        <v>0</v>
      </c>
      <c r="U385" s="34"/>
      <c r="V385" s="47"/>
    </row>
    <row r="386">
      <c r="C386" s="46"/>
      <c r="G386" s="1" t="str">
        <f t="shared" si="16"/>
        <v/>
      </c>
      <c r="I386" s="33" t="str">
        <f t="shared" si="8"/>
        <v/>
      </c>
      <c r="K386" s="27"/>
      <c r="L386" s="28">
        <f>SUMIFS(Dump!$D:$D,Dump!$B:$B,$C386,Dump!$A:$A,$V386)</f>
        <v>0</v>
      </c>
      <c r="M386" s="28">
        <f>SUMIFS(Dump!R:R,Dump!B:B,C386,Dump!A:A,V386)</f>
        <v>0</v>
      </c>
      <c r="N386" s="29">
        <f t="shared" si="10"/>
        <v>0</v>
      </c>
      <c r="P386" s="30">
        <f>SUMIFS(Dump!E:E,Dump!B:B,C386,Dump!A:A,V386)</f>
        <v>0</v>
      </c>
      <c r="Q386" s="31">
        <f t="shared" si="11"/>
        <v>0</v>
      </c>
      <c r="S386" s="30">
        <f>SUMIFS(Dump!P:P,Dump!B:B,C386,Dump!A:A,V386)</f>
        <v>0</v>
      </c>
      <c r="T386" s="31">
        <f t="shared" si="12"/>
        <v>0</v>
      </c>
      <c r="U386" s="34"/>
      <c r="V386" s="47"/>
    </row>
    <row r="387">
      <c r="C387" s="46"/>
      <c r="G387" s="1" t="str">
        <f t="shared" si="16"/>
        <v/>
      </c>
      <c r="I387" s="33" t="str">
        <f t="shared" si="8"/>
        <v/>
      </c>
      <c r="K387" s="27"/>
      <c r="L387" s="28">
        <f>SUMIFS(Dump!$D:$D,Dump!$B:$B,$C387,Dump!$A:$A,$V387)</f>
        <v>0</v>
      </c>
      <c r="M387" s="28">
        <f>SUMIFS(Dump!R:R,Dump!B:B,C387,Dump!A:A,V387)</f>
        <v>0</v>
      </c>
      <c r="N387" s="29">
        <f t="shared" si="10"/>
        <v>0</v>
      </c>
      <c r="P387" s="30">
        <f>SUMIFS(Dump!E:E,Dump!B:B,C387,Dump!A:A,V387)</f>
        <v>0</v>
      </c>
      <c r="Q387" s="31">
        <f t="shared" si="11"/>
        <v>0</v>
      </c>
      <c r="S387" s="30">
        <f>SUMIFS(Dump!P:P,Dump!B:B,C387,Dump!A:A,V387)</f>
        <v>0</v>
      </c>
      <c r="T387" s="31">
        <f t="shared" si="12"/>
        <v>0</v>
      </c>
      <c r="U387" s="34"/>
      <c r="V387" s="47"/>
    </row>
    <row r="388">
      <c r="C388" s="46"/>
      <c r="G388" s="1" t="str">
        <f t="shared" si="16"/>
        <v/>
      </c>
      <c r="I388" s="33" t="str">
        <f t="shared" si="8"/>
        <v/>
      </c>
      <c r="K388" s="27"/>
      <c r="L388" s="28">
        <f>SUMIFS(Dump!$D:$D,Dump!$B:$B,$C388,Dump!$A:$A,$V388)</f>
        <v>0</v>
      </c>
      <c r="M388" s="28">
        <f>SUMIFS(Dump!R:R,Dump!B:B,C388,Dump!A:A,V388)</f>
        <v>0</v>
      </c>
      <c r="N388" s="29">
        <f t="shared" si="10"/>
        <v>0</v>
      </c>
      <c r="P388" s="30">
        <f>SUMIFS(Dump!E:E,Dump!B:B,C388,Dump!A:A,V388)</f>
        <v>0</v>
      </c>
      <c r="Q388" s="31">
        <f t="shared" si="11"/>
        <v>0</v>
      </c>
      <c r="S388" s="30">
        <f>SUMIFS(Dump!P:P,Dump!B:B,C388,Dump!A:A,V388)</f>
        <v>0</v>
      </c>
      <c r="T388" s="31">
        <f t="shared" si="12"/>
        <v>0</v>
      </c>
      <c r="U388" s="34"/>
      <c r="V388" s="47"/>
    </row>
    <row r="389">
      <c r="C389" s="46"/>
      <c r="G389" s="1" t="str">
        <f t="shared" si="16"/>
        <v/>
      </c>
      <c r="I389" s="33" t="str">
        <f t="shared" si="8"/>
        <v/>
      </c>
      <c r="K389" s="27"/>
      <c r="L389" s="28">
        <f>SUMIFS(Dump!$D:$D,Dump!$B:$B,$C389,Dump!$A:$A,$V389)</f>
        <v>0</v>
      </c>
      <c r="M389" s="28">
        <f>SUMIFS(Dump!R:R,Dump!B:B,C389,Dump!A:A,V389)</f>
        <v>0</v>
      </c>
      <c r="N389" s="29">
        <f t="shared" si="10"/>
        <v>0</v>
      </c>
      <c r="P389" s="30">
        <f>SUMIFS(Dump!E:E,Dump!B:B,C389,Dump!A:A,V389)</f>
        <v>0</v>
      </c>
      <c r="Q389" s="31">
        <f t="shared" si="11"/>
        <v>0</v>
      </c>
      <c r="S389" s="30">
        <f>SUMIFS(Dump!P:P,Dump!B:B,C389,Dump!A:A,V389)</f>
        <v>0</v>
      </c>
      <c r="T389" s="31">
        <f t="shared" si="12"/>
        <v>0</v>
      </c>
      <c r="U389" s="34"/>
      <c r="V389" s="47"/>
    </row>
    <row r="390">
      <c r="C390" s="46"/>
      <c r="G390" s="1" t="str">
        <f t="shared" si="16"/>
        <v/>
      </c>
      <c r="I390" s="33" t="str">
        <f t="shared" si="8"/>
        <v/>
      </c>
      <c r="K390" s="27"/>
      <c r="L390" s="28">
        <f>SUMIFS(Dump!$D:$D,Dump!$B:$B,$C390,Dump!$A:$A,$V390)</f>
        <v>0</v>
      </c>
      <c r="M390" s="28">
        <f>SUMIFS(Dump!R:R,Dump!B:B,C390,Dump!A:A,V390)</f>
        <v>0</v>
      </c>
      <c r="N390" s="29">
        <f t="shared" si="10"/>
        <v>0</v>
      </c>
      <c r="P390" s="30">
        <f>SUMIFS(Dump!E:E,Dump!B:B,C390,Dump!A:A,V390)</f>
        <v>0</v>
      </c>
      <c r="Q390" s="31">
        <f t="shared" si="11"/>
        <v>0</v>
      </c>
      <c r="S390" s="30">
        <f>SUMIFS(Dump!P:P,Dump!B:B,C390,Dump!A:A,V390)</f>
        <v>0</v>
      </c>
      <c r="T390" s="31">
        <f t="shared" si="12"/>
        <v>0</v>
      </c>
      <c r="U390" s="34"/>
      <c r="V390" s="47"/>
    </row>
    <row r="391">
      <c r="C391" s="46"/>
      <c r="G391" s="1" t="str">
        <f t="shared" si="16"/>
        <v/>
      </c>
      <c r="I391" s="33" t="str">
        <f t="shared" si="8"/>
        <v/>
      </c>
      <c r="K391" s="27"/>
      <c r="L391" s="28">
        <f>SUMIFS(Dump!$D:$D,Dump!$B:$B,$C391,Dump!$A:$A,$V391)</f>
        <v>0</v>
      </c>
      <c r="M391" s="28">
        <f>SUMIFS(Dump!R:R,Dump!B:B,C391,Dump!A:A,V391)</f>
        <v>0</v>
      </c>
      <c r="N391" s="29">
        <f t="shared" si="10"/>
        <v>0</v>
      </c>
      <c r="P391" s="30">
        <f>SUMIFS(Dump!E:E,Dump!B:B,C391,Dump!A:A,V391)</f>
        <v>0</v>
      </c>
      <c r="Q391" s="31">
        <f t="shared" si="11"/>
        <v>0</v>
      </c>
      <c r="S391" s="30">
        <f>SUMIFS(Dump!P:P,Dump!B:B,C391,Dump!A:A,V391)</f>
        <v>0</v>
      </c>
      <c r="T391" s="31">
        <f t="shared" si="12"/>
        <v>0</v>
      </c>
      <c r="U391" s="34"/>
      <c r="V391" s="47"/>
    </row>
    <row r="392">
      <c r="C392" s="46"/>
      <c r="G392" s="1" t="str">
        <f t="shared" si="16"/>
        <v/>
      </c>
      <c r="I392" s="33" t="str">
        <f t="shared" si="8"/>
        <v/>
      </c>
      <c r="K392" s="27"/>
      <c r="L392" s="28">
        <f>SUMIFS(Dump!$D:$D,Dump!$B:$B,$C392,Dump!$A:$A,$V392)</f>
        <v>0</v>
      </c>
      <c r="M392" s="28">
        <f>SUMIFS(Dump!R:R,Dump!B:B,C392,Dump!A:A,V392)</f>
        <v>0</v>
      </c>
      <c r="N392" s="29">
        <f t="shared" si="10"/>
        <v>0</v>
      </c>
      <c r="P392" s="30">
        <f>SUMIFS(Dump!E:E,Dump!B:B,C392,Dump!A:A,V392)</f>
        <v>0</v>
      </c>
      <c r="Q392" s="31">
        <f t="shared" si="11"/>
        <v>0</v>
      </c>
      <c r="S392" s="30">
        <f>SUMIFS(Dump!P:P,Dump!B:B,C392,Dump!A:A,V392)</f>
        <v>0</v>
      </c>
      <c r="T392" s="31">
        <f t="shared" si="12"/>
        <v>0</v>
      </c>
      <c r="U392" s="34"/>
      <c r="V392" s="47"/>
    </row>
    <row r="393">
      <c r="C393" s="46"/>
      <c r="G393" s="1" t="str">
        <f t="shared" si="16"/>
        <v/>
      </c>
      <c r="I393" s="33" t="str">
        <f t="shared" si="8"/>
        <v/>
      </c>
      <c r="K393" s="27"/>
      <c r="L393" s="28">
        <f>SUMIFS(Dump!$D:$D,Dump!$B:$B,$C393,Dump!$A:$A,$V393)</f>
        <v>0</v>
      </c>
      <c r="M393" s="28">
        <f>SUMIFS(Dump!R:R,Dump!B:B,C393,Dump!A:A,V393)</f>
        <v>0</v>
      </c>
      <c r="N393" s="29">
        <f t="shared" si="10"/>
        <v>0</v>
      </c>
      <c r="P393" s="30">
        <f>SUMIFS(Dump!E:E,Dump!B:B,C393,Dump!A:A,V393)</f>
        <v>0</v>
      </c>
      <c r="Q393" s="31">
        <f t="shared" si="11"/>
        <v>0</v>
      </c>
      <c r="S393" s="30">
        <f>SUMIFS(Dump!P:P,Dump!B:B,C393,Dump!A:A,V393)</f>
        <v>0</v>
      </c>
      <c r="T393" s="31">
        <f t="shared" si="12"/>
        <v>0</v>
      </c>
      <c r="U393" s="34"/>
      <c r="V393" s="47"/>
    </row>
    <row r="394">
      <c r="C394" s="46"/>
      <c r="G394" s="1" t="str">
        <f t="shared" si="16"/>
        <v/>
      </c>
      <c r="I394" s="33" t="str">
        <f t="shared" si="8"/>
        <v/>
      </c>
      <c r="K394" s="27"/>
      <c r="L394" s="28">
        <f>SUMIFS(Dump!$D:$D,Dump!$B:$B,$C394,Dump!$A:$A,$V394)</f>
        <v>0</v>
      </c>
      <c r="M394" s="28">
        <f>SUMIFS(Dump!R:R,Dump!B:B,C394,Dump!A:A,V394)</f>
        <v>0</v>
      </c>
      <c r="N394" s="29">
        <f t="shared" si="10"/>
        <v>0</v>
      </c>
      <c r="P394" s="30">
        <f>SUMIFS(Dump!E:E,Dump!B:B,C394,Dump!A:A,V394)</f>
        <v>0</v>
      </c>
      <c r="Q394" s="31">
        <f t="shared" si="11"/>
        <v>0</v>
      </c>
      <c r="S394" s="30">
        <f>SUMIFS(Dump!P:P,Dump!B:B,C394,Dump!A:A,V394)</f>
        <v>0</v>
      </c>
      <c r="T394" s="31">
        <f t="shared" si="12"/>
        <v>0</v>
      </c>
      <c r="U394" s="34"/>
      <c r="V394" s="47"/>
    </row>
    <row r="395">
      <c r="C395" s="46"/>
      <c r="G395" s="1" t="str">
        <f t="shared" si="16"/>
        <v/>
      </c>
      <c r="I395" s="33" t="str">
        <f t="shared" si="8"/>
        <v/>
      </c>
      <c r="K395" s="27"/>
      <c r="L395" s="28">
        <f>SUMIFS(Dump!$D:$D,Dump!$B:$B,$C395,Dump!$A:$A,$V395)</f>
        <v>0</v>
      </c>
      <c r="M395" s="28">
        <f>SUMIFS(Dump!R:R,Dump!B:B,C395,Dump!A:A,V395)</f>
        <v>0</v>
      </c>
      <c r="N395" s="29">
        <f t="shared" si="10"/>
        <v>0</v>
      </c>
      <c r="P395" s="30">
        <f>SUMIFS(Dump!E:E,Dump!B:B,C395,Dump!A:A,V395)</f>
        <v>0</v>
      </c>
      <c r="Q395" s="31">
        <f t="shared" si="11"/>
        <v>0</v>
      </c>
      <c r="S395" s="30">
        <f>SUMIFS(Dump!P:P,Dump!B:B,C395,Dump!A:A,V395)</f>
        <v>0</v>
      </c>
      <c r="T395" s="31">
        <f t="shared" si="12"/>
        <v>0</v>
      </c>
      <c r="U395" s="34"/>
      <c r="V395" s="47"/>
    </row>
    <row r="396">
      <c r="C396" s="46"/>
      <c r="G396" s="1" t="str">
        <f t="shared" si="16"/>
        <v/>
      </c>
      <c r="I396" s="33" t="str">
        <f t="shared" si="8"/>
        <v/>
      </c>
      <c r="K396" s="27"/>
      <c r="L396" s="28">
        <f>SUMIFS(Dump!$D:$D,Dump!$B:$B,$C396,Dump!$A:$A,$V396)</f>
        <v>0</v>
      </c>
      <c r="M396" s="28">
        <f>SUMIFS(Dump!R:R,Dump!B:B,C396,Dump!A:A,V396)</f>
        <v>0</v>
      </c>
      <c r="N396" s="29">
        <f t="shared" si="10"/>
        <v>0</v>
      </c>
      <c r="P396" s="30">
        <f>SUMIFS(Dump!E:E,Dump!B:B,C396,Dump!A:A,V396)</f>
        <v>0</v>
      </c>
      <c r="Q396" s="31">
        <f t="shared" si="11"/>
        <v>0</v>
      </c>
      <c r="S396" s="30">
        <f>SUMIFS(Dump!P:P,Dump!B:B,C396,Dump!A:A,V396)</f>
        <v>0</v>
      </c>
      <c r="T396" s="31">
        <f t="shared" si="12"/>
        <v>0</v>
      </c>
      <c r="U396" s="34"/>
      <c r="V396" s="47"/>
    </row>
    <row r="397">
      <c r="C397" s="46"/>
      <c r="G397" s="1" t="str">
        <f t="shared" si="16"/>
        <v/>
      </c>
      <c r="I397" s="33" t="str">
        <f t="shared" si="8"/>
        <v/>
      </c>
      <c r="K397" s="27"/>
      <c r="L397" s="28">
        <f>SUMIFS(Dump!$D:$D,Dump!$B:$B,$C397,Dump!$A:$A,$V397)</f>
        <v>0</v>
      </c>
      <c r="M397" s="28">
        <f>SUMIFS(Dump!R:R,Dump!B:B,C397,Dump!A:A,V397)</f>
        <v>0</v>
      </c>
      <c r="N397" s="29">
        <f t="shared" si="10"/>
        <v>0</v>
      </c>
      <c r="P397" s="30">
        <f>SUMIFS(Dump!E:E,Dump!B:B,C397,Dump!A:A,V397)</f>
        <v>0</v>
      </c>
      <c r="Q397" s="31">
        <f t="shared" si="11"/>
        <v>0</v>
      </c>
      <c r="S397" s="30">
        <f>SUMIFS(Dump!P:P,Dump!B:B,C397,Dump!A:A,V397)</f>
        <v>0</v>
      </c>
      <c r="T397" s="31">
        <f t="shared" si="12"/>
        <v>0</v>
      </c>
      <c r="U397" s="34"/>
      <c r="V397" s="47"/>
    </row>
    <row r="398">
      <c r="C398" s="46"/>
      <c r="G398" s="1" t="str">
        <f t="shared" si="16"/>
        <v/>
      </c>
      <c r="I398" s="33" t="str">
        <f t="shared" si="8"/>
        <v/>
      </c>
      <c r="K398" s="27"/>
      <c r="L398" s="28">
        <f>SUMIFS(Dump!$D:$D,Dump!$B:$B,$C398,Dump!$A:$A,$V398)</f>
        <v>0</v>
      </c>
      <c r="M398" s="28">
        <f>SUMIFS(Dump!R:R,Dump!B:B,C398,Dump!A:A,V398)</f>
        <v>0</v>
      </c>
      <c r="N398" s="29">
        <f t="shared" si="10"/>
        <v>0</v>
      </c>
      <c r="P398" s="30">
        <f>SUMIFS(Dump!E:E,Dump!B:B,C398,Dump!A:A,V398)</f>
        <v>0</v>
      </c>
      <c r="Q398" s="31">
        <f t="shared" si="11"/>
        <v>0</v>
      </c>
      <c r="S398" s="30">
        <f>SUMIFS(Dump!P:P,Dump!B:B,C398,Dump!A:A,V398)</f>
        <v>0</v>
      </c>
      <c r="T398" s="31">
        <f t="shared" si="12"/>
        <v>0</v>
      </c>
      <c r="U398" s="34"/>
      <c r="V398" s="47"/>
    </row>
    <row r="399">
      <c r="C399" s="46"/>
      <c r="G399" s="1" t="str">
        <f t="shared" si="16"/>
        <v/>
      </c>
      <c r="I399" s="33" t="str">
        <f t="shared" si="8"/>
        <v/>
      </c>
      <c r="K399" s="27"/>
      <c r="L399" s="28">
        <f>SUMIFS(Dump!$D:$D,Dump!$B:$B,$C399,Dump!$A:$A,$V399)</f>
        <v>0</v>
      </c>
      <c r="M399" s="28">
        <f>SUMIFS(Dump!R:R,Dump!B:B,C399,Dump!A:A,V399)</f>
        <v>0</v>
      </c>
      <c r="N399" s="29">
        <f t="shared" si="10"/>
        <v>0</v>
      </c>
      <c r="P399" s="30">
        <f>SUMIFS(Dump!E:E,Dump!B:B,C399,Dump!A:A,V399)</f>
        <v>0</v>
      </c>
      <c r="Q399" s="31">
        <f t="shared" si="11"/>
        <v>0</v>
      </c>
      <c r="S399" s="30">
        <f>SUMIFS(Dump!P:P,Dump!B:B,C399,Dump!A:A,V399)</f>
        <v>0</v>
      </c>
      <c r="T399" s="31">
        <f t="shared" si="12"/>
        <v>0</v>
      </c>
      <c r="U399" s="34"/>
      <c r="V399" s="47"/>
    </row>
    <row r="400">
      <c r="C400" s="46"/>
      <c r="G400" s="1" t="str">
        <f t="shared" si="16"/>
        <v/>
      </c>
      <c r="I400" s="33" t="str">
        <f t="shared" si="8"/>
        <v/>
      </c>
      <c r="K400" s="27"/>
      <c r="L400" s="28">
        <f>SUMIFS(Dump!$D:$D,Dump!$B:$B,$C400,Dump!$A:$A,$V400)</f>
        <v>0</v>
      </c>
      <c r="M400" s="28">
        <f>SUMIFS(Dump!R:R,Dump!B:B,C400,Dump!A:A,V400)</f>
        <v>0</v>
      </c>
      <c r="N400" s="29">
        <f t="shared" si="10"/>
        <v>0</v>
      </c>
      <c r="P400" s="30">
        <f>SUMIFS(Dump!E:E,Dump!B:B,C400,Dump!A:A,V400)</f>
        <v>0</v>
      </c>
      <c r="Q400" s="31">
        <f t="shared" si="11"/>
        <v>0</v>
      </c>
      <c r="S400" s="30">
        <f>SUMIFS(Dump!P:P,Dump!B:B,C400,Dump!A:A,V400)</f>
        <v>0</v>
      </c>
      <c r="T400" s="31">
        <f t="shared" si="12"/>
        <v>0</v>
      </c>
      <c r="U400" s="34"/>
      <c r="V400" s="47"/>
    </row>
    <row r="401">
      <c r="C401" s="46"/>
      <c r="G401" s="1" t="str">
        <f t="shared" si="16"/>
        <v/>
      </c>
      <c r="I401" s="33" t="str">
        <f t="shared" si="8"/>
        <v/>
      </c>
      <c r="K401" s="27"/>
      <c r="L401" s="28">
        <f>SUMIFS(Dump!$D:$D,Dump!$B:$B,$C401,Dump!$A:$A,$V401)</f>
        <v>0</v>
      </c>
      <c r="M401" s="28">
        <f>SUMIFS(Dump!R:R,Dump!B:B,C401,Dump!A:A,V401)</f>
        <v>0</v>
      </c>
      <c r="N401" s="29">
        <f t="shared" si="10"/>
        <v>0</v>
      </c>
      <c r="P401" s="30">
        <f>SUMIFS(Dump!E:E,Dump!B:B,C401,Dump!A:A,V401)</f>
        <v>0</v>
      </c>
      <c r="Q401" s="31">
        <f t="shared" si="11"/>
        <v>0</v>
      </c>
      <c r="S401" s="30">
        <f>SUMIFS(Dump!P:P,Dump!B:B,C401,Dump!A:A,V401)</f>
        <v>0</v>
      </c>
      <c r="T401" s="31">
        <f t="shared" si="12"/>
        <v>0</v>
      </c>
      <c r="U401" s="34"/>
      <c r="V401" s="47"/>
    </row>
    <row r="402">
      <c r="C402" s="46"/>
      <c r="G402" s="1" t="str">
        <f t="shared" si="16"/>
        <v/>
      </c>
      <c r="I402" s="33" t="str">
        <f t="shared" si="8"/>
        <v/>
      </c>
      <c r="K402" s="27"/>
      <c r="L402" s="28">
        <f>SUMIFS(Dump!$D:$D,Dump!$B:$B,$C402,Dump!$A:$A,$V402)</f>
        <v>0</v>
      </c>
      <c r="M402" s="28">
        <f>SUMIFS(Dump!R:R,Dump!B:B,C402,Dump!A:A,V402)</f>
        <v>0</v>
      </c>
      <c r="N402" s="29">
        <f t="shared" si="10"/>
        <v>0</v>
      </c>
      <c r="P402" s="30">
        <f>SUMIFS(Dump!E:E,Dump!B:B,C402,Dump!A:A,V402)</f>
        <v>0</v>
      </c>
      <c r="Q402" s="31">
        <f t="shared" si="11"/>
        <v>0</v>
      </c>
      <c r="S402" s="30">
        <f>SUMIFS(Dump!P:P,Dump!B:B,C402,Dump!A:A,V402)</f>
        <v>0</v>
      </c>
      <c r="T402" s="31">
        <f t="shared" si="12"/>
        <v>0</v>
      </c>
      <c r="U402" s="34"/>
      <c r="V402" s="47"/>
    </row>
    <row r="403">
      <c r="C403" s="46"/>
      <c r="G403" s="1" t="str">
        <f t="shared" si="16"/>
        <v/>
      </c>
      <c r="I403" s="33" t="str">
        <f t="shared" si="8"/>
        <v/>
      </c>
      <c r="K403" s="27"/>
      <c r="L403" s="28">
        <f>SUMIFS(Dump!$D:$D,Dump!$B:$B,$C403,Dump!$A:$A,$V403)</f>
        <v>0</v>
      </c>
      <c r="M403" s="28">
        <f>SUMIFS(Dump!R:R,Dump!B:B,C403,Dump!A:A,V403)</f>
        <v>0</v>
      </c>
      <c r="N403" s="29">
        <f t="shared" si="10"/>
        <v>0</v>
      </c>
      <c r="P403" s="30">
        <f>SUMIFS(Dump!E:E,Dump!B:B,C403,Dump!A:A,V403)</f>
        <v>0</v>
      </c>
      <c r="Q403" s="31">
        <f t="shared" si="11"/>
        <v>0</v>
      </c>
      <c r="S403" s="30">
        <f>SUMIFS(Dump!P:P,Dump!B:B,C403,Dump!A:A,V403)</f>
        <v>0</v>
      </c>
      <c r="T403" s="31">
        <f t="shared" si="12"/>
        <v>0</v>
      </c>
      <c r="U403" s="34"/>
      <c r="V403" s="47"/>
    </row>
    <row r="404">
      <c r="C404" s="46"/>
      <c r="G404" s="1" t="str">
        <f t="shared" si="16"/>
        <v/>
      </c>
      <c r="I404" s="33" t="str">
        <f t="shared" si="8"/>
        <v/>
      </c>
      <c r="K404" s="27"/>
      <c r="L404" s="28">
        <f>SUMIFS(Dump!$D:$D,Dump!$B:$B,$C404,Dump!$A:$A,$V404)</f>
        <v>0</v>
      </c>
      <c r="M404" s="28">
        <f>SUMIFS(Dump!R:R,Dump!B:B,C404,Dump!A:A,V404)</f>
        <v>0</v>
      </c>
      <c r="N404" s="29">
        <f t="shared" si="10"/>
        <v>0</v>
      </c>
      <c r="P404" s="30">
        <f>SUMIFS(Dump!E:E,Dump!B:B,C404,Dump!A:A,V404)</f>
        <v>0</v>
      </c>
      <c r="Q404" s="31">
        <f t="shared" si="11"/>
        <v>0</v>
      </c>
      <c r="S404" s="30">
        <f>SUMIFS(Dump!P:P,Dump!B:B,C404,Dump!A:A,V404)</f>
        <v>0</v>
      </c>
      <c r="T404" s="31">
        <f t="shared" si="12"/>
        <v>0</v>
      </c>
      <c r="U404" s="34"/>
      <c r="V404" s="47"/>
    </row>
    <row r="405">
      <c r="C405" s="46"/>
      <c r="G405" s="1" t="str">
        <f t="shared" si="16"/>
        <v/>
      </c>
      <c r="I405" s="33" t="str">
        <f t="shared" si="8"/>
        <v/>
      </c>
      <c r="K405" s="27"/>
      <c r="L405" s="28">
        <f>SUMIFS(Dump!$D:$D,Dump!$B:$B,$C405,Dump!$A:$A,$V405)</f>
        <v>0</v>
      </c>
      <c r="M405" s="28">
        <f>SUMIFS(Dump!R:R,Dump!B:B,C405,Dump!A:A,V405)</f>
        <v>0</v>
      </c>
      <c r="N405" s="29">
        <f t="shared" si="10"/>
        <v>0</v>
      </c>
      <c r="P405" s="30">
        <f>SUMIFS(Dump!E:E,Dump!B:B,C405,Dump!A:A,V405)</f>
        <v>0</v>
      </c>
      <c r="Q405" s="31">
        <f t="shared" si="11"/>
        <v>0</v>
      </c>
      <c r="S405" s="30">
        <f>SUMIFS(Dump!P:P,Dump!B:B,C405,Dump!A:A,V405)</f>
        <v>0</v>
      </c>
      <c r="T405" s="31">
        <f t="shared" si="12"/>
        <v>0</v>
      </c>
      <c r="U405" s="34"/>
      <c r="V405" s="47"/>
    </row>
    <row r="406">
      <c r="C406" s="46"/>
      <c r="G406" s="1" t="str">
        <f t="shared" si="16"/>
        <v/>
      </c>
      <c r="I406" s="33" t="str">
        <f t="shared" si="8"/>
        <v/>
      </c>
      <c r="K406" s="27"/>
      <c r="L406" s="28">
        <f>SUMIFS(Dump!$D:$D,Dump!$B:$B,$C406,Dump!$A:$A,$V406)</f>
        <v>0</v>
      </c>
      <c r="M406" s="28">
        <f>SUMIFS(Dump!R:R,Dump!B:B,C406,Dump!A:A,V406)</f>
        <v>0</v>
      </c>
      <c r="N406" s="29">
        <f t="shared" si="10"/>
        <v>0</v>
      </c>
      <c r="P406" s="30">
        <f>SUMIFS(Dump!E:E,Dump!B:B,C406,Dump!A:A,V406)</f>
        <v>0</v>
      </c>
      <c r="Q406" s="31">
        <f t="shared" si="11"/>
        <v>0</v>
      </c>
      <c r="S406" s="30">
        <f>SUMIFS(Dump!P:P,Dump!B:B,C406,Dump!A:A,V406)</f>
        <v>0</v>
      </c>
      <c r="T406" s="31">
        <f t="shared" si="12"/>
        <v>0</v>
      </c>
      <c r="U406" s="34"/>
      <c r="V406" s="47"/>
    </row>
    <row r="407">
      <c r="C407" s="46"/>
      <c r="G407" s="1" t="str">
        <f t="shared" si="16"/>
        <v/>
      </c>
      <c r="I407" s="33" t="str">
        <f t="shared" si="8"/>
        <v/>
      </c>
      <c r="K407" s="27"/>
      <c r="L407" s="28">
        <f>SUMIFS(Dump!$D:$D,Dump!$B:$B,$C407,Dump!$A:$A,$V407)</f>
        <v>0</v>
      </c>
      <c r="M407" s="28">
        <f>SUMIFS(Dump!R:R,Dump!B:B,C407,Dump!A:A,V407)</f>
        <v>0</v>
      </c>
      <c r="N407" s="29">
        <f t="shared" si="10"/>
        <v>0</v>
      </c>
      <c r="P407" s="30">
        <f>SUMIFS(Dump!E:E,Dump!B:B,C407,Dump!A:A,V407)</f>
        <v>0</v>
      </c>
      <c r="Q407" s="31">
        <f t="shared" si="11"/>
        <v>0</v>
      </c>
      <c r="S407" s="30">
        <f>SUMIFS(Dump!P:P,Dump!B:B,C407,Dump!A:A,V407)</f>
        <v>0</v>
      </c>
      <c r="T407" s="31">
        <f t="shared" si="12"/>
        <v>0</v>
      </c>
      <c r="U407" s="34"/>
      <c r="V407" s="47"/>
    </row>
    <row r="408">
      <c r="C408" s="46"/>
      <c r="G408" s="1" t="str">
        <f t="shared" si="16"/>
        <v/>
      </c>
      <c r="I408" s="33" t="str">
        <f t="shared" si="8"/>
        <v/>
      </c>
      <c r="K408" s="27"/>
      <c r="L408" s="28">
        <f>SUMIFS(Dump!$D:$D,Dump!$B:$B,$C408,Dump!$A:$A,$V408)</f>
        <v>0</v>
      </c>
      <c r="M408" s="28">
        <f>SUMIFS(Dump!R:R,Dump!B:B,C408,Dump!A:A,V408)</f>
        <v>0</v>
      </c>
      <c r="N408" s="29">
        <f t="shared" si="10"/>
        <v>0</v>
      </c>
      <c r="P408" s="30">
        <f>SUMIFS(Dump!E:E,Dump!B:B,C408,Dump!A:A,V408)</f>
        <v>0</v>
      </c>
      <c r="Q408" s="31">
        <f t="shared" si="11"/>
        <v>0</v>
      </c>
      <c r="S408" s="30">
        <f>SUMIFS(Dump!P:P,Dump!B:B,C408,Dump!A:A,V408)</f>
        <v>0</v>
      </c>
      <c r="T408" s="31">
        <f t="shared" si="12"/>
        <v>0</v>
      </c>
      <c r="U408" s="34"/>
      <c r="V408" s="47"/>
    </row>
    <row r="409">
      <c r="C409" s="46"/>
      <c r="G409" s="1" t="str">
        <f t="shared" si="16"/>
        <v/>
      </c>
      <c r="I409" s="33" t="str">
        <f t="shared" si="8"/>
        <v/>
      </c>
      <c r="K409" s="27"/>
      <c r="L409" s="28">
        <f>SUMIFS(Dump!$D:$D,Dump!$B:$B,$C409,Dump!$A:$A,$V409)</f>
        <v>0</v>
      </c>
      <c r="M409" s="28">
        <f>SUMIFS(Dump!R:R,Dump!B:B,C409,Dump!A:A,V409)</f>
        <v>0</v>
      </c>
      <c r="N409" s="29">
        <f t="shared" si="10"/>
        <v>0</v>
      </c>
      <c r="P409" s="30">
        <f>SUMIFS(Dump!E:E,Dump!B:B,C409,Dump!A:A,V409)</f>
        <v>0</v>
      </c>
      <c r="Q409" s="31">
        <f t="shared" si="11"/>
        <v>0</v>
      </c>
      <c r="S409" s="30">
        <f>SUMIFS(Dump!P:P,Dump!B:B,C409,Dump!A:A,V409)</f>
        <v>0</v>
      </c>
      <c r="T409" s="31">
        <f t="shared" si="12"/>
        <v>0</v>
      </c>
      <c r="U409" s="34"/>
      <c r="V409" s="47"/>
    </row>
    <row r="410">
      <c r="C410" s="46"/>
      <c r="G410" s="1" t="str">
        <f t="shared" si="16"/>
        <v/>
      </c>
      <c r="I410" s="33" t="str">
        <f t="shared" si="8"/>
        <v/>
      </c>
      <c r="K410" s="27"/>
      <c r="L410" s="28">
        <f>SUMIFS(Dump!$D:$D,Dump!$B:$B,$C410,Dump!$A:$A,$V410)</f>
        <v>0</v>
      </c>
      <c r="M410" s="28">
        <f>SUMIFS(Dump!R:R,Dump!B:B,C410,Dump!A:A,V410)</f>
        <v>0</v>
      </c>
      <c r="N410" s="29">
        <f t="shared" si="10"/>
        <v>0</v>
      </c>
      <c r="P410" s="30">
        <f>SUMIFS(Dump!E:E,Dump!B:B,C410,Dump!A:A,V410)</f>
        <v>0</v>
      </c>
      <c r="Q410" s="31">
        <f t="shared" si="11"/>
        <v>0</v>
      </c>
      <c r="S410" s="30">
        <f>SUMIFS(Dump!P:P,Dump!B:B,C410,Dump!A:A,V410)</f>
        <v>0</v>
      </c>
      <c r="T410" s="31">
        <f t="shared" si="12"/>
        <v>0</v>
      </c>
      <c r="U410" s="34"/>
      <c r="V410" s="47"/>
    </row>
    <row r="411">
      <c r="C411" s="46"/>
      <c r="G411" s="1" t="str">
        <f t="shared" si="16"/>
        <v/>
      </c>
      <c r="I411" s="33" t="str">
        <f t="shared" si="8"/>
        <v/>
      </c>
      <c r="K411" s="27"/>
      <c r="L411" s="28">
        <f>SUMIFS(Dump!$D:$D,Dump!$B:$B,$C411,Dump!$A:$A,$V411)</f>
        <v>0</v>
      </c>
      <c r="M411" s="28">
        <f>SUMIFS(Dump!R:R,Dump!B:B,C411,Dump!A:A,V411)</f>
        <v>0</v>
      </c>
      <c r="N411" s="29">
        <f t="shared" si="10"/>
        <v>0</v>
      </c>
      <c r="P411" s="30">
        <f>SUMIFS(Dump!E:E,Dump!B:B,C411,Dump!A:A,V411)</f>
        <v>0</v>
      </c>
      <c r="Q411" s="31">
        <f t="shared" si="11"/>
        <v>0</v>
      </c>
      <c r="S411" s="30">
        <f>SUMIFS(Dump!P:P,Dump!B:B,C411,Dump!A:A,V411)</f>
        <v>0</v>
      </c>
      <c r="T411" s="31">
        <f t="shared" si="12"/>
        <v>0</v>
      </c>
      <c r="U411" s="34"/>
      <c r="V411" s="47"/>
    </row>
    <row r="412">
      <c r="C412" s="46"/>
      <c r="G412" s="1" t="str">
        <f t="shared" si="16"/>
        <v/>
      </c>
      <c r="I412" s="33" t="str">
        <f t="shared" si="8"/>
        <v/>
      </c>
      <c r="K412" s="27"/>
      <c r="L412" s="28">
        <f>SUMIFS(Dump!$D:$D,Dump!$B:$B,$C412,Dump!$A:$A,$V412)</f>
        <v>0</v>
      </c>
      <c r="M412" s="28">
        <f>SUMIFS(Dump!R:R,Dump!B:B,C412,Dump!A:A,V412)</f>
        <v>0</v>
      </c>
      <c r="N412" s="29">
        <f t="shared" si="10"/>
        <v>0</v>
      </c>
      <c r="P412" s="30">
        <f>SUMIFS(Dump!E:E,Dump!B:B,C412,Dump!A:A,V412)</f>
        <v>0</v>
      </c>
      <c r="Q412" s="31">
        <f t="shared" si="11"/>
        <v>0</v>
      </c>
      <c r="S412" s="30">
        <f>SUMIFS(Dump!P:P,Dump!B:B,C412,Dump!A:A,V412)</f>
        <v>0</v>
      </c>
      <c r="T412" s="31">
        <f t="shared" si="12"/>
        <v>0</v>
      </c>
      <c r="U412" s="34"/>
      <c r="V412" s="47"/>
    </row>
    <row r="413">
      <c r="C413" s="46"/>
      <c r="G413" s="1" t="str">
        <f t="shared" si="16"/>
        <v/>
      </c>
      <c r="I413" s="33" t="str">
        <f t="shared" si="8"/>
        <v/>
      </c>
      <c r="K413" s="27"/>
      <c r="L413" s="28">
        <f>SUMIFS(Dump!$D:$D,Dump!$B:$B,$C413,Dump!$A:$A,$V413)</f>
        <v>0</v>
      </c>
      <c r="M413" s="28">
        <f>SUMIFS(Dump!R:R,Dump!B:B,C413,Dump!A:A,V413)</f>
        <v>0</v>
      </c>
      <c r="N413" s="29">
        <f t="shared" si="10"/>
        <v>0</v>
      </c>
      <c r="P413" s="30">
        <f>SUMIFS(Dump!E:E,Dump!B:B,C413,Dump!A:A,V413)</f>
        <v>0</v>
      </c>
      <c r="Q413" s="31">
        <f t="shared" si="11"/>
        <v>0</v>
      </c>
      <c r="S413" s="30">
        <f>SUMIFS(Dump!P:P,Dump!B:B,C413,Dump!A:A,V413)</f>
        <v>0</v>
      </c>
      <c r="T413" s="31">
        <f t="shared" si="12"/>
        <v>0</v>
      </c>
      <c r="U413" s="34"/>
      <c r="V413" s="47"/>
    </row>
    <row r="414">
      <c r="C414" s="46"/>
      <c r="G414" s="1" t="str">
        <f t="shared" si="16"/>
        <v/>
      </c>
      <c r="I414" s="33" t="str">
        <f t="shared" si="8"/>
        <v/>
      </c>
      <c r="K414" s="27"/>
      <c r="L414" s="28">
        <f>SUMIFS(Dump!$D:$D,Dump!$B:$B,$C414,Dump!$A:$A,$V414)</f>
        <v>0</v>
      </c>
      <c r="M414" s="28">
        <f>SUMIFS(Dump!R:R,Dump!B:B,C414,Dump!A:A,V414)</f>
        <v>0</v>
      </c>
      <c r="N414" s="29">
        <f t="shared" si="10"/>
        <v>0</v>
      </c>
      <c r="P414" s="30">
        <f>SUMIFS(Dump!E:E,Dump!B:B,C414,Dump!A:A,V414)</f>
        <v>0</v>
      </c>
      <c r="Q414" s="31">
        <f t="shared" si="11"/>
        <v>0</v>
      </c>
      <c r="S414" s="30">
        <f>SUMIFS(Dump!P:P,Dump!B:B,C414,Dump!A:A,V414)</f>
        <v>0</v>
      </c>
      <c r="T414" s="31">
        <f t="shared" si="12"/>
        <v>0</v>
      </c>
      <c r="U414" s="34"/>
      <c r="V414" s="47"/>
    </row>
    <row r="415">
      <c r="C415" s="46"/>
      <c r="G415" s="1" t="str">
        <f t="shared" si="16"/>
        <v/>
      </c>
      <c r="I415" s="33" t="str">
        <f t="shared" si="8"/>
        <v/>
      </c>
      <c r="K415" s="27"/>
      <c r="L415" s="28">
        <f>SUMIFS(Dump!$D:$D,Dump!$B:$B,$C415,Dump!$A:$A,$V415)</f>
        <v>0</v>
      </c>
      <c r="M415" s="28">
        <f>SUMIFS(Dump!R:R,Dump!B:B,C415,Dump!A:A,V415)</f>
        <v>0</v>
      </c>
      <c r="N415" s="29">
        <f t="shared" si="10"/>
        <v>0</v>
      </c>
      <c r="P415" s="30">
        <f>SUMIFS(Dump!E:E,Dump!B:B,C415,Dump!A:A,V415)</f>
        <v>0</v>
      </c>
      <c r="Q415" s="31">
        <f t="shared" si="11"/>
        <v>0</v>
      </c>
      <c r="S415" s="30">
        <f>SUMIFS(Dump!P:P,Dump!B:B,C415,Dump!A:A,V415)</f>
        <v>0</v>
      </c>
      <c r="T415" s="31">
        <f t="shared" si="12"/>
        <v>0</v>
      </c>
      <c r="U415" s="34"/>
      <c r="V415" s="47"/>
    </row>
    <row r="416">
      <c r="C416" s="46"/>
      <c r="G416" s="1" t="str">
        <f t="shared" si="16"/>
        <v/>
      </c>
      <c r="I416" s="33" t="str">
        <f t="shared" si="8"/>
        <v/>
      </c>
      <c r="K416" s="27"/>
      <c r="L416" s="28">
        <f>SUMIFS(Dump!$D:$D,Dump!$B:$B,$C416,Dump!$A:$A,$V416)</f>
        <v>0</v>
      </c>
      <c r="M416" s="28">
        <f>SUMIFS(Dump!R:R,Dump!B:B,C416,Dump!A:A,V416)</f>
        <v>0</v>
      </c>
      <c r="N416" s="29">
        <f t="shared" si="10"/>
        <v>0</v>
      </c>
      <c r="P416" s="30">
        <f>SUMIFS(Dump!E:E,Dump!B:B,C416,Dump!A:A,V416)</f>
        <v>0</v>
      </c>
      <c r="Q416" s="31">
        <f t="shared" si="11"/>
        <v>0</v>
      </c>
      <c r="S416" s="30">
        <f>SUMIFS(Dump!P:P,Dump!B:B,C416,Dump!A:A,V416)</f>
        <v>0</v>
      </c>
      <c r="T416" s="31">
        <f t="shared" si="12"/>
        <v>0</v>
      </c>
      <c r="U416" s="34"/>
      <c r="V416" s="47"/>
    </row>
    <row r="417">
      <c r="C417" s="46"/>
      <c r="G417" s="1" t="str">
        <f t="shared" si="16"/>
        <v/>
      </c>
      <c r="I417" s="33" t="str">
        <f t="shared" si="8"/>
        <v/>
      </c>
      <c r="K417" s="27"/>
      <c r="L417" s="28">
        <f>SUMIFS(Dump!$D:$D,Dump!$B:$B,$C417,Dump!$A:$A,$V417)</f>
        <v>0</v>
      </c>
      <c r="M417" s="28">
        <f>SUMIFS(Dump!R:R,Dump!B:B,C417,Dump!A:A,V417)</f>
        <v>0</v>
      </c>
      <c r="N417" s="29">
        <f t="shared" si="10"/>
        <v>0</v>
      </c>
      <c r="P417" s="30">
        <f>SUMIFS(Dump!E:E,Dump!B:B,C417,Dump!A:A,V417)</f>
        <v>0</v>
      </c>
      <c r="Q417" s="31">
        <f t="shared" si="11"/>
        <v>0</v>
      </c>
      <c r="S417" s="30">
        <f>SUMIFS(Dump!P:P,Dump!B:B,C417,Dump!A:A,V417)</f>
        <v>0</v>
      </c>
      <c r="T417" s="31">
        <f t="shared" si="12"/>
        <v>0</v>
      </c>
      <c r="U417" s="34"/>
      <c r="V417" s="47"/>
    </row>
    <row r="418">
      <c r="C418" s="46"/>
      <c r="G418" s="1" t="str">
        <f t="shared" si="16"/>
        <v/>
      </c>
      <c r="I418" s="33" t="str">
        <f t="shared" si="8"/>
        <v/>
      </c>
      <c r="K418" s="27"/>
      <c r="L418" s="28">
        <f>SUMIFS(Dump!$D:$D,Dump!$B:$B,$C418,Dump!$A:$A,$V418)</f>
        <v>0</v>
      </c>
      <c r="M418" s="28">
        <f>SUMIFS(Dump!R:R,Dump!B:B,C418,Dump!A:A,V418)</f>
        <v>0</v>
      </c>
      <c r="N418" s="29">
        <f t="shared" si="10"/>
        <v>0</v>
      </c>
      <c r="P418" s="30">
        <f>SUMIFS(Dump!E:E,Dump!B:B,C418,Dump!A:A,V418)</f>
        <v>0</v>
      </c>
      <c r="Q418" s="31">
        <f t="shared" si="11"/>
        <v>0</v>
      </c>
      <c r="S418" s="30">
        <f>SUMIFS(Dump!P:P,Dump!B:B,C418,Dump!A:A,V418)</f>
        <v>0</v>
      </c>
      <c r="T418" s="31">
        <f t="shared" si="12"/>
        <v>0</v>
      </c>
      <c r="U418" s="34"/>
      <c r="V418" s="47"/>
    </row>
    <row r="419">
      <c r="C419" s="46"/>
      <c r="G419" s="1" t="str">
        <f t="shared" si="16"/>
        <v/>
      </c>
      <c r="I419" s="33" t="str">
        <f t="shared" si="8"/>
        <v/>
      </c>
      <c r="K419" s="27"/>
      <c r="L419" s="28">
        <f>SUMIFS(Dump!$D:$D,Dump!$B:$B,$C419,Dump!$A:$A,$V419)</f>
        <v>0</v>
      </c>
      <c r="M419" s="28">
        <f>SUMIFS(Dump!R:R,Dump!B:B,C419,Dump!A:A,V419)</f>
        <v>0</v>
      </c>
      <c r="N419" s="29">
        <f t="shared" si="10"/>
        <v>0</v>
      </c>
      <c r="P419" s="30">
        <f>SUMIFS(Dump!E:E,Dump!B:B,C419,Dump!A:A,V419)</f>
        <v>0</v>
      </c>
      <c r="Q419" s="31">
        <f t="shared" si="11"/>
        <v>0</v>
      </c>
      <c r="S419" s="30">
        <f>SUMIFS(Dump!P:P,Dump!B:B,C419,Dump!A:A,V419)</f>
        <v>0</v>
      </c>
      <c r="T419" s="31">
        <f t="shared" si="12"/>
        <v>0</v>
      </c>
      <c r="U419" s="34"/>
      <c r="V419" s="47"/>
    </row>
    <row r="420">
      <c r="C420" s="46"/>
      <c r="G420" s="1" t="str">
        <f t="shared" si="16"/>
        <v/>
      </c>
      <c r="I420" s="33" t="str">
        <f t="shared" si="8"/>
        <v/>
      </c>
      <c r="K420" s="27"/>
      <c r="L420" s="28">
        <f>SUMIFS(Dump!$D:$D,Dump!$B:$B,$C420,Dump!$A:$A,$V420)</f>
        <v>0</v>
      </c>
      <c r="M420" s="28">
        <f>SUMIFS(Dump!R:R,Dump!B:B,C420,Dump!A:A,V420)</f>
        <v>0</v>
      </c>
      <c r="N420" s="29">
        <f t="shared" si="10"/>
        <v>0</v>
      </c>
      <c r="P420" s="30">
        <f>SUMIFS(Dump!E:E,Dump!B:B,C420,Dump!A:A,V420)</f>
        <v>0</v>
      </c>
      <c r="Q420" s="31">
        <f t="shared" si="11"/>
        <v>0</v>
      </c>
      <c r="S420" s="30">
        <f>SUMIFS(Dump!P:P,Dump!B:B,C420,Dump!A:A,V420)</f>
        <v>0</v>
      </c>
      <c r="T420" s="31">
        <f t="shared" si="12"/>
        <v>0</v>
      </c>
      <c r="U420" s="34"/>
      <c r="V420" s="47"/>
    </row>
    <row r="421">
      <c r="C421" s="46"/>
      <c r="G421" s="1" t="str">
        <f t="shared" si="16"/>
        <v/>
      </c>
      <c r="I421" s="33" t="str">
        <f t="shared" si="8"/>
        <v/>
      </c>
      <c r="K421" s="27"/>
      <c r="L421" s="28">
        <f>SUMIFS(Dump!$D:$D,Dump!$B:$B,$C421,Dump!$A:$A,$V421)</f>
        <v>0</v>
      </c>
      <c r="M421" s="28">
        <f>SUMIFS(Dump!R:R,Dump!B:B,C421,Dump!A:A,V421)</f>
        <v>0</v>
      </c>
      <c r="N421" s="29">
        <f t="shared" si="10"/>
        <v>0</v>
      </c>
      <c r="P421" s="30">
        <f>SUMIFS(Dump!E:E,Dump!B:B,C421,Dump!A:A,V421)</f>
        <v>0</v>
      </c>
      <c r="Q421" s="31">
        <f t="shared" si="11"/>
        <v>0</v>
      </c>
      <c r="S421" s="30">
        <f>SUMIFS(Dump!P:P,Dump!B:B,C421,Dump!A:A,V421)</f>
        <v>0</v>
      </c>
      <c r="T421" s="31">
        <f t="shared" si="12"/>
        <v>0</v>
      </c>
      <c r="U421" s="34"/>
      <c r="V421" s="47"/>
    </row>
    <row r="422">
      <c r="C422" s="46"/>
      <c r="G422" s="1" t="str">
        <f t="shared" si="16"/>
        <v/>
      </c>
      <c r="I422" s="33" t="str">
        <f t="shared" si="8"/>
        <v/>
      </c>
      <c r="K422" s="27"/>
      <c r="L422" s="28">
        <f>SUMIFS(Dump!$D:$D,Dump!$B:$B,$C422,Dump!$A:$A,$V422)</f>
        <v>0</v>
      </c>
      <c r="M422" s="28">
        <f>SUMIFS(Dump!R:R,Dump!B:B,C422,Dump!A:A,V422)</f>
        <v>0</v>
      </c>
      <c r="N422" s="29">
        <f t="shared" si="10"/>
        <v>0</v>
      </c>
      <c r="P422" s="30">
        <f>SUMIFS(Dump!E:E,Dump!B:B,C422,Dump!A:A,V422)</f>
        <v>0</v>
      </c>
      <c r="Q422" s="31">
        <f t="shared" si="11"/>
        <v>0</v>
      </c>
      <c r="S422" s="30">
        <f>SUMIFS(Dump!P:P,Dump!B:B,C422,Dump!A:A,V422)</f>
        <v>0</v>
      </c>
      <c r="T422" s="31">
        <f t="shared" si="12"/>
        <v>0</v>
      </c>
      <c r="U422" s="34"/>
      <c r="V422" s="47"/>
    </row>
    <row r="423">
      <c r="C423" s="46"/>
      <c r="G423" s="1" t="str">
        <f t="shared" si="16"/>
        <v/>
      </c>
      <c r="I423" s="33" t="str">
        <f t="shared" si="8"/>
        <v/>
      </c>
      <c r="K423" s="27"/>
      <c r="L423" s="28">
        <f>SUMIFS(Dump!$D:$D,Dump!$B:$B,$C423,Dump!$A:$A,$V423)</f>
        <v>0</v>
      </c>
      <c r="M423" s="28">
        <f>SUMIFS(Dump!R:R,Dump!B:B,C423,Dump!A:A,V423)</f>
        <v>0</v>
      </c>
      <c r="N423" s="29">
        <f t="shared" si="10"/>
        <v>0</v>
      </c>
      <c r="P423" s="30">
        <f>SUMIFS(Dump!E:E,Dump!B:B,C423,Dump!A:A,V423)</f>
        <v>0</v>
      </c>
      <c r="Q423" s="31">
        <f t="shared" si="11"/>
        <v>0</v>
      </c>
      <c r="S423" s="30">
        <f>SUMIFS(Dump!P:P,Dump!B:B,C423,Dump!A:A,V423)</f>
        <v>0</v>
      </c>
      <c r="T423" s="31">
        <f t="shared" si="12"/>
        <v>0</v>
      </c>
      <c r="U423" s="34"/>
      <c r="V423" s="47"/>
    </row>
    <row r="424">
      <c r="C424" s="46"/>
      <c r="G424" s="1" t="str">
        <f t="shared" si="16"/>
        <v/>
      </c>
      <c r="I424" s="33" t="str">
        <f t="shared" si="8"/>
        <v/>
      </c>
      <c r="K424" s="27"/>
      <c r="L424" s="28">
        <f>SUMIFS(Dump!$D:$D,Dump!$B:$B,$C424,Dump!$A:$A,$V424)</f>
        <v>0</v>
      </c>
      <c r="M424" s="28">
        <f>SUMIFS(Dump!R:R,Dump!B:B,C424,Dump!A:A,V424)</f>
        <v>0</v>
      </c>
      <c r="N424" s="29">
        <f t="shared" si="10"/>
        <v>0</v>
      </c>
      <c r="P424" s="30">
        <f>SUMIFS(Dump!E:E,Dump!B:B,C424,Dump!A:A,V424)</f>
        <v>0</v>
      </c>
      <c r="Q424" s="31">
        <f t="shared" si="11"/>
        <v>0</v>
      </c>
      <c r="S424" s="30">
        <f>SUMIFS(Dump!P:P,Dump!B:B,C424,Dump!A:A,V424)</f>
        <v>0</v>
      </c>
      <c r="T424" s="31">
        <f t="shared" si="12"/>
        <v>0</v>
      </c>
      <c r="U424" s="34"/>
      <c r="V424" s="47"/>
    </row>
    <row r="425">
      <c r="C425" s="46"/>
      <c r="G425" s="1" t="str">
        <f t="shared" si="16"/>
        <v/>
      </c>
      <c r="I425" s="33" t="str">
        <f t="shared" si="8"/>
        <v/>
      </c>
      <c r="K425" s="27"/>
      <c r="L425" s="28">
        <f>SUMIFS(Dump!$D:$D,Dump!$B:$B,$C425,Dump!$A:$A,$V425)</f>
        <v>0</v>
      </c>
      <c r="M425" s="28">
        <f>SUMIFS(Dump!R:R,Dump!B:B,C425,Dump!A:A,V425)</f>
        <v>0</v>
      </c>
      <c r="N425" s="29">
        <f t="shared" si="10"/>
        <v>0</v>
      </c>
      <c r="P425" s="30">
        <f>SUMIFS(Dump!E:E,Dump!B:B,C425,Dump!A:A,V425)</f>
        <v>0</v>
      </c>
      <c r="Q425" s="31">
        <f t="shared" si="11"/>
        <v>0</v>
      </c>
      <c r="S425" s="30">
        <f>SUMIFS(Dump!P:P,Dump!B:B,C425,Dump!A:A,V425)</f>
        <v>0</v>
      </c>
      <c r="T425" s="31">
        <f t="shared" si="12"/>
        <v>0</v>
      </c>
      <c r="U425" s="34"/>
      <c r="V425" s="47"/>
    </row>
    <row r="426">
      <c r="C426" s="46"/>
      <c r="G426" s="1" t="str">
        <f t="shared" si="16"/>
        <v/>
      </c>
      <c r="I426" s="33" t="str">
        <f t="shared" si="8"/>
        <v/>
      </c>
      <c r="K426" s="27"/>
      <c r="L426" s="28">
        <f>SUMIFS(Dump!$D:$D,Dump!$B:$B,$C426,Dump!$A:$A,$V426)</f>
        <v>0</v>
      </c>
      <c r="M426" s="28">
        <f>SUMIFS(Dump!R:R,Dump!B:B,C426,Dump!A:A,V426)</f>
        <v>0</v>
      </c>
      <c r="N426" s="29">
        <f t="shared" si="10"/>
        <v>0</v>
      </c>
      <c r="P426" s="30">
        <f>SUMIFS(Dump!E:E,Dump!B:B,C426,Dump!A:A,V426)</f>
        <v>0</v>
      </c>
      <c r="Q426" s="31">
        <f t="shared" si="11"/>
        <v>0</v>
      </c>
      <c r="S426" s="30">
        <f>SUMIFS(Dump!P:P,Dump!B:B,C426,Dump!A:A,V426)</f>
        <v>0</v>
      </c>
      <c r="T426" s="31">
        <f t="shared" si="12"/>
        <v>0</v>
      </c>
      <c r="U426" s="34"/>
      <c r="V426" s="47"/>
    </row>
    <row r="427">
      <c r="C427" s="46"/>
      <c r="G427" s="1" t="str">
        <f t="shared" si="16"/>
        <v/>
      </c>
      <c r="I427" s="33" t="str">
        <f t="shared" si="8"/>
        <v/>
      </c>
      <c r="K427" s="27"/>
      <c r="L427" s="28">
        <f>SUMIFS(Dump!$D:$D,Dump!$B:$B,$C427,Dump!$A:$A,$V427)</f>
        <v>0</v>
      </c>
      <c r="M427" s="28">
        <f>SUMIFS(Dump!R:R,Dump!B:B,C427,Dump!A:A,V427)</f>
        <v>0</v>
      </c>
      <c r="N427" s="29">
        <f t="shared" si="10"/>
        <v>0</v>
      </c>
      <c r="P427" s="30">
        <f>SUMIFS(Dump!E:E,Dump!B:B,C427,Dump!A:A,V427)</f>
        <v>0</v>
      </c>
      <c r="Q427" s="31">
        <f t="shared" si="11"/>
        <v>0</v>
      </c>
      <c r="S427" s="30">
        <f>SUMIFS(Dump!P:P,Dump!B:B,C427,Dump!A:A,V427)</f>
        <v>0</v>
      </c>
      <c r="T427" s="31">
        <f t="shared" si="12"/>
        <v>0</v>
      </c>
      <c r="U427" s="34"/>
      <c r="V427" s="47"/>
    </row>
    <row r="428">
      <c r="C428" s="46"/>
      <c r="G428" s="1" t="str">
        <f t="shared" si="16"/>
        <v/>
      </c>
      <c r="I428" s="33" t="str">
        <f t="shared" si="8"/>
        <v/>
      </c>
      <c r="K428" s="27"/>
      <c r="L428" s="28">
        <f>SUMIFS(Dump!$D:$D,Dump!$B:$B,$C428,Dump!$A:$A,$V428)</f>
        <v>0</v>
      </c>
      <c r="M428" s="28">
        <f>SUMIFS(Dump!R:R,Dump!B:B,C428,Dump!A:A,V428)</f>
        <v>0</v>
      </c>
      <c r="N428" s="29">
        <f t="shared" si="10"/>
        <v>0</v>
      </c>
      <c r="P428" s="30">
        <f>SUMIFS(Dump!E:E,Dump!B:B,C428,Dump!A:A,V428)</f>
        <v>0</v>
      </c>
      <c r="Q428" s="31">
        <f t="shared" si="11"/>
        <v>0</v>
      </c>
      <c r="S428" s="30">
        <f>SUMIFS(Dump!P:P,Dump!B:B,C428,Dump!A:A,V428)</f>
        <v>0</v>
      </c>
      <c r="T428" s="31">
        <f t="shared" si="12"/>
        <v>0</v>
      </c>
      <c r="U428" s="34"/>
      <c r="V428" s="47"/>
    </row>
    <row r="429">
      <c r="C429" s="46"/>
      <c r="G429" s="1" t="str">
        <f t="shared" si="16"/>
        <v/>
      </c>
      <c r="I429" s="33" t="str">
        <f t="shared" si="8"/>
        <v/>
      </c>
      <c r="K429" s="27"/>
      <c r="L429" s="28">
        <f>SUMIFS(Dump!$D:$D,Dump!$B:$B,$C429,Dump!$A:$A,$V429)</f>
        <v>0</v>
      </c>
      <c r="M429" s="28">
        <f>SUMIFS(Dump!R:R,Dump!B:B,C429,Dump!A:A,V429)</f>
        <v>0</v>
      </c>
      <c r="N429" s="29">
        <f t="shared" si="10"/>
        <v>0</v>
      </c>
      <c r="P429" s="30">
        <f>SUMIFS(Dump!E:E,Dump!B:B,C429,Dump!A:A,V429)</f>
        <v>0</v>
      </c>
      <c r="Q429" s="31">
        <f t="shared" si="11"/>
        <v>0</v>
      </c>
      <c r="S429" s="30">
        <f>SUMIFS(Dump!P:P,Dump!B:B,C429,Dump!A:A,V429)</f>
        <v>0</v>
      </c>
      <c r="T429" s="31">
        <f t="shared" si="12"/>
        <v>0</v>
      </c>
      <c r="U429" s="34"/>
      <c r="V429" s="47"/>
    </row>
    <row r="430">
      <c r="C430" s="46"/>
      <c r="G430" s="1" t="str">
        <f t="shared" si="16"/>
        <v/>
      </c>
      <c r="I430" s="33" t="str">
        <f t="shared" si="8"/>
        <v/>
      </c>
      <c r="K430" s="27"/>
      <c r="L430" s="28">
        <f>SUMIFS(Dump!$D:$D,Dump!$B:$B,$C430,Dump!$A:$A,$V430)</f>
        <v>0</v>
      </c>
      <c r="M430" s="28">
        <f>SUMIFS(Dump!R:R,Dump!B:B,C430,Dump!A:A,V430)</f>
        <v>0</v>
      </c>
      <c r="N430" s="29">
        <f t="shared" si="10"/>
        <v>0</v>
      </c>
      <c r="P430" s="30">
        <f>SUMIFS(Dump!E:E,Dump!B:B,C430,Dump!A:A,V430)</f>
        <v>0</v>
      </c>
      <c r="Q430" s="31">
        <f t="shared" si="11"/>
        <v>0</v>
      </c>
      <c r="S430" s="30">
        <f>SUMIFS(Dump!P:P,Dump!B:B,C430,Dump!A:A,V430)</f>
        <v>0</v>
      </c>
      <c r="T430" s="31">
        <f t="shared" si="12"/>
        <v>0</v>
      </c>
      <c r="U430" s="34"/>
      <c r="V430" s="47"/>
    </row>
    <row r="431">
      <c r="C431" s="46"/>
      <c r="G431" s="1" t="str">
        <f t="shared" si="16"/>
        <v/>
      </c>
      <c r="I431" s="33" t="str">
        <f t="shared" si="8"/>
        <v/>
      </c>
      <c r="K431" s="27"/>
      <c r="L431" s="28">
        <f>SUMIFS(Dump!$D:$D,Dump!$B:$B,$C431,Dump!$A:$A,$V431)</f>
        <v>0</v>
      </c>
      <c r="M431" s="28">
        <f>SUMIFS(Dump!R:R,Dump!B:B,C431,Dump!A:A,V431)</f>
        <v>0</v>
      </c>
      <c r="N431" s="29">
        <f t="shared" si="10"/>
        <v>0</v>
      </c>
      <c r="P431" s="30">
        <f>SUMIFS(Dump!E:E,Dump!B:B,C431,Dump!A:A,V431)</f>
        <v>0</v>
      </c>
      <c r="Q431" s="31">
        <f t="shared" si="11"/>
        <v>0</v>
      </c>
      <c r="S431" s="30">
        <f>SUMIFS(Dump!P:P,Dump!B:B,C431,Dump!A:A,V431)</f>
        <v>0</v>
      </c>
      <c r="T431" s="31">
        <f t="shared" si="12"/>
        <v>0</v>
      </c>
      <c r="U431" s="34"/>
      <c r="V431" s="47"/>
    </row>
    <row r="432">
      <c r="C432" s="46"/>
      <c r="G432" s="1" t="str">
        <f t="shared" si="16"/>
        <v/>
      </c>
      <c r="I432" s="33" t="str">
        <f t="shared" si="8"/>
        <v/>
      </c>
      <c r="K432" s="27"/>
      <c r="L432" s="28">
        <f>SUMIFS(Dump!$D:$D,Dump!$B:$B,$C432,Dump!$A:$A,$V432)</f>
        <v>0</v>
      </c>
      <c r="M432" s="28">
        <f>SUMIFS(Dump!R:R,Dump!B:B,C432,Dump!A:A,V432)</f>
        <v>0</v>
      </c>
      <c r="N432" s="29">
        <f t="shared" si="10"/>
        <v>0</v>
      </c>
      <c r="P432" s="30">
        <f>SUMIFS(Dump!E:E,Dump!B:B,C432,Dump!A:A,V432)</f>
        <v>0</v>
      </c>
      <c r="Q432" s="31">
        <f t="shared" si="11"/>
        <v>0</v>
      </c>
      <c r="S432" s="30">
        <f>SUMIFS(Dump!P:P,Dump!B:B,C432,Dump!A:A,V432)</f>
        <v>0</v>
      </c>
      <c r="T432" s="31">
        <f t="shared" si="12"/>
        <v>0</v>
      </c>
      <c r="U432" s="34"/>
      <c r="V432" s="47"/>
    </row>
    <row r="433">
      <c r="C433" s="46"/>
      <c r="G433" s="1" t="str">
        <f t="shared" si="16"/>
        <v/>
      </c>
      <c r="I433" s="33" t="str">
        <f t="shared" si="8"/>
        <v/>
      </c>
      <c r="K433" s="27"/>
      <c r="L433" s="28">
        <f>SUMIFS(Dump!$D:$D,Dump!$B:$B,$C433,Dump!$A:$A,$V433)</f>
        <v>0</v>
      </c>
      <c r="M433" s="28">
        <f>SUMIFS(Dump!R:R,Dump!B:B,C433,Dump!A:A,V433)</f>
        <v>0</v>
      </c>
      <c r="N433" s="29">
        <f t="shared" si="10"/>
        <v>0</v>
      </c>
      <c r="P433" s="30">
        <f>SUMIFS(Dump!E:E,Dump!B:B,C433,Dump!A:A,V433)</f>
        <v>0</v>
      </c>
      <c r="Q433" s="31">
        <f t="shared" si="11"/>
        <v>0</v>
      </c>
      <c r="S433" s="30">
        <f>SUMIFS(Dump!P:P,Dump!B:B,C433,Dump!A:A,V433)</f>
        <v>0</v>
      </c>
      <c r="T433" s="31">
        <f t="shared" si="12"/>
        <v>0</v>
      </c>
      <c r="U433" s="34"/>
      <c r="V433" s="47"/>
    </row>
    <row r="434">
      <c r="C434" s="46"/>
      <c r="G434" s="1" t="str">
        <f t="shared" si="16"/>
        <v/>
      </c>
      <c r="I434" s="33" t="str">
        <f t="shared" si="8"/>
        <v/>
      </c>
      <c r="K434" s="27"/>
      <c r="L434" s="28">
        <f>SUMIFS(Dump!$D:$D,Dump!$B:$B,$C434,Dump!$A:$A,$V434)</f>
        <v>0</v>
      </c>
      <c r="M434" s="28">
        <f>SUMIFS(Dump!R:R,Dump!B:B,C434,Dump!A:A,V434)</f>
        <v>0</v>
      </c>
      <c r="N434" s="29">
        <f t="shared" si="10"/>
        <v>0</v>
      </c>
      <c r="P434" s="30">
        <f>SUMIFS(Dump!E:E,Dump!B:B,C434,Dump!A:A,V434)</f>
        <v>0</v>
      </c>
      <c r="Q434" s="31">
        <f t="shared" si="11"/>
        <v>0</v>
      </c>
      <c r="S434" s="30">
        <f>SUMIFS(Dump!P:P,Dump!B:B,C434,Dump!A:A,V434)</f>
        <v>0</v>
      </c>
      <c r="T434" s="31">
        <f t="shared" si="12"/>
        <v>0</v>
      </c>
      <c r="U434" s="34"/>
      <c r="V434" s="47"/>
    </row>
    <row r="435">
      <c r="C435" s="46"/>
      <c r="G435" s="1" t="str">
        <f t="shared" si="16"/>
        <v/>
      </c>
      <c r="I435" s="33" t="str">
        <f t="shared" si="8"/>
        <v/>
      </c>
      <c r="K435" s="27"/>
      <c r="L435" s="28">
        <f>SUMIFS(Dump!$D:$D,Dump!$B:$B,$C435,Dump!$A:$A,$V435)</f>
        <v>0</v>
      </c>
      <c r="M435" s="28">
        <f>SUMIFS(Dump!R:R,Dump!B:B,C435,Dump!A:A,V435)</f>
        <v>0</v>
      </c>
      <c r="N435" s="29">
        <f t="shared" si="10"/>
        <v>0</v>
      </c>
      <c r="P435" s="30">
        <f>SUMIFS(Dump!E:E,Dump!B:B,C435,Dump!A:A,V435)</f>
        <v>0</v>
      </c>
      <c r="Q435" s="31">
        <f t="shared" si="11"/>
        <v>0</v>
      </c>
      <c r="S435" s="30">
        <f>SUMIFS(Dump!P:P,Dump!B:B,C435,Dump!A:A,V435)</f>
        <v>0</v>
      </c>
      <c r="T435" s="31">
        <f t="shared" si="12"/>
        <v>0</v>
      </c>
      <c r="U435" s="34"/>
      <c r="V435" s="47"/>
    </row>
    <row r="436">
      <c r="C436" s="46"/>
      <c r="G436" s="1" t="str">
        <f t="shared" si="16"/>
        <v/>
      </c>
      <c r="I436" s="33" t="str">
        <f t="shared" si="8"/>
        <v/>
      </c>
      <c r="K436" s="27"/>
      <c r="L436" s="28">
        <f>SUMIFS(Dump!$D:$D,Dump!$B:$B,$C436,Dump!$A:$A,$V436)</f>
        <v>0</v>
      </c>
      <c r="M436" s="28">
        <f>SUMIFS(Dump!R:R,Dump!B:B,C436,Dump!A:A,V436)</f>
        <v>0</v>
      </c>
      <c r="N436" s="29">
        <f t="shared" si="10"/>
        <v>0</v>
      </c>
      <c r="P436" s="30">
        <f>SUMIFS(Dump!E:E,Dump!B:B,C436,Dump!A:A,V436)</f>
        <v>0</v>
      </c>
      <c r="Q436" s="31">
        <f t="shared" si="11"/>
        <v>0</v>
      </c>
      <c r="S436" s="30">
        <f>SUMIFS(Dump!P:P,Dump!B:B,C436,Dump!A:A,V436)</f>
        <v>0</v>
      </c>
      <c r="T436" s="31">
        <f t="shared" si="12"/>
        <v>0</v>
      </c>
      <c r="U436" s="34"/>
      <c r="V436" s="47"/>
    </row>
    <row r="437">
      <c r="C437" s="46"/>
      <c r="G437" s="1" t="str">
        <f t="shared" si="16"/>
        <v/>
      </c>
      <c r="I437" s="33" t="str">
        <f t="shared" si="8"/>
        <v/>
      </c>
      <c r="K437" s="27"/>
      <c r="L437" s="28">
        <f>SUMIFS(Dump!$D:$D,Dump!$B:$B,$C437,Dump!$A:$A,$V437)</f>
        <v>0</v>
      </c>
      <c r="M437" s="28">
        <f>SUMIFS(Dump!R:R,Dump!B:B,C437,Dump!A:A,V437)</f>
        <v>0</v>
      </c>
      <c r="N437" s="29">
        <f t="shared" si="10"/>
        <v>0</v>
      </c>
      <c r="P437" s="30">
        <f>SUMIFS(Dump!E:E,Dump!B:B,C437,Dump!A:A,V437)</f>
        <v>0</v>
      </c>
      <c r="Q437" s="31">
        <f t="shared" si="11"/>
        <v>0</v>
      </c>
      <c r="S437" s="30">
        <f>SUMIFS(Dump!P:P,Dump!B:B,C437,Dump!A:A,V437)</f>
        <v>0</v>
      </c>
      <c r="T437" s="31">
        <f t="shared" si="12"/>
        <v>0</v>
      </c>
      <c r="U437" s="34"/>
      <c r="V437" s="47"/>
    </row>
    <row r="438">
      <c r="C438" s="46"/>
      <c r="G438" s="1" t="str">
        <f t="shared" si="16"/>
        <v/>
      </c>
      <c r="I438" s="33" t="str">
        <f t="shared" si="8"/>
        <v/>
      </c>
      <c r="K438" s="27"/>
      <c r="L438" s="28">
        <f>SUMIFS(Dump!$D:$D,Dump!$B:$B,$C438,Dump!$A:$A,$V438)</f>
        <v>0</v>
      </c>
      <c r="M438" s="28">
        <f>SUMIFS(Dump!R:R,Dump!B:B,C438,Dump!A:A,V438)</f>
        <v>0</v>
      </c>
      <c r="N438" s="29">
        <f t="shared" si="10"/>
        <v>0</v>
      </c>
      <c r="P438" s="30">
        <f>SUMIFS(Dump!E:E,Dump!B:B,C438,Dump!A:A,V438)</f>
        <v>0</v>
      </c>
      <c r="Q438" s="31">
        <f t="shared" si="11"/>
        <v>0</v>
      </c>
      <c r="S438" s="30">
        <f>SUMIFS(Dump!P:P,Dump!B:B,C438,Dump!A:A,V438)</f>
        <v>0</v>
      </c>
      <c r="T438" s="31">
        <f t="shared" si="12"/>
        <v>0</v>
      </c>
      <c r="U438" s="34"/>
      <c r="V438" s="47"/>
    </row>
    <row r="439">
      <c r="C439" s="46"/>
      <c r="G439" s="1" t="str">
        <f t="shared" si="16"/>
        <v/>
      </c>
      <c r="I439" s="33" t="str">
        <f t="shared" si="8"/>
        <v/>
      </c>
      <c r="K439" s="27"/>
      <c r="L439" s="28">
        <f>SUMIFS(Dump!$D:$D,Dump!$B:$B,$C439,Dump!$A:$A,$V439)</f>
        <v>0</v>
      </c>
      <c r="M439" s="28">
        <f>SUMIFS(Dump!R:R,Dump!B:B,C439,Dump!A:A,V439)</f>
        <v>0</v>
      </c>
      <c r="N439" s="29">
        <f t="shared" si="10"/>
        <v>0</v>
      </c>
      <c r="P439" s="30">
        <f>SUMIFS(Dump!E:E,Dump!B:B,C439,Dump!A:A,V439)</f>
        <v>0</v>
      </c>
      <c r="Q439" s="31">
        <f t="shared" si="11"/>
        <v>0</v>
      </c>
      <c r="S439" s="30">
        <f>SUMIFS(Dump!P:P,Dump!B:B,C439,Dump!A:A,V439)</f>
        <v>0</v>
      </c>
      <c r="T439" s="31">
        <f t="shared" si="12"/>
        <v>0</v>
      </c>
      <c r="U439" s="34"/>
      <c r="V439" s="47"/>
    </row>
    <row r="440">
      <c r="C440" s="46"/>
      <c r="G440" s="1" t="str">
        <f t="shared" si="16"/>
        <v/>
      </c>
      <c r="I440" s="33" t="str">
        <f t="shared" si="8"/>
        <v/>
      </c>
      <c r="K440" s="27"/>
      <c r="L440" s="28">
        <f>SUMIFS(Dump!$D:$D,Dump!$B:$B,$C440,Dump!$A:$A,$V440)</f>
        <v>0</v>
      </c>
      <c r="M440" s="28">
        <f>SUMIFS(Dump!R:R,Dump!B:B,C440,Dump!A:A,V440)</f>
        <v>0</v>
      </c>
      <c r="N440" s="29">
        <f t="shared" si="10"/>
        <v>0</v>
      </c>
      <c r="P440" s="30">
        <f>SUMIFS(Dump!E:E,Dump!B:B,C440,Dump!A:A,V440)</f>
        <v>0</v>
      </c>
      <c r="Q440" s="31">
        <f t="shared" si="11"/>
        <v>0</v>
      </c>
      <c r="S440" s="30">
        <f>SUMIFS(Dump!P:P,Dump!B:B,C440,Dump!A:A,V440)</f>
        <v>0</v>
      </c>
      <c r="T440" s="31">
        <f t="shared" si="12"/>
        <v>0</v>
      </c>
      <c r="U440" s="34"/>
      <c r="V440" s="47"/>
    </row>
    <row r="441">
      <c r="C441" s="46"/>
      <c r="G441" s="1" t="str">
        <f t="shared" si="16"/>
        <v/>
      </c>
      <c r="I441" s="33" t="str">
        <f t="shared" si="8"/>
        <v/>
      </c>
      <c r="K441" s="27"/>
      <c r="L441" s="28">
        <f>SUMIFS(Dump!$D:$D,Dump!$B:$B,$C441,Dump!$A:$A,$V441)</f>
        <v>0</v>
      </c>
      <c r="M441" s="28">
        <f>SUMIFS(Dump!R:R,Dump!B:B,C441,Dump!A:A,V441)</f>
        <v>0</v>
      </c>
      <c r="N441" s="29">
        <f t="shared" si="10"/>
        <v>0</v>
      </c>
      <c r="P441" s="30">
        <f>SUMIFS(Dump!E:E,Dump!B:B,C441,Dump!A:A,V441)</f>
        <v>0</v>
      </c>
      <c r="Q441" s="31">
        <f t="shared" si="11"/>
        <v>0</v>
      </c>
      <c r="S441" s="30">
        <f>SUMIFS(Dump!P:P,Dump!B:B,C441,Dump!A:A,V441)</f>
        <v>0</v>
      </c>
      <c r="T441" s="31">
        <f t="shared" si="12"/>
        <v>0</v>
      </c>
      <c r="U441" s="34"/>
      <c r="V441" s="47"/>
    </row>
    <row r="442">
      <c r="C442" s="46"/>
      <c r="G442" s="1" t="str">
        <f t="shared" si="16"/>
        <v/>
      </c>
      <c r="I442" s="33" t="str">
        <f t="shared" si="8"/>
        <v/>
      </c>
      <c r="K442" s="27"/>
      <c r="L442" s="28">
        <f>SUMIFS(Dump!$D:$D,Dump!$B:$B,$C442,Dump!$A:$A,$V442)</f>
        <v>0</v>
      </c>
      <c r="M442" s="28">
        <f>SUMIFS(Dump!R:R,Dump!B:B,C442,Dump!A:A,V442)</f>
        <v>0</v>
      </c>
      <c r="N442" s="29">
        <f t="shared" si="10"/>
        <v>0</v>
      </c>
      <c r="P442" s="30">
        <f>SUMIFS(Dump!E:E,Dump!B:B,C442,Dump!A:A,V442)</f>
        <v>0</v>
      </c>
      <c r="Q442" s="31">
        <f t="shared" si="11"/>
        <v>0</v>
      </c>
      <c r="S442" s="30">
        <f>SUMIFS(Dump!P:P,Dump!B:B,C442,Dump!A:A,V442)</f>
        <v>0</v>
      </c>
      <c r="T442" s="31">
        <f t="shared" si="12"/>
        <v>0</v>
      </c>
      <c r="U442" s="34"/>
      <c r="V442" s="47"/>
    </row>
    <row r="443">
      <c r="C443" s="46"/>
      <c r="G443" s="1" t="str">
        <f t="shared" si="16"/>
        <v/>
      </c>
      <c r="I443" s="33" t="str">
        <f t="shared" si="8"/>
        <v/>
      </c>
      <c r="K443" s="27"/>
      <c r="L443" s="28">
        <f>SUMIFS(Dump!$D:$D,Dump!$B:$B,$C443,Dump!$A:$A,$V443)</f>
        <v>0</v>
      </c>
      <c r="M443" s="28">
        <f>SUMIFS(Dump!R:R,Dump!B:B,C443,Dump!A:A,V443)</f>
        <v>0</v>
      </c>
      <c r="N443" s="29">
        <f t="shared" si="10"/>
        <v>0</v>
      </c>
      <c r="P443" s="30">
        <f>SUMIFS(Dump!E:E,Dump!B:B,C443,Dump!A:A,V443)</f>
        <v>0</v>
      </c>
      <c r="Q443" s="31">
        <f t="shared" si="11"/>
        <v>0</v>
      </c>
      <c r="S443" s="30">
        <f>SUMIFS(Dump!P:P,Dump!B:B,C443,Dump!A:A,V443)</f>
        <v>0</v>
      </c>
      <c r="T443" s="31">
        <f t="shared" si="12"/>
        <v>0</v>
      </c>
      <c r="U443" s="34"/>
      <c r="V443" s="47"/>
    </row>
    <row r="444">
      <c r="C444" s="46"/>
      <c r="G444" s="1" t="str">
        <f t="shared" si="16"/>
        <v/>
      </c>
      <c r="I444" s="33" t="str">
        <f t="shared" si="8"/>
        <v/>
      </c>
      <c r="K444" s="27"/>
      <c r="L444" s="28">
        <f>SUMIFS(Dump!$D:$D,Dump!$B:$B,$C444,Dump!$A:$A,$V444)</f>
        <v>0</v>
      </c>
      <c r="M444" s="28">
        <f>SUMIFS(Dump!R:R,Dump!B:B,C444,Dump!A:A,V444)</f>
        <v>0</v>
      </c>
      <c r="N444" s="29">
        <f t="shared" si="10"/>
        <v>0</v>
      </c>
      <c r="P444" s="30">
        <f>SUMIFS(Dump!E:E,Dump!B:B,C444,Dump!A:A,V444)</f>
        <v>0</v>
      </c>
      <c r="Q444" s="31">
        <f t="shared" si="11"/>
        <v>0</v>
      </c>
      <c r="S444" s="30">
        <f>SUMIFS(Dump!P:P,Dump!B:B,C444,Dump!A:A,V444)</f>
        <v>0</v>
      </c>
      <c r="T444" s="31">
        <f t="shared" si="12"/>
        <v>0</v>
      </c>
      <c r="U444" s="34"/>
      <c r="V444" s="47"/>
    </row>
    <row r="445">
      <c r="C445" s="46"/>
      <c r="G445" s="1" t="str">
        <f t="shared" si="16"/>
        <v/>
      </c>
      <c r="I445" s="33" t="str">
        <f t="shared" si="8"/>
        <v/>
      </c>
      <c r="K445" s="27"/>
      <c r="L445" s="28">
        <f>SUMIFS(Dump!$D:$D,Dump!$B:$B,$C445,Dump!$A:$A,$V445)</f>
        <v>0</v>
      </c>
      <c r="M445" s="28">
        <f>SUMIFS(Dump!R:R,Dump!B:B,C445,Dump!A:A,V445)</f>
        <v>0</v>
      </c>
      <c r="N445" s="29">
        <f t="shared" si="10"/>
        <v>0</v>
      </c>
      <c r="P445" s="30">
        <f>SUMIFS(Dump!E:E,Dump!B:B,C445,Dump!A:A,V445)</f>
        <v>0</v>
      </c>
      <c r="Q445" s="31">
        <f t="shared" si="11"/>
        <v>0</v>
      </c>
      <c r="S445" s="30">
        <f>SUMIFS(Dump!P:P,Dump!B:B,C445,Dump!A:A,V445)</f>
        <v>0</v>
      </c>
      <c r="T445" s="31">
        <f t="shared" si="12"/>
        <v>0</v>
      </c>
      <c r="U445" s="34"/>
      <c r="V445" s="47"/>
    </row>
    <row r="446">
      <c r="C446" s="46"/>
      <c r="G446" s="1" t="str">
        <f t="shared" si="16"/>
        <v/>
      </c>
      <c r="I446" s="33" t="str">
        <f t="shared" si="8"/>
        <v/>
      </c>
      <c r="K446" s="27"/>
      <c r="L446" s="28">
        <f>SUMIFS(Dump!$D:$D,Dump!$B:$B,$C446,Dump!$A:$A,$V446)</f>
        <v>0</v>
      </c>
      <c r="M446" s="28">
        <f>SUMIFS(Dump!R:R,Dump!B:B,C446,Dump!A:A,V446)</f>
        <v>0</v>
      </c>
      <c r="N446" s="29">
        <f t="shared" si="10"/>
        <v>0</v>
      </c>
      <c r="P446" s="30">
        <f>SUMIFS(Dump!E:E,Dump!B:B,C446,Dump!A:A,V446)</f>
        <v>0</v>
      </c>
      <c r="Q446" s="31">
        <f t="shared" si="11"/>
        <v>0</v>
      </c>
      <c r="S446" s="30">
        <f>SUMIFS(Dump!P:P,Dump!B:B,C446,Dump!A:A,V446)</f>
        <v>0</v>
      </c>
      <c r="T446" s="31">
        <f t="shared" si="12"/>
        <v>0</v>
      </c>
      <c r="U446" s="34"/>
      <c r="V446" s="47"/>
    </row>
    <row r="447">
      <c r="C447" s="46"/>
      <c r="G447" s="1" t="str">
        <f t="shared" si="16"/>
        <v/>
      </c>
      <c r="I447" s="33" t="str">
        <f t="shared" si="8"/>
        <v/>
      </c>
      <c r="K447" s="27"/>
      <c r="L447" s="28">
        <f>SUMIFS(Dump!$D:$D,Dump!$B:$B,$C447,Dump!$A:$A,$V447)</f>
        <v>0</v>
      </c>
      <c r="M447" s="28">
        <f>SUMIFS(Dump!R:R,Dump!B:B,C447,Dump!A:A,V447)</f>
        <v>0</v>
      </c>
      <c r="N447" s="29">
        <f t="shared" si="10"/>
        <v>0</v>
      </c>
      <c r="P447" s="30">
        <f>SUMIFS(Dump!E:E,Dump!B:B,C447,Dump!A:A,V447)</f>
        <v>0</v>
      </c>
      <c r="Q447" s="31">
        <f t="shared" si="11"/>
        <v>0</v>
      </c>
      <c r="S447" s="30">
        <f>SUMIFS(Dump!P:P,Dump!B:B,C447,Dump!A:A,V447)</f>
        <v>0</v>
      </c>
      <c r="T447" s="31">
        <f t="shared" si="12"/>
        <v>0</v>
      </c>
      <c r="U447" s="34"/>
      <c r="V447" s="47"/>
    </row>
    <row r="448">
      <c r="C448" s="46"/>
      <c r="G448" s="1" t="str">
        <f t="shared" si="16"/>
        <v/>
      </c>
      <c r="I448" s="33" t="str">
        <f t="shared" si="8"/>
        <v/>
      </c>
      <c r="K448" s="27"/>
      <c r="L448" s="28">
        <f>SUMIFS(Dump!$D:$D,Dump!$B:$B,$C448,Dump!$A:$A,$V448)</f>
        <v>0</v>
      </c>
      <c r="M448" s="28">
        <f>SUMIFS(Dump!R:R,Dump!B:B,C448,Dump!A:A,V448)</f>
        <v>0</v>
      </c>
      <c r="N448" s="29">
        <f t="shared" si="10"/>
        <v>0</v>
      </c>
      <c r="P448" s="30">
        <f>SUMIFS(Dump!E:E,Dump!B:B,C448,Dump!A:A,V448)</f>
        <v>0</v>
      </c>
      <c r="Q448" s="31">
        <f t="shared" si="11"/>
        <v>0</v>
      </c>
      <c r="S448" s="30">
        <f>SUMIFS(Dump!P:P,Dump!B:B,C448,Dump!A:A,V448)</f>
        <v>0</v>
      </c>
      <c r="T448" s="31">
        <f t="shared" si="12"/>
        <v>0</v>
      </c>
      <c r="U448" s="34"/>
      <c r="V448" s="47"/>
    </row>
    <row r="449">
      <c r="C449" s="46"/>
      <c r="G449" s="1" t="str">
        <f t="shared" si="16"/>
        <v/>
      </c>
      <c r="I449" s="33" t="str">
        <f t="shared" si="8"/>
        <v/>
      </c>
      <c r="K449" s="27"/>
      <c r="L449" s="28">
        <f>SUMIFS(Dump!$D:$D,Dump!$B:$B,$C449,Dump!$A:$A,$V449)</f>
        <v>0</v>
      </c>
      <c r="M449" s="28">
        <f>SUMIFS(Dump!R:R,Dump!B:B,C449,Dump!A:A,V449)</f>
        <v>0</v>
      </c>
      <c r="N449" s="29">
        <f t="shared" si="10"/>
        <v>0</v>
      </c>
      <c r="P449" s="30">
        <f>SUMIFS(Dump!E:E,Dump!B:B,C449,Dump!A:A,V449)</f>
        <v>0</v>
      </c>
      <c r="Q449" s="31">
        <f t="shared" si="11"/>
        <v>0</v>
      </c>
      <c r="S449" s="30">
        <f>SUMIFS(Dump!P:P,Dump!B:B,C449,Dump!A:A,V449)</f>
        <v>0</v>
      </c>
      <c r="T449" s="31">
        <f t="shared" si="12"/>
        <v>0</v>
      </c>
      <c r="U449" s="34"/>
      <c r="V449" s="47"/>
    </row>
    <row r="450">
      <c r="C450" s="46"/>
      <c r="G450" s="1" t="str">
        <f t="shared" si="16"/>
        <v/>
      </c>
      <c r="I450" s="33" t="str">
        <f t="shared" si="8"/>
        <v/>
      </c>
      <c r="K450" s="27"/>
      <c r="L450" s="28">
        <f>SUMIFS(Dump!$D:$D,Dump!$B:$B,$C450,Dump!$A:$A,$V450)</f>
        <v>0</v>
      </c>
      <c r="M450" s="28">
        <f>SUMIFS(Dump!R:R,Dump!B:B,C450,Dump!A:A,V450)</f>
        <v>0</v>
      </c>
      <c r="N450" s="29">
        <f t="shared" si="10"/>
        <v>0</v>
      </c>
      <c r="P450" s="30">
        <f>SUMIFS(Dump!E:E,Dump!B:B,C450,Dump!A:A,V450)</f>
        <v>0</v>
      </c>
      <c r="Q450" s="31">
        <f t="shared" si="11"/>
        <v>0</v>
      </c>
      <c r="S450" s="30">
        <f>SUMIFS(Dump!P:P,Dump!B:B,C450,Dump!A:A,V450)</f>
        <v>0</v>
      </c>
      <c r="T450" s="31">
        <f t="shared" si="12"/>
        <v>0</v>
      </c>
      <c r="U450" s="34"/>
      <c r="V450" s="47"/>
    </row>
    <row r="451">
      <c r="C451" s="46"/>
      <c r="G451" s="1" t="str">
        <f t="shared" si="16"/>
        <v/>
      </c>
      <c r="I451" s="33" t="str">
        <f t="shared" si="8"/>
        <v/>
      </c>
      <c r="K451" s="27"/>
      <c r="L451" s="28">
        <f>SUMIFS(Dump!$D:$D,Dump!$B:$B,$C451,Dump!$A:$A,$V451)</f>
        <v>0</v>
      </c>
      <c r="M451" s="28">
        <f>SUMIFS(Dump!R:R,Dump!B:B,C451,Dump!A:A,V451)</f>
        <v>0</v>
      </c>
      <c r="N451" s="29">
        <f t="shared" si="10"/>
        <v>0</v>
      </c>
      <c r="P451" s="30">
        <f>SUMIFS(Dump!E:E,Dump!B:B,C451,Dump!A:A,V451)</f>
        <v>0</v>
      </c>
      <c r="Q451" s="31">
        <f t="shared" si="11"/>
        <v>0</v>
      </c>
      <c r="S451" s="30">
        <f>SUMIFS(Dump!P:P,Dump!B:B,C451,Dump!A:A,V451)</f>
        <v>0</v>
      </c>
      <c r="T451" s="31">
        <f t="shared" si="12"/>
        <v>0</v>
      </c>
      <c r="U451" s="34"/>
      <c r="V451" s="47"/>
    </row>
    <row r="452">
      <c r="C452" s="46"/>
      <c r="G452" s="1" t="str">
        <f t="shared" si="16"/>
        <v/>
      </c>
      <c r="I452" s="33" t="str">
        <f t="shared" si="8"/>
        <v/>
      </c>
      <c r="K452" s="27"/>
      <c r="L452" s="28">
        <f>SUMIFS(Dump!$D:$D,Dump!$B:$B,$C452,Dump!$A:$A,$V452)</f>
        <v>0</v>
      </c>
      <c r="M452" s="28">
        <f>SUMIFS(Dump!R:R,Dump!B:B,C452,Dump!A:A,V452)</f>
        <v>0</v>
      </c>
      <c r="N452" s="29">
        <f t="shared" si="10"/>
        <v>0</v>
      </c>
      <c r="P452" s="30">
        <f>SUMIFS(Dump!E:E,Dump!B:B,C452,Dump!A:A,V452)</f>
        <v>0</v>
      </c>
      <c r="Q452" s="31">
        <f t="shared" si="11"/>
        <v>0</v>
      </c>
      <c r="S452" s="30">
        <f>SUMIFS(Dump!P:P,Dump!B:B,C452,Dump!A:A,V452)</f>
        <v>0</v>
      </c>
      <c r="T452" s="31">
        <f t="shared" si="12"/>
        <v>0</v>
      </c>
      <c r="U452" s="34"/>
      <c r="V452" s="47"/>
    </row>
    <row r="453">
      <c r="C453" s="46"/>
      <c r="G453" s="1" t="str">
        <f t="shared" si="16"/>
        <v/>
      </c>
      <c r="I453" s="33" t="str">
        <f t="shared" si="8"/>
        <v/>
      </c>
      <c r="K453" s="27"/>
      <c r="L453" s="28">
        <f>SUMIFS(Dump!$D:$D,Dump!$B:$B,$C453,Dump!$A:$A,$V453)</f>
        <v>0</v>
      </c>
      <c r="M453" s="28">
        <f>SUMIFS(Dump!R:R,Dump!B:B,C453,Dump!A:A,V453)</f>
        <v>0</v>
      </c>
      <c r="N453" s="29">
        <f t="shared" si="10"/>
        <v>0</v>
      </c>
      <c r="P453" s="30">
        <f>SUMIFS(Dump!E:E,Dump!B:B,C453,Dump!A:A,V453)</f>
        <v>0</v>
      </c>
      <c r="Q453" s="31">
        <f t="shared" si="11"/>
        <v>0</v>
      </c>
      <c r="S453" s="30">
        <f>SUMIFS(Dump!P:P,Dump!B:B,C453,Dump!A:A,V453)</f>
        <v>0</v>
      </c>
      <c r="T453" s="31">
        <f t="shared" si="12"/>
        <v>0</v>
      </c>
      <c r="U453" s="34"/>
      <c r="V453" s="47"/>
    </row>
    <row r="454">
      <c r="C454" s="46"/>
      <c r="G454" s="1" t="str">
        <f t="shared" si="16"/>
        <v/>
      </c>
      <c r="I454" s="33" t="str">
        <f t="shared" si="8"/>
        <v/>
      </c>
      <c r="K454" s="27"/>
      <c r="L454" s="28">
        <f>SUMIFS(Dump!$D:$D,Dump!$B:$B,$C454,Dump!$A:$A,$V454)</f>
        <v>0</v>
      </c>
      <c r="M454" s="28">
        <f>SUMIFS(Dump!R:R,Dump!B:B,C454,Dump!A:A,V454)</f>
        <v>0</v>
      </c>
      <c r="N454" s="29">
        <f t="shared" si="10"/>
        <v>0</v>
      </c>
      <c r="P454" s="30">
        <f>SUMIFS(Dump!E:E,Dump!B:B,C454,Dump!A:A,V454)</f>
        <v>0</v>
      </c>
      <c r="Q454" s="31">
        <f t="shared" si="11"/>
        <v>0</v>
      </c>
      <c r="S454" s="30">
        <f>SUMIFS(Dump!P:P,Dump!B:B,C454,Dump!A:A,V454)</f>
        <v>0</v>
      </c>
      <c r="T454" s="31">
        <f t="shared" si="12"/>
        <v>0</v>
      </c>
      <c r="U454" s="34"/>
      <c r="V454" s="47"/>
    </row>
    <row r="455">
      <c r="C455" s="46"/>
      <c r="G455" s="1" t="str">
        <f t="shared" si="16"/>
        <v/>
      </c>
      <c r="I455" s="33" t="str">
        <f t="shared" si="8"/>
        <v/>
      </c>
      <c r="K455" s="27"/>
      <c r="L455" s="28">
        <f>SUMIFS(Dump!$D:$D,Dump!$B:$B,$C455,Dump!$A:$A,$V455)</f>
        <v>0</v>
      </c>
      <c r="M455" s="28">
        <f>SUMIFS(Dump!R:R,Dump!B:B,C455,Dump!A:A,V455)</f>
        <v>0</v>
      </c>
      <c r="N455" s="29">
        <f t="shared" si="10"/>
        <v>0</v>
      </c>
      <c r="P455" s="30">
        <f>SUMIFS(Dump!E:E,Dump!B:B,C455,Dump!A:A,V455)</f>
        <v>0</v>
      </c>
      <c r="Q455" s="31">
        <f t="shared" si="11"/>
        <v>0</v>
      </c>
      <c r="S455" s="30">
        <f>SUMIFS(Dump!P:P,Dump!B:B,C455,Dump!A:A,V455)</f>
        <v>0</v>
      </c>
      <c r="T455" s="31">
        <f t="shared" si="12"/>
        <v>0</v>
      </c>
      <c r="U455" s="34"/>
      <c r="V455" s="47"/>
    </row>
    <row r="456">
      <c r="C456" s="46"/>
      <c r="G456" s="1" t="str">
        <f t="shared" si="16"/>
        <v/>
      </c>
      <c r="I456" s="33" t="str">
        <f t="shared" si="8"/>
        <v/>
      </c>
      <c r="K456" s="27"/>
      <c r="L456" s="28">
        <f>SUMIFS(Dump!$D:$D,Dump!$B:$B,$C456,Dump!$A:$A,$V456)</f>
        <v>0</v>
      </c>
      <c r="M456" s="28">
        <f>SUMIFS(Dump!R:R,Dump!B:B,C456,Dump!A:A,V456)</f>
        <v>0</v>
      </c>
      <c r="N456" s="29">
        <f t="shared" si="10"/>
        <v>0</v>
      </c>
      <c r="P456" s="30">
        <f>SUMIFS(Dump!E:E,Dump!B:B,C456,Dump!A:A,V456)</f>
        <v>0</v>
      </c>
      <c r="Q456" s="31">
        <f t="shared" si="11"/>
        <v>0</v>
      </c>
      <c r="S456" s="30">
        <f>SUMIFS(Dump!P:P,Dump!B:B,C456,Dump!A:A,V456)</f>
        <v>0</v>
      </c>
      <c r="T456" s="31">
        <f t="shared" si="12"/>
        <v>0</v>
      </c>
      <c r="U456" s="34"/>
      <c r="V456" s="47"/>
    </row>
    <row r="457">
      <c r="C457" s="46"/>
      <c r="G457" s="1" t="str">
        <f t="shared" si="16"/>
        <v/>
      </c>
      <c r="I457" s="33" t="str">
        <f t="shared" si="8"/>
        <v/>
      </c>
      <c r="K457" s="27"/>
      <c r="L457" s="28">
        <f>SUMIFS(Dump!$D:$D,Dump!$B:$B,$C457,Dump!$A:$A,$V457)</f>
        <v>0</v>
      </c>
      <c r="M457" s="28">
        <f>SUMIFS(Dump!R:R,Dump!B:B,C457,Dump!A:A,V457)</f>
        <v>0</v>
      </c>
      <c r="N457" s="29">
        <f t="shared" si="10"/>
        <v>0</v>
      </c>
      <c r="P457" s="30">
        <f>SUMIFS(Dump!E:E,Dump!B:B,C457,Dump!A:A,V457)</f>
        <v>0</v>
      </c>
      <c r="Q457" s="31">
        <f t="shared" si="11"/>
        <v>0</v>
      </c>
      <c r="S457" s="30">
        <f>SUMIFS(Dump!P:P,Dump!B:B,C457,Dump!A:A,V457)</f>
        <v>0</v>
      </c>
      <c r="T457" s="31">
        <f t="shared" si="12"/>
        <v>0</v>
      </c>
      <c r="U457" s="34"/>
      <c r="V457" s="47"/>
    </row>
    <row r="458">
      <c r="C458" s="46"/>
      <c r="G458" s="1" t="str">
        <f t="shared" si="16"/>
        <v/>
      </c>
      <c r="I458" s="33" t="str">
        <f t="shared" si="8"/>
        <v/>
      </c>
      <c r="K458" s="27"/>
      <c r="L458" s="28">
        <f>SUMIFS(Dump!$D:$D,Dump!$B:$B,$C458,Dump!$A:$A,$V458)</f>
        <v>0</v>
      </c>
      <c r="M458" s="28">
        <f>SUMIFS(Dump!R:R,Dump!B:B,C458,Dump!A:A,V458)</f>
        <v>0</v>
      </c>
      <c r="N458" s="29">
        <f t="shared" si="10"/>
        <v>0</v>
      </c>
      <c r="P458" s="30">
        <f>SUMIFS(Dump!E:E,Dump!B:B,C458,Dump!A:A,V458)</f>
        <v>0</v>
      </c>
      <c r="Q458" s="31">
        <f t="shared" si="11"/>
        <v>0</v>
      </c>
      <c r="S458" s="30">
        <f>SUMIFS(Dump!P:P,Dump!B:B,C458,Dump!A:A,V458)</f>
        <v>0</v>
      </c>
      <c r="T458" s="31">
        <f t="shared" si="12"/>
        <v>0</v>
      </c>
      <c r="U458" s="34"/>
      <c r="V458" s="47"/>
    </row>
    <row r="459">
      <c r="C459" s="46"/>
      <c r="G459" s="1" t="str">
        <f t="shared" si="16"/>
        <v/>
      </c>
      <c r="I459" s="33" t="str">
        <f t="shared" si="8"/>
        <v/>
      </c>
      <c r="K459" s="27"/>
      <c r="L459" s="28">
        <f>SUMIFS(Dump!$D:$D,Dump!$B:$B,$C459,Dump!$A:$A,$V459)</f>
        <v>0</v>
      </c>
      <c r="M459" s="28">
        <f>SUMIFS(Dump!R:R,Dump!B:B,C459,Dump!A:A,V459)</f>
        <v>0</v>
      </c>
      <c r="N459" s="29">
        <f t="shared" si="10"/>
        <v>0</v>
      </c>
      <c r="P459" s="30">
        <f>SUMIFS(Dump!E:E,Dump!B:B,C459,Dump!A:A,V459)</f>
        <v>0</v>
      </c>
      <c r="Q459" s="31">
        <f t="shared" si="11"/>
        <v>0</v>
      </c>
      <c r="S459" s="30">
        <f>SUMIFS(Dump!P:P,Dump!B:B,C459,Dump!A:A,V459)</f>
        <v>0</v>
      </c>
      <c r="T459" s="31">
        <f t="shared" si="12"/>
        <v>0</v>
      </c>
      <c r="U459" s="34"/>
      <c r="V459" s="47"/>
    </row>
    <row r="460">
      <c r="C460" s="46"/>
      <c r="G460" s="1" t="str">
        <f t="shared" si="16"/>
        <v/>
      </c>
      <c r="I460" s="33" t="str">
        <f t="shared" si="8"/>
        <v/>
      </c>
      <c r="K460" s="27"/>
      <c r="L460" s="28">
        <f>SUMIFS(Dump!$D:$D,Dump!$B:$B,$C460,Dump!$A:$A,$V460)</f>
        <v>0</v>
      </c>
      <c r="M460" s="28">
        <f>SUMIFS(Dump!R:R,Dump!B:B,C460,Dump!A:A,V460)</f>
        <v>0</v>
      </c>
      <c r="N460" s="29">
        <f t="shared" si="10"/>
        <v>0</v>
      </c>
      <c r="P460" s="30">
        <f>SUMIFS(Dump!E:E,Dump!B:B,C460,Dump!A:A,V460)</f>
        <v>0</v>
      </c>
      <c r="Q460" s="31">
        <f t="shared" si="11"/>
        <v>0</v>
      </c>
      <c r="S460" s="30">
        <f>SUMIFS(Dump!P:P,Dump!B:B,C460,Dump!A:A,V460)</f>
        <v>0</v>
      </c>
      <c r="T460" s="31">
        <f t="shared" si="12"/>
        <v>0</v>
      </c>
      <c r="U460" s="34"/>
      <c r="V460" s="47"/>
    </row>
    <row r="461">
      <c r="C461" s="46"/>
      <c r="G461" s="1" t="str">
        <f t="shared" si="16"/>
        <v/>
      </c>
      <c r="I461" s="33" t="str">
        <f t="shared" si="8"/>
        <v/>
      </c>
      <c r="K461" s="27"/>
      <c r="L461" s="28">
        <f>SUMIFS(Dump!$D:$D,Dump!$B:$B,$C461,Dump!$A:$A,$V461)</f>
        <v>0</v>
      </c>
      <c r="M461" s="28">
        <f>SUMIFS(Dump!R:R,Dump!B:B,C461,Dump!A:A,V461)</f>
        <v>0</v>
      </c>
      <c r="N461" s="29">
        <f t="shared" si="10"/>
        <v>0</v>
      </c>
      <c r="P461" s="30">
        <f>SUMIFS(Dump!E:E,Dump!B:B,C461,Dump!A:A,V461)</f>
        <v>0</v>
      </c>
      <c r="Q461" s="31">
        <f t="shared" si="11"/>
        <v>0</v>
      </c>
      <c r="S461" s="30">
        <f>SUMIFS(Dump!P:P,Dump!B:B,C461,Dump!A:A,V461)</f>
        <v>0</v>
      </c>
      <c r="T461" s="31">
        <f t="shared" si="12"/>
        <v>0</v>
      </c>
      <c r="U461" s="34"/>
      <c r="V461" s="47"/>
    </row>
    <row r="462">
      <c r="C462" s="46"/>
      <c r="G462" s="1" t="str">
        <f t="shared" si="16"/>
        <v/>
      </c>
      <c r="I462" s="33" t="str">
        <f t="shared" si="8"/>
        <v/>
      </c>
      <c r="K462" s="27"/>
      <c r="L462" s="28">
        <f>SUMIFS(Dump!$D:$D,Dump!$B:$B,$C462,Dump!$A:$A,$V462)</f>
        <v>0</v>
      </c>
      <c r="M462" s="28">
        <f>SUMIFS(Dump!R:R,Dump!B:B,C462,Dump!A:A,V462)</f>
        <v>0</v>
      </c>
      <c r="N462" s="29">
        <f t="shared" si="10"/>
        <v>0</v>
      </c>
      <c r="P462" s="30">
        <f>SUMIFS(Dump!E:E,Dump!B:B,C462,Dump!A:A,V462)</f>
        <v>0</v>
      </c>
      <c r="Q462" s="31">
        <f t="shared" si="11"/>
        <v>0</v>
      </c>
      <c r="S462" s="30">
        <f>SUMIFS(Dump!P:P,Dump!B:B,C462,Dump!A:A,V462)</f>
        <v>0</v>
      </c>
      <c r="T462" s="31">
        <f t="shared" si="12"/>
        <v>0</v>
      </c>
      <c r="U462" s="34"/>
      <c r="V462" s="47"/>
    </row>
    <row r="463">
      <c r="C463" s="46"/>
      <c r="G463" s="1" t="str">
        <f t="shared" si="16"/>
        <v/>
      </c>
      <c r="I463" s="33" t="str">
        <f t="shared" si="8"/>
        <v/>
      </c>
      <c r="K463" s="27"/>
      <c r="L463" s="28">
        <f>SUMIFS(Dump!$D:$D,Dump!$B:$B,$C463,Dump!$A:$A,$V463)</f>
        <v>0</v>
      </c>
      <c r="M463" s="28">
        <f>SUMIFS(Dump!R:R,Dump!B:B,C463,Dump!A:A,V463)</f>
        <v>0</v>
      </c>
      <c r="N463" s="29">
        <f t="shared" si="10"/>
        <v>0</v>
      </c>
      <c r="P463" s="30">
        <f>SUMIFS(Dump!E:E,Dump!B:B,C463,Dump!A:A,V463)</f>
        <v>0</v>
      </c>
      <c r="Q463" s="31">
        <f t="shared" si="11"/>
        <v>0</v>
      </c>
      <c r="S463" s="30">
        <f>SUMIFS(Dump!P:P,Dump!B:B,C463,Dump!A:A,V463)</f>
        <v>0</v>
      </c>
      <c r="T463" s="31">
        <f t="shared" si="12"/>
        <v>0</v>
      </c>
      <c r="U463" s="34"/>
      <c r="V463" s="47"/>
    </row>
    <row r="464">
      <c r="C464" s="46"/>
      <c r="G464" s="1" t="str">
        <f t="shared" si="16"/>
        <v/>
      </c>
      <c r="I464" s="33" t="str">
        <f t="shared" si="8"/>
        <v/>
      </c>
      <c r="K464" s="27"/>
      <c r="L464" s="28">
        <f>SUMIFS(Dump!$D:$D,Dump!$B:$B,$C464,Dump!$A:$A,$V464)</f>
        <v>0</v>
      </c>
      <c r="M464" s="28">
        <f>SUMIFS(Dump!R:R,Dump!B:B,C464,Dump!A:A,V464)</f>
        <v>0</v>
      </c>
      <c r="N464" s="29">
        <f t="shared" si="10"/>
        <v>0</v>
      </c>
      <c r="P464" s="30">
        <f>SUMIFS(Dump!E:E,Dump!B:B,C464,Dump!A:A,V464)</f>
        <v>0</v>
      </c>
      <c r="Q464" s="31">
        <f t="shared" si="11"/>
        <v>0</v>
      </c>
      <c r="S464" s="30">
        <f>SUMIFS(Dump!P:P,Dump!B:B,C464,Dump!A:A,V464)</f>
        <v>0</v>
      </c>
      <c r="T464" s="31">
        <f t="shared" si="12"/>
        <v>0</v>
      </c>
      <c r="U464" s="34"/>
      <c r="V464" s="47"/>
    </row>
    <row r="465">
      <c r="C465" s="46"/>
      <c r="G465" s="1" t="str">
        <f t="shared" si="16"/>
        <v/>
      </c>
      <c r="I465" s="33" t="str">
        <f t="shared" si="8"/>
        <v/>
      </c>
      <c r="K465" s="27"/>
      <c r="L465" s="28">
        <f>SUMIFS(Dump!$D:$D,Dump!$B:$B,$C465,Dump!$A:$A,$V465)</f>
        <v>0</v>
      </c>
      <c r="M465" s="28">
        <f>SUMIFS(Dump!R:R,Dump!B:B,C465,Dump!A:A,V465)</f>
        <v>0</v>
      </c>
      <c r="N465" s="29">
        <f t="shared" si="10"/>
        <v>0</v>
      </c>
      <c r="P465" s="30">
        <f>SUMIFS(Dump!E:E,Dump!B:B,C465,Dump!A:A,V465)</f>
        <v>0</v>
      </c>
      <c r="Q465" s="31">
        <f t="shared" si="11"/>
        <v>0</v>
      </c>
      <c r="S465" s="30">
        <f>SUMIFS(Dump!P:P,Dump!B:B,C465,Dump!A:A,V465)</f>
        <v>0</v>
      </c>
      <c r="T465" s="31">
        <f t="shared" si="12"/>
        <v>0</v>
      </c>
      <c r="U465" s="34"/>
      <c r="V465" s="47"/>
    </row>
    <row r="466">
      <c r="C466" s="46"/>
      <c r="G466" s="1" t="str">
        <f t="shared" si="16"/>
        <v/>
      </c>
      <c r="I466" s="33" t="str">
        <f t="shared" si="8"/>
        <v/>
      </c>
      <c r="K466" s="27"/>
      <c r="L466" s="28">
        <f>SUMIFS(Dump!$D:$D,Dump!$B:$B,$C466,Dump!$A:$A,$V466)</f>
        <v>0</v>
      </c>
      <c r="M466" s="28">
        <f>SUMIFS(Dump!R:R,Dump!B:B,C466,Dump!A:A,V466)</f>
        <v>0</v>
      </c>
      <c r="N466" s="29">
        <f t="shared" si="10"/>
        <v>0</v>
      </c>
      <c r="P466" s="30">
        <f>SUMIFS(Dump!E:E,Dump!B:B,C466,Dump!A:A,V466)</f>
        <v>0</v>
      </c>
      <c r="Q466" s="31">
        <f t="shared" si="11"/>
        <v>0</v>
      </c>
      <c r="S466" s="30">
        <f>SUMIFS(Dump!P:P,Dump!B:B,C466,Dump!A:A,V466)</f>
        <v>0</v>
      </c>
      <c r="T466" s="31">
        <f t="shared" si="12"/>
        <v>0</v>
      </c>
      <c r="U466" s="34"/>
      <c r="V466" s="47"/>
    </row>
    <row r="467">
      <c r="C467" s="46"/>
      <c r="G467" s="1" t="str">
        <f t="shared" si="16"/>
        <v/>
      </c>
      <c r="I467" s="33" t="str">
        <f t="shared" si="8"/>
        <v/>
      </c>
      <c r="K467" s="27"/>
      <c r="L467" s="28">
        <f>SUMIFS(Dump!$D:$D,Dump!$B:$B,$C467,Dump!$A:$A,$V467)</f>
        <v>0</v>
      </c>
      <c r="M467" s="28">
        <f>SUMIFS(Dump!R:R,Dump!B:B,C467,Dump!A:A,V467)</f>
        <v>0</v>
      </c>
      <c r="N467" s="29">
        <f t="shared" si="10"/>
        <v>0</v>
      </c>
      <c r="P467" s="30">
        <f>SUMIFS(Dump!E:E,Dump!B:B,C467,Dump!A:A,V467)</f>
        <v>0</v>
      </c>
      <c r="Q467" s="31">
        <f t="shared" si="11"/>
        <v>0</v>
      </c>
      <c r="S467" s="30">
        <f>SUMIFS(Dump!P:P,Dump!B:B,C467,Dump!A:A,V467)</f>
        <v>0</v>
      </c>
      <c r="T467" s="31">
        <f t="shared" si="12"/>
        <v>0</v>
      </c>
      <c r="U467" s="34"/>
      <c r="V467" s="47"/>
    </row>
    <row r="468">
      <c r="C468" s="46"/>
      <c r="G468" s="1" t="str">
        <f t="shared" si="16"/>
        <v/>
      </c>
      <c r="I468" s="33" t="str">
        <f t="shared" si="8"/>
        <v/>
      </c>
      <c r="K468" s="27"/>
      <c r="L468" s="28">
        <f>SUMIFS(Dump!$D:$D,Dump!$B:$B,$C468,Dump!$A:$A,$V468)</f>
        <v>0</v>
      </c>
      <c r="M468" s="28">
        <f>SUMIFS(Dump!R:R,Dump!B:B,C468,Dump!A:A,V468)</f>
        <v>0</v>
      </c>
      <c r="N468" s="29">
        <f t="shared" si="10"/>
        <v>0</v>
      </c>
      <c r="P468" s="30">
        <f>SUMIFS(Dump!E:E,Dump!B:B,C468,Dump!A:A,V468)</f>
        <v>0</v>
      </c>
      <c r="Q468" s="31">
        <f t="shared" si="11"/>
        <v>0</v>
      </c>
      <c r="S468" s="30">
        <f>SUMIFS(Dump!P:P,Dump!B:B,C468,Dump!A:A,V468)</f>
        <v>0</v>
      </c>
      <c r="T468" s="31">
        <f t="shared" si="12"/>
        <v>0</v>
      </c>
      <c r="U468" s="34"/>
      <c r="V468" s="47"/>
    </row>
    <row r="469">
      <c r="C469" s="46"/>
      <c r="G469" s="1" t="str">
        <f t="shared" si="16"/>
        <v/>
      </c>
      <c r="I469" s="33" t="str">
        <f t="shared" si="8"/>
        <v/>
      </c>
      <c r="K469" s="27"/>
      <c r="L469" s="28">
        <f>SUMIFS(Dump!$D:$D,Dump!$B:$B,$C469,Dump!$A:$A,$V469)</f>
        <v>0</v>
      </c>
      <c r="M469" s="28">
        <f>SUMIFS(Dump!R:R,Dump!B:B,C469,Dump!A:A,V469)</f>
        <v>0</v>
      </c>
      <c r="N469" s="29">
        <f t="shared" si="10"/>
        <v>0</v>
      </c>
      <c r="P469" s="30">
        <f>SUMIFS(Dump!E:E,Dump!B:B,C469,Dump!A:A,V469)</f>
        <v>0</v>
      </c>
      <c r="Q469" s="31">
        <f t="shared" si="11"/>
        <v>0</v>
      </c>
      <c r="S469" s="30">
        <f>SUMIFS(Dump!P:P,Dump!B:B,C469,Dump!A:A,V469)</f>
        <v>0</v>
      </c>
      <c r="T469" s="31">
        <f t="shared" si="12"/>
        <v>0</v>
      </c>
      <c r="U469" s="34"/>
      <c r="V469" s="47"/>
    </row>
    <row r="470">
      <c r="C470" s="46"/>
      <c r="G470" s="1" t="str">
        <f t="shared" si="16"/>
        <v/>
      </c>
      <c r="I470" s="33" t="str">
        <f t="shared" si="8"/>
        <v/>
      </c>
      <c r="K470" s="27"/>
      <c r="L470" s="28">
        <f>SUMIFS(Dump!$D:$D,Dump!$B:$B,$C470,Dump!$A:$A,$V470)</f>
        <v>0</v>
      </c>
      <c r="M470" s="28">
        <f>SUMIFS(Dump!R:R,Dump!B:B,C470,Dump!A:A,V470)</f>
        <v>0</v>
      </c>
      <c r="N470" s="29">
        <f t="shared" si="10"/>
        <v>0</v>
      </c>
      <c r="P470" s="30">
        <f>SUMIFS(Dump!E:E,Dump!B:B,C470,Dump!A:A,V470)</f>
        <v>0</v>
      </c>
      <c r="Q470" s="31">
        <f t="shared" si="11"/>
        <v>0</v>
      </c>
      <c r="S470" s="30">
        <f>SUMIFS(Dump!P:P,Dump!B:B,C470,Dump!A:A,V470)</f>
        <v>0</v>
      </c>
      <c r="T470" s="31">
        <f t="shared" si="12"/>
        <v>0</v>
      </c>
      <c r="U470" s="34"/>
      <c r="V470" s="47"/>
    </row>
    <row r="471">
      <c r="C471" s="46"/>
      <c r="G471" s="1" t="str">
        <f t="shared" si="16"/>
        <v/>
      </c>
      <c r="I471" s="33" t="str">
        <f t="shared" si="8"/>
        <v/>
      </c>
      <c r="K471" s="27"/>
      <c r="L471" s="28">
        <f>SUMIFS(Dump!$D:$D,Dump!$B:$B,$C471,Dump!$A:$A,$V471)</f>
        <v>0</v>
      </c>
      <c r="M471" s="28">
        <f>SUMIFS(Dump!R:R,Dump!B:B,C471,Dump!A:A,V471)</f>
        <v>0</v>
      </c>
      <c r="N471" s="29">
        <f t="shared" si="10"/>
        <v>0</v>
      </c>
      <c r="P471" s="30">
        <f>SUMIFS(Dump!E:E,Dump!B:B,C471,Dump!A:A,V471)</f>
        <v>0</v>
      </c>
      <c r="Q471" s="31">
        <f t="shared" si="11"/>
        <v>0</v>
      </c>
      <c r="S471" s="30">
        <f>SUMIFS(Dump!P:P,Dump!B:B,C471,Dump!A:A,V471)</f>
        <v>0</v>
      </c>
      <c r="T471" s="31">
        <f t="shared" si="12"/>
        <v>0</v>
      </c>
      <c r="U471" s="34"/>
      <c r="V471" s="47"/>
    </row>
    <row r="472">
      <c r="C472" s="46"/>
      <c r="G472" s="1" t="str">
        <f t="shared" si="16"/>
        <v/>
      </c>
      <c r="I472" s="33" t="str">
        <f t="shared" si="8"/>
        <v/>
      </c>
      <c r="K472" s="27"/>
      <c r="L472" s="28">
        <f>SUMIFS(Dump!$D:$D,Dump!$B:$B,$C472,Dump!$A:$A,$V472)</f>
        <v>0</v>
      </c>
      <c r="M472" s="28">
        <f>SUMIFS(Dump!R:R,Dump!B:B,C472,Dump!A:A,V472)</f>
        <v>0</v>
      </c>
      <c r="N472" s="29">
        <f t="shared" si="10"/>
        <v>0</v>
      </c>
      <c r="P472" s="30">
        <f>SUMIFS(Dump!E:E,Dump!B:B,C472,Dump!A:A,V472)</f>
        <v>0</v>
      </c>
      <c r="Q472" s="31">
        <f t="shared" si="11"/>
        <v>0</v>
      </c>
      <c r="S472" s="30">
        <f>SUMIFS(Dump!P:P,Dump!B:B,C472,Dump!A:A,V472)</f>
        <v>0</v>
      </c>
      <c r="T472" s="31">
        <f t="shared" si="12"/>
        <v>0</v>
      </c>
      <c r="U472" s="34"/>
      <c r="V472" s="47"/>
    </row>
    <row r="473">
      <c r="C473" s="46"/>
      <c r="G473" s="1" t="str">
        <f t="shared" si="16"/>
        <v/>
      </c>
      <c r="I473" s="33" t="str">
        <f t="shared" si="8"/>
        <v/>
      </c>
      <c r="K473" s="27"/>
      <c r="L473" s="28">
        <f>SUMIFS(Dump!$D:$D,Dump!$B:$B,$C473,Dump!$A:$A,$V473)</f>
        <v>0</v>
      </c>
      <c r="M473" s="28">
        <f>SUMIFS(Dump!R:R,Dump!B:B,C473,Dump!A:A,V473)</f>
        <v>0</v>
      </c>
      <c r="N473" s="29">
        <f t="shared" si="10"/>
        <v>0</v>
      </c>
      <c r="P473" s="30">
        <f>SUMIFS(Dump!E:E,Dump!B:B,C473,Dump!A:A,V473)</f>
        <v>0</v>
      </c>
      <c r="Q473" s="31">
        <f t="shared" si="11"/>
        <v>0</v>
      </c>
      <c r="S473" s="30">
        <f>SUMIFS(Dump!P:P,Dump!B:B,C473,Dump!A:A,V473)</f>
        <v>0</v>
      </c>
      <c r="T473" s="31">
        <f t="shared" si="12"/>
        <v>0</v>
      </c>
      <c r="U473" s="34"/>
      <c r="V473" s="47"/>
    </row>
    <row r="474">
      <c r="C474" s="46"/>
      <c r="G474" s="1" t="str">
        <f t="shared" si="16"/>
        <v/>
      </c>
      <c r="I474" s="33" t="str">
        <f t="shared" si="8"/>
        <v/>
      </c>
      <c r="K474" s="27"/>
      <c r="L474" s="28">
        <f>SUMIFS(Dump!$D:$D,Dump!$B:$B,$C474,Dump!$A:$A,$V474)</f>
        <v>0</v>
      </c>
      <c r="M474" s="28">
        <f>SUMIFS(Dump!R:R,Dump!B:B,C474,Dump!A:A,V474)</f>
        <v>0</v>
      </c>
      <c r="N474" s="29">
        <f t="shared" si="10"/>
        <v>0</v>
      </c>
      <c r="P474" s="30">
        <f>SUMIFS(Dump!E:E,Dump!B:B,C474,Dump!A:A,V474)</f>
        <v>0</v>
      </c>
      <c r="Q474" s="31">
        <f t="shared" si="11"/>
        <v>0</v>
      </c>
      <c r="S474" s="30">
        <f>SUMIFS(Dump!P:P,Dump!B:B,C474,Dump!A:A,V474)</f>
        <v>0</v>
      </c>
      <c r="T474" s="31">
        <f t="shared" si="12"/>
        <v>0</v>
      </c>
      <c r="U474" s="34"/>
      <c r="V474" s="47"/>
    </row>
    <row r="475">
      <c r="C475" s="46"/>
      <c r="G475" s="1" t="str">
        <f t="shared" si="16"/>
        <v/>
      </c>
      <c r="I475" s="33" t="str">
        <f t="shared" si="8"/>
        <v/>
      </c>
      <c r="K475" s="27"/>
      <c r="L475" s="28">
        <f>SUMIFS(Dump!$D:$D,Dump!$B:$B,$C475,Dump!$A:$A,$V475)</f>
        <v>0</v>
      </c>
      <c r="M475" s="28">
        <f>SUMIFS(Dump!R:R,Dump!B:B,C475,Dump!A:A,V475)</f>
        <v>0</v>
      </c>
      <c r="N475" s="29">
        <f t="shared" si="10"/>
        <v>0</v>
      </c>
      <c r="P475" s="30">
        <f>SUMIFS(Dump!E:E,Dump!B:B,C475,Dump!A:A,V475)</f>
        <v>0</v>
      </c>
      <c r="Q475" s="31">
        <f t="shared" si="11"/>
        <v>0</v>
      </c>
      <c r="S475" s="30">
        <f>SUMIFS(Dump!P:P,Dump!B:B,C475,Dump!A:A,V475)</f>
        <v>0</v>
      </c>
      <c r="T475" s="31">
        <f t="shared" si="12"/>
        <v>0</v>
      </c>
      <c r="U475" s="34"/>
      <c r="V475" s="47"/>
    </row>
    <row r="476">
      <c r="C476" s="46"/>
      <c r="G476" s="1" t="str">
        <f t="shared" si="16"/>
        <v/>
      </c>
      <c r="I476" s="33" t="str">
        <f t="shared" si="8"/>
        <v/>
      </c>
      <c r="K476" s="27"/>
      <c r="L476" s="28">
        <f>SUMIFS(Dump!$D:$D,Dump!$B:$B,$C476,Dump!$A:$A,$V476)</f>
        <v>0</v>
      </c>
      <c r="M476" s="28">
        <f>SUMIFS(Dump!R:R,Dump!B:B,C476,Dump!A:A,V476)</f>
        <v>0</v>
      </c>
      <c r="N476" s="29">
        <f t="shared" si="10"/>
        <v>0</v>
      </c>
      <c r="P476" s="30">
        <f>SUMIFS(Dump!E:E,Dump!B:B,C476,Dump!A:A,V476)</f>
        <v>0</v>
      </c>
      <c r="Q476" s="31">
        <f t="shared" si="11"/>
        <v>0</v>
      </c>
      <c r="S476" s="30">
        <f>SUMIFS(Dump!P:P,Dump!B:B,C476,Dump!A:A,V476)</f>
        <v>0</v>
      </c>
      <c r="T476" s="31">
        <f t="shared" si="12"/>
        <v>0</v>
      </c>
      <c r="U476" s="34"/>
      <c r="V476" s="47"/>
    </row>
    <row r="477">
      <c r="C477" s="46"/>
      <c r="G477" s="1" t="str">
        <f t="shared" si="16"/>
        <v/>
      </c>
      <c r="I477" s="33" t="str">
        <f t="shared" si="8"/>
        <v/>
      </c>
      <c r="K477" s="27"/>
      <c r="L477" s="28">
        <f>SUMIFS(Dump!$D:$D,Dump!$B:$B,$C477,Dump!$A:$A,$V477)</f>
        <v>0</v>
      </c>
      <c r="M477" s="28">
        <f>SUMIFS(Dump!R:R,Dump!B:B,C477,Dump!A:A,V477)</f>
        <v>0</v>
      </c>
      <c r="N477" s="29">
        <f t="shared" si="10"/>
        <v>0</v>
      </c>
      <c r="P477" s="30">
        <f>SUMIFS(Dump!E:E,Dump!B:B,C477,Dump!A:A,V477)</f>
        <v>0</v>
      </c>
      <c r="Q477" s="31">
        <f t="shared" si="11"/>
        <v>0</v>
      </c>
      <c r="S477" s="30">
        <f>SUMIFS(Dump!P:P,Dump!B:B,C477,Dump!A:A,V477)</f>
        <v>0</v>
      </c>
      <c r="T477" s="31">
        <f t="shared" si="12"/>
        <v>0</v>
      </c>
      <c r="U477" s="34"/>
      <c r="V477" s="47"/>
    </row>
    <row r="478">
      <c r="C478" s="46"/>
      <c r="G478" s="1" t="str">
        <f t="shared" si="16"/>
        <v/>
      </c>
      <c r="I478" s="33" t="str">
        <f t="shared" si="8"/>
        <v/>
      </c>
      <c r="K478" s="27"/>
      <c r="L478" s="28">
        <f>SUMIFS(Dump!$D:$D,Dump!$B:$B,$C478,Dump!$A:$A,$V478)</f>
        <v>0</v>
      </c>
      <c r="M478" s="28">
        <f>SUMIFS(Dump!R:R,Dump!B:B,C478,Dump!A:A,V478)</f>
        <v>0</v>
      </c>
      <c r="N478" s="29">
        <f t="shared" si="10"/>
        <v>0</v>
      </c>
      <c r="P478" s="30">
        <f>SUMIFS(Dump!E:E,Dump!B:B,C478,Dump!A:A,V478)</f>
        <v>0</v>
      </c>
      <c r="Q478" s="31">
        <f t="shared" si="11"/>
        <v>0</v>
      </c>
      <c r="S478" s="30">
        <f>SUMIFS(Dump!P:P,Dump!B:B,C478,Dump!A:A,V478)</f>
        <v>0</v>
      </c>
      <c r="T478" s="31">
        <f t="shared" si="12"/>
        <v>0</v>
      </c>
      <c r="U478" s="34"/>
      <c r="V478" s="47"/>
    </row>
    <row r="479">
      <c r="C479" s="46"/>
      <c r="G479" s="1" t="str">
        <f t="shared" si="16"/>
        <v/>
      </c>
      <c r="I479" s="33" t="str">
        <f t="shared" si="8"/>
        <v/>
      </c>
      <c r="K479" s="27"/>
      <c r="L479" s="28">
        <f>SUMIFS(Dump!$D:$D,Dump!$B:$B,$C479,Dump!$A:$A,$V479)</f>
        <v>0</v>
      </c>
      <c r="M479" s="28">
        <f>SUMIFS(Dump!R:R,Dump!B:B,C479,Dump!A:A,V479)</f>
        <v>0</v>
      </c>
      <c r="N479" s="29">
        <f t="shared" si="10"/>
        <v>0</v>
      </c>
      <c r="P479" s="30">
        <f>SUMIFS(Dump!E:E,Dump!B:B,C479,Dump!A:A,V479)</f>
        <v>0</v>
      </c>
      <c r="Q479" s="31">
        <f t="shared" si="11"/>
        <v>0</v>
      </c>
      <c r="S479" s="30">
        <f>SUMIFS(Dump!P:P,Dump!B:B,C479,Dump!A:A,V479)</f>
        <v>0</v>
      </c>
      <c r="T479" s="31">
        <f t="shared" si="12"/>
        <v>0</v>
      </c>
      <c r="U479" s="34"/>
      <c r="V479" s="47"/>
    </row>
    <row r="480">
      <c r="C480" s="46"/>
      <c r="G480" s="1" t="str">
        <f t="shared" si="16"/>
        <v/>
      </c>
      <c r="I480" s="33" t="str">
        <f t="shared" si="8"/>
        <v/>
      </c>
      <c r="K480" s="27"/>
      <c r="L480" s="28">
        <f>SUMIFS(Dump!$D:$D,Dump!$B:$B,$C480,Dump!$A:$A,$V480)</f>
        <v>0</v>
      </c>
      <c r="M480" s="28">
        <f>SUMIFS(Dump!R:R,Dump!B:B,C480,Dump!A:A,V480)</f>
        <v>0</v>
      </c>
      <c r="N480" s="29">
        <f t="shared" si="10"/>
        <v>0</v>
      </c>
      <c r="P480" s="30">
        <f>SUMIFS(Dump!E:E,Dump!B:B,C480,Dump!A:A,V480)</f>
        <v>0</v>
      </c>
      <c r="Q480" s="31">
        <f t="shared" si="11"/>
        <v>0</v>
      </c>
      <c r="S480" s="30">
        <f>SUMIFS(Dump!P:P,Dump!B:B,C480,Dump!A:A,V480)</f>
        <v>0</v>
      </c>
      <c r="T480" s="31">
        <f t="shared" si="12"/>
        <v>0</v>
      </c>
      <c r="U480" s="34"/>
      <c r="V480" s="47"/>
    </row>
    <row r="481">
      <c r="C481" s="46"/>
      <c r="G481" s="1" t="str">
        <f t="shared" si="16"/>
        <v/>
      </c>
      <c r="I481" s="33" t="str">
        <f t="shared" si="8"/>
        <v/>
      </c>
      <c r="K481" s="27"/>
      <c r="L481" s="28">
        <f>SUMIFS(Dump!$D:$D,Dump!$B:$B,$C481,Dump!$A:$A,$V481)</f>
        <v>0</v>
      </c>
      <c r="M481" s="28">
        <f>SUMIFS(Dump!R:R,Dump!B:B,C481,Dump!A:A,V481)</f>
        <v>0</v>
      </c>
      <c r="N481" s="29">
        <f t="shared" si="10"/>
        <v>0</v>
      </c>
      <c r="P481" s="30">
        <f>SUMIFS(Dump!E:E,Dump!B:B,C481,Dump!A:A,V481)</f>
        <v>0</v>
      </c>
      <c r="Q481" s="31">
        <f t="shared" si="11"/>
        <v>0</v>
      </c>
      <c r="S481" s="30">
        <f>SUMIFS(Dump!P:P,Dump!B:B,C481,Dump!A:A,V481)</f>
        <v>0</v>
      </c>
      <c r="T481" s="31">
        <f t="shared" si="12"/>
        <v>0</v>
      </c>
      <c r="U481" s="34"/>
      <c r="V481" s="47"/>
    </row>
    <row r="482">
      <c r="C482" s="46"/>
      <c r="G482" s="1" t="str">
        <f t="shared" si="16"/>
        <v/>
      </c>
      <c r="I482" s="33" t="str">
        <f t="shared" si="8"/>
        <v/>
      </c>
      <c r="K482" s="27"/>
      <c r="L482" s="28">
        <f>SUMIFS(Dump!$D:$D,Dump!$B:$B,$C482,Dump!$A:$A,$V482)</f>
        <v>0</v>
      </c>
      <c r="M482" s="28">
        <f>SUMIFS(Dump!R:R,Dump!B:B,C482,Dump!A:A,V482)</f>
        <v>0</v>
      </c>
      <c r="N482" s="29">
        <f t="shared" si="10"/>
        <v>0</v>
      </c>
      <c r="P482" s="30">
        <f>SUMIFS(Dump!E:E,Dump!B:B,C482,Dump!A:A,V482)</f>
        <v>0</v>
      </c>
      <c r="Q482" s="31">
        <f t="shared" si="11"/>
        <v>0</v>
      </c>
      <c r="S482" s="30">
        <f>SUMIFS(Dump!P:P,Dump!B:B,C482,Dump!A:A,V482)</f>
        <v>0</v>
      </c>
      <c r="T482" s="31">
        <f t="shared" si="12"/>
        <v>0</v>
      </c>
      <c r="U482" s="34"/>
      <c r="V482" s="47"/>
    </row>
    <row r="483">
      <c r="C483" s="46"/>
      <c r="G483" s="1" t="str">
        <f t="shared" si="16"/>
        <v/>
      </c>
      <c r="I483" s="33" t="str">
        <f t="shared" si="8"/>
        <v/>
      </c>
      <c r="K483" s="27"/>
      <c r="L483" s="28">
        <f>SUMIFS(Dump!$D:$D,Dump!$B:$B,$C483,Dump!$A:$A,$V483)</f>
        <v>0</v>
      </c>
      <c r="M483" s="28">
        <f>SUMIFS(Dump!R:R,Dump!B:B,C483,Dump!A:A,V483)</f>
        <v>0</v>
      </c>
      <c r="N483" s="29">
        <f t="shared" si="10"/>
        <v>0</v>
      </c>
      <c r="P483" s="30">
        <f>SUMIFS(Dump!E:E,Dump!B:B,C483,Dump!A:A,V483)</f>
        <v>0</v>
      </c>
      <c r="Q483" s="31">
        <f t="shared" si="11"/>
        <v>0</v>
      </c>
      <c r="S483" s="30">
        <f>SUMIFS(Dump!P:P,Dump!B:B,C483,Dump!A:A,V483)</f>
        <v>0</v>
      </c>
      <c r="T483" s="31">
        <f t="shared" si="12"/>
        <v>0</v>
      </c>
      <c r="U483" s="34"/>
      <c r="V483" s="47"/>
    </row>
    <row r="484">
      <c r="C484" s="46"/>
      <c r="G484" s="1" t="str">
        <f t="shared" si="16"/>
        <v/>
      </c>
      <c r="I484" s="33" t="str">
        <f t="shared" si="8"/>
        <v/>
      </c>
      <c r="K484" s="27"/>
      <c r="L484" s="28">
        <f>SUMIFS(Dump!$D:$D,Dump!$B:$B,$C484,Dump!$A:$A,$V484)</f>
        <v>0</v>
      </c>
      <c r="M484" s="28">
        <f>SUMIFS(Dump!R:R,Dump!B:B,C484,Dump!A:A,V484)</f>
        <v>0</v>
      </c>
      <c r="N484" s="29">
        <f t="shared" si="10"/>
        <v>0</v>
      </c>
      <c r="P484" s="30">
        <f>SUMIFS(Dump!E:E,Dump!B:B,C484,Dump!A:A,V484)</f>
        <v>0</v>
      </c>
      <c r="Q484" s="31">
        <f t="shared" si="11"/>
        <v>0</v>
      </c>
      <c r="S484" s="30">
        <f>SUMIFS(Dump!P:P,Dump!B:B,C484,Dump!A:A,V484)</f>
        <v>0</v>
      </c>
      <c r="T484" s="31">
        <f t="shared" si="12"/>
        <v>0</v>
      </c>
      <c r="U484" s="34"/>
      <c r="V484" s="47"/>
    </row>
    <row r="485">
      <c r="C485" s="46"/>
      <c r="G485" s="1" t="str">
        <f t="shared" si="16"/>
        <v/>
      </c>
      <c r="I485" s="33" t="str">
        <f t="shared" si="8"/>
        <v/>
      </c>
      <c r="K485" s="27"/>
      <c r="L485" s="28">
        <f>SUMIFS(Dump!$D:$D,Dump!$B:$B,$C485,Dump!$A:$A,$V485)</f>
        <v>0</v>
      </c>
      <c r="M485" s="28">
        <f>SUMIFS(Dump!R:R,Dump!B:B,C485,Dump!A:A,V485)</f>
        <v>0</v>
      </c>
      <c r="N485" s="29">
        <f t="shared" si="10"/>
        <v>0</v>
      </c>
      <c r="P485" s="30">
        <f>SUMIFS(Dump!E:E,Dump!B:B,C485,Dump!A:A,V485)</f>
        <v>0</v>
      </c>
      <c r="Q485" s="31">
        <f t="shared" si="11"/>
        <v>0</v>
      </c>
      <c r="S485" s="30">
        <f>SUMIFS(Dump!P:P,Dump!B:B,C485,Dump!A:A,V485)</f>
        <v>0</v>
      </c>
      <c r="T485" s="31">
        <f t="shared" si="12"/>
        <v>0</v>
      </c>
      <c r="U485" s="34"/>
      <c r="V485" s="47"/>
    </row>
    <row r="486">
      <c r="C486" s="46"/>
      <c r="G486" s="1" t="str">
        <f t="shared" si="16"/>
        <v/>
      </c>
      <c r="I486" s="33" t="str">
        <f t="shared" si="8"/>
        <v/>
      </c>
      <c r="K486" s="27"/>
      <c r="L486" s="28">
        <f>SUMIFS(Dump!$D:$D,Dump!$B:$B,$C486,Dump!$A:$A,$V486)</f>
        <v>0</v>
      </c>
      <c r="M486" s="28">
        <f>SUMIFS(Dump!R:R,Dump!B:B,C486,Dump!A:A,V486)</f>
        <v>0</v>
      </c>
      <c r="N486" s="29">
        <f t="shared" si="10"/>
        <v>0</v>
      </c>
      <c r="P486" s="30">
        <f>SUMIFS(Dump!E:E,Dump!B:B,C486,Dump!A:A,V486)</f>
        <v>0</v>
      </c>
      <c r="Q486" s="31">
        <f t="shared" si="11"/>
        <v>0</v>
      </c>
      <c r="S486" s="30">
        <f>SUMIFS(Dump!P:P,Dump!B:B,C486,Dump!A:A,V486)</f>
        <v>0</v>
      </c>
      <c r="T486" s="31">
        <f t="shared" si="12"/>
        <v>0</v>
      </c>
      <c r="U486" s="34"/>
      <c r="V486" s="47"/>
    </row>
    <row r="487">
      <c r="C487" s="46"/>
      <c r="G487" s="1" t="str">
        <f t="shared" si="16"/>
        <v/>
      </c>
      <c r="I487" s="33" t="str">
        <f t="shared" si="8"/>
        <v/>
      </c>
      <c r="K487" s="27"/>
      <c r="L487" s="28">
        <f>SUMIFS(Dump!$D:$D,Dump!$B:$B,$C487,Dump!$A:$A,$V487)</f>
        <v>0</v>
      </c>
      <c r="M487" s="28">
        <f>SUMIFS(Dump!R:R,Dump!B:B,C487,Dump!A:A,V487)</f>
        <v>0</v>
      </c>
      <c r="N487" s="29">
        <f t="shared" si="10"/>
        <v>0</v>
      </c>
      <c r="P487" s="30">
        <f>SUMIFS(Dump!E:E,Dump!B:B,C487,Dump!A:A,V487)</f>
        <v>0</v>
      </c>
      <c r="Q487" s="31">
        <f t="shared" si="11"/>
        <v>0</v>
      </c>
      <c r="S487" s="30">
        <f>SUMIFS(Dump!P:P,Dump!B:B,C487,Dump!A:A,V487)</f>
        <v>0</v>
      </c>
      <c r="T487" s="31">
        <f t="shared" si="12"/>
        <v>0</v>
      </c>
      <c r="U487" s="34"/>
      <c r="V487" s="47"/>
    </row>
    <row r="488">
      <c r="C488" s="46"/>
      <c r="G488" s="1" t="str">
        <f t="shared" si="16"/>
        <v/>
      </c>
      <c r="I488" s="33" t="str">
        <f t="shared" si="8"/>
        <v/>
      </c>
      <c r="K488" s="27"/>
      <c r="L488" s="28">
        <f>SUMIFS(Dump!$D:$D,Dump!$B:$B,$C488,Dump!$A:$A,$V488)</f>
        <v>0</v>
      </c>
      <c r="M488" s="28">
        <f>SUMIFS(Dump!R:R,Dump!B:B,C488,Dump!A:A,V488)</f>
        <v>0</v>
      </c>
      <c r="N488" s="29">
        <f t="shared" si="10"/>
        <v>0</v>
      </c>
      <c r="P488" s="30">
        <f>SUMIFS(Dump!E:E,Dump!B:B,C488,Dump!A:A,V488)</f>
        <v>0</v>
      </c>
      <c r="Q488" s="31">
        <f t="shared" si="11"/>
        <v>0</v>
      </c>
      <c r="S488" s="30">
        <f>SUMIFS(Dump!P:P,Dump!B:B,C488,Dump!A:A,V488)</f>
        <v>0</v>
      </c>
      <c r="T488" s="31">
        <f t="shared" si="12"/>
        <v>0</v>
      </c>
      <c r="U488" s="34"/>
      <c r="V488" s="47"/>
    </row>
    <row r="489">
      <c r="C489" s="46"/>
      <c r="G489" s="1" t="str">
        <f t="shared" si="16"/>
        <v/>
      </c>
      <c r="I489" s="33" t="str">
        <f t="shared" si="8"/>
        <v/>
      </c>
      <c r="K489" s="27"/>
      <c r="L489" s="28">
        <f>SUMIFS(Dump!$D:$D,Dump!$B:$B,$C489,Dump!$A:$A,$V489)</f>
        <v>0</v>
      </c>
      <c r="M489" s="28">
        <f>SUMIFS(Dump!R:R,Dump!B:B,C489,Dump!A:A,V489)</f>
        <v>0</v>
      </c>
      <c r="N489" s="29">
        <f t="shared" si="10"/>
        <v>0</v>
      </c>
      <c r="P489" s="30">
        <f>SUMIFS(Dump!E:E,Dump!B:B,C489,Dump!A:A,V489)</f>
        <v>0</v>
      </c>
      <c r="Q489" s="31">
        <f t="shared" si="11"/>
        <v>0</v>
      </c>
      <c r="S489" s="30">
        <f>SUMIFS(Dump!P:P,Dump!B:B,C489,Dump!A:A,V489)</f>
        <v>0</v>
      </c>
      <c r="T489" s="31">
        <f t="shared" si="12"/>
        <v>0</v>
      </c>
      <c r="U489" s="34"/>
      <c r="V489" s="47"/>
    </row>
    <row r="490">
      <c r="C490" s="46"/>
      <c r="G490" s="1" t="str">
        <f t="shared" si="16"/>
        <v/>
      </c>
      <c r="I490" s="33" t="str">
        <f t="shared" si="8"/>
        <v/>
      </c>
      <c r="K490" s="27"/>
      <c r="L490" s="28">
        <f>SUMIFS(Dump!$D:$D,Dump!$B:$B,$C490,Dump!$A:$A,$V490)</f>
        <v>0</v>
      </c>
      <c r="M490" s="28">
        <f>SUMIFS(Dump!R:R,Dump!B:B,C490,Dump!A:A,V490)</f>
        <v>0</v>
      </c>
      <c r="N490" s="29">
        <f t="shared" si="10"/>
        <v>0</v>
      </c>
      <c r="P490" s="30">
        <f>SUMIFS(Dump!E:E,Dump!B:B,C490,Dump!A:A,V490)</f>
        <v>0</v>
      </c>
      <c r="Q490" s="31">
        <f t="shared" si="11"/>
        <v>0</v>
      </c>
      <c r="S490" s="30">
        <f>SUMIFS(Dump!P:P,Dump!B:B,C490,Dump!A:A,V490)</f>
        <v>0</v>
      </c>
      <c r="T490" s="31">
        <f t="shared" si="12"/>
        <v>0</v>
      </c>
      <c r="U490" s="34"/>
      <c r="V490" s="47"/>
    </row>
    <row r="491">
      <c r="C491" s="46"/>
      <c r="G491" s="1" t="str">
        <f t="shared" si="16"/>
        <v/>
      </c>
      <c r="I491" s="33" t="str">
        <f t="shared" si="8"/>
        <v/>
      </c>
      <c r="K491" s="27"/>
      <c r="L491" s="28">
        <f>SUMIFS(Dump!$D:$D,Dump!$B:$B,$C491,Dump!$A:$A,$V491)</f>
        <v>0</v>
      </c>
      <c r="M491" s="28">
        <f>SUMIFS(Dump!R:R,Dump!B:B,C491,Dump!A:A,V491)</f>
        <v>0</v>
      </c>
      <c r="N491" s="29">
        <f t="shared" si="10"/>
        <v>0</v>
      </c>
      <c r="P491" s="30">
        <f>SUMIFS(Dump!E:E,Dump!B:B,C491,Dump!A:A,V491)</f>
        <v>0</v>
      </c>
      <c r="Q491" s="31">
        <f t="shared" si="11"/>
        <v>0</v>
      </c>
      <c r="S491" s="30">
        <f>SUMIFS(Dump!P:P,Dump!B:B,C491,Dump!A:A,V491)</f>
        <v>0</v>
      </c>
      <c r="T491" s="31">
        <f t="shared" si="12"/>
        <v>0</v>
      </c>
      <c r="U491" s="34"/>
      <c r="V491" s="47"/>
    </row>
    <row r="492">
      <c r="C492" s="46"/>
      <c r="G492" s="1" t="str">
        <f t="shared" si="16"/>
        <v/>
      </c>
      <c r="I492" s="33" t="str">
        <f t="shared" si="8"/>
        <v/>
      </c>
      <c r="K492" s="27"/>
      <c r="L492" s="28">
        <f>SUMIFS(Dump!$D:$D,Dump!$B:$B,$C492,Dump!$A:$A,$V492)</f>
        <v>0</v>
      </c>
      <c r="M492" s="28">
        <f>SUMIFS(Dump!R:R,Dump!B:B,C492,Dump!A:A,V492)</f>
        <v>0</v>
      </c>
      <c r="N492" s="29">
        <f t="shared" si="10"/>
        <v>0</v>
      </c>
      <c r="P492" s="30">
        <f>SUMIFS(Dump!E:E,Dump!B:B,C492,Dump!A:A,V492)</f>
        <v>0</v>
      </c>
      <c r="Q492" s="31">
        <f t="shared" si="11"/>
        <v>0</v>
      </c>
      <c r="S492" s="30">
        <f>SUMIFS(Dump!P:P,Dump!B:B,C492,Dump!A:A,V492)</f>
        <v>0</v>
      </c>
      <c r="T492" s="31">
        <f t="shared" si="12"/>
        <v>0</v>
      </c>
      <c r="U492" s="34"/>
      <c r="V492" s="47"/>
    </row>
    <row r="493">
      <c r="C493" s="46"/>
      <c r="G493" s="1" t="str">
        <f t="shared" si="16"/>
        <v/>
      </c>
      <c r="I493" s="33" t="str">
        <f t="shared" si="8"/>
        <v/>
      </c>
      <c r="K493" s="27"/>
      <c r="L493" s="28">
        <f>SUMIFS(Dump!$D:$D,Dump!$B:$B,$C493,Dump!$A:$A,$V493)</f>
        <v>0</v>
      </c>
      <c r="M493" s="28">
        <f>SUMIFS(Dump!R:R,Dump!B:B,C493,Dump!A:A,V493)</f>
        <v>0</v>
      </c>
      <c r="N493" s="29">
        <f t="shared" si="10"/>
        <v>0</v>
      </c>
      <c r="P493" s="30">
        <f>SUMIFS(Dump!E:E,Dump!B:B,C493,Dump!A:A,V493)</f>
        <v>0</v>
      </c>
      <c r="Q493" s="31">
        <f t="shared" si="11"/>
        <v>0</v>
      </c>
      <c r="S493" s="30">
        <f>SUMIFS(Dump!P:P,Dump!B:B,C493,Dump!A:A,V493)</f>
        <v>0</v>
      </c>
      <c r="T493" s="31">
        <f t="shared" si="12"/>
        <v>0</v>
      </c>
      <c r="U493" s="34"/>
      <c r="V493" s="47"/>
    </row>
    <row r="494">
      <c r="C494" s="46"/>
      <c r="G494" s="1" t="str">
        <f t="shared" si="16"/>
        <v/>
      </c>
      <c r="I494" s="33" t="str">
        <f t="shared" si="8"/>
        <v/>
      </c>
      <c r="K494" s="27"/>
      <c r="L494" s="28">
        <f>SUMIFS(Dump!$D:$D,Dump!$B:$B,$C494,Dump!$A:$A,$V494)</f>
        <v>0</v>
      </c>
      <c r="M494" s="28">
        <f>SUMIFS(Dump!R:R,Dump!B:B,C494,Dump!A:A,V494)</f>
        <v>0</v>
      </c>
      <c r="N494" s="29">
        <f t="shared" si="10"/>
        <v>0</v>
      </c>
      <c r="P494" s="30">
        <f>SUMIFS(Dump!E:E,Dump!B:B,C494,Dump!A:A,V494)</f>
        <v>0</v>
      </c>
      <c r="Q494" s="31">
        <f t="shared" si="11"/>
        <v>0</v>
      </c>
      <c r="S494" s="30">
        <f>SUMIFS(Dump!P:P,Dump!B:B,C494,Dump!A:A,V494)</f>
        <v>0</v>
      </c>
      <c r="T494" s="31">
        <f t="shared" si="12"/>
        <v>0</v>
      </c>
      <c r="U494" s="34"/>
      <c r="V494" s="47"/>
    </row>
    <row r="495">
      <c r="C495" s="46"/>
      <c r="G495" s="1" t="str">
        <f t="shared" si="16"/>
        <v/>
      </c>
      <c r="I495" s="33" t="str">
        <f t="shared" si="8"/>
        <v/>
      </c>
      <c r="K495" s="27"/>
      <c r="L495" s="28">
        <f>SUMIFS(Dump!$D:$D,Dump!$B:$B,$C495,Dump!$A:$A,$V495)</f>
        <v>0</v>
      </c>
      <c r="M495" s="28">
        <f>SUMIFS(Dump!R:R,Dump!B:B,C495,Dump!A:A,V495)</f>
        <v>0</v>
      </c>
      <c r="N495" s="29">
        <f t="shared" si="10"/>
        <v>0</v>
      </c>
      <c r="P495" s="30">
        <f>SUMIFS(Dump!E:E,Dump!B:B,C495,Dump!A:A,V495)</f>
        <v>0</v>
      </c>
      <c r="Q495" s="31">
        <f t="shared" si="11"/>
        <v>0</v>
      </c>
      <c r="S495" s="30">
        <f>SUMIFS(Dump!P:P,Dump!B:B,C495,Dump!A:A,V495)</f>
        <v>0</v>
      </c>
      <c r="T495" s="31">
        <f t="shared" si="12"/>
        <v>0</v>
      </c>
      <c r="U495" s="34"/>
      <c r="V495" s="47"/>
    </row>
    <row r="496">
      <c r="C496" s="46"/>
      <c r="G496" s="1" t="str">
        <f t="shared" si="16"/>
        <v/>
      </c>
      <c r="I496" s="33" t="str">
        <f t="shared" si="8"/>
        <v/>
      </c>
      <c r="K496" s="27"/>
      <c r="L496" s="28">
        <f>SUMIFS(Dump!$D:$D,Dump!$B:$B,$C496,Dump!$A:$A,$V496)</f>
        <v>0</v>
      </c>
      <c r="M496" s="28">
        <f>SUMIFS(Dump!R:R,Dump!B:B,C496,Dump!A:A,V496)</f>
        <v>0</v>
      </c>
      <c r="N496" s="29">
        <f t="shared" si="10"/>
        <v>0</v>
      </c>
      <c r="P496" s="30">
        <f>SUMIFS(Dump!E:E,Dump!B:B,C496,Dump!A:A,V496)</f>
        <v>0</v>
      </c>
      <c r="Q496" s="31">
        <f t="shared" si="11"/>
        <v>0</v>
      </c>
      <c r="S496" s="30">
        <f>SUMIFS(Dump!P:P,Dump!B:B,C496,Dump!A:A,V496)</f>
        <v>0</v>
      </c>
      <c r="T496" s="31">
        <f t="shared" si="12"/>
        <v>0</v>
      </c>
      <c r="U496" s="34"/>
      <c r="V496" s="47"/>
    </row>
    <row r="497">
      <c r="C497" s="46"/>
      <c r="G497" s="1" t="str">
        <f t="shared" si="16"/>
        <v/>
      </c>
      <c r="I497" s="33" t="str">
        <f t="shared" si="8"/>
        <v/>
      </c>
      <c r="K497" s="27"/>
      <c r="L497" s="28">
        <f>SUMIFS(Dump!$D:$D,Dump!$B:$B,$C497,Dump!$A:$A,$V497)</f>
        <v>0</v>
      </c>
      <c r="M497" s="28">
        <f>SUMIFS(Dump!R:R,Dump!B:B,C497,Dump!A:A,V497)</f>
        <v>0</v>
      </c>
      <c r="N497" s="29">
        <f t="shared" si="10"/>
        <v>0</v>
      </c>
      <c r="P497" s="30">
        <f>SUMIFS(Dump!E:E,Dump!B:B,C497,Dump!A:A,V497)</f>
        <v>0</v>
      </c>
      <c r="Q497" s="31">
        <f t="shared" si="11"/>
        <v>0</v>
      </c>
      <c r="S497" s="30">
        <f>SUMIFS(Dump!P:P,Dump!B:B,C497,Dump!A:A,V497)</f>
        <v>0</v>
      </c>
      <c r="T497" s="31">
        <f t="shared" si="12"/>
        <v>0</v>
      </c>
      <c r="U497" s="34"/>
      <c r="V497" s="47"/>
    </row>
    <row r="498">
      <c r="C498" s="46"/>
      <c r="G498" s="1" t="str">
        <f t="shared" si="16"/>
        <v/>
      </c>
      <c r="I498" s="33" t="str">
        <f t="shared" si="8"/>
        <v/>
      </c>
      <c r="K498" s="27"/>
      <c r="L498" s="28">
        <f>SUMIFS(Dump!$D:$D,Dump!$B:$B,$C498,Dump!$A:$A,$V498)</f>
        <v>0</v>
      </c>
      <c r="M498" s="28">
        <f>SUMIFS(Dump!R:R,Dump!B:B,C498,Dump!A:A,V498)</f>
        <v>0</v>
      </c>
      <c r="N498" s="29">
        <f t="shared" si="10"/>
        <v>0</v>
      </c>
      <c r="P498" s="30">
        <f>SUMIFS(Dump!E:E,Dump!B:B,C498,Dump!A:A,V498)</f>
        <v>0</v>
      </c>
      <c r="Q498" s="31">
        <f t="shared" si="11"/>
        <v>0</v>
      </c>
      <c r="S498" s="30">
        <f>SUMIFS(Dump!P:P,Dump!B:B,C498,Dump!A:A,V498)</f>
        <v>0</v>
      </c>
      <c r="T498" s="31">
        <f t="shared" si="12"/>
        <v>0</v>
      </c>
      <c r="U498" s="34"/>
      <c r="V498" s="47"/>
    </row>
    <row r="499">
      <c r="C499" s="46"/>
      <c r="G499" s="1" t="str">
        <f t="shared" si="16"/>
        <v/>
      </c>
      <c r="I499" s="33" t="str">
        <f t="shared" si="8"/>
        <v/>
      </c>
      <c r="K499" s="27"/>
      <c r="L499" s="28">
        <f>SUMIFS(Dump!$D:$D,Dump!$B:$B,$C499,Dump!$A:$A,$V499)</f>
        <v>0</v>
      </c>
      <c r="M499" s="28">
        <f>SUMIFS(Dump!R:R,Dump!B:B,C499,Dump!A:A,V499)</f>
        <v>0</v>
      </c>
      <c r="N499" s="29">
        <f t="shared" si="10"/>
        <v>0</v>
      </c>
      <c r="P499" s="30">
        <f>SUMIFS(Dump!E:E,Dump!B:B,C499,Dump!A:A,V499)</f>
        <v>0</v>
      </c>
      <c r="Q499" s="31">
        <f t="shared" si="11"/>
        <v>0</v>
      </c>
      <c r="S499" s="30">
        <f>SUMIFS(Dump!P:P,Dump!B:B,C499,Dump!A:A,V499)</f>
        <v>0</v>
      </c>
      <c r="T499" s="31">
        <f t="shared" si="12"/>
        <v>0</v>
      </c>
      <c r="U499" s="34"/>
      <c r="V499" s="47"/>
    </row>
    <row r="500">
      <c r="C500" s="46"/>
      <c r="G500" s="1" t="str">
        <f t="shared" si="16"/>
        <v/>
      </c>
      <c r="I500" s="33" t="str">
        <f t="shared" si="8"/>
        <v/>
      </c>
      <c r="K500" s="27"/>
      <c r="L500" s="28">
        <f>SUMIFS(Dump!$D:$D,Dump!$B:$B,$C500,Dump!$A:$A,$V500)</f>
        <v>0</v>
      </c>
      <c r="M500" s="28">
        <f>SUMIFS(Dump!R:R,Dump!B:B,C500,Dump!A:A,V500)</f>
        <v>0</v>
      </c>
      <c r="N500" s="29">
        <f t="shared" si="10"/>
        <v>0</v>
      </c>
      <c r="P500" s="30">
        <f>SUMIFS(Dump!E:E,Dump!B:B,C500,Dump!A:A,V500)</f>
        <v>0</v>
      </c>
      <c r="Q500" s="31">
        <f t="shared" si="11"/>
        <v>0</v>
      </c>
      <c r="S500" s="30">
        <f>SUMIFS(Dump!P:P,Dump!B:B,C500,Dump!A:A,V500)</f>
        <v>0</v>
      </c>
      <c r="T500" s="31">
        <f t="shared" si="12"/>
        <v>0</v>
      </c>
      <c r="U500" s="34"/>
      <c r="V500" s="47"/>
    </row>
    <row r="501">
      <c r="C501" s="46"/>
      <c r="G501" s="1" t="str">
        <f t="shared" si="16"/>
        <v/>
      </c>
      <c r="I501" s="33" t="str">
        <f t="shared" si="8"/>
        <v/>
      </c>
      <c r="K501" s="27"/>
      <c r="L501" s="28">
        <f>SUMIFS(Dump!$D:$D,Dump!$B:$B,$C501,Dump!$A:$A,$V501)</f>
        <v>0</v>
      </c>
      <c r="M501" s="28">
        <f>SUMIFS(Dump!R:R,Dump!B:B,C501,Dump!A:A,V501)</f>
        <v>0</v>
      </c>
      <c r="N501" s="29">
        <f t="shared" si="10"/>
        <v>0</v>
      </c>
      <c r="P501" s="30">
        <f>SUMIFS(Dump!E:E,Dump!B:B,C501,Dump!A:A,V501)</f>
        <v>0</v>
      </c>
      <c r="Q501" s="31">
        <f t="shared" si="11"/>
        <v>0</v>
      </c>
      <c r="S501" s="30">
        <f>SUMIFS(Dump!P:P,Dump!B:B,C501,Dump!A:A,V501)</f>
        <v>0</v>
      </c>
      <c r="T501" s="31">
        <f t="shared" si="12"/>
        <v>0</v>
      </c>
      <c r="U501" s="34"/>
      <c r="V501" s="47"/>
    </row>
    <row r="502">
      <c r="C502" s="46"/>
      <c r="G502" s="1" t="str">
        <f t="shared" si="16"/>
        <v/>
      </c>
      <c r="I502" s="33" t="str">
        <f t="shared" si="8"/>
        <v/>
      </c>
      <c r="K502" s="27"/>
      <c r="L502" s="28">
        <f>SUMIFS(Dump!$D:$D,Dump!$B:$B,$C502,Dump!$A:$A,$V502)</f>
        <v>0</v>
      </c>
      <c r="M502" s="28">
        <f>SUMIFS(Dump!R:R,Dump!B:B,C502,Dump!A:A,V502)</f>
        <v>0</v>
      </c>
      <c r="N502" s="29">
        <f t="shared" si="10"/>
        <v>0</v>
      </c>
      <c r="P502" s="30">
        <f>SUMIFS(Dump!E:E,Dump!B:B,C502,Dump!A:A,V502)</f>
        <v>0</v>
      </c>
      <c r="Q502" s="31">
        <f t="shared" si="11"/>
        <v>0</v>
      </c>
      <c r="S502" s="30">
        <f>SUMIFS(Dump!P:P,Dump!B:B,C502,Dump!A:A,V502)</f>
        <v>0</v>
      </c>
      <c r="T502" s="31">
        <f t="shared" si="12"/>
        <v>0</v>
      </c>
      <c r="U502" s="34"/>
      <c r="V502" s="47"/>
    </row>
    <row r="503">
      <c r="C503" s="46"/>
      <c r="G503" s="1" t="str">
        <f t="shared" si="16"/>
        <v/>
      </c>
      <c r="I503" s="33" t="str">
        <f t="shared" si="8"/>
        <v/>
      </c>
      <c r="K503" s="27"/>
      <c r="L503" s="28">
        <f>SUMIFS(Dump!$D:$D,Dump!$B:$B,$C503,Dump!$A:$A,$V503)</f>
        <v>0</v>
      </c>
      <c r="M503" s="28">
        <f>SUMIFS(Dump!R:R,Dump!B:B,C503,Dump!A:A,V503)</f>
        <v>0</v>
      </c>
      <c r="N503" s="29">
        <f t="shared" si="10"/>
        <v>0</v>
      </c>
      <c r="P503" s="30">
        <f>SUMIFS(Dump!E:E,Dump!B:B,C503,Dump!A:A,V503)</f>
        <v>0</v>
      </c>
      <c r="Q503" s="31">
        <f t="shared" si="11"/>
        <v>0</v>
      </c>
      <c r="S503" s="30">
        <f>SUMIFS(Dump!P:P,Dump!B:B,C503,Dump!A:A,V503)</f>
        <v>0</v>
      </c>
      <c r="T503" s="31">
        <f t="shared" si="12"/>
        <v>0</v>
      </c>
      <c r="U503" s="34"/>
      <c r="V503" s="47"/>
    </row>
    <row r="504">
      <c r="C504" s="46"/>
      <c r="G504" s="1" t="str">
        <f t="shared" si="16"/>
        <v/>
      </c>
      <c r="I504" s="33" t="str">
        <f t="shared" si="8"/>
        <v/>
      </c>
      <c r="K504" s="27"/>
      <c r="L504" s="28">
        <f>SUMIFS(Dump!$D:$D,Dump!$B:$B,$C504,Dump!$A:$A,$V504)</f>
        <v>0</v>
      </c>
      <c r="M504" s="28">
        <f>SUMIFS(Dump!R:R,Dump!B:B,C504,Dump!A:A,V504)</f>
        <v>0</v>
      </c>
      <c r="N504" s="29">
        <f t="shared" si="10"/>
        <v>0</v>
      </c>
      <c r="P504" s="30">
        <f>SUMIFS(Dump!E:E,Dump!B:B,C504,Dump!A:A,V504)</f>
        <v>0</v>
      </c>
      <c r="Q504" s="31">
        <f t="shared" si="11"/>
        <v>0</v>
      </c>
      <c r="S504" s="30">
        <f>SUMIFS(Dump!P:P,Dump!B:B,C504,Dump!A:A,V504)</f>
        <v>0</v>
      </c>
      <c r="T504" s="31">
        <f t="shared" si="12"/>
        <v>0</v>
      </c>
      <c r="U504" s="34"/>
      <c r="V504" s="47"/>
    </row>
    <row r="505">
      <c r="C505" s="46"/>
      <c r="G505" s="1" t="str">
        <f t="shared" si="16"/>
        <v/>
      </c>
      <c r="I505" s="33" t="str">
        <f t="shared" si="8"/>
        <v/>
      </c>
      <c r="K505" s="27"/>
      <c r="L505" s="28">
        <f>SUMIFS(Dump!$D:$D,Dump!$B:$B,$C505,Dump!$A:$A,$V505)</f>
        <v>0</v>
      </c>
      <c r="M505" s="28">
        <f>SUMIFS(Dump!R:R,Dump!B:B,C505,Dump!A:A,V505)</f>
        <v>0</v>
      </c>
      <c r="N505" s="29">
        <f t="shared" si="10"/>
        <v>0</v>
      </c>
      <c r="P505" s="30">
        <f>SUMIFS(Dump!E:E,Dump!B:B,C505,Dump!A:A,V505)</f>
        <v>0</v>
      </c>
      <c r="Q505" s="31">
        <f t="shared" si="11"/>
        <v>0</v>
      </c>
      <c r="S505" s="30">
        <f>SUMIFS(Dump!P:P,Dump!B:B,C505,Dump!A:A,V505)</f>
        <v>0</v>
      </c>
      <c r="T505" s="31">
        <f t="shared" si="12"/>
        <v>0</v>
      </c>
      <c r="U505" s="34"/>
      <c r="V505" s="47"/>
    </row>
    <row r="506">
      <c r="C506" s="46"/>
      <c r="G506" s="1" t="str">
        <f t="shared" si="16"/>
        <v/>
      </c>
      <c r="I506" s="33" t="str">
        <f t="shared" si="8"/>
        <v/>
      </c>
      <c r="K506" s="27"/>
      <c r="L506" s="28">
        <f>SUMIFS(Dump!$D:$D,Dump!$B:$B,$C506,Dump!$A:$A,$V506)</f>
        <v>0</v>
      </c>
      <c r="M506" s="28">
        <f>SUMIFS(Dump!R:R,Dump!B:B,C506,Dump!A:A,V506)</f>
        <v>0</v>
      </c>
      <c r="N506" s="29">
        <f t="shared" si="10"/>
        <v>0</v>
      </c>
      <c r="P506" s="30">
        <f>SUMIFS(Dump!E:E,Dump!B:B,C506,Dump!A:A,V506)</f>
        <v>0</v>
      </c>
      <c r="Q506" s="31">
        <f t="shared" si="11"/>
        <v>0</v>
      </c>
      <c r="S506" s="30">
        <f>SUMIFS(Dump!P:P,Dump!B:B,C506,Dump!A:A,V506)</f>
        <v>0</v>
      </c>
      <c r="T506" s="31">
        <f t="shared" si="12"/>
        <v>0</v>
      </c>
      <c r="U506" s="34"/>
      <c r="V506" s="47"/>
    </row>
    <row r="507">
      <c r="C507" s="46"/>
      <c r="G507" s="1" t="str">
        <f t="shared" si="16"/>
        <v/>
      </c>
      <c r="I507" s="33" t="str">
        <f t="shared" si="8"/>
        <v/>
      </c>
      <c r="K507" s="27"/>
      <c r="L507" s="28">
        <f>SUMIFS(Dump!$D:$D,Dump!$B:$B,$C507,Dump!$A:$A,$V507)</f>
        <v>0</v>
      </c>
      <c r="M507" s="28">
        <f>SUMIFS(Dump!R:R,Dump!B:B,C507,Dump!A:A,V507)</f>
        <v>0</v>
      </c>
      <c r="N507" s="29">
        <f t="shared" si="10"/>
        <v>0</v>
      </c>
      <c r="P507" s="30">
        <f>SUMIFS(Dump!E:E,Dump!B:B,C507,Dump!A:A,V507)</f>
        <v>0</v>
      </c>
      <c r="Q507" s="31">
        <f t="shared" si="11"/>
        <v>0</v>
      </c>
      <c r="S507" s="30">
        <f>SUMIFS(Dump!P:P,Dump!B:B,C507,Dump!A:A,V507)</f>
        <v>0</v>
      </c>
      <c r="T507" s="31">
        <f t="shared" si="12"/>
        <v>0</v>
      </c>
      <c r="U507" s="34"/>
      <c r="V507" s="47"/>
    </row>
    <row r="508">
      <c r="C508" s="46"/>
      <c r="G508" s="1" t="str">
        <f t="shared" si="16"/>
        <v/>
      </c>
      <c r="I508" s="33" t="str">
        <f t="shared" si="8"/>
        <v/>
      </c>
      <c r="K508" s="27"/>
      <c r="L508" s="28">
        <f>SUMIFS(Dump!$D:$D,Dump!$B:$B,$C508,Dump!$A:$A,$V508)</f>
        <v>0</v>
      </c>
      <c r="M508" s="28">
        <f>SUMIFS(Dump!R:R,Dump!B:B,C508,Dump!A:A,V508)</f>
        <v>0</v>
      </c>
      <c r="N508" s="29">
        <f t="shared" si="10"/>
        <v>0</v>
      </c>
      <c r="P508" s="30">
        <f>SUMIFS(Dump!E:E,Dump!B:B,C508,Dump!A:A,V508)</f>
        <v>0</v>
      </c>
      <c r="Q508" s="31">
        <f t="shared" si="11"/>
        <v>0</v>
      </c>
      <c r="S508" s="30">
        <f>SUMIFS(Dump!P:P,Dump!B:B,C508,Dump!A:A,V508)</f>
        <v>0</v>
      </c>
      <c r="T508" s="31">
        <f t="shared" si="12"/>
        <v>0</v>
      </c>
      <c r="U508" s="34"/>
      <c r="V508" s="47"/>
    </row>
    <row r="509">
      <c r="C509" s="46"/>
      <c r="G509" s="1" t="str">
        <f t="shared" si="16"/>
        <v/>
      </c>
      <c r="I509" s="33" t="str">
        <f t="shared" si="8"/>
        <v/>
      </c>
      <c r="K509" s="27"/>
      <c r="L509" s="28">
        <f>SUMIFS(Dump!$D:$D,Dump!$B:$B,$C509,Dump!$A:$A,$V509)</f>
        <v>0</v>
      </c>
      <c r="M509" s="28">
        <f>SUMIFS(Dump!R:R,Dump!B:B,C509,Dump!A:A,V509)</f>
        <v>0</v>
      </c>
      <c r="N509" s="29">
        <f t="shared" si="10"/>
        <v>0</v>
      </c>
      <c r="P509" s="30">
        <f>SUMIFS(Dump!E:E,Dump!B:B,C509,Dump!A:A,V509)</f>
        <v>0</v>
      </c>
      <c r="Q509" s="31">
        <f t="shared" si="11"/>
        <v>0</v>
      </c>
      <c r="S509" s="30">
        <f>SUMIFS(Dump!P:P,Dump!B:B,C509,Dump!A:A,V509)</f>
        <v>0</v>
      </c>
      <c r="T509" s="31">
        <f t="shared" si="12"/>
        <v>0</v>
      </c>
      <c r="U509" s="34"/>
      <c r="V509" s="47"/>
    </row>
    <row r="510">
      <c r="C510" s="46"/>
      <c r="G510" s="1" t="str">
        <f t="shared" si="16"/>
        <v/>
      </c>
      <c r="I510" s="33" t="str">
        <f t="shared" si="8"/>
        <v/>
      </c>
      <c r="K510" s="27"/>
      <c r="L510" s="28">
        <f>SUMIFS(Dump!$D:$D,Dump!$B:$B,$C510,Dump!$A:$A,$V510)</f>
        <v>0</v>
      </c>
      <c r="M510" s="28">
        <f>SUMIFS(Dump!R:R,Dump!B:B,C510,Dump!A:A,V510)</f>
        <v>0</v>
      </c>
      <c r="N510" s="29">
        <f t="shared" si="10"/>
        <v>0</v>
      </c>
      <c r="P510" s="30">
        <f>SUMIFS(Dump!E:E,Dump!B:B,C510,Dump!A:A,V510)</f>
        <v>0</v>
      </c>
      <c r="Q510" s="31">
        <f t="shared" si="11"/>
        <v>0</v>
      </c>
      <c r="S510" s="30">
        <f>SUMIFS(Dump!P:P,Dump!B:B,C510,Dump!A:A,V510)</f>
        <v>0</v>
      </c>
      <c r="T510" s="31">
        <f t="shared" si="12"/>
        <v>0</v>
      </c>
      <c r="U510" s="34"/>
      <c r="V510" s="47"/>
    </row>
    <row r="511">
      <c r="C511" s="46"/>
      <c r="G511" s="1" t="str">
        <f t="shared" si="16"/>
        <v/>
      </c>
      <c r="I511" s="33" t="str">
        <f t="shared" si="8"/>
        <v/>
      </c>
      <c r="K511" s="27"/>
      <c r="L511" s="28">
        <f>SUMIFS(Dump!$D:$D,Dump!$B:$B,$C511,Dump!$A:$A,$V511)</f>
        <v>0</v>
      </c>
      <c r="M511" s="28">
        <f>SUMIFS(Dump!R:R,Dump!B:B,C511,Dump!A:A,V511)</f>
        <v>0</v>
      </c>
      <c r="N511" s="29">
        <f t="shared" si="10"/>
        <v>0</v>
      </c>
      <c r="P511" s="30">
        <f>SUMIFS(Dump!E:E,Dump!B:B,C511,Dump!A:A,V511)</f>
        <v>0</v>
      </c>
      <c r="Q511" s="31">
        <f t="shared" si="11"/>
        <v>0</v>
      </c>
      <c r="S511" s="30">
        <f>SUMIFS(Dump!P:P,Dump!B:B,C511,Dump!A:A,V511)</f>
        <v>0</v>
      </c>
      <c r="T511" s="31">
        <f t="shared" si="12"/>
        <v>0</v>
      </c>
      <c r="U511" s="34"/>
      <c r="V511" s="47"/>
    </row>
    <row r="512">
      <c r="C512" s="46"/>
      <c r="G512" s="1" t="str">
        <f t="shared" si="16"/>
        <v/>
      </c>
      <c r="I512" s="33" t="str">
        <f t="shared" si="8"/>
        <v/>
      </c>
      <c r="K512" s="27"/>
      <c r="L512" s="28">
        <f>SUMIFS(Dump!$D:$D,Dump!$B:$B,$C512,Dump!$A:$A,$V512)</f>
        <v>0</v>
      </c>
      <c r="M512" s="28">
        <f>SUMIFS(Dump!R:R,Dump!B:B,C512,Dump!A:A,V512)</f>
        <v>0</v>
      </c>
      <c r="N512" s="29">
        <f t="shared" si="10"/>
        <v>0</v>
      </c>
      <c r="P512" s="30">
        <f>SUMIFS(Dump!E:E,Dump!B:B,C512,Dump!A:A,V512)</f>
        <v>0</v>
      </c>
      <c r="Q512" s="31">
        <f t="shared" si="11"/>
        <v>0</v>
      </c>
      <c r="S512" s="30">
        <f>SUMIFS(Dump!P:P,Dump!B:B,C512,Dump!A:A,V512)</f>
        <v>0</v>
      </c>
      <c r="T512" s="31">
        <f t="shared" si="12"/>
        <v>0</v>
      </c>
      <c r="U512" s="34"/>
      <c r="V512" s="47"/>
    </row>
    <row r="513">
      <c r="C513" s="46"/>
      <c r="G513" s="1" t="str">
        <f t="shared" si="16"/>
        <v/>
      </c>
      <c r="I513" s="33" t="str">
        <f t="shared" si="8"/>
        <v/>
      </c>
      <c r="K513" s="27"/>
      <c r="L513" s="28">
        <f>SUMIFS(Dump!$D:$D,Dump!$B:$B,$C513,Dump!$A:$A,$V513)</f>
        <v>0</v>
      </c>
      <c r="M513" s="28">
        <f>SUMIFS(Dump!R:R,Dump!B:B,C513,Dump!A:A,V513)</f>
        <v>0</v>
      </c>
      <c r="N513" s="29">
        <f t="shared" si="10"/>
        <v>0</v>
      </c>
      <c r="P513" s="30">
        <f>SUMIFS(Dump!E:E,Dump!B:B,C513,Dump!A:A,V513)</f>
        <v>0</v>
      </c>
      <c r="Q513" s="31">
        <f t="shared" si="11"/>
        <v>0</v>
      </c>
      <c r="S513" s="30">
        <f>SUMIFS(Dump!P:P,Dump!B:B,C513,Dump!A:A,V513)</f>
        <v>0</v>
      </c>
      <c r="T513" s="31">
        <f t="shared" si="12"/>
        <v>0</v>
      </c>
      <c r="U513" s="34"/>
      <c r="V513" s="47"/>
    </row>
    <row r="514">
      <c r="C514" s="46"/>
      <c r="G514" s="1" t="str">
        <f t="shared" si="16"/>
        <v/>
      </c>
      <c r="I514" s="33" t="str">
        <f t="shared" si="8"/>
        <v/>
      </c>
      <c r="K514" s="27"/>
      <c r="L514" s="28">
        <f>SUMIFS(Dump!$D:$D,Dump!$B:$B,$C514,Dump!$A:$A,$V514)</f>
        <v>0</v>
      </c>
      <c r="M514" s="28">
        <f>SUMIFS(Dump!R:R,Dump!B:B,C514,Dump!A:A,V514)</f>
        <v>0</v>
      </c>
      <c r="N514" s="29">
        <f t="shared" si="10"/>
        <v>0</v>
      </c>
      <c r="P514" s="30">
        <f>SUMIFS(Dump!E:E,Dump!B:B,C514,Dump!A:A,V514)</f>
        <v>0</v>
      </c>
      <c r="Q514" s="31">
        <f t="shared" si="11"/>
        <v>0</v>
      </c>
      <c r="S514" s="30">
        <f>SUMIFS(Dump!P:P,Dump!B:B,C514,Dump!A:A,V514)</f>
        <v>0</v>
      </c>
      <c r="T514" s="31">
        <f t="shared" si="12"/>
        <v>0</v>
      </c>
      <c r="U514" s="34"/>
      <c r="V514" s="47"/>
    </row>
    <row r="515">
      <c r="C515" s="46"/>
      <c r="G515" s="1" t="str">
        <f t="shared" si="16"/>
        <v/>
      </c>
      <c r="I515" s="33" t="str">
        <f t="shared" si="8"/>
        <v/>
      </c>
      <c r="K515" s="27"/>
      <c r="L515" s="28">
        <f>SUMIFS(Dump!$D:$D,Dump!$B:$B,$C515,Dump!$A:$A,$V515)</f>
        <v>0</v>
      </c>
      <c r="M515" s="28">
        <f>SUMIFS(Dump!R:R,Dump!B:B,C515,Dump!A:A,V515)</f>
        <v>0</v>
      </c>
      <c r="N515" s="29">
        <f t="shared" si="10"/>
        <v>0</v>
      </c>
      <c r="P515" s="30">
        <f>SUMIFS(Dump!E:E,Dump!B:B,C515,Dump!A:A,V515)</f>
        <v>0</v>
      </c>
      <c r="Q515" s="31">
        <f t="shared" si="11"/>
        <v>0</v>
      </c>
      <c r="S515" s="30">
        <f>SUMIFS(Dump!P:P,Dump!B:B,C515,Dump!A:A,V515)</f>
        <v>0</v>
      </c>
      <c r="T515" s="31">
        <f t="shared" si="12"/>
        <v>0</v>
      </c>
      <c r="U515" s="34"/>
      <c r="V515" s="47"/>
    </row>
    <row r="516">
      <c r="C516" s="46"/>
      <c r="G516" s="1" t="str">
        <f t="shared" si="16"/>
        <v/>
      </c>
      <c r="I516" s="33" t="str">
        <f t="shared" si="8"/>
        <v/>
      </c>
      <c r="K516" s="27"/>
      <c r="L516" s="28">
        <f>SUMIFS(Dump!$D:$D,Dump!$B:$B,$C516,Dump!$A:$A,$V516)</f>
        <v>0</v>
      </c>
      <c r="M516" s="28">
        <f>SUMIFS(Dump!R:R,Dump!B:B,C516,Dump!A:A,V516)</f>
        <v>0</v>
      </c>
      <c r="N516" s="29">
        <f t="shared" si="10"/>
        <v>0</v>
      </c>
      <c r="P516" s="30">
        <f>SUMIFS(Dump!E:E,Dump!B:B,C516,Dump!A:A,V516)</f>
        <v>0</v>
      </c>
      <c r="Q516" s="31">
        <f t="shared" si="11"/>
        <v>0</v>
      </c>
      <c r="S516" s="30">
        <f>SUMIFS(Dump!P:P,Dump!B:B,C516,Dump!A:A,V516)</f>
        <v>0</v>
      </c>
      <c r="T516" s="31">
        <f t="shared" si="12"/>
        <v>0</v>
      </c>
      <c r="U516" s="34"/>
      <c r="V516" s="47"/>
    </row>
    <row r="517">
      <c r="C517" s="46"/>
      <c r="G517" s="1" t="str">
        <f t="shared" si="16"/>
        <v/>
      </c>
      <c r="I517" s="33" t="str">
        <f t="shared" si="8"/>
        <v/>
      </c>
      <c r="K517" s="27"/>
      <c r="L517" s="28">
        <f>SUMIFS(Dump!$D:$D,Dump!$B:$B,$C517,Dump!$A:$A,$V517)</f>
        <v>0</v>
      </c>
      <c r="M517" s="28">
        <f>SUMIFS(Dump!R:R,Dump!B:B,C517,Dump!A:A,V517)</f>
        <v>0</v>
      </c>
      <c r="N517" s="29">
        <f t="shared" si="10"/>
        <v>0</v>
      </c>
      <c r="P517" s="30">
        <f>SUMIFS(Dump!E:E,Dump!B:B,C517,Dump!A:A,V517)</f>
        <v>0</v>
      </c>
      <c r="Q517" s="31">
        <f t="shared" si="11"/>
        <v>0</v>
      </c>
      <c r="S517" s="30">
        <f>SUMIFS(Dump!P:P,Dump!B:B,C517,Dump!A:A,V517)</f>
        <v>0</v>
      </c>
      <c r="T517" s="31">
        <f t="shared" si="12"/>
        <v>0</v>
      </c>
      <c r="U517" s="34"/>
      <c r="V517" s="47"/>
    </row>
    <row r="518">
      <c r="C518" s="46"/>
      <c r="G518" s="1" t="str">
        <f t="shared" si="16"/>
        <v/>
      </c>
      <c r="I518" s="33" t="str">
        <f t="shared" si="8"/>
        <v/>
      </c>
      <c r="K518" s="27"/>
      <c r="L518" s="28">
        <f>SUMIFS(Dump!$D:$D,Dump!$B:$B,$C518,Dump!$A:$A,$V518)</f>
        <v>0</v>
      </c>
      <c r="M518" s="28">
        <f>SUMIFS(Dump!R:R,Dump!B:B,C518,Dump!A:A,V518)</f>
        <v>0</v>
      </c>
      <c r="N518" s="29">
        <f t="shared" si="10"/>
        <v>0</v>
      </c>
      <c r="P518" s="30">
        <f>SUMIFS(Dump!E:E,Dump!B:B,C518,Dump!A:A,V518)</f>
        <v>0</v>
      </c>
      <c r="Q518" s="31">
        <f t="shared" si="11"/>
        <v>0</v>
      </c>
      <c r="S518" s="30">
        <f>SUMIFS(Dump!P:P,Dump!B:B,C518,Dump!A:A,V518)</f>
        <v>0</v>
      </c>
      <c r="T518" s="31">
        <f t="shared" si="12"/>
        <v>0</v>
      </c>
      <c r="U518" s="34"/>
      <c r="V518" s="47"/>
    </row>
    <row r="519">
      <c r="C519" s="46"/>
      <c r="G519" s="1" t="str">
        <f t="shared" si="16"/>
        <v/>
      </c>
      <c r="I519" s="33" t="str">
        <f t="shared" si="8"/>
        <v/>
      </c>
      <c r="K519" s="27"/>
      <c r="L519" s="28">
        <f>SUMIFS(Dump!$D:$D,Dump!$B:$B,$C519,Dump!$A:$A,$V519)</f>
        <v>0</v>
      </c>
      <c r="M519" s="28">
        <f>SUMIFS(Dump!R:R,Dump!B:B,C519,Dump!A:A,V519)</f>
        <v>0</v>
      </c>
      <c r="N519" s="29">
        <f t="shared" si="10"/>
        <v>0</v>
      </c>
      <c r="P519" s="30">
        <f>SUMIFS(Dump!E:E,Dump!B:B,C519,Dump!A:A,V519)</f>
        <v>0</v>
      </c>
      <c r="Q519" s="31">
        <f t="shared" si="11"/>
        <v>0</v>
      </c>
      <c r="S519" s="30">
        <f>SUMIFS(Dump!P:P,Dump!B:B,C519,Dump!A:A,V519)</f>
        <v>0</v>
      </c>
      <c r="T519" s="31">
        <f t="shared" si="12"/>
        <v>0</v>
      </c>
      <c r="U519" s="34"/>
      <c r="V519" s="47"/>
    </row>
    <row r="520">
      <c r="C520" s="46"/>
      <c r="G520" s="1" t="str">
        <f t="shared" si="16"/>
        <v/>
      </c>
      <c r="I520" s="33" t="str">
        <f t="shared" si="8"/>
        <v/>
      </c>
      <c r="K520" s="27"/>
      <c r="L520" s="28">
        <f>SUMIFS(Dump!$D:$D,Dump!$B:$B,$C520,Dump!$A:$A,$V520)</f>
        <v>0</v>
      </c>
      <c r="M520" s="28">
        <f>SUMIFS(Dump!R:R,Dump!B:B,C520,Dump!A:A,V520)</f>
        <v>0</v>
      </c>
      <c r="N520" s="29">
        <f t="shared" si="10"/>
        <v>0</v>
      </c>
      <c r="P520" s="30">
        <f>SUMIFS(Dump!E:E,Dump!B:B,C520,Dump!A:A,V520)</f>
        <v>0</v>
      </c>
      <c r="Q520" s="31">
        <f t="shared" si="11"/>
        <v>0</v>
      </c>
      <c r="S520" s="30">
        <f>SUMIFS(Dump!P:P,Dump!B:B,C520,Dump!A:A,V520)</f>
        <v>0</v>
      </c>
      <c r="T520" s="31">
        <f t="shared" si="12"/>
        <v>0</v>
      </c>
      <c r="U520" s="34"/>
      <c r="V520" s="47"/>
    </row>
    <row r="521">
      <c r="C521" s="46"/>
      <c r="G521" s="1" t="str">
        <f t="shared" si="16"/>
        <v/>
      </c>
      <c r="I521" s="33" t="str">
        <f t="shared" si="8"/>
        <v/>
      </c>
      <c r="K521" s="27"/>
      <c r="L521" s="28">
        <f>SUMIFS(Dump!$D:$D,Dump!$B:$B,$C521,Dump!$A:$A,$V521)</f>
        <v>0</v>
      </c>
      <c r="M521" s="28">
        <f>SUMIFS(Dump!R:R,Dump!B:B,C521,Dump!A:A,V521)</f>
        <v>0</v>
      </c>
      <c r="N521" s="29">
        <f t="shared" si="10"/>
        <v>0</v>
      </c>
      <c r="P521" s="30">
        <f>SUMIFS(Dump!E:E,Dump!B:B,C521,Dump!A:A,V521)</f>
        <v>0</v>
      </c>
      <c r="Q521" s="31">
        <f t="shared" si="11"/>
        <v>0</v>
      </c>
      <c r="S521" s="30">
        <f>SUMIFS(Dump!P:P,Dump!B:B,C521,Dump!A:A,V521)</f>
        <v>0</v>
      </c>
      <c r="T521" s="31">
        <f t="shared" si="12"/>
        <v>0</v>
      </c>
      <c r="U521" s="34"/>
      <c r="V521" s="47"/>
    </row>
    <row r="522">
      <c r="C522" s="46"/>
      <c r="G522" s="1" t="str">
        <f t="shared" si="16"/>
        <v/>
      </c>
      <c r="I522" s="33" t="str">
        <f t="shared" si="8"/>
        <v/>
      </c>
      <c r="K522" s="27"/>
      <c r="L522" s="28">
        <f>SUMIFS(Dump!$D:$D,Dump!$B:$B,$C522,Dump!$A:$A,$V522)</f>
        <v>0</v>
      </c>
      <c r="M522" s="28">
        <f>SUMIFS(Dump!R:R,Dump!B:B,C522,Dump!A:A,V522)</f>
        <v>0</v>
      </c>
      <c r="N522" s="29">
        <f t="shared" si="10"/>
        <v>0</v>
      </c>
      <c r="P522" s="30">
        <f>SUMIFS(Dump!E:E,Dump!B:B,C522,Dump!A:A,V522)</f>
        <v>0</v>
      </c>
      <c r="Q522" s="31">
        <f t="shared" si="11"/>
        <v>0</v>
      </c>
      <c r="S522" s="30">
        <f>SUMIFS(Dump!P:P,Dump!B:B,C522,Dump!A:A,V522)</f>
        <v>0</v>
      </c>
      <c r="T522" s="31">
        <f t="shared" si="12"/>
        <v>0</v>
      </c>
      <c r="U522" s="34"/>
      <c r="V522" s="47"/>
    </row>
    <row r="523">
      <c r="C523" s="46"/>
      <c r="G523" s="1" t="str">
        <f t="shared" si="16"/>
        <v/>
      </c>
      <c r="I523" s="33" t="str">
        <f t="shared" si="8"/>
        <v/>
      </c>
      <c r="K523" s="27"/>
      <c r="L523" s="28">
        <f>SUMIFS(Dump!$D:$D,Dump!$B:$B,$C523,Dump!$A:$A,$V523)</f>
        <v>0</v>
      </c>
      <c r="M523" s="28">
        <f>SUMIFS(Dump!R:R,Dump!B:B,C523,Dump!A:A,V523)</f>
        <v>0</v>
      </c>
      <c r="N523" s="29">
        <f t="shared" si="10"/>
        <v>0</v>
      </c>
      <c r="P523" s="30">
        <f>SUMIFS(Dump!E:E,Dump!B:B,C523,Dump!A:A,V523)</f>
        <v>0</v>
      </c>
      <c r="Q523" s="31">
        <f t="shared" si="11"/>
        <v>0</v>
      </c>
      <c r="S523" s="30">
        <f>SUMIFS(Dump!P:P,Dump!B:B,C523,Dump!A:A,V523)</f>
        <v>0</v>
      </c>
      <c r="T523" s="31">
        <f t="shared" si="12"/>
        <v>0</v>
      </c>
      <c r="U523" s="34"/>
      <c r="V523" s="47"/>
    </row>
    <row r="524">
      <c r="C524" s="46"/>
      <c r="G524" s="1" t="str">
        <f t="shared" si="16"/>
        <v/>
      </c>
      <c r="I524" s="33" t="str">
        <f t="shared" si="8"/>
        <v/>
      </c>
      <c r="K524" s="27"/>
      <c r="L524" s="28">
        <f>SUMIFS(Dump!$D:$D,Dump!$B:$B,$C524,Dump!$A:$A,$V524)</f>
        <v>0</v>
      </c>
      <c r="M524" s="28">
        <f>SUMIFS(Dump!R:R,Dump!B:B,C524,Dump!A:A,V524)</f>
        <v>0</v>
      </c>
      <c r="N524" s="29">
        <f t="shared" si="10"/>
        <v>0</v>
      </c>
      <c r="P524" s="30">
        <f>SUMIFS(Dump!E:E,Dump!B:B,C524,Dump!A:A,V524)</f>
        <v>0</v>
      </c>
      <c r="Q524" s="31">
        <f t="shared" si="11"/>
        <v>0</v>
      </c>
      <c r="S524" s="30">
        <f>SUMIFS(Dump!P:P,Dump!B:B,C524,Dump!A:A,V524)</f>
        <v>0</v>
      </c>
      <c r="T524" s="31">
        <f t="shared" si="12"/>
        <v>0</v>
      </c>
      <c r="U524" s="34"/>
      <c r="V524" s="47"/>
    </row>
    <row r="525">
      <c r="C525" s="46"/>
      <c r="G525" s="1" t="str">
        <f t="shared" si="16"/>
        <v/>
      </c>
      <c r="I525" s="33" t="str">
        <f t="shared" si="8"/>
        <v/>
      </c>
      <c r="K525" s="27"/>
      <c r="L525" s="28">
        <f>SUMIFS(Dump!$D:$D,Dump!$B:$B,$C525,Dump!$A:$A,$V525)</f>
        <v>0</v>
      </c>
      <c r="M525" s="28">
        <f>SUMIFS(Dump!R:R,Dump!B:B,C525,Dump!A:A,V525)</f>
        <v>0</v>
      </c>
      <c r="N525" s="29">
        <f t="shared" si="10"/>
        <v>0</v>
      </c>
      <c r="P525" s="30">
        <f>SUMIFS(Dump!E:E,Dump!B:B,C525,Dump!A:A,V525)</f>
        <v>0</v>
      </c>
      <c r="Q525" s="31">
        <f t="shared" si="11"/>
        <v>0</v>
      </c>
      <c r="S525" s="30">
        <f>SUMIFS(Dump!P:P,Dump!B:B,C525,Dump!A:A,V525)</f>
        <v>0</v>
      </c>
      <c r="T525" s="31">
        <f t="shared" si="12"/>
        <v>0</v>
      </c>
      <c r="U525" s="34"/>
      <c r="V525" s="47"/>
    </row>
    <row r="526">
      <c r="C526" s="46"/>
      <c r="G526" s="1" t="str">
        <f t="shared" si="16"/>
        <v/>
      </c>
      <c r="I526" s="33" t="str">
        <f t="shared" si="8"/>
        <v/>
      </c>
      <c r="K526" s="27"/>
      <c r="L526" s="28">
        <f>SUMIFS(Dump!$D:$D,Dump!$B:$B,$C526,Dump!$A:$A,$V526)</f>
        <v>0</v>
      </c>
      <c r="M526" s="28">
        <f>SUMIFS(Dump!R:R,Dump!B:B,C526,Dump!A:A,V526)</f>
        <v>0</v>
      </c>
      <c r="N526" s="29">
        <f t="shared" si="10"/>
        <v>0</v>
      </c>
      <c r="P526" s="30">
        <f>SUMIFS(Dump!E:E,Dump!B:B,C526,Dump!A:A,V526)</f>
        <v>0</v>
      </c>
      <c r="Q526" s="31">
        <f t="shared" si="11"/>
        <v>0</v>
      </c>
      <c r="S526" s="30">
        <f>SUMIFS(Dump!P:P,Dump!B:B,C526,Dump!A:A,V526)</f>
        <v>0</v>
      </c>
      <c r="T526" s="31">
        <f t="shared" si="12"/>
        <v>0</v>
      </c>
      <c r="U526" s="34"/>
      <c r="V526" s="47"/>
    </row>
    <row r="527">
      <c r="C527" s="46"/>
      <c r="G527" s="1" t="str">
        <f t="shared" si="16"/>
        <v/>
      </c>
      <c r="I527" s="33" t="str">
        <f t="shared" si="8"/>
        <v/>
      </c>
      <c r="K527" s="27"/>
      <c r="L527" s="28">
        <f>SUMIFS(Dump!$D:$D,Dump!$B:$B,$C527,Dump!$A:$A,$V527)</f>
        <v>0</v>
      </c>
      <c r="M527" s="28">
        <f>SUMIFS(Dump!R:R,Dump!B:B,C527,Dump!A:A,V527)</f>
        <v>0</v>
      </c>
      <c r="N527" s="29">
        <f t="shared" si="10"/>
        <v>0</v>
      </c>
      <c r="P527" s="30">
        <f>SUMIFS(Dump!E:E,Dump!B:B,C527,Dump!A:A,V527)</f>
        <v>0</v>
      </c>
      <c r="Q527" s="31">
        <f t="shared" si="11"/>
        <v>0</v>
      </c>
      <c r="S527" s="30">
        <f>SUMIFS(Dump!P:P,Dump!B:B,C527,Dump!A:A,V527)</f>
        <v>0</v>
      </c>
      <c r="T527" s="31">
        <f t="shared" si="12"/>
        <v>0</v>
      </c>
      <c r="U527" s="34"/>
      <c r="V527" s="47"/>
    </row>
    <row r="528">
      <c r="C528" s="46"/>
      <c r="G528" s="1" t="str">
        <f t="shared" si="16"/>
        <v/>
      </c>
      <c r="I528" s="33" t="str">
        <f t="shared" si="8"/>
        <v/>
      </c>
      <c r="K528" s="27"/>
      <c r="L528" s="28">
        <f>SUMIFS(Dump!$D:$D,Dump!$B:$B,$C528,Dump!$A:$A,$V528)</f>
        <v>0</v>
      </c>
      <c r="M528" s="28">
        <f>SUMIFS(Dump!R:R,Dump!B:B,C528,Dump!A:A,V528)</f>
        <v>0</v>
      </c>
      <c r="N528" s="29">
        <f t="shared" si="10"/>
        <v>0</v>
      </c>
      <c r="P528" s="30">
        <f>SUMIFS(Dump!E:E,Dump!B:B,C528,Dump!A:A,V528)</f>
        <v>0</v>
      </c>
      <c r="Q528" s="31">
        <f t="shared" si="11"/>
        <v>0</v>
      </c>
      <c r="S528" s="30">
        <f>SUMIFS(Dump!P:P,Dump!B:B,C528,Dump!A:A,V528)</f>
        <v>0</v>
      </c>
      <c r="T528" s="31">
        <f t="shared" si="12"/>
        <v>0</v>
      </c>
      <c r="U528" s="34"/>
      <c r="V528" s="47"/>
    </row>
    <row r="529">
      <c r="C529" s="46"/>
      <c r="G529" s="1" t="str">
        <f t="shared" si="16"/>
        <v/>
      </c>
      <c r="I529" s="33" t="str">
        <f t="shared" si="8"/>
        <v/>
      </c>
      <c r="K529" s="27"/>
      <c r="L529" s="28">
        <f>SUMIFS(Dump!$D:$D,Dump!$B:$B,$C529,Dump!$A:$A,$V529)</f>
        <v>0</v>
      </c>
      <c r="M529" s="28">
        <f>SUMIFS(Dump!R:R,Dump!B:B,C529,Dump!A:A,V529)</f>
        <v>0</v>
      </c>
      <c r="N529" s="29">
        <f t="shared" si="10"/>
        <v>0</v>
      </c>
      <c r="P529" s="30">
        <f>SUMIFS(Dump!E:E,Dump!B:B,C529,Dump!A:A,V529)</f>
        <v>0</v>
      </c>
      <c r="Q529" s="31">
        <f t="shared" si="11"/>
        <v>0</v>
      </c>
      <c r="S529" s="30">
        <f>SUMIFS(Dump!P:P,Dump!B:B,C529,Dump!A:A,V529)</f>
        <v>0</v>
      </c>
      <c r="T529" s="31">
        <f t="shared" si="12"/>
        <v>0</v>
      </c>
      <c r="U529" s="34"/>
      <c r="V529" s="47"/>
    </row>
    <row r="530">
      <c r="C530" s="46"/>
      <c r="G530" s="1" t="str">
        <f t="shared" si="16"/>
        <v/>
      </c>
      <c r="I530" s="33" t="str">
        <f t="shared" si="8"/>
        <v/>
      </c>
      <c r="K530" s="27"/>
      <c r="L530" s="28">
        <f>SUMIFS(Dump!$D:$D,Dump!$B:$B,$C530,Dump!$A:$A,$V530)</f>
        <v>0</v>
      </c>
      <c r="M530" s="28">
        <f>SUMIFS(Dump!R:R,Dump!B:B,C530,Dump!A:A,V530)</f>
        <v>0</v>
      </c>
      <c r="N530" s="29">
        <f t="shared" si="10"/>
        <v>0</v>
      </c>
      <c r="P530" s="30">
        <f>SUMIFS(Dump!E:E,Dump!B:B,C530,Dump!A:A,V530)</f>
        <v>0</v>
      </c>
      <c r="Q530" s="31">
        <f t="shared" si="11"/>
        <v>0</v>
      </c>
      <c r="S530" s="30">
        <f>SUMIFS(Dump!P:P,Dump!B:B,C530,Dump!A:A,V530)</f>
        <v>0</v>
      </c>
      <c r="T530" s="31">
        <f t="shared" si="12"/>
        <v>0</v>
      </c>
      <c r="U530" s="34"/>
      <c r="V530" s="47"/>
    </row>
    <row r="531">
      <c r="C531" s="46"/>
      <c r="G531" s="1" t="str">
        <f t="shared" si="16"/>
        <v/>
      </c>
      <c r="I531" s="33" t="str">
        <f t="shared" si="8"/>
        <v/>
      </c>
      <c r="K531" s="27"/>
      <c r="L531" s="28">
        <f>SUMIFS(Dump!$D:$D,Dump!$B:$B,$C531,Dump!$A:$A,$V531)</f>
        <v>0</v>
      </c>
      <c r="M531" s="28">
        <f>SUMIFS(Dump!R:R,Dump!B:B,C531,Dump!A:A,V531)</f>
        <v>0</v>
      </c>
      <c r="N531" s="29">
        <f t="shared" si="10"/>
        <v>0</v>
      </c>
      <c r="P531" s="30">
        <f>SUMIFS(Dump!E:E,Dump!B:B,C531,Dump!A:A,V531)</f>
        <v>0</v>
      </c>
      <c r="Q531" s="31">
        <f t="shared" si="11"/>
        <v>0</v>
      </c>
      <c r="S531" s="30">
        <f>SUMIFS(Dump!P:P,Dump!B:B,C531,Dump!A:A,V531)</f>
        <v>0</v>
      </c>
      <c r="T531" s="31">
        <f t="shared" si="12"/>
        <v>0</v>
      </c>
      <c r="U531" s="34"/>
      <c r="V531" s="47"/>
    </row>
    <row r="532">
      <c r="C532" s="46"/>
      <c r="G532" s="1" t="str">
        <f t="shared" si="16"/>
        <v/>
      </c>
      <c r="I532" s="33" t="str">
        <f t="shared" si="8"/>
        <v/>
      </c>
      <c r="K532" s="27"/>
      <c r="L532" s="28">
        <f>SUMIFS(Dump!$D:$D,Dump!$B:$B,$C532,Dump!$A:$A,$V532)</f>
        <v>0</v>
      </c>
      <c r="M532" s="28">
        <f>SUMIFS(Dump!R:R,Dump!B:B,C532,Dump!A:A,V532)</f>
        <v>0</v>
      </c>
      <c r="N532" s="29">
        <f t="shared" si="10"/>
        <v>0</v>
      </c>
      <c r="P532" s="30">
        <f>SUMIFS(Dump!E:E,Dump!B:B,C532,Dump!A:A,V532)</f>
        <v>0</v>
      </c>
      <c r="Q532" s="31">
        <f t="shared" si="11"/>
        <v>0</v>
      </c>
      <c r="S532" s="30">
        <f>SUMIFS(Dump!P:P,Dump!B:B,C532,Dump!A:A,V532)</f>
        <v>0</v>
      </c>
      <c r="T532" s="31">
        <f t="shared" si="12"/>
        <v>0</v>
      </c>
      <c r="U532" s="34"/>
      <c r="V532" s="47"/>
    </row>
    <row r="533">
      <c r="C533" s="46"/>
      <c r="G533" s="1" t="str">
        <f t="shared" si="16"/>
        <v/>
      </c>
      <c r="I533" s="33" t="str">
        <f t="shared" si="8"/>
        <v/>
      </c>
      <c r="K533" s="27"/>
      <c r="L533" s="28">
        <f>SUMIFS(Dump!$D:$D,Dump!$B:$B,$C533,Dump!$A:$A,$V533)</f>
        <v>0</v>
      </c>
      <c r="M533" s="28">
        <f>SUMIFS(Dump!R:R,Dump!B:B,C533,Dump!A:A,V533)</f>
        <v>0</v>
      </c>
      <c r="N533" s="29">
        <f t="shared" si="10"/>
        <v>0</v>
      </c>
      <c r="P533" s="30">
        <f>SUMIFS(Dump!E:E,Dump!B:B,C533,Dump!A:A,V533)</f>
        <v>0</v>
      </c>
      <c r="Q533" s="31">
        <f t="shared" si="11"/>
        <v>0</v>
      </c>
      <c r="S533" s="30">
        <f>SUMIFS(Dump!P:P,Dump!B:B,C533,Dump!A:A,V533)</f>
        <v>0</v>
      </c>
      <c r="T533" s="31">
        <f t="shared" si="12"/>
        <v>0</v>
      </c>
      <c r="U533" s="34"/>
      <c r="V533" s="47"/>
    </row>
    <row r="534">
      <c r="C534" s="46"/>
      <c r="G534" s="1" t="str">
        <f t="shared" si="16"/>
        <v/>
      </c>
      <c r="I534" s="33" t="str">
        <f t="shared" si="8"/>
        <v/>
      </c>
      <c r="K534" s="27"/>
      <c r="L534" s="28">
        <f>SUMIFS(Dump!$D:$D,Dump!$B:$B,$C534,Dump!$A:$A,$V534)</f>
        <v>0</v>
      </c>
      <c r="M534" s="28">
        <f>SUMIFS(Dump!R:R,Dump!B:B,C534,Dump!A:A,V534)</f>
        <v>0</v>
      </c>
      <c r="N534" s="29">
        <f t="shared" si="10"/>
        <v>0</v>
      </c>
      <c r="P534" s="30">
        <f>SUMIFS(Dump!E:E,Dump!B:B,C534,Dump!A:A,V534)</f>
        <v>0</v>
      </c>
      <c r="Q534" s="31">
        <f t="shared" si="11"/>
        <v>0</v>
      </c>
      <c r="S534" s="30">
        <f>SUMIFS(Dump!P:P,Dump!B:B,C534,Dump!A:A,V534)</f>
        <v>0</v>
      </c>
      <c r="T534" s="31">
        <f t="shared" si="12"/>
        <v>0</v>
      </c>
      <c r="U534" s="34"/>
      <c r="V534" s="47"/>
    </row>
    <row r="535">
      <c r="C535" s="46"/>
      <c r="G535" s="1" t="str">
        <f t="shared" si="16"/>
        <v/>
      </c>
      <c r="I535" s="33" t="str">
        <f t="shared" si="8"/>
        <v/>
      </c>
      <c r="K535" s="27"/>
      <c r="L535" s="28">
        <f>SUMIFS(Dump!$D:$D,Dump!$B:$B,$C535,Dump!$A:$A,$V535)</f>
        <v>0</v>
      </c>
      <c r="M535" s="28">
        <f>SUMIFS(Dump!R:R,Dump!B:B,C535,Dump!A:A,V535)</f>
        <v>0</v>
      </c>
      <c r="N535" s="29">
        <f t="shared" si="10"/>
        <v>0</v>
      </c>
      <c r="P535" s="30">
        <f>SUMIFS(Dump!E:E,Dump!B:B,C535,Dump!A:A,V535)</f>
        <v>0</v>
      </c>
      <c r="Q535" s="31">
        <f t="shared" si="11"/>
        <v>0</v>
      </c>
      <c r="S535" s="30">
        <f>SUMIFS(Dump!P:P,Dump!B:B,C535,Dump!A:A,V535)</f>
        <v>0</v>
      </c>
      <c r="T535" s="31">
        <f t="shared" si="12"/>
        <v>0</v>
      </c>
      <c r="U535" s="34"/>
      <c r="V535" s="47"/>
    </row>
    <row r="536">
      <c r="C536" s="46"/>
      <c r="G536" s="1" t="str">
        <f t="shared" si="16"/>
        <v/>
      </c>
      <c r="I536" s="33" t="str">
        <f t="shared" si="8"/>
        <v/>
      </c>
      <c r="K536" s="27"/>
      <c r="L536" s="28">
        <f>SUMIFS(Dump!$D:$D,Dump!$B:$B,$C536,Dump!$A:$A,$V536)</f>
        <v>0</v>
      </c>
      <c r="M536" s="28">
        <f>SUMIFS(Dump!R:R,Dump!B:B,C536,Dump!A:A,V536)</f>
        <v>0</v>
      </c>
      <c r="N536" s="29">
        <f t="shared" si="10"/>
        <v>0</v>
      </c>
      <c r="P536" s="30">
        <f>SUMIFS(Dump!E:E,Dump!B:B,C536,Dump!A:A,V536)</f>
        <v>0</v>
      </c>
      <c r="Q536" s="31">
        <f t="shared" si="11"/>
        <v>0</v>
      </c>
      <c r="S536" s="30">
        <f>SUMIFS(Dump!P:P,Dump!B:B,C536,Dump!A:A,V536)</f>
        <v>0</v>
      </c>
      <c r="T536" s="31">
        <f t="shared" si="12"/>
        <v>0</v>
      </c>
      <c r="U536" s="34"/>
      <c r="V536" s="47"/>
    </row>
    <row r="537">
      <c r="C537" s="46"/>
      <c r="G537" s="1" t="str">
        <f t="shared" si="16"/>
        <v/>
      </c>
      <c r="I537" s="33" t="str">
        <f t="shared" si="8"/>
        <v/>
      </c>
      <c r="K537" s="27"/>
      <c r="L537" s="28">
        <f>SUMIFS(Dump!$D:$D,Dump!$B:$B,$C537,Dump!$A:$A,$V537)</f>
        <v>0</v>
      </c>
      <c r="M537" s="28">
        <f>SUMIFS(Dump!R:R,Dump!B:B,C537,Dump!A:A,V537)</f>
        <v>0</v>
      </c>
      <c r="N537" s="29">
        <f t="shared" si="10"/>
        <v>0</v>
      </c>
      <c r="P537" s="30">
        <f>SUMIFS(Dump!E:E,Dump!B:B,C537,Dump!A:A,V537)</f>
        <v>0</v>
      </c>
      <c r="Q537" s="31">
        <f t="shared" si="11"/>
        <v>0</v>
      </c>
      <c r="S537" s="30">
        <f>SUMIFS(Dump!P:P,Dump!B:B,C537,Dump!A:A,V537)</f>
        <v>0</v>
      </c>
      <c r="T537" s="31">
        <f t="shared" si="12"/>
        <v>0</v>
      </c>
      <c r="U537" s="34"/>
      <c r="V537" s="47"/>
    </row>
    <row r="538">
      <c r="C538" s="46"/>
      <c r="G538" s="1" t="str">
        <f t="shared" si="16"/>
        <v/>
      </c>
      <c r="I538" s="33" t="str">
        <f t="shared" si="8"/>
        <v/>
      </c>
      <c r="K538" s="27"/>
      <c r="L538" s="28">
        <f>SUMIFS(Dump!$D:$D,Dump!$B:$B,$C538,Dump!$A:$A,$V538)</f>
        <v>0</v>
      </c>
      <c r="M538" s="28">
        <f>SUMIFS(Dump!R:R,Dump!B:B,C538,Dump!A:A,V538)</f>
        <v>0</v>
      </c>
      <c r="N538" s="29">
        <f t="shared" si="10"/>
        <v>0</v>
      </c>
      <c r="P538" s="30">
        <f>SUMIFS(Dump!E:E,Dump!B:B,C538,Dump!A:A,V538)</f>
        <v>0</v>
      </c>
      <c r="Q538" s="31">
        <f t="shared" si="11"/>
        <v>0</v>
      </c>
      <c r="S538" s="30">
        <f>SUMIFS(Dump!P:P,Dump!B:B,C538,Dump!A:A,V538)</f>
        <v>0</v>
      </c>
      <c r="T538" s="31">
        <f t="shared" si="12"/>
        <v>0</v>
      </c>
      <c r="U538" s="34"/>
      <c r="V538" s="47"/>
    </row>
    <row r="539">
      <c r="C539" s="46"/>
      <c r="G539" s="1" t="str">
        <f t="shared" si="16"/>
        <v/>
      </c>
      <c r="I539" s="33" t="str">
        <f t="shared" si="8"/>
        <v/>
      </c>
      <c r="K539" s="27"/>
      <c r="L539" s="28">
        <f>SUMIFS(Dump!$D:$D,Dump!$B:$B,$C539,Dump!$A:$A,$V539)</f>
        <v>0</v>
      </c>
      <c r="M539" s="28">
        <f>SUMIFS(Dump!R:R,Dump!B:B,C539,Dump!A:A,V539)</f>
        <v>0</v>
      </c>
      <c r="N539" s="29">
        <f t="shared" si="10"/>
        <v>0</v>
      </c>
      <c r="P539" s="30">
        <f>SUMIFS(Dump!E:E,Dump!B:B,C539,Dump!A:A,V539)</f>
        <v>0</v>
      </c>
      <c r="Q539" s="31">
        <f t="shared" si="11"/>
        <v>0</v>
      </c>
      <c r="S539" s="30">
        <f>SUMIFS(Dump!P:P,Dump!B:B,C539,Dump!A:A,V539)</f>
        <v>0</v>
      </c>
      <c r="T539" s="31">
        <f t="shared" si="12"/>
        <v>0</v>
      </c>
      <c r="U539" s="34"/>
      <c r="V539" s="47"/>
    </row>
    <row r="540">
      <c r="C540" s="46"/>
      <c r="G540" s="1" t="str">
        <f t="shared" si="16"/>
        <v/>
      </c>
      <c r="I540" s="33" t="str">
        <f t="shared" si="8"/>
        <v/>
      </c>
      <c r="K540" s="27"/>
      <c r="L540" s="28">
        <f>SUMIFS(Dump!$D:$D,Dump!$B:$B,$C540,Dump!$A:$A,$V540)</f>
        <v>0</v>
      </c>
      <c r="M540" s="28">
        <f>SUMIFS(Dump!R:R,Dump!B:B,C540,Dump!A:A,V540)</f>
        <v>0</v>
      </c>
      <c r="N540" s="29">
        <f t="shared" si="10"/>
        <v>0</v>
      </c>
      <c r="P540" s="30">
        <f>SUMIFS(Dump!E:E,Dump!B:B,C540,Dump!A:A,V540)</f>
        <v>0</v>
      </c>
      <c r="Q540" s="31">
        <f t="shared" si="11"/>
        <v>0</v>
      </c>
      <c r="S540" s="30">
        <f>SUMIFS(Dump!P:P,Dump!B:B,C540,Dump!A:A,V540)</f>
        <v>0</v>
      </c>
      <c r="T540" s="31">
        <f t="shared" si="12"/>
        <v>0</v>
      </c>
      <c r="U540" s="34"/>
      <c r="V540" s="47"/>
    </row>
    <row r="541">
      <c r="C541" s="46"/>
      <c r="G541" s="1" t="str">
        <f t="shared" si="16"/>
        <v/>
      </c>
      <c r="I541" s="33" t="str">
        <f t="shared" si="8"/>
        <v/>
      </c>
      <c r="K541" s="27"/>
      <c r="L541" s="28">
        <f>SUMIFS(Dump!$D:$D,Dump!$B:$B,$C541,Dump!$A:$A,$V541)</f>
        <v>0</v>
      </c>
      <c r="M541" s="28">
        <f>SUMIFS(Dump!R:R,Dump!B:B,C541,Dump!A:A,V541)</f>
        <v>0</v>
      </c>
      <c r="N541" s="29">
        <f t="shared" si="10"/>
        <v>0</v>
      </c>
      <c r="P541" s="30">
        <f>SUMIFS(Dump!E:E,Dump!B:B,C541,Dump!A:A,V541)</f>
        <v>0</v>
      </c>
      <c r="Q541" s="31">
        <f t="shared" si="11"/>
        <v>0</v>
      </c>
      <c r="S541" s="30">
        <f>SUMIFS(Dump!P:P,Dump!B:B,C541,Dump!A:A,V541)</f>
        <v>0</v>
      </c>
      <c r="T541" s="31">
        <f t="shared" si="12"/>
        <v>0</v>
      </c>
      <c r="U541" s="34"/>
      <c r="V541" s="47"/>
    </row>
    <row r="542">
      <c r="C542" s="46"/>
      <c r="G542" s="1" t="str">
        <f t="shared" si="16"/>
        <v/>
      </c>
      <c r="I542" s="33" t="str">
        <f t="shared" si="8"/>
        <v/>
      </c>
      <c r="K542" s="27"/>
      <c r="L542" s="28">
        <f>SUMIFS(Dump!$D:$D,Dump!$B:$B,$C542,Dump!$A:$A,$V542)</f>
        <v>0</v>
      </c>
      <c r="M542" s="28">
        <f>SUMIFS(Dump!R:R,Dump!B:B,C542,Dump!A:A,V542)</f>
        <v>0</v>
      </c>
      <c r="N542" s="29">
        <f t="shared" si="10"/>
        <v>0</v>
      </c>
      <c r="P542" s="30">
        <f>SUMIFS(Dump!E:E,Dump!B:B,C542,Dump!A:A,V542)</f>
        <v>0</v>
      </c>
      <c r="Q542" s="31">
        <f t="shared" si="11"/>
        <v>0</v>
      </c>
      <c r="S542" s="30">
        <f>SUMIFS(Dump!P:P,Dump!B:B,C542,Dump!A:A,V542)</f>
        <v>0</v>
      </c>
      <c r="T542" s="31">
        <f t="shared" si="12"/>
        <v>0</v>
      </c>
      <c r="U542" s="34"/>
      <c r="V542" s="47"/>
    </row>
    <row r="543">
      <c r="C543" s="46"/>
      <c r="G543" s="1" t="str">
        <f t="shared" si="16"/>
        <v/>
      </c>
      <c r="I543" s="33" t="str">
        <f t="shared" si="8"/>
        <v/>
      </c>
      <c r="K543" s="27"/>
      <c r="L543" s="28">
        <f>SUMIFS(Dump!$D:$D,Dump!$B:$B,$C543,Dump!$A:$A,$V543)</f>
        <v>0</v>
      </c>
      <c r="M543" s="28">
        <f>SUMIFS(Dump!R:R,Dump!B:B,C543,Dump!A:A,V543)</f>
        <v>0</v>
      </c>
      <c r="N543" s="29">
        <f t="shared" si="10"/>
        <v>0</v>
      </c>
      <c r="P543" s="30">
        <f>SUMIFS(Dump!E:E,Dump!B:B,C543,Dump!A:A,V543)</f>
        <v>0</v>
      </c>
      <c r="Q543" s="31">
        <f t="shared" si="11"/>
        <v>0</v>
      </c>
      <c r="S543" s="30">
        <f>SUMIFS(Dump!P:P,Dump!B:B,C543,Dump!A:A,V543)</f>
        <v>0</v>
      </c>
      <c r="T543" s="31">
        <f t="shared" si="12"/>
        <v>0</v>
      </c>
      <c r="U543" s="34"/>
      <c r="V543" s="47"/>
    </row>
    <row r="544">
      <c r="C544" s="46"/>
      <c r="G544" s="1" t="str">
        <f t="shared" si="16"/>
        <v/>
      </c>
      <c r="I544" s="33" t="str">
        <f t="shared" si="8"/>
        <v/>
      </c>
      <c r="K544" s="27"/>
      <c r="L544" s="28">
        <f>SUMIFS(Dump!$D:$D,Dump!$B:$B,$C544,Dump!$A:$A,$V544)</f>
        <v>0</v>
      </c>
      <c r="M544" s="28">
        <f>SUMIFS(Dump!R:R,Dump!B:B,C544,Dump!A:A,V544)</f>
        <v>0</v>
      </c>
      <c r="N544" s="29">
        <f t="shared" si="10"/>
        <v>0</v>
      </c>
      <c r="P544" s="30">
        <f>SUMIFS(Dump!E:E,Dump!B:B,C544,Dump!A:A,V544)</f>
        <v>0</v>
      </c>
      <c r="Q544" s="31">
        <f t="shared" si="11"/>
        <v>0</v>
      </c>
      <c r="S544" s="30">
        <f>SUMIFS(Dump!P:P,Dump!B:B,C544,Dump!A:A,V544)</f>
        <v>0</v>
      </c>
      <c r="T544" s="31">
        <f t="shared" si="12"/>
        <v>0</v>
      </c>
      <c r="U544" s="34"/>
      <c r="V544" s="47"/>
    </row>
    <row r="545">
      <c r="C545" s="46"/>
      <c r="G545" s="1" t="str">
        <f t="shared" si="16"/>
        <v/>
      </c>
      <c r="I545" s="33" t="str">
        <f t="shared" si="8"/>
        <v/>
      </c>
      <c r="K545" s="27"/>
      <c r="L545" s="28">
        <f>SUMIFS(Dump!$D:$D,Dump!$B:$B,$C545,Dump!$A:$A,$V545)</f>
        <v>0</v>
      </c>
      <c r="M545" s="28">
        <f>SUMIFS(Dump!R:R,Dump!B:B,C545,Dump!A:A,V545)</f>
        <v>0</v>
      </c>
      <c r="N545" s="29">
        <f t="shared" si="10"/>
        <v>0</v>
      </c>
      <c r="P545" s="30">
        <f>SUMIFS(Dump!E:E,Dump!B:B,C545,Dump!A:A,V545)</f>
        <v>0</v>
      </c>
      <c r="Q545" s="31">
        <f t="shared" si="11"/>
        <v>0</v>
      </c>
      <c r="S545" s="30">
        <f>SUMIFS(Dump!P:P,Dump!B:B,C545,Dump!A:A,V545)</f>
        <v>0</v>
      </c>
      <c r="T545" s="31">
        <f t="shared" si="12"/>
        <v>0</v>
      </c>
      <c r="U545" s="34"/>
      <c r="V545" s="47"/>
    </row>
    <row r="546">
      <c r="C546" s="46"/>
      <c r="G546" s="1" t="str">
        <f t="shared" si="16"/>
        <v/>
      </c>
      <c r="I546" s="33" t="str">
        <f t="shared" si="8"/>
        <v/>
      </c>
      <c r="K546" s="27"/>
      <c r="L546" s="28">
        <f>SUMIFS(Dump!$D:$D,Dump!$B:$B,$C546,Dump!$A:$A,$V546)</f>
        <v>0</v>
      </c>
      <c r="M546" s="28">
        <f>SUMIFS(Dump!R:R,Dump!B:B,C546,Dump!A:A,V546)</f>
        <v>0</v>
      </c>
      <c r="N546" s="29">
        <f t="shared" si="10"/>
        <v>0</v>
      </c>
      <c r="P546" s="30">
        <f>SUMIFS(Dump!E:E,Dump!B:B,C546,Dump!A:A,V546)</f>
        <v>0</v>
      </c>
      <c r="Q546" s="31">
        <f t="shared" si="11"/>
        <v>0</v>
      </c>
      <c r="S546" s="30">
        <f>SUMIFS(Dump!P:P,Dump!B:B,C546,Dump!A:A,V546)</f>
        <v>0</v>
      </c>
      <c r="T546" s="31">
        <f t="shared" si="12"/>
        <v>0</v>
      </c>
      <c r="U546" s="34"/>
      <c r="V546" s="47"/>
    </row>
    <row r="547">
      <c r="C547" s="46"/>
      <c r="G547" s="1" t="str">
        <f t="shared" si="16"/>
        <v/>
      </c>
      <c r="I547" s="33" t="str">
        <f t="shared" si="8"/>
        <v/>
      </c>
      <c r="K547" s="27"/>
      <c r="L547" s="28">
        <f>SUMIFS(Dump!$D:$D,Dump!$B:$B,$C547,Dump!$A:$A,$V547)</f>
        <v>0</v>
      </c>
      <c r="M547" s="28">
        <f>SUMIFS(Dump!R:R,Dump!B:B,C547,Dump!A:A,V547)</f>
        <v>0</v>
      </c>
      <c r="N547" s="29">
        <f t="shared" si="10"/>
        <v>0</v>
      </c>
      <c r="P547" s="30">
        <f>SUMIFS(Dump!E:E,Dump!B:B,C547,Dump!A:A,V547)</f>
        <v>0</v>
      </c>
      <c r="Q547" s="31">
        <f t="shared" si="11"/>
        <v>0</v>
      </c>
      <c r="S547" s="30">
        <f>SUMIFS(Dump!P:P,Dump!B:B,C547,Dump!A:A,V547)</f>
        <v>0</v>
      </c>
      <c r="T547" s="31">
        <f t="shared" si="12"/>
        <v>0</v>
      </c>
      <c r="U547" s="34"/>
      <c r="V547" s="47"/>
    </row>
    <row r="548">
      <c r="C548" s="46"/>
      <c r="G548" s="1" t="str">
        <f t="shared" si="16"/>
        <v/>
      </c>
      <c r="I548" s="33" t="str">
        <f t="shared" si="8"/>
        <v/>
      </c>
      <c r="K548" s="27"/>
      <c r="L548" s="28">
        <f>SUMIFS(Dump!$D:$D,Dump!$B:$B,$C548,Dump!$A:$A,$V548)</f>
        <v>0</v>
      </c>
      <c r="M548" s="28">
        <f>SUMIFS(Dump!R:R,Dump!B:B,C548,Dump!A:A,V548)</f>
        <v>0</v>
      </c>
      <c r="N548" s="29">
        <f t="shared" si="10"/>
        <v>0</v>
      </c>
      <c r="P548" s="30">
        <f>SUMIFS(Dump!E:E,Dump!B:B,C548,Dump!A:A,V548)</f>
        <v>0</v>
      </c>
      <c r="Q548" s="31">
        <f t="shared" si="11"/>
        <v>0</v>
      </c>
      <c r="S548" s="30">
        <f>SUMIFS(Dump!P:P,Dump!B:B,C548,Dump!A:A,V548)</f>
        <v>0</v>
      </c>
      <c r="T548" s="31">
        <f t="shared" si="12"/>
        <v>0</v>
      </c>
      <c r="U548" s="34"/>
      <c r="V548" s="47"/>
    </row>
    <row r="549">
      <c r="C549" s="46"/>
      <c r="G549" s="1" t="str">
        <f t="shared" si="16"/>
        <v/>
      </c>
      <c r="I549" s="33" t="str">
        <f t="shared" si="8"/>
        <v/>
      </c>
      <c r="K549" s="27"/>
      <c r="L549" s="28">
        <f>SUMIFS(Dump!$D:$D,Dump!$B:$B,$C549,Dump!$A:$A,$V549)</f>
        <v>0</v>
      </c>
      <c r="M549" s="28">
        <f>SUMIFS(Dump!R:R,Dump!B:B,C549,Dump!A:A,V549)</f>
        <v>0</v>
      </c>
      <c r="N549" s="29">
        <f t="shared" si="10"/>
        <v>0</v>
      </c>
      <c r="P549" s="30">
        <f>SUMIFS(Dump!E:E,Dump!B:B,C549,Dump!A:A,V549)</f>
        <v>0</v>
      </c>
      <c r="Q549" s="31">
        <f t="shared" si="11"/>
        <v>0</v>
      </c>
      <c r="S549" s="30">
        <f>SUMIFS(Dump!P:P,Dump!B:B,C549,Dump!A:A,V549)</f>
        <v>0</v>
      </c>
      <c r="T549" s="31">
        <f t="shared" si="12"/>
        <v>0</v>
      </c>
      <c r="U549" s="34"/>
      <c r="V549" s="47"/>
    </row>
    <row r="550">
      <c r="C550" s="46"/>
      <c r="G550" s="1" t="str">
        <f t="shared" si="16"/>
        <v/>
      </c>
      <c r="I550" s="33" t="str">
        <f t="shared" si="8"/>
        <v/>
      </c>
      <c r="K550" s="27"/>
      <c r="L550" s="28">
        <f>SUMIFS(Dump!$D:$D,Dump!$B:$B,$C550,Dump!$A:$A,$V550)</f>
        <v>0</v>
      </c>
      <c r="M550" s="28">
        <f>SUMIFS(Dump!R:R,Dump!B:B,C550,Dump!A:A,V550)</f>
        <v>0</v>
      </c>
      <c r="N550" s="29">
        <f t="shared" si="10"/>
        <v>0</v>
      </c>
      <c r="P550" s="30">
        <f>SUMIFS(Dump!E:E,Dump!B:B,C550,Dump!A:A,V550)</f>
        <v>0</v>
      </c>
      <c r="Q550" s="31">
        <f t="shared" si="11"/>
        <v>0</v>
      </c>
      <c r="S550" s="30">
        <f>SUMIFS(Dump!P:P,Dump!B:B,C550,Dump!A:A,V550)</f>
        <v>0</v>
      </c>
      <c r="T550" s="31">
        <f t="shared" si="12"/>
        <v>0</v>
      </c>
      <c r="U550" s="34"/>
      <c r="V550" s="47"/>
    </row>
    <row r="551">
      <c r="C551" s="46"/>
      <c r="G551" s="1" t="str">
        <f t="shared" si="16"/>
        <v/>
      </c>
      <c r="I551" s="33" t="str">
        <f t="shared" si="8"/>
        <v/>
      </c>
      <c r="K551" s="27"/>
      <c r="L551" s="28">
        <f>SUMIFS(Dump!$D:$D,Dump!$B:$B,$C551,Dump!$A:$A,$V551)</f>
        <v>0</v>
      </c>
      <c r="M551" s="28">
        <f>SUMIFS(Dump!R:R,Dump!B:B,C551,Dump!A:A,V551)</f>
        <v>0</v>
      </c>
      <c r="N551" s="29">
        <f t="shared" si="10"/>
        <v>0</v>
      </c>
      <c r="P551" s="30">
        <f>SUMIFS(Dump!E:E,Dump!B:B,C551,Dump!A:A,V551)</f>
        <v>0</v>
      </c>
      <c r="Q551" s="31">
        <f t="shared" si="11"/>
        <v>0</v>
      </c>
      <c r="S551" s="30">
        <f>SUMIFS(Dump!P:P,Dump!B:B,C551,Dump!A:A,V551)</f>
        <v>0</v>
      </c>
      <c r="T551" s="31">
        <f t="shared" si="12"/>
        <v>0</v>
      </c>
      <c r="U551" s="34"/>
      <c r="V551" s="47"/>
    </row>
    <row r="552">
      <c r="C552" s="46"/>
      <c r="G552" s="1" t="str">
        <f t="shared" si="16"/>
        <v/>
      </c>
      <c r="I552" s="33" t="str">
        <f t="shared" si="8"/>
        <v/>
      </c>
      <c r="K552" s="27"/>
      <c r="L552" s="28">
        <f>SUMIFS(Dump!$D:$D,Dump!$B:$B,$C552,Dump!$A:$A,$V552)</f>
        <v>0</v>
      </c>
      <c r="M552" s="28">
        <f>SUMIFS(Dump!R:R,Dump!B:B,C552,Dump!A:A,V552)</f>
        <v>0</v>
      </c>
      <c r="N552" s="29">
        <f t="shared" si="10"/>
        <v>0</v>
      </c>
      <c r="P552" s="30">
        <f>SUMIFS(Dump!E:E,Dump!B:B,C552,Dump!A:A,V552)</f>
        <v>0</v>
      </c>
      <c r="Q552" s="31">
        <f t="shared" si="11"/>
        <v>0</v>
      </c>
      <c r="S552" s="30">
        <f>SUMIFS(Dump!P:P,Dump!B:B,C552,Dump!A:A,V552)</f>
        <v>0</v>
      </c>
      <c r="T552" s="31">
        <f t="shared" si="12"/>
        <v>0</v>
      </c>
      <c r="U552" s="34"/>
      <c r="V552" s="47"/>
    </row>
    <row r="553">
      <c r="C553" s="46"/>
      <c r="G553" s="1" t="str">
        <f t="shared" si="16"/>
        <v/>
      </c>
      <c r="I553" s="33" t="str">
        <f t="shared" si="8"/>
        <v/>
      </c>
      <c r="K553" s="27"/>
      <c r="L553" s="28">
        <f>SUMIFS(Dump!$D:$D,Dump!$B:$B,$C553,Dump!$A:$A,$V553)</f>
        <v>0</v>
      </c>
      <c r="M553" s="28">
        <f>SUMIFS(Dump!R:R,Dump!B:B,C553,Dump!A:A,V553)</f>
        <v>0</v>
      </c>
      <c r="N553" s="29">
        <f t="shared" si="10"/>
        <v>0</v>
      </c>
      <c r="P553" s="30">
        <f>SUMIFS(Dump!E:E,Dump!B:B,C553,Dump!A:A,V553)</f>
        <v>0</v>
      </c>
      <c r="Q553" s="31">
        <f t="shared" si="11"/>
        <v>0</v>
      </c>
      <c r="S553" s="30">
        <f>SUMIFS(Dump!P:P,Dump!B:B,C553,Dump!A:A,V553)</f>
        <v>0</v>
      </c>
      <c r="T553" s="31">
        <f t="shared" si="12"/>
        <v>0</v>
      </c>
      <c r="U553" s="34"/>
      <c r="V553" s="47"/>
    </row>
    <row r="554">
      <c r="C554" s="46"/>
      <c r="G554" s="1" t="str">
        <f t="shared" si="16"/>
        <v/>
      </c>
      <c r="I554" s="33" t="str">
        <f t="shared" si="8"/>
        <v/>
      </c>
      <c r="K554" s="27"/>
      <c r="L554" s="28">
        <f>SUMIFS(Dump!$D:$D,Dump!$B:$B,$C554,Dump!$A:$A,$V554)</f>
        <v>0</v>
      </c>
      <c r="M554" s="28">
        <f>SUMIFS(Dump!R:R,Dump!B:B,C554,Dump!A:A,V554)</f>
        <v>0</v>
      </c>
      <c r="N554" s="29">
        <f t="shared" si="10"/>
        <v>0</v>
      </c>
      <c r="P554" s="30">
        <f>SUMIFS(Dump!E:E,Dump!B:B,C554,Dump!A:A,V554)</f>
        <v>0</v>
      </c>
      <c r="Q554" s="31">
        <f t="shared" si="11"/>
        <v>0</v>
      </c>
      <c r="S554" s="30">
        <f>SUMIFS(Dump!P:P,Dump!B:B,C554,Dump!A:A,V554)</f>
        <v>0</v>
      </c>
      <c r="T554" s="31">
        <f t="shared" si="12"/>
        <v>0</v>
      </c>
      <c r="U554" s="34"/>
      <c r="V554" s="47"/>
    </row>
    <row r="555">
      <c r="C555" s="46"/>
      <c r="G555" s="1" t="str">
        <f t="shared" si="16"/>
        <v/>
      </c>
      <c r="I555" s="33" t="str">
        <f t="shared" si="8"/>
        <v/>
      </c>
      <c r="K555" s="27"/>
      <c r="L555" s="28">
        <f>SUMIFS(Dump!$D:$D,Dump!$B:$B,$C555,Dump!$A:$A,$V555)</f>
        <v>0</v>
      </c>
      <c r="M555" s="28">
        <f>SUMIFS(Dump!R:R,Dump!B:B,C555,Dump!A:A,V555)</f>
        <v>0</v>
      </c>
      <c r="N555" s="29">
        <f t="shared" si="10"/>
        <v>0</v>
      </c>
      <c r="P555" s="30">
        <f>SUMIFS(Dump!E:E,Dump!B:B,C555,Dump!A:A,V555)</f>
        <v>0</v>
      </c>
      <c r="Q555" s="31">
        <f t="shared" si="11"/>
        <v>0</v>
      </c>
      <c r="S555" s="30">
        <f>SUMIFS(Dump!P:P,Dump!B:B,C555,Dump!A:A,V555)</f>
        <v>0</v>
      </c>
      <c r="T555" s="31">
        <f t="shared" si="12"/>
        <v>0</v>
      </c>
      <c r="U555" s="34"/>
      <c r="V555" s="47"/>
    </row>
    <row r="556">
      <c r="C556" s="46"/>
      <c r="G556" s="1" t="str">
        <f t="shared" si="16"/>
        <v/>
      </c>
      <c r="I556" s="33" t="str">
        <f t="shared" si="8"/>
        <v/>
      </c>
      <c r="K556" s="27"/>
      <c r="L556" s="28">
        <f>SUMIFS(Dump!$D:$D,Dump!$B:$B,$C556,Dump!$A:$A,$V556)</f>
        <v>0</v>
      </c>
      <c r="M556" s="28">
        <f>SUMIFS(Dump!R:R,Dump!B:B,C556,Dump!A:A,V556)</f>
        <v>0</v>
      </c>
      <c r="N556" s="29">
        <f t="shared" si="10"/>
        <v>0</v>
      </c>
      <c r="P556" s="30">
        <f>SUMIFS(Dump!E:E,Dump!B:B,C556,Dump!A:A,V556)</f>
        <v>0</v>
      </c>
      <c r="Q556" s="31">
        <f t="shared" si="11"/>
        <v>0</v>
      </c>
      <c r="S556" s="30">
        <f>SUMIFS(Dump!P:P,Dump!B:B,C556,Dump!A:A,V556)</f>
        <v>0</v>
      </c>
      <c r="T556" s="31">
        <f t="shared" si="12"/>
        <v>0</v>
      </c>
      <c r="U556" s="34"/>
      <c r="V556" s="47"/>
    </row>
    <row r="557">
      <c r="C557" s="46"/>
      <c r="G557" s="1" t="str">
        <f t="shared" si="16"/>
        <v/>
      </c>
      <c r="I557" s="33" t="str">
        <f t="shared" si="8"/>
        <v/>
      </c>
      <c r="K557" s="27"/>
      <c r="L557" s="28">
        <f>SUMIFS(Dump!$D:$D,Dump!$B:$B,$C557,Dump!$A:$A,$V557)</f>
        <v>0</v>
      </c>
      <c r="M557" s="28">
        <f>SUMIFS(Dump!R:R,Dump!B:B,C557,Dump!A:A,V557)</f>
        <v>0</v>
      </c>
      <c r="N557" s="29">
        <f t="shared" si="10"/>
        <v>0</v>
      </c>
      <c r="P557" s="30">
        <f>SUMIFS(Dump!E:E,Dump!B:B,C557,Dump!A:A,V557)</f>
        <v>0</v>
      </c>
      <c r="Q557" s="31">
        <f t="shared" si="11"/>
        <v>0</v>
      </c>
      <c r="S557" s="30">
        <f>SUMIFS(Dump!P:P,Dump!B:B,C557,Dump!A:A,V557)</f>
        <v>0</v>
      </c>
      <c r="T557" s="31">
        <f t="shared" si="12"/>
        <v>0</v>
      </c>
      <c r="U557" s="34"/>
      <c r="V557" s="47"/>
    </row>
    <row r="558">
      <c r="C558" s="46"/>
      <c r="G558" s="1" t="str">
        <f t="shared" si="16"/>
        <v/>
      </c>
      <c r="I558" s="33" t="str">
        <f t="shared" si="8"/>
        <v/>
      </c>
      <c r="K558" s="27"/>
      <c r="L558" s="28">
        <f>SUMIFS(Dump!$D:$D,Dump!$B:$B,$C558,Dump!$A:$A,$V558)</f>
        <v>0</v>
      </c>
      <c r="M558" s="28">
        <f>SUMIFS(Dump!R:R,Dump!B:B,C558,Dump!A:A,V558)</f>
        <v>0</v>
      </c>
      <c r="N558" s="29">
        <f t="shared" si="10"/>
        <v>0</v>
      </c>
      <c r="P558" s="30">
        <f>SUMIFS(Dump!E:E,Dump!B:B,C558,Dump!A:A,V558)</f>
        <v>0</v>
      </c>
      <c r="Q558" s="31">
        <f t="shared" si="11"/>
        <v>0</v>
      </c>
      <c r="S558" s="30">
        <f>SUMIFS(Dump!P:P,Dump!B:B,C558,Dump!A:A,V558)</f>
        <v>0</v>
      </c>
      <c r="T558" s="31">
        <f t="shared" si="12"/>
        <v>0</v>
      </c>
      <c r="U558" s="34"/>
      <c r="V558" s="47"/>
    </row>
    <row r="559">
      <c r="C559" s="46"/>
      <c r="G559" s="1" t="str">
        <f t="shared" si="16"/>
        <v/>
      </c>
      <c r="I559" s="33" t="str">
        <f t="shared" si="8"/>
        <v/>
      </c>
      <c r="K559" s="27"/>
      <c r="L559" s="28">
        <f>SUMIFS(Dump!$D:$D,Dump!$B:$B,$C559,Dump!$A:$A,$V559)</f>
        <v>0</v>
      </c>
      <c r="M559" s="28">
        <f>SUMIFS(Dump!R:R,Dump!B:B,C559,Dump!A:A,V559)</f>
        <v>0</v>
      </c>
      <c r="N559" s="29">
        <f t="shared" si="10"/>
        <v>0</v>
      </c>
      <c r="P559" s="30">
        <f>SUMIFS(Dump!E:E,Dump!B:B,C559,Dump!A:A,V559)</f>
        <v>0</v>
      </c>
      <c r="Q559" s="31">
        <f t="shared" si="11"/>
        <v>0</v>
      </c>
      <c r="S559" s="30">
        <f>SUMIFS(Dump!P:P,Dump!B:B,C559,Dump!A:A,V559)</f>
        <v>0</v>
      </c>
      <c r="T559" s="31">
        <f t="shared" si="12"/>
        <v>0</v>
      </c>
      <c r="U559" s="34"/>
      <c r="V559" s="47"/>
    </row>
    <row r="560">
      <c r="C560" s="46"/>
      <c r="G560" s="1" t="str">
        <f t="shared" si="16"/>
        <v/>
      </c>
      <c r="I560" s="33" t="str">
        <f t="shared" si="8"/>
        <v/>
      </c>
      <c r="K560" s="27"/>
      <c r="L560" s="28">
        <f>SUMIFS(Dump!$D:$D,Dump!$B:$B,$C560,Dump!$A:$A,$V560)</f>
        <v>0</v>
      </c>
      <c r="M560" s="28">
        <f>SUMIFS(Dump!R:R,Dump!B:B,C560,Dump!A:A,V560)</f>
        <v>0</v>
      </c>
      <c r="N560" s="29">
        <f t="shared" si="10"/>
        <v>0</v>
      </c>
      <c r="P560" s="30">
        <f>SUMIFS(Dump!E:E,Dump!B:B,C560,Dump!A:A,V560)</f>
        <v>0</v>
      </c>
      <c r="Q560" s="31">
        <f t="shared" si="11"/>
        <v>0</v>
      </c>
      <c r="S560" s="30">
        <f>SUMIFS(Dump!P:P,Dump!B:B,C560,Dump!A:A,V560)</f>
        <v>0</v>
      </c>
      <c r="T560" s="31">
        <f t="shared" si="12"/>
        <v>0</v>
      </c>
      <c r="U560" s="34"/>
      <c r="V560" s="47"/>
    </row>
    <row r="561">
      <c r="C561" s="46"/>
      <c r="G561" s="1" t="str">
        <f t="shared" si="16"/>
        <v/>
      </c>
      <c r="I561" s="33" t="str">
        <f t="shared" si="8"/>
        <v/>
      </c>
      <c r="K561" s="27"/>
      <c r="L561" s="28">
        <f>SUMIFS(Dump!$D:$D,Dump!$B:$B,$C561,Dump!$A:$A,$V561)</f>
        <v>0</v>
      </c>
      <c r="M561" s="28">
        <f>SUMIFS(Dump!R:R,Dump!B:B,C561,Dump!A:A,V561)</f>
        <v>0</v>
      </c>
      <c r="N561" s="29">
        <f t="shared" si="10"/>
        <v>0</v>
      </c>
      <c r="P561" s="30">
        <f>SUMIFS(Dump!E:E,Dump!B:B,C561,Dump!A:A,V561)</f>
        <v>0</v>
      </c>
      <c r="Q561" s="31">
        <f t="shared" si="11"/>
        <v>0</v>
      </c>
      <c r="S561" s="30">
        <f>SUMIFS(Dump!P:P,Dump!B:B,C561,Dump!A:A,V561)</f>
        <v>0</v>
      </c>
      <c r="T561" s="31">
        <f t="shared" si="12"/>
        <v>0</v>
      </c>
      <c r="U561" s="34"/>
      <c r="V561" s="47"/>
    </row>
    <row r="562">
      <c r="C562" s="46"/>
      <c r="G562" s="1" t="str">
        <f t="shared" si="16"/>
        <v/>
      </c>
      <c r="I562" s="33" t="str">
        <f t="shared" si="8"/>
        <v/>
      </c>
      <c r="K562" s="27"/>
      <c r="L562" s="28">
        <f>SUMIFS(Dump!$D:$D,Dump!$B:$B,$C562,Dump!$A:$A,$V562)</f>
        <v>0</v>
      </c>
      <c r="M562" s="28">
        <f>SUMIFS(Dump!R:R,Dump!B:B,C562,Dump!A:A,V562)</f>
        <v>0</v>
      </c>
      <c r="N562" s="29">
        <f t="shared" si="10"/>
        <v>0</v>
      </c>
      <c r="P562" s="30">
        <f>SUMIFS(Dump!E:E,Dump!B:B,C562,Dump!A:A,V562)</f>
        <v>0</v>
      </c>
      <c r="Q562" s="31">
        <f t="shared" si="11"/>
        <v>0</v>
      </c>
      <c r="S562" s="30">
        <f>SUMIFS(Dump!P:P,Dump!B:B,C562,Dump!A:A,V562)</f>
        <v>0</v>
      </c>
      <c r="T562" s="31">
        <f t="shared" si="12"/>
        <v>0</v>
      </c>
      <c r="U562" s="34"/>
      <c r="V562" s="47"/>
    </row>
    <row r="563">
      <c r="C563" s="46"/>
      <c r="G563" s="1" t="str">
        <f t="shared" si="16"/>
        <v/>
      </c>
      <c r="I563" s="33" t="str">
        <f t="shared" si="8"/>
        <v/>
      </c>
      <c r="K563" s="27"/>
      <c r="L563" s="28">
        <f>SUMIFS(Dump!$D:$D,Dump!$B:$B,$C563,Dump!$A:$A,$V563)</f>
        <v>0</v>
      </c>
      <c r="M563" s="28">
        <f>SUMIFS(Dump!R:R,Dump!B:B,C563,Dump!A:A,V563)</f>
        <v>0</v>
      </c>
      <c r="N563" s="29">
        <f t="shared" si="10"/>
        <v>0</v>
      </c>
      <c r="P563" s="30">
        <f>SUMIFS(Dump!E:E,Dump!B:B,C563,Dump!A:A,V563)</f>
        <v>0</v>
      </c>
      <c r="Q563" s="31">
        <f t="shared" si="11"/>
        <v>0</v>
      </c>
      <c r="S563" s="30">
        <f>SUMIFS(Dump!P:P,Dump!B:B,C563,Dump!A:A,V563)</f>
        <v>0</v>
      </c>
      <c r="T563" s="31">
        <f t="shared" si="12"/>
        <v>0</v>
      </c>
      <c r="U563" s="34"/>
      <c r="V563" s="47"/>
    </row>
    <row r="564">
      <c r="C564" s="46"/>
      <c r="G564" s="1" t="str">
        <f t="shared" si="16"/>
        <v/>
      </c>
      <c r="I564" s="33" t="str">
        <f t="shared" si="8"/>
        <v/>
      </c>
      <c r="K564" s="27"/>
      <c r="L564" s="28">
        <f>SUMIFS(Dump!$D:$D,Dump!$B:$B,$C564,Dump!$A:$A,$V564)</f>
        <v>0</v>
      </c>
      <c r="M564" s="28">
        <f>SUMIFS(Dump!R:R,Dump!B:B,C564,Dump!A:A,V564)</f>
        <v>0</v>
      </c>
      <c r="N564" s="29">
        <f t="shared" si="10"/>
        <v>0</v>
      </c>
      <c r="P564" s="30">
        <f>SUMIFS(Dump!E:E,Dump!B:B,C564,Dump!A:A,V564)</f>
        <v>0</v>
      </c>
      <c r="Q564" s="31">
        <f t="shared" si="11"/>
        <v>0</v>
      </c>
      <c r="S564" s="30">
        <f>SUMIFS(Dump!P:P,Dump!B:B,C564,Dump!A:A,V564)</f>
        <v>0</v>
      </c>
      <c r="T564" s="31">
        <f t="shared" si="12"/>
        <v>0</v>
      </c>
      <c r="U564" s="34"/>
      <c r="V564" s="47"/>
    </row>
    <row r="565">
      <c r="C565" s="46"/>
      <c r="G565" s="1" t="str">
        <f t="shared" si="16"/>
        <v/>
      </c>
      <c r="I565" s="33" t="str">
        <f t="shared" si="8"/>
        <v/>
      </c>
      <c r="K565" s="27"/>
      <c r="L565" s="28">
        <f>SUMIFS(Dump!$D:$D,Dump!$B:$B,$C565,Dump!$A:$A,$V565)</f>
        <v>0</v>
      </c>
      <c r="M565" s="28">
        <f>SUMIFS(Dump!R:R,Dump!B:B,C565,Dump!A:A,V565)</f>
        <v>0</v>
      </c>
      <c r="N565" s="29">
        <f t="shared" si="10"/>
        <v>0</v>
      </c>
      <c r="P565" s="30">
        <f>SUMIFS(Dump!E:E,Dump!B:B,C565,Dump!A:A,V565)</f>
        <v>0</v>
      </c>
      <c r="Q565" s="31">
        <f t="shared" si="11"/>
        <v>0</v>
      </c>
      <c r="S565" s="30">
        <f>SUMIFS(Dump!P:P,Dump!B:B,C565,Dump!A:A,V565)</f>
        <v>0</v>
      </c>
      <c r="T565" s="31">
        <f t="shared" si="12"/>
        <v>0</v>
      </c>
      <c r="U565" s="34"/>
      <c r="V565" s="47"/>
    </row>
    <row r="566">
      <c r="C566" s="46"/>
      <c r="G566" s="1" t="str">
        <f t="shared" si="16"/>
        <v/>
      </c>
      <c r="I566" s="33" t="str">
        <f t="shared" si="8"/>
        <v/>
      </c>
      <c r="K566" s="27"/>
      <c r="L566" s="28">
        <f>SUMIFS(Dump!$D:$D,Dump!$B:$B,$C566,Dump!$A:$A,$V566)</f>
        <v>0</v>
      </c>
      <c r="M566" s="28">
        <f>SUMIFS(Dump!R:R,Dump!B:B,C566,Dump!A:A,V566)</f>
        <v>0</v>
      </c>
      <c r="N566" s="29">
        <f t="shared" si="10"/>
        <v>0</v>
      </c>
      <c r="P566" s="30">
        <f>SUMIFS(Dump!E:E,Dump!B:B,C566,Dump!A:A,V566)</f>
        <v>0</v>
      </c>
      <c r="Q566" s="31">
        <f t="shared" si="11"/>
        <v>0</v>
      </c>
      <c r="S566" s="30">
        <f>SUMIFS(Dump!P:P,Dump!B:B,C566,Dump!A:A,V566)</f>
        <v>0</v>
      </c>
      <c r="T566" s="31">
        <f t="shared" si="12"/>
        <v>0</v>
      </c>
      <c r="U566" s="34"/>
      <c r="V566" s="47"/>
    </row>
    <row r="567">
      <c r="C567" s="46"/>
      <c r="G567" s="1" t="str">
        <f t="shared" si="16"/>
        <v/>
      </c>
      <c r="I567" s="33" t="str">
        <f t="shared" si="8"/>
        <v/>
      </c>
      <c r="K567" s="27"/>
      <c r="L567" s="28">
        <f>SUMIFS(Dump!$D:$D,Dump!$B:$B,$C567,Dump!$A:$A,$V567)</f>
        <v>0</v>
      </c>
      <c r="M567" s="28">
        <f>SUMIFS(Dump!R:R,Dump!B:B,C567,Dump!A:A,V567)</f>
        <v>0</v>
      </c>
      <c r="N567" s="29">
        <f t="shared" si="10"/>
        <v>0</v>
      </c>
      <c r="P567" s="30">
        <f>SUMIFS(Dump!E:E,Dump!B:B,C567,Dump!A:A,V567)</f>
        <v>0</v>
      </c>
      <c r="Q567" s="31">
        <f t="shared" si="11"/>
        <v>0</v>
      </c>
      <c r="S567" s="30">
        <f>SUMIFS(Dump!P:P,Dump!B:B,C567,Dump!A:A,V567)</f>
        <v>0</v>
      </c>
      <c r="T567" s="31">
        <f t="shared" si="12"/>
        <v>0</v>
      </c>
      <c r="U567" s="34"/>
      <c r="V567" s="47"/>
    </row>
    <row r="568">
      <c r="C568" s="46"/>
      <c r="G568" s="1" t="str">
        <f t="shared" si="16"/>
        <v/>
      </c>
      <c r="I568" s="33" t="str">
        <f t="shared" si="8"/>
        <v/>
      </c>
      <c r="K568" s="27"/>
      <c r="L568" s="28">
        <f>SUMIFS(Dump!$D:$D,Dump!$B:$B,$C568,Dump!$A:$A,$V568)</f>
        <v>0</v>
      </c>
      <c r="M568" s="28">
        <f>SUMIFS(Dump!R:R,Dump!B:B,C568,Dump!A:A,V568)</f>
        <v>0</v>
      </c>
      <c r="N568" s="29">
        <f t="shared" si="10"/>
        <v>0</v>
      </c>
      <c r="P568" s="30">
        <f>SUMIFS(Dump!E:E,Dump!B:B,C568,Dump!A:A,V568)</f>
        <v>0</v>
      </c>
      <c r="Q568" s="31">
        <f t="shared" si="11"/>
        <v>0</v>
      </c>
      <c r="S568" s="30">
        <f>SUMIFS(Dump!P:P,Dump!B:B,C568,Dump!A:A,V568)</f>
        <v>0</v>
      </c>
      <c r="T568" s="31">
        <f t="shared" si="12"/>
        <v>0</v>
      </c>
      <c r="U568" s="34"/>
      <c r="V568" s="47"/>
    </row>
    <row r="569">
      <c r="C569" s="46"/>
      <c r="G569" s="1" t="str">
        <f t="shared" si="16"/>
        <v/>
      </c>
      <c r="I569" s="33" t="str">
        <f t="shared" si="8"/>
        <v/>
      </c>
      <c r="K569" s="27"/>
      <c r="L569" s="28">
        <f>SUMIFS(Dump!$D:$D,Dump!$B:$B,$C569,Dump!$A:$A,$V569)</f>
        <v>0</v>
      </c>
      <c r="M569" s="28">
        <f>SUMIFS(Dump!R:R,Dump!B:B,C569,Dump!A:A,V569)</f>
        <v>0</v>
      </c>
      <c r="N569" s="29">
        <f t="shared" si="10"/>
        <v>0</v>
      </c>
      <c r="P569" s="30">
        <f>SUMIFS(Dump!E:E,Dump!B:B,C569,Dump!A:A,V569)</f>
        <v>0</v>
      </c>
      <c r="Q569" s="31">
        <f t="shared" si="11"/>
        <v>0</v>
      </c>
      <c r="S569" s="30">
        <f>SUMIFS(Dump!P:P,Dump!B:B,C569,Dump!A:A,V569)</f>
        <v>0</v>
      </c>
      <c r="T569" s="31">
        <f t="shared" si="12"/>
        <v>0</v>
      </c>
      <c r="U569" s="34"/>
      <c r="V569" s="47"/>
    </row>
    <row r="570">
      <c r="C570" s="46"/>
      <c r="G570" s="1" t="str">
        <f t="shared" si="16"/>
        <v/>
      </c>
      <c r="I570" s="33" t="str">
        <f t="shared" si="8"/>
        <v/>
      </c>
      <c r="K570" s="27"/>
      <c r="L570" s="28">
        <f>SUMIFS(Dump!$D:$D,Dump!$B:$B,$C570,Dump!$A:$A,$V570)</f>
        <v>0</v>
      </c>
      <c r="M570" s="28">
        <f>SUMIFS(Dump!R:R,Dump!B:B,C570,Dump!A:A,V570)</f>
        <v>0</v>
      </c>
      <c r="N570" s="29">
        <f t="shared" si="10"/>
        <v>0</v>
      </c>
      <c r="P570" s="30">
        <f>SUMIFS(Dump!E:E,Dump!B:B,C570,Dump!A:A,V570)</f>
        <v>0</v>
      </c>
      <c r="Q570" s="31">
        <f t="shared" si="11"/>
        <v>0</v>
      </c>
      <c r="S570" s="30">
        <f>SUMIFS(Dump!P:P,Dump!B:B,C570,Dump!A:A,V570)</f>
        <v>0</v>
      </c>
      <c r="T570" s="31">
        <f t="shared" si="12"/>
        <v>0</v>
      </c>
      <c r="U570" s="34"/>
      <c r="V570" s="47"/>
    </row>
    <row r="571">
      <c r="C571" s="46"/>
      <c r="G571" s="1" t="str">
        <f t="shared" si="16"/>
        <v/>
      </c>
      <c r="I571" s="33" t="str">
        <f t="shared" si="8"/>
        <v/>
      </c>
      <c r="K571" s="27"/>
      <c r="L571" s="28">
        <f>SUMIFS(Dump!$D:$D,Dump!$B:$B,$C571,Dump!$A:$A,$V571)</f>
        <v>0</v>
      </c>
      <c r="M571" s="28">
        <f>SUMIFS(Dump!R:R,Dump!B:B,C571,Dump!A:A,V571)</f>
        <v>0</v>
      </c>
      <c r="N571" s="29">
        <f t="shared" si="10"/>
        <v>0</v>
      </c>
      <c r="P571" s="30">
        <f>SUMIFS(Dump!E:E,Dump!B:B,C571,Dump!A:A,V571)</f>
        <v>0</v>
      </c>
      <c r="Q571" s="31">
        <f t="shared" si="11"/>
        <v>0</v>
      </c>
      <c r="S571" s="30">
        <f>SUMIFS(Dump!P:P,Dump!B:B,C571,Dump!A:A,V571)</f>
        <v>0</v>
      </c>
      <c r="T571" s="31">
        <f t="shared" si="12"/>
        <v>0</v>
      </c>
      <c r="U571" s="34"/>
      <c r="V571" s="47"/>
    </row>
    <row r="572">
      <c r="C572" s="46"/>
      <c r="G572" s="1" t="str">
        <f t="shared" si="16"/>
        <v/>
      </c>
      <c r="I572" s="33" t="str">
        <f t="shared" si="8"/>
        <v/>
      </c>
      <c r="K572" s="27"/>
      <c r="L572" s="28">
        <f>SUMIFS(Dump!$D:$D,Dump!$B:$B,$C572,Dump!$A:$A,$V572)</f>
        <v>0</v>
      </c>
      <c r="M572" s="28">
        <f>SUMIFS(Dump!R:R,Dump!B:B,C572,Dump!A:A,V572)</f>
        <v>0</v>
      </c>
      <c r="N572" s="29">
        <f t="shared" si="10"/>
        <v>0</v>
      </c>
      <c r="P572" s="30">
        <f>SUMIFS(Dump!E:E,Dump!B:B,C572,Dump!A:A,V572)</f>
        <v>0</v>
      </c>
      <c r="Q572" s="31">
        <f t="shared" si="11"/>
        <v>0</v>
      </c>
      <c r="S572" s="30">
        <f>SUMIFS(Dump!P:P,Dump!B:B,C572,Dump!A:A,V572)</f>
        <v>0</v>
      </c>
      <c r="T572" s="31">
        <f t="shared" si="12"/>
        <v>0</v>
      </c>
      <c r="U572" s="34"/>
      <c r="V572" s="47"/>
    </row>
    <row r="573">
      <c r="C573" s="46"/>
      <c r="G573" s="1" t="str">
        <f t="shared" si="16"/>
        <v/>
      </c>
      <c r="I573" s="33" t="str">
        <f t="shared" si="8"/>
        <v/>
      </c>
      <c r="K573" s="27"/>
      <c r="L573" s="28">
        <f>SUMIFS(Dump!$D:$D,Dump!$B:$B,$C573,Dump!$A:$A,$V573)</f>
        <v>0</v>
      </c>
      <c r="M573" s="28">
        <f>SUMIFS(Dump!R:R,Dump!B:B,C573,Dump!A:A,V573)</f>
        <v>0</v>
      </c>
      <c r="N573" s="29">
        <f t="shared" si="10"/>
        <v>0</v>
      </c>
      <c r="P573" s="30">
        <f>SUMIFS(Dump!E:E,Dump!B:B,C573,Dump!A:A,V573)</f>
        <v>0</v>
      </c>
      <c r="Q573" s="31">
        <f t="shared" si="11"/>
        <v>0</v>
      </c>
      <c r="S573" s="30">
        <f>SUMIFS(Dump!P:P,Dump!B:B,C573,Dump!A:A,V573)</f>
        <v>0</v>
      </c>
      <c r="T573" s="31">
        <f t="shared" si="12"/>
        <v>0</v>
      </c>
      <c r="U573" s="34"/>
      <c r="V573" s="47"/>
    </row>
    <row r="574">
      <c r="C574" s="46"/>
      <c r="G574" s="1" t="str">
        <f t="shared" si="16"/>
        <v/>
      </c>
      <c r="I574" s="33" t="str">
        <f t="shared" si="8"/>
        <v/>
      </c>
      <c r="K574" s="27"/>
      <c r="L574" s="28">
        <f>SUMIFS(Dump!$D:$D,Dump!$B:$B,$C574,Dump!$A:$A,$V574)</f>
        <v>0</v>
      </c>
      <c r="M574" s="28">
        <f>SUMIFS(Dump!R:R,Dump!B:B,C574,Dump!A:A,V574)</f>
        <v>0</v>
      </c>
      <c r="N574" s="29">
        <f t="shared" si="10"/>
        <v>0</v>
      </c>
      <c r="P574" s="30">
        <f>SUMIFS(Dump!E:E,Dump!B:B,C574,Dump!A:A,V574)</f>
        <v>0</v>
      </c>
      <c r="Q574" s="31">
        <f t="shared" si="11"/>
        <v>0</v>
      </c>
      <c r="S574" s="30">
        <f>SUMIFS(Dump!P:P,Dump!B:B,C574,Dump!A:A,V574)</f>
        <v>0</v>
      </c>
      <c r="T574" s="31">
        <f t="shared" si="12"/>
        <v>0</v>
      </c>
      <c r="U574" s="34"/>
      <c r="V574" s="47"/>
    </row>
    <row r="575">
      <c r="C575" s="46"/>
      <c r="G575" s="1" t="str">
        <f t="shared" si="16"/>
        <v/>
      </c>
      <c r="I575" s="33" t="str">
        <f t="shared" si="8"/>
        <v/>
      </c>
      <c r="K575" s="27"/>
      <c r="L575" s="28">
        <f>SUMIFS(Dump!$D:$D,Dump!$B:$B,$C575,Dump!$A:$A,$V575)</f>
        <v>0</v>
      </c>
      <c r="M575" s="28">
        <f>SUMIFS(Dump!R:R,Dump!B:B,C575,Dump!A:A,V575)</f>
        <v>0</v>
      </c>
      <c r="N575" s="29">
        <f t="shared" si="10"/>
        <v>0</v>
      </c>
      <c r="P575" s="30">
        <f>SUMIFS(Dump!E:E,Dump!B:B,C575,Dump!A:A,V575)</f>
        <v>0</v>
      </c>
      <c r="Q575" s="31">
        <f t="shared" si="11"/>
        <v>0</v>
      </c>
      <c r="S575" s="30">
        <f>SUMIFS(Dump!P:P,Dump!B:B,C575,Dump!A:A,V575)</f>
        <v>0</v>
      </c>
      <c r="T575" s="31">
        <f t="shared" si="12"/>
        <v>0</v>
      </c>
      <c r="U575" s="34"/>
      <c r="V575" s="47"/>
    </row>
    <row r="576">
      <c r="C576" s="46"/>
      <c r="G576" s="1" t="str">
        <f t="shared" si="16"/>
        <v/>
      </c>
      <c r="I576" s="33" t="str">
        <f t="shared" si="8"/>
        <v/>
      </c>
      <c r="K576" s="27"/>
      <c r="L576" s="28">
        <f>SUMIFS(Dump!$D:$D,Dump!$B:$B,$C576,Dump!$A:$A,$V576)</f>
        <v>0</v>
      </c>
      <c r="M576" s="28">
        <f>SUMIFS(Dump!R:R,Dump!B:B,C576,Dump!A:A,V576)</f>
        <v>0</v>
      </c>
      <c r="N576" s="29">
        <f t="shared" si="10"/>
        <v>0</v>
      </c>
      <c r="P576" s="30">
        <f>SUMIFS(Dump!E:E,Dump!B:B,C576,Dump!A:A,V576)</f>
        <v>0</v>
      </c>
      <c r="Q576" s="31">
        <f t="shared" si="11"/>
        <v>0</v>
      </c>
      <c r="S576" s="30">
        <f>SUMIFS(Dump!P:P,Dump!B:B,C576,Dump!A:A,V576)</f>
        <v>0</v>
      </c>
      <c r="T576" s="31">
        <f t="shared" si="12"/>
        <v>0</v>
      </c>
      <c r="U576" s="34"/>
      <c r="V576" s="47"/>
    </row>
    <row r="577">
      <c r="C577" s="46"/>
      <c r="G577" s="1" t="str">
        <f t="shared" si="16"/>
        <v/>
      </c>
      <c r="I577" s="33" t="str">
        <f t="shared" si="8"/>
        <v/>
      </c>
      <c r="K577" s="27"/>
      <c r="L577" s="28">
        <f>SUMIFS(Dump!$D:$D,Dump!$B:$B,$C577,Dump!$A:$A,$V577)</f>
        <v>0</v>
      </c>
      <c r="M577" s="28">
        <f>SUMIFS(Dump!R:R,Dump!B:B,C577,Dump!A:A,V577)</f>
        <v>0</v>
      </c>
      <c r="N577" s="29">
        <f t="shared" si="10"/>
        <v>0</v>
      </c>
      <c r="P577" s="30">
        <f>SUMIFS(Dump!E:E,Dump!B:B,C577,Dump!A:A,V577)</f>
        <v>0</v>
      </c>
      <c r="Q577" s="31">
        <f t="shared" si="11"/>
        <v>0</v>
      </c>
      <c r="S577" s="30">
        <f>SUMIFS(Dump!P:P,Dump!B:B,C577,Dump!A:A,V577)</f>
        <v>0</v>
      </c>
      <c r="T577" s="31">
        <f t="shared" si="12"/>
        <v>0</v>
      </c>
      <c r="U577" s="34"/>
      <c r="V577" s="47"/>
    </row>
    <row r="578">
      <c r="C578" s="46"/>
      <c r="G578" s="1" t="str">
        <f t="shared" si="16"/>
        <v/>
      </c>
      <c r="I578" s="33" t="str">
        <f t="shared" si="8"/>
        <v/>
      </c>
      <c r="K578" s="27"/>
      <c r="L578" s="28">
        <f>SUMIFS(Dump!$D:$D,Dump!$B:$B,$C578,Dump!$A:$A,$V578)</f>
        <v>0</v>
      </c>
      <c r="M578" s="28">
        <f>SUMIFS(Dump!R:R,Dump!B:B,C578,Dump!A:A,V578)</f>
        <v>0</v>
      </c>
      <c r="N578" s="29">
        <f t="shared" si="10"/>
        <v>0</v>
      </c>
      <c r="P578" s="30">
        <f>SUMIFS(Dump!E:E,Dump!B:B,C578,Dump!A:A,V578)</f>
        <v>0</v>
      </c>
      <c r="Q578" s="31">
        <f t="shared" si="11"/>
        <v>0</v>
      </c>
      <c r="S578" s="30">
        <f>SUMIFS(Dump!P:P,Dump!B:B,C578,Dump!A:A,V578)</f>
        <v>0</v>
      </c>
      <c r="T578" s="31">
        <f t="shared" si="12"/>
        <v>0</v>
      </c>
      <c r="U578" s="34"/>
      <c r="V578" s="47"/>
    </row>
    <row r="579">
      <c r="C579" s="46"/>
      <c r="G579" s="1" t="str">
        <f t="shared" si="16"/>
        <v/>
      </c>
      <c r="I579" s="33" t="str">
        <f t="shared" si="8"/>
        <v/>
      </c>
      <c r="K579" s="27"/>
      <c r="L579" s="28">
        <f>SUMIFS(Dump!$D:$D,Dump!$B:$B,$C579,Dump!$A:$A,$V579)</f>
        <v>0</v>
      </c>
      <c r="M579" s="28">
        <f>SUMIFS(Dump!R:R,Dump!B:B,C579,Dump!A:A,V579)</f>
        <v>0</v>
      </c>
      <c r="N579" s="29">
        <f t="shared" si="10"/>
        <v>0</v>
      </c>
      <c r="P579" s="30">
        <f>SUMIFS(Dump!E:E,Dump!B:B,C579,Dump!A:A,V579)</f>
        <v>0</v>
      </c>
      <c r="Q579" s="31">
        <f t="shared" si="11"/>
        <v>0</v>
      </c>
      <c r="S579" s="30">
        <f>SUMIFS(Dump!P:P,Dump!B:B,C579,Dump!A:A,V579)</f>
        <v>0</v>
      </c>
      <c r="T579" s="31">
        <f t="shared" si="12"/>
        <v>0</v>
      </c>
      <c r="U579" s="34"/>
      <c r="V579" s="47"/>
    </row>
    <row r="580">
      <c r="C580" s="46"/>
      <c r="G580" s="1" t="str">
        <f t="shared" si="16"/>
        <v/>
      </c>
      <c r="I580" s="33" t="str">
        <f t="shared" si="8"/>
        <v/>
      </c>
      <c r="K580" s="27"/>
      <c r="L580" s="28">
        <f>SUMIFS(Dump!$D:$D,Dump!$B:$B,$C580,Dump!$A:$A,$V580)</f>
        <v>0</v>
      </c>
      <c r="M580" s="28">
        <f>SUMIFS(Dump!R:R,Dump!B:B,C580,Dump!A:A,V580)</f>
        <v>0</v>
      </c>
      <c r="N580" s="29">
        <f t="shared" si="10"/>
        <v>0</v>
      </c>
      <c r="P580" s="30">
        <f>SUMIFS(Dump!E:E,Dump!B:B,C580,Dump!A:A,V580)</f>
        <v>0</v>
      </c>
      <c r="Q580" s="31">
        <f t="shared" si="11"/>
        <v>0</v>
      </c>
      <c r="S580" s="30">
        <f>SUMIFS(Dump!P:P,Dump!B:B,C580,Dump!A:A,V580)</f>
        <v>0</v>
      </c>
      <c r="T580" s="31">
        <f t="shared" si="12"/>
        <v>0</v>
      </c>
      <c r="U580" s="34"/>
      <c r="V580" s="47"/>
    </row>
    <row r="581">
      <c r="C581" s="46"/>
      <c r="G581" s="1" t="str">
        <f t="shared" si="16"/>
        <v/>
      </c>
      <c r="I581" s="33" t="str">
        <f t="shared" si="8"/>
        <v/>
      </c>
      <c r="K581" s="27"/>
      <c r="L581" s="28">
        <f>SUMIFS(Dump!$D:$D,Dump!$B:$B,$C581,Dump!$A:$A,$V581)</f>
        <v>0</v>
      </c>
      <c r="M581" s="28">
        <f>SUMIFS(Dump!R:R,Dump!B:B,C581,Dump!A:A,V581)</f>
        <v>0</v>
      </c>
      <c r="N581" s="29">
        <f t="shared" si="10"/>
        <v>0</v>
      </c>
      <c r="P581" s="30">
        <f>SUMIFS(Dump!E:E,Dump!B:B,C581,Dump!A:A,V581)</f>
        <v>0</v>
      </c>
      <c r="Q581" s="31">
        <f t="shared" si="11"/>
        <v>0</v>
      </c>
      <c r="S581" s="30">
        <f>SUMIFS(Dump!P:P,Dump!B:B,C581,Dump!A:A,V581)</f>
        <v>0</v>
      </c>
      <c r="T581" s="31">
        <f t="shared" si="12"/>
        <v>0</v>
      </c>
      <c r="U581" s="34"/>
      <c r="V581" s="47"/>
    </row>
    <row r="582">
      <c r="C582" s="46"/>
      <c r="G582" s="1" t="str">
        <f t="shared" si="16"/>
        <v/>
      </c>
      <c r="I582" s="33" t="str">
        <f t="shared" si="8"/>
        <v/>
      </c>
      <c r="K582" s="27"/>
      <c r="L582" s="28">
        <f>SUMIFS(Dump!$D:$D,Dump!$B:$B,$C582,Dump!$A:$A,$V582)</f>
        <v>0</v>
      </c>
      <c r="M582" s="28">
        <f>SUMIFS(Dump!R:R,Dump!B:B,C582,Dump!A:A,V582)</f>
        <v>0</v>
      </c>
      <c r="N582" s="29">
        <f t="shared" si="10"/>
        <v>0</v>
      </c>
      <c r="P582" s="30">
        <f>SUMIFS(Dump!E:E,Dump!B:B,C582,Dump!A:A,V582)</f>
        <v>0</v>
      </c>
      <c r="Q582" s="31">
        <f t="shared" si="11"/>
        <v>0</v>
      </c>
      <c r="S582" s="30">
        <f>SUMIFS(Dump!P:P,Dump!B:B,C582,Dump!A:A,V582)</f>
        <v>0</v>
      </c>
      <c r="T582" s="31">
        <f t="shared" si="12"/>
        <v>0</v>
      </c>
      <c r="U582" s="34"/>
      <c r="V582" s="47"/>
    </row>
    <row r="583">
      <c r="C583" s="46"/>
      <c r="G583" s="1" t="str">
        <f t="shared" si="16"/>
        <v/>
      </c>
      <c r="I583" s="33" t="str">
        <f t="shared" si="8"/>
        <v/>
      </c>
      <c r="K583" s="27"/>
      <c r="L583" s="28">
        <f>SUMIFS(Dump!$D:$D,Dump!$B:$B,$C583,Dump!$A:$A,$V583)</f>
        <v>0</v>
      </c>
      <c r="M583" s="28">
        <f>SUMIFS(Dump!R:R,Dump!B:B,C583,Dump!A:A,V583)</f>
        <v>0</v>
      </c>
      <c r="N583" s="29">
        <f t="shared" si="10"/>
        <v>0</v>
      </c>
      <c r="P583" s="30">
        <f>SUMIFS(Dump!E:E,Dump!B:B,C583,Dump!A:A,V583)</f>
        <v>0</v>
      </c>
      <c r="Q583" s="31">
        <f t="shared" si="11"/>
        <v>0</v>
      </c>
      <c r="S583" s="30">
        <f>SUMIFS(Dump!P:P,Dump!B:B,C583,Dump!A:A,V583)</f>
        <v>0</v>
      </c>
      <c r="T583" s="31">
        <f t="shared" si="12"/>
        <v>0</v>
      </c>
      <c r="U583" s="34"/>
      <c r="V583" s="47"/>
    </row>
    <row r="584">
      <c r="C584" s="46"/>
      <c r="G584" s="1" t="str">
        <f t="shared" si="16"/>
        <v/>
      </c>
      <c r="I584" s="33" t="str">
        <f t="shared" si="8"/>
        <v/>
      </c>
      <c r="K584" s="27"/>
      <c r="L584" s="28">
        <f>SUMIFS(Dump!$D:$D,Dump!$B:$B,$C584,Dump!$A:$A,$V584)</f>
        <v>0</v>
      </c>
      <c r="M584" s="28">
        <f>SUMIFS(Dump!R:R,Dump!B:B,C584,Dump!A:A,V584)</f>
        <v>0</v>
      </c>
      <c r="N584" s="29">
        <f t="shared" si="10"/>
        <v>0</v>
      </c>
      <c r="P584" s="30">
        <f>SUMIFS(Dump!E:E,Dump!B:B,C584,Dump!A:A,V584)</f>
        <v>0</v>
      </c>
      <c r="Q584" s="31">
        <f t="shared" si="11"/>
        <v>0</v>
      </c>
      <c r="S584" s="30">
        <f>SUMIFS(Dump!P:P,Dump!B:B,C584,Dump!A:A,V584)</f>
        <v>0</v>
      </c>
      <c r="T584" s="31">
        <f t="shared" si="12"/>
        <v>0</v>
      </c>
      <c r="U584" s="34"/>
      <c r="V584" s="47"/>
    </row>
    <row r="585">
      <c r="C585" s="46"/>
      <c r="G585" s="1" t="str">
        <f t="shared" si="16"/>
        <v/>
      </c>
      <c r="I585" s="33" t="str">
        <f t="shared" si="8"/>
        <v/>
      </c>
      <c r="K585" s="27"/>
      <c r="L585" s="28">
        <f>SUMIFS(Dump!$D:$D,Dump!$B:$B,$C585,Dump!$A:$A,$V585)</f>
        <v>0</v>
      </c>
      <c r="M585" s="28">
        <f>SUMIFS(Dump!R:R,Dump!B:B,C585,Dump!A:A,V585)</f>
        <v>0</v>
      </c>
      <c r="N585" s="29">
        <f t="shared" si="10"/>
        <v>0</v>
      </c>
      <c r="P585" s="30">
        <f>SUMIFS(Dump!E:E,Dump!B:B,C585,Dump!A:A,V585)</f>
        <v>0</v>
      </c>
      <c r="Q585" s="31">
        <f t="shared" si="11"/>
        <v>0</v>
      </c>
      <c r="S585" s="30">
        <f>SUMIFS(Dump!P:P,Dump!B:B,C585,Dump!A:A,V585)</f>
        <v>0</v>
      </c>
      <c r="T585" s="31">
        <f t="shared" si="12"/>
        <v>0</v>
      </c>
      <c r="U585" s="34"/>
      <c r="V585" s="47"/>
    </row>
    <row r="586">
      <c r="C586" s="46"/>
      <c r="G586" s="1" t="str">
        <f t="shared" si="16"/>
        <v/>
      </c>
      <c r="I586" s="33" t="str">
        <f t="shared" si="8"/>
        <v/>
      </c>
      <c r="K586" s="27"/>
      <c r="L586" s="28">
        <f>SUMIFS(Dump!$D:$D,Dump!$B:$B,$C586,Dump!$A:$A,$V586)</f>
        <v>0</v>
      </c>
      <c r="M586" s="28">
        <f>SUMIFS(Dump!R:R,Dump!B:B,C586,Dump!A:A,V586)</f>
        <v>0</v>
      </c>
      <c r="N586" s="29">
        <f t="shared" si="10"/>
        <v>0</v>
      </c>
      <c r="P586" s="30">
        <f>SUMIFS(Dump!E:E,Dump!B:B,C586,Dump!A:A,V586)</f>
        <v>0</v>
      </c>
      <c r="Q586" s="31">
        <f t="shared" si="11"/>
        <v>0</v>
      </c>
      <c r="S586" s="30">
        <f>SUMIFS(Dump!P:P,Dump!B:B,C586,Dump!A:A,V586)</f>
        <v>0</v>
      </c>
      <c r="T586" s="31">
        <f t="shared" si="12"/>
        <v>0</v>
      </c>
      <c r="U586" s="34"/>
      <c r="V586" s="47"/>
    </row>
    <row r="587">
      <c r="C587" s="46"/>
      <c r="G587" s="1" t="str">
        <f t="shared" si="16"/>
        <v/>
      </c>
      <c r="I587" s="33" t="str">
        <f t="shared" si="8"/>
        <v/>
      </c>
      <c r="K587" s="27"/>
      <c r="L587" s="28">
        <f>SUMIFS(Dump!$D:$D,Dump!$B:$B,$C587,Dump!$A:$A,$V587)</f>
        <v>0</v>
      </c>
      <c r="M587" s="28">
        <f>SUMIFS(Dump!R:R,Dump!B:B,C587,Dump!A:A,V587)</f>
        <v>0</v>
      </c>
      <c r="N587" s="29">
        <f t="shared" si="10"/>
        <v>0</v>
      </c>
      <c r="P587" s="30">
        <f>SUMIFS(Dump!E:E,Dump!B:B,C587,Dump!A:A,V587)</f>
        <v>0</v>
      </c>
      <c r="Q587" s="31">
        <f t="shared" si="11"/>
        <v>0</v>
      </c>
      <c r="S587" s="30">
        <f>SUMIFS(Dump!P:P,Dump!B:B,C587,Dump!A:A,V587)</f>
        <v>0</v>
      </c>
      <c r="T587" s="31">
        <f t="shared" si="12"/>
        <v>0</v>
      </c>
      <c r="U587" s="34"/>
      <c r="V587" s="47"/>
    </row>
    <row r="588">
      <c r="C588" s="46"/>
      <c r="G588" s="1" t="str">
        <f t="shared" si="16"/>
        <v/>
      </c>
      <c r="I588" s="33" t="str">
        <f t="shared" si="8"/>
        <v/>
      </c>
      <c r="K588" s="27"/>
      <c r="L588" s="28">
        <f>SUMIFS(Dump!$D:$D,Dump!$B:$B,$C588,Dump!$A:$A,$V588)</f>
        <v>0</v>
      </c>
      <c r="M588" s="28">
        <f>SUMIFS(Dump!R:R,Dump!B:B,C588,Dump!A:A,V588)</f>
        <v>0</v>
      </c>
      <c r="N588" s="29">
        <f t="shared" si="10"/>
        <v>0</v>
      </c>
      <c r="P588" s="30">
        <f>SUMIFS(Dump!E:E,Dump!B:B,C588,Dump!A:A,V588)</f>
        <v>0</v>
      </c>
      <c r="Q588" s="31">
        <f t="shared" si="11"/>
        <v>0</v>
      </c>
      <c r="S588" s="30">
        <f>SUMIFS(Dump!P:P,Dump!B:B,C588,Dump!A:A,V588)</f>
        <v>0</v>
      </c>
      <c r="T588" s="31">
        <f t="shared" si="12"/>
        <v>0</v>
      </c>
      <c r="U588" s="34"/>
      <c r="V588" s="47"/>
    </row>
    <row r="589">
      <c r="C589" s="46"/>
      <c r="G589" s="1" t="str">
        <f t="shared" si="16"/>
        <v/>
      </c>
      <c r="I589" s="33" t="str">
        <f t="shared" si="8"/>
        <v/>
      </c>
      <c r="K589" s="27"/>
      <c r="L589" s="28">
        <f>SUMIFS(Dump!$D:$D,Dump!$B:$B,$C589,Dump!$A:$A,$V589)</f>
        <v>0</v>
      </c>
      <c r="M589" s="28">
        <f>SUMIFS(Dump!R:R,Dump!B:B,C589,Dump!A:A,V589)</f>
        <v>0</v>
      </c>
      <c r="N589" s="29">
        <f t="shared" si="10"/>
        <v>0</v>
      </c>
      <c r="P589" s="30">
        <f>SUMIFS(Dump!E:E,Dump!B:B,C589,Dump!A:A,V589)</f>
        <v>0</v>
      </c>
      <c r="Q589" s="31">
        <f t="shared" si="11"/>
        <v>0</v>
      </c>
      <c r="S589" s="30">
        <f>SUMIFS(Dump!P:P,Dump!B:B,C589,Dump!A:A,V589)</f>
        <v>0</v>
      </c>
      <c r="T589" s="31">
        <f t="shared" si="12"/>
        <v>0</v>
      </c>
      <c r="U589" s="34"/>
      <c r="V589" s="47"/>
    </row>
    <row r="590">
      <c r="C590" s="46"/>
      <c r="G590" s="1" t="str">
        <f t="shared" si="16"/>
        <v/>
      </c>
      <c r="I590" s="33" t="str">
        <f t="shared" si="8"/>
        <v/>
      </c>
      <c r="K590" s="27"/>
      <c r="L590" s="28">
        <f>SUMIFS(Dump!$D:$D,Dump!$B:$B,$C590,Dump!$A:$A,$V590)</f>
        <v>0</v>
      </c>
      <c r="M590" s="28">
        <f>SUMIFS(Dump!R:R,Dump!B:B,C590,Dump!A:A,V590)</f>
        <v>0</v>
      </c>
      <c r="N590" s="29">
        <f t="shared" si="10"/>
        <v>0</v>
      </c>
      <c r="P590" s="30">
        <f>SUMIFS(Dump!E:E,Dump!B:B,C590,Dump!A:A,V590)</f>
        <v>0</v>
      </c>
      <c r="Q590" s="31">
        <f t="shared" si="11"/>
        <v>0</v>
      </c>
      <c r="S590" s="30">
        <f>SUMIFS(Dump!P:P,Dump!B:B,C590,Dump!A:A,V590)</f>
        <v>0</v>
      </c>
      <c r="T590" s="31">
        <f t="shared" si="12"/>
        <v>0</v>
      </c>
      <c r="U590" s="34"/>
      <c r="V590" s="47"/>
    </row>
    <row r="591">
      <c r="C591" s="46"/>
      <c r="G591" s="1" t="str">
        <f t="shared" si="16"/>
        <v/>
      </c>
      <c r="I591" s="33" t="str">
        <f t="shared" si="8"/>
        <v/>
      </c>
      <c r="K591" s="27"/>
      <c r="L591" s="28">
        <f>SUMIFS(Dump!$D:$D,Dump!$B:$B,$C591,Dump!$A:$A,$V591)</f>
        <v>0</v>
      </c>
      <c r="M591" s="28">
        <f>SUMIFS(Dump!R:R,Dump!B:B,C591,Dump!A:A,V591)</f>
        <v>0</v>
      </c>
      <c r="N591" s="29">
        <f t="shared" si="10"/>
        <v>0</v>
      </c>
      <c r="P591" s="30">
        <f>SUMIFS(Dump!E:E,Dump!B:B,C591,Dump!A:A,V591)</f>
        <v>0</v>
      </c>
      <c r="Q591" s="31">
        <f t="shared" si="11"/>
        <v>0</v>
      </c>
      <c r="S591" s="30">
        <f>SUMIFS(Dump!P:P,Dump!B:B,C591,Dump!A:A,V591)</f>
        <v>0</v>
      </c>
      <c r="T591" s="31">
        <f t="shared" si="12"/>
        <v>0</v>
      </c>
      <c r="U591" s="34"/>
      <c r="V591" s="47"/>
    </row>
    <row r="592">
      <c r="C592" s="46"/>
      <c r="G592" s="1" t="str">
        <f t="shared" si="16"/>
        <v/>
      </c>
      <c r="I592" s="33" t="str">
        <f t="shared" si="8"/>
        <v/>
      </c>
      <c r="K592" s="27"/>
      <c r="L592" s="28">
        <f>SUMIFS(Dump!$D:$D,Dump!$B:$B,$C592,Dump!$A:$A,$V592)</f>
        <v>0</v>
      </c>
      <c r="M592" s="28">
        <f>SUMIFS(Dump!R:R,Dump!B:B,C592,Dump!A:A,V592)</f>
        <v>0</v>
      </c>
      <c r="N592" s="29">
        <f t="shared" si="10"/>
        <v>0</v>
      </c>
      <c r="P592" s="30">
        <f>SUMIFS(Dump!E:E,Dump!B:B,C592,Dump!A:A,V592)</f>
        <v>0</v>
      </c>
      <c r="Q592" s="31">
        <f t="shared" si="11"/>
        <v>0</v>
      </c>
      <c r="S592" s="30">
        <f>SUMIFS(Dump!P:P,Dump!B:B,C592,Dump!A:A,V592)</f>
        <v>0</v>
      </c>
      <c r="T592" s="31">
        <f t="shared" si="12"/>
        <v>0</v>
      </c>
      <c r="U592" s="34"/>
      <c r="V592" s="47"/>
    </row>
    <row r="593">
      <c r="C593" s="46"/>
      <c r="G593" s="1" t="str">
        <f t="shared" si="16"/>
        <v/>
      </c>
      <c r="I593" s="33" t="str">
        <f t="shared" si="8"/>
        <v/>
      </c>
      <c r="K593" s="27"/>
      <c r="L593" s="28">
        <f>SUMIFS(Dump!$D:$D,Dump!$B:$B,$C593,Dump!$A:$A,$V593)</f>
        <v>0</v>
      </c>
      <c r="M593" s="28">
        <f>SUMIFS(Dump!R:R,Dump!B:B,C593,Dump!A:A,V593)</f>
        <v>0</v>
      </c>
      <c r="N593" s="29">
        <f t="shared" si="10"/>
        <v>0</v>
      </c>
      <c r="P593" s="30">
        <f>SUMIFS(Dump!E:E,Dump!B:B,C593,Dump!A:A,V593)</f>
        <v>0</v>
      </c>
      <c r="Q593" s="31">
        <f t="shared" si="11"/>
        <v>0</v>
      </c>
      <c r="S593" s="30">
        <f>SUMIFS(Dump!P:P,Dump!B:B,C593,Dump!A:A,V593)</f>
        <v>0</v>
      </c>
      <c r="T593" s="31">
        <f t="shared" si="12"/>
        <v>0</v>
      </c>
      <c r="U593" s="34"/>
      <c r="V593" s="47"/>
    </row>
    <row r="594">
      <c r="C594" s="46"/>
      <c r="G594" s="1" t="str">
        <f t="shared" si="16"/>
        <v/>
      </c>
      <c r="I594" s="33" t="str">
        <f t="shared" si="8"/>
        <v/>
      </c>
      <c r="K594" s="27"/>
      <c r="L594" s="28">
        <f>SUMIFS(Dump!$D:$D,Dump!$B:$B,$C594,Dump!$A:$A,$V594)</f>
        <v>0</v>
      </c>
      <c r="M594" s="28">
        <f>SUMIFS(Dump!R:R,Dump!B:B,C594,Dump!A:A,V594)</f>
        <v>0</v>
      </c>
      <c r="N594" s="29">
        <f t="shared" si="10"/>
        <v>0</v>
      </c>
      <c r="P594" s="30">
        <f>SUMIFS(Dump!E:E,Dump!B:B,C594,Dump!A:A,V594)</f>
        <v>0</v>
      </c>
      <c r="Q594" s="31">
        <f t="shared" si="11"/>
        <v>0</v>
      </c>
      <c r="S594" s="30">
        <f>SUMIFS(Dump!P:P,Dump!B:B,C594,Dump!A:A,V594)</f>
        <v>0</v>
      </c>
      <c r="T594" s="31">
        <f t="shared" si="12"/>
        <v>0</v>
      </c>
      <c r="U594" s="34"/>
      <c r="V594" s="47"/>
    </row>
    <row r="595">
      <c r="C595" s="46"/>
      <c r="G595" s="1" t="str">
        <f t="shared" si="16"/>
        <v/>
      </c>
      <c r="I595" s="33" t="str">
        <f t="shared" si="8"/>
        <v/>
      </c>
      <c r="K595" s="27"/>
      <c r="L595" s="28">
        <f>SUMIFS(Dump!$D:$D,Dump!$B:$B,$C595,Dump!$A:$A,$V595)</f>
        <v>0</v>
      </c>
      <c r="M595" s="28">
        <f>SUMIFS(Dump!R:R,Dump!B:B,C595,Dump!A:A,V595)</f>
        <v>0</v>
      </c>
      <c r="N595" s="29">
        <f t="shared" si="10"/>
        <v>0</v>
      </c>
      <c r="P595" s="30">
        <f>SUMIFS(Dump!E:E,Dump!B:B,C595,Dump!A:A,V595)</f>
        <v>0</v>
      </c>
      <c r="Q595" s="31">
        <f t="shared" si="11"/>
        <v>0</v>
      </c>
      <c r="S595" s="30">
        <f>SUMIFS(Dump!P:P,Dump!B:B,C595,Dump!A:A,V595)</f>
        <v>0</v>
      </c>
      <c r="T595" s="31">
        <f t="shared" si="12"/>
        <v>0</v>
      </c>
      <c r="U595" s="34"/>
      <c r="V595" s="47"/>
    </row>
    <row r="596">
      <c r="C596" s="46"/>
      <c r="G596" s="1" t="str">
        <f t="shared" si="16"/>
        <v/>
      </c>
      <c r="I596" s="33" t="str">
        <f t="shared" si="8"/>
        <v/>
      </c>
      <c r="K596" s="27"/>
      <c r="L596" s="28">
        <f>SUMIFS(Dump!$D:$D,Dump!$B:$B,$C596,Dump!$A:$A,$V596)</f>
        <v>0</v>
      </c>
      <c r="M596" s="28">
        <f>SUMIFS(Dump!R:R,Dump!B:B,C596,Dump!A:A,V596)</f>
        <v>0</v>
      </c>
      <c r="N596" s="29">
        <f t="shared" si="10"/>
        <v>0</v>
      </c>
      <c r="P596" s="30">
        <f>SUMIFS(Dump!E:E,Dump!B:B,C596,Dump!A:A,V596)</f>
        <v>0</v>
      </c>
      <c r="Q596" s="31">
        <f t="shared" si="11"/>
        <v>0</v>
      </c>
      <c r="S596" s="30">
        <f>SUMIFS(Dump!P:P,Dump!B:B,C596,Dump!A:A,V596)</f>
        <v>0</v>
      </c>
      <c r="T596" s="31">
        <f t="shared" si="12"/>
        <v>0</v>
      </c>
      <c r="U596" s="34"/>
      <c r="V596" s="47"/>
    </row>
    <row r="597">
      <c r="C597" s="46"/>
      <c r="G597" s="1" t="str">
        <f t="shared" si="16"/>
        <v/>
      </c>
      <c r="I597" s="33" t="str">
        <f t="shared" si="8"/>
        <v/>
      </c>
      <c r="K597" s="27"/>
      <c r="L597" s="28">
        <f>SUMIFS(Dump!$D:$D,Dump!$B:$B,$C597,Dump!$A:$A,$V597)</f>
        <v>0</v>
      </c>
      <c r="M597" s="28">
        <f>SUMIFS(Dump!R:R,Dump!B:B,C597,Dump!A:A,V597)</f>
        <v>0</v>
      </c>
      <c r="N597" s="29">
        <f t="shared" si="10"/>
        <v>0</v>
      </c>
      <c r="P597" s="30">
        <f>SUMIFS(Dump!E:E,Dump!B:B,C597,Dump!A:A,V597)</f>
        <v>0</v>
      </c>
      <c r="Q597" s="31">
        <f t="shared" si="11"/>
        <v>0</v>
      </c>
      <c r="S597" s="30">
        <f>SUMIFS(Dump!P:P,Dump!B:B,C597,Dump!A:A,V597)</f>
        <v>0</v>
      </c>
      <c r="T597" s="31">
        <f t="shared" si="12"/>
        <v>0</v>
      </c>
      <c r="U597" s="34"/>
      <c r="V597" s="47"/>
    </row>
    <row r="598">
      <c r="C598" s="46"/>
      <c r="G598" s="1" t="str">
        <f t="shared" si="16"/>
        <v/>
      </c>
      <c r="I598" s="33" t="str">
        <f t="shared" si="8"/>
        <v/>
      </c>
      <c r="K598" s="27"/>
      <c r="L598" s="28">
        <f>SUMIFS(Dump!$D:$D,Dump!$B:$B,$C598,Dump!$A:$A,$V598)</f>
        <v>0</v>
      </c>
      <c r="M598" s="28">
        <f>SUMIFS(Dump!R:R,Dump!B:B,C598,Dump!A:A,V598)</f>
        <v>0</v>
      </c>
      <c r="N598" s="29">
        <f t="shared" si="10"/>
        <v>0</v>
      </c>
      <c r="P598" s="30">
        <f>SUMIFS(Dump!E:E,Dump!B:B,C598,Dump!A:A,V598)</f>
        <v>0</v>
      </c>
      <c r="Q598" s="31">
        <f t="shared" si="11"/>
        <v>0</v>
      </c>
      <c r="S598" s="30">
        <f>SUMIFS(Dump!P:P,Dump!B:B,C598,Dump!A:A,V598)</f>
        <v>0</v>
      </c>
      <c r="T598" s="31">
        <f t="shared" si="12"/>
        <v>0</v>
      </c>
      <c r="U598" s="34"/>
      <c r="V598" s="47"/>
    </row>
    <row r="599">
      <c r="C599" s="46"/>
      <c r="G599" s="1" t="str">
        <f t="shared" si="16"/>
        <v/>
      </c>
      <c r="I599" s="33" t="str">
        <f t="shared" si="8"/>
        <v/>
      </c>
      <c r="K599" s="27"/>
      <c r="L599" s="28">
        <f>SUMIFS(Dump!$D:$D,Dump!$B:$B,$C599,Dump!$A:$A,$V599)</f>
        <v>0</v>
      </c>
      <c r="M599" s="28">
        <f>SUMIFS(Dump!R:R,Dump!B:B,C599,Dump!A:A,V599)</f>
        <v>0</v>
      </c>
      <c r="N599" s="29">
        <f t="shared" si="10"/>
        <v>0</v>
      </c>
      <c r="P599" s="30">
        <f>SUMIFS(Dump!E:E,Dump!B:B,C599,Dump!A:A,V599)</f>
        <v>0</v>
      </c>
      <c r="Q599" s="31">
        <f t="shared" si="11"/>
        <v>0</v>
      </c>
      <c r="S599" s="30">
        <f>SUMIFS(Dump!P:P,Dump!B:B,C599,Dump!A:A,V599)</f>
        <v>0</v>
      </c>
      <c r="T599" s="31">
        <f t="shared" si="12"/>
        <v>0</v>
      </c>
      <c r="U599" s="34"/>
      <c r="V599" s="47"/>
    </row>
    <row r="600">
      <c r="C600" s="46"/>
      <c r="G600" s="1" t="str">
        <f t="shared" si="16"/>
        <v/>
      </c>
      <c r="I600" s="33" t="str">
        <f t="shared" si="8"/>
        <v/>
      </c>
      <c r="K600" s="27"/>
      <c r="L600" s="28">
        <f>SUMIFS(Dump!$D:$D,Dump!$B:$B,$C600,Dump!$A:$A,$V600)</f>
        <v>0</v>
      </c>
      <c r="M600" s="28">
        <f>SUMIFS(Dump!R:R,Dump!B:B,C600,Dump!A:A,V600)</f>
        <v>0</v>
      </c>
      <c r="N600" s="29">
        <f t="shared" si="10"/>
        <v>0</v>
      </c>
      <c r="P600" s="30">
        <f>SUMIFS(Dump!E:E,Dump!B:B,C600,Dump!A:A,V600)</f>
        <v>0</v>
      </c>
      <c r="Q600" s="31">
        <f t="shared" si="11"/>
        <v>0</v>
      </c>
      <c r="S600" s="30">
        <f>SUMIFS(Dump!P:P,Dump!B:B,C600,Dump!A:A,V600)</f>
        <v>0</v>
      </c>
      <c r="T600" s="31">
        <f t="shared" si="12"/>
        <v>0</v>
      </c>
      <c r="U600" s="34"/>
      <c r="V600" s="47"/>
    </row>
    <row r="601">
      <c r="C601" s="46"/>
      <c r="G601" s="1" t="str">
        <f t="shared" si="16"/>
        <v/>
      </c>
      <c r="I601" s="33" t="str">
        <f t="shared" si="8"/>
        <v/>
      </c>
      <c r="K601" s="27"/>
      <c r="L601" s="28">
        <f>SUMIFS(Dump!$D:$D,Dump!$B:$B,$C601,Dump!$A:$A,$V601)</f>
        <v>0</v>
      </c>
      <c r="M601" s="28">
        <f>SUMIFS(Dump!R:R,Dump!B:B,C601,Dump!A:A,V601)</f>
        <v>0</v>
      </c>
      <c r="N601" s="29">
        <f t="shared" si="10"/>
        <v>0</v>
      </c>
      <c r="P601" s="30">
        <f>SUMIFS(Dump!E:E,Dump!B:B,C601,Dump!A:A,V601)</f>
        <v>0</v>
      </c>
      <c r="Q601" s="31">
        <f t="shared" si="11"/>
        <v>0</v>
      </c>
      <c r="S601" s="30">
        <f>SUMIFS(Dump!P:P,Dump!B:B,C601,Dump!A:A,V601)</f>
        <v>0</v>
      </c>
      <c r="T601" s="31">
        <f t="shared" si="12"/>
        <v>0</v>
      </c>
      <c r="U601" s="34"/>
      <c r="V601" s="47"/>
    </row>
    <row r="602">
      <c r="C602" s="46"/>
      <c r="G602" s="1" t="str">
        <f t="shared" si="16"/>
        <v/>
      </c>
      <c r="I602" s="33" t="str">
        <f t="shared" si="8"/>
        <v/>
      </c>
      <c r="K602" s="27"/>
      <c r="L602" s="28">
        <f>SUMIFS(Dump!$D:$D,Dump!$B:$B,$C602,Dump!$A:$A,$V602)</f>
        <v>0</v>
      </c>
      <c r="M602" s="28">
        <f>SUMIFS(Dump!R:R,Dump!B:B,C602,Dump!A:A,V602)</f>
        <v>0</v>
      </c>
      <c r="N602" s="29">
        <f t="shared" si="10"/>
        <v>0</v>
      </c>
      <c r="P602" s="30">
        <f>SUMIFS(Dump!E:E,Dump!B:B,C602,Dump!A:A,V602)</f>
        <v>0</v>
      </c>
      <c r="Q602" s="31">
        <f t="shared" si="11"/>
        <v>0</v>
      </c>
      <c r="S602" s="30">
        <f>SUMIFS(Dump!P:P,Dump!B:B,C602,Dump!A:A,V602)</f>
        <v>0</v>
      </c>
      <c r="T602" s="31">
        <f t="shared" si="12"/>
        <v>0</v>
      </c>
      <c r="U602" s="34"/>
      <c r="V602" s="47"/>
    </row>
    <row r="603">
      <c r="C603" s="46"/>
      <c r="G603" s="1" t="str">
        <f t="shared" si="16"/>
        <v/>
      </c>
      <c r="I603" s="33" t="str">
        <f t="shared" si="8"/>
        <v/>
      </c>
      <c r="K603" s="27"/>
      <c r="L603" s="28">
        <f>SUMIFS(Dump!$D:$D,Dump!$B:$B,$C603,Dump!$A:$A,$V603)</f>
        <v>0</v>
      </c>
      <c r="M603" s="28">
        <f>SUMIFS(Dump!R:R,Dump!B:B,C603,Dump!A:A,V603)</f>
        <v>0</v>
      </c>
      <c r="N603" s="29">
        <f t="shared" si="10"/>
        <v>0</v>
      </c>
      <c r="P603" s="30">
        <f>SUMIFS(Dump!E:E,Dump!B:B,C603,Dump!A:A,V603)</f>
        <v>0</v>
      </c>
      <c r="Q603" s="31">
        <f t="shared" si="11"/>
        <v>0</v>
      </c>
      <c r="S603" s="30">
        <f>SUMIFS(Dump!P:P,Dump!B:B,C603,Dump!A:A,V603)</f>
        <v>0</v>
      </c>
      <c r="T603" s="31">
        <f t="shared" si="12"/>
        <v>0</v>
      </c>
      <c r="U603" s="34"/>
      <c r="V603" s="47"/>
    </row>
    <row r="604">
      <c r="C604" s="46"/>
      <c r="G604" s="1" t="str">
        <f t="shared" si="16"/>
        <v/>
      </c>
      <c r="I604" s="33" t="str">
        <f t="shared" si="8"/>
        <v/>
      </c>
      <c r="K604" s="27"/>
      <c r="L604" s="28">
        <f>SUMIFS(Dump!$D:$D,Dump!$B:$B,$C604,Dump!$A:$A,$V604)</f>
        <v>0</v>
      </c>
      <c r="M604" s="28">
        <f>SUMIFS(Dump!R:R,Dump!B:B,C604,Dump!A:A,V604)</f>
        <v>0</v>
      </c>
      <c r="N604" s="29">
        <f t="shared" si="10"/>
        <v>0</v>
      </c>
      <c r="P604" s="30">
        <f>SUMIFS(Dump!E:E,Dump!B:B,C604,Dump!A:A,V604)</f>
        <v>0</v>
      </c>
      <c r="Q604" s="31">
        <f t="shared" si="11"/>
        <v>0</v>
      </c>
      <c r="S604" s="30">
        <f>SUMIFS(Dump!P:P,Dump!B:B,C604,Dump!A:A,V604)</f>
        <v>0</v>
      </c>
      <c r="T604" s="31">
        <f t="shared" si="12"/>
        <v>0</v>
      </c>
      <c r="U604" s="34"/>
      <c r="V604" s="47"/>
    </row>
    <row r="605">
      <c r="C605" s="46"/>
      <c r="G605" s="1" t="str">
        <f t="shared" si="16"/>
        <v/>
      </c>
      <c r="I605" s="33" t="str">
        <f t="shared" si="8"/>
        <v/>
      </c>
      <c r="K605" s="27"/>
      <c r="L605" s="28">
        <f>SUMIFS(Dump!$D:$D,Dump!$B:$B,$C605,Dump!$A:$A,$V605)</f>
        <v>0</v>
      </c>
      <c r="M605" s="28">
        <f>SUMIFS(Dump!R:R,Dump!B:B,C605,Dump!A:A,V605)</f>
        <v>0</v>
      </c>
      <c r="N605" s="29">
        <f t="shared" si="10"/>
        <v>0</v>
      </c>
      <c r="P605" s="30">
        <f>SUMIFS(Dump!E:E,Dump!B:B,C605,Dump!A:A,V605)</f>
        <v>0</v>
      </c>
      <c r="Q605" s="31">
        <f t="shared" si="11"/>
        <v>0</v>
      </c>
      <c r="S605" s="30">
        <f>SUMIFS(Dump!P:P,Dump!B:B,C605,Dump!A:A,V605)</f>
        <v>0</v>
      </c>
      <c r="T605" s="31">
        <f t="shared" si="12"/>
        <v>0</v>
      </c>
      <c r="U605" s="34"/>
      <c r="V605" s="47"/>
    </row>
    <row r="606">
      <c r="C606" s="46"/>
      <c r="G606" s="1" t="str">
        <f t="shared" si="16"/>
        <v/>
      </c>
      <c r="I606" s="33" t="str">
        <f t="shared" si="8"/>
        <v/>
      </c>
      <c r="K606" s="27"/>
      <c r="L606" s="28">
        <f>SUMIFS(Dump!$D:$D,Dump!$B:$B,$C606,Dump!$A:$A,$V606)</f>
        <v>0</v>
      </c>
      <c r="M606" s="28">
        <f>SUMIFS(Dump!R:R,Dump!B:B,C606,Dump!A:A,V606)</f>
        <v>0</v>
      </c>
      <c r="N606" s="29">
        <f t="shared" si="10"/>
        <v>0</v>
      </c>
      <c r="P606" s="30">
        <f>SUMIFS(Dump!E:E,Dump!B:B,C606,Dump!A:A,V606)</f>
        <v>0</v>
      </c>
      <c r="Q606" s="31">
        <f t="shared" si="11"/>
        <v>0</v>
      </c>
      <c r="S606" s="30">
        <f>SUMIFS(Dump!P:P,Dump!B:B,C606,Dump!A:A,V606)</f>
        <v>0</v>
      </c>
      <c r="T606" s="31">
        <f t="shared" si="12"/>
        <v>0</v>
      </c>
      <c r="U606" s="34"/>
      <c r="V606" s="47"/>
    </row>
    <row r="607">
      <c r="C607" s="46"/>
      <c r="G607" s="1" t="str">
        <f t="shared" si="16"/>
        <v/>
      </c>
      <c r="I607" s="33" t="str">
        <f t="shared" si="8"/>
        <v/>
      </c>
      <c r="K607" s="27"/>
      <c r="L607" s="28">
        <f>SUMIFS(Dump!$D:$D,Dump!$B:$B,$C607,Dump!$A:$A,$V607)</f>
        <v>0</v>
      </c>
      <c r="M607" s="28">
        <f>SUMIFS(Dump!R:R,Dump!B:B,C607,Dump!A:A,V607)</f>
        <v>0</v>
      </c>
      <c r="N607" s="29">
        <f t="shared" si="10"/>
        <v>0</v>
      </c>
      <c r="P607" s="30">
        <f>SUMIFS(Dump!E:E,Dump!B:B,C607,Dump!A:A,V607)</f>
        <v>0</v>
      </c>
      <c r="Q607" s="31">
        <f t="shared" si="11"/>
        <v>0</v>
      </c>
      <c r="S607" s="30">
        <f>SUMIFS(Dump!P:P,Dump!B:B,C607,Dump!A:A,V607)</f>
        <v>0</v>
      </c>
      <c r="T607" s="31">
        <f t="shared" si="12"/>
        <v>0</v>
      </c>
      <c r="U607" s="34"/>
      <c r="V607" s="47"/>
    </row>
    <row r="608">
      <c r="C608" s="46"/>
      <c r="G608" s="1" t="str">
        <f t="shared" si="16"/>
        <v/>
      </c>
      <c r="I608" s="33" t="str">
        <f t="shared" si="8"/>
        <v/>
      </c>
      <c r="K608" s="27"/>
      <c r="L608" s="28">
        <f>SUMIFS(Dump!$D:$D,Dump!$B:$B,$C608,Dump!$A:$A,$V608)</f>
        <v>0</v>
      </c>
      <c r="M608" s="28">
        <f>SUMIFS(Dump!R:R,Dump!B:B,C608,Dump!A:A,V608)</f>
        <v>0</v>
      </c>
      <c r="N608" s="29">
        <f t="shared" si="10"/>
        <v>0</v>
      </c>
      <c r="P608" s="30">
        <f>SUMIFS(Dump!E:E,Dump!B:B,C608,Dump!A:A,V608)</f>
        <v>0</v>
      </c>
      <c r="Q608" s="31">
        <f t="shared" si="11"/>
        <v>0</v>
      </c>
      <c r="S608" s="30">
        <f>SUMIFS(Dump!P:P,Dump!B:B,C608,Dump!A:A,V608)</f>
        <v>0</v>
      </c>
      <c r="T608" s="31">
        <f t="shared" si="12"/>
        <v>0</v>
      </c>
      <c r="U608" s="34"/>
      <c r="V608" s="47"/>
    </row>
    <row r="609">
      <c r="C609" s="46"/>
      <c r="G609" s="1" t="str">
        <f t="shared" si="16"/>
        <v/>
      </c>
      <c r="I609" s="33" t="str">
        <f t="shared" si="8"/>
        <v/>
      </c>
      <c r="K609" s="27"/>
      <c r="L609" s="28">
        <f>SUMIFS(Dump!$D:$D,Dump!$B:$B,$C609,Dump!$A:$A,$V609)</f>
        <v>0</v>
      </c>
      <c r="M609" s="28">
        <f>SUMIFS(Dump!R:R,Dump!B:B,C609,Dump!A:A,V609)</f>
        <v>0</v>
      </c>
      <c r="N609" s="29">
        <f t="shared" si="10"/>
        <v>0</v>
      </c>
      <c r="P609" s="30">
        <f>SUMIFS(Dump!E:E,Dump!B:B,C609,Dump!A:A,V609)</f>
        <v>0</v>
      </c>
      <c r="Q609" s="31">
        <f t="shared" si="11"/>
        <v>0</v>
      </c>
      <c r="S609" s="30">
        <f>SUMIFS(Dump!P:P,Dump!B:B,C609,Dump!A:A,V609)</f>
        <v>0</v>
      </c>
      <c r="T609" s="31">
        <f t="shared" si="12"/>
        <v>0</v>
      </c>
      <c r="U609" s="34"/>
      <c r="V609" s="47"/>
    </row>
    <row r="610">
      <c r="C610" s="46"/>
      <c r="G610" s="1" t="str">
        <f t="shared" si="16"/>
        <v/>
      </c>
      <c r="I610" s="33" t="str">
        <f t="shared" si="8"/>
        <v/>
      </c>
      <c r="K610" s="27"/>
      <c r="L610" s="28">
        <f>SUMIFS(Dump!$D:$D,Dump!$B:$B,$C610,Dump!$A:$A,$V610)</f>
        <v>0</v>
      </c>
      <c r="M610" s="28">
        <f>SUMIFS(Dump!R:R,Dump!B:B,C610,Dump!A:A,V610)</f>
        <v>0</v>
      </c>
      <c r="N610" s="29">
        <f t="shared" si="10"/>
        <v>0</v>
      </c>
      <c r="P610" s="30">
        <f>SUMIFS(Dump!E:E,Dump!B:B,C610,Dump!A:A,V610)</f>
        <v>0</v>
      </c>
      <c r="Q610" s="31">
        <f t="shared" si="11"/>
        <v>0</v>
      </c>
      <c r="S610" s="30">
        <f>SUMIFS(Dump!P:P,Dump!B:B,C610,Dump!A:A,V610)</f>
        <v>0</v>
      </c>
      <c r="T610" s="31">
        <f t="shared" si="12"/>
        <v>0</v>
      </c>
      <c r="U610" s="34"/>
      <c r="V610" s="47"/>
    </row>
    <row r="611">
      <c r="C611" s="46"/>
      <c r="G611" s="1" t="str">
        <f t="shared" si="16"/>
        <v/>
      </c>
      <c r="I611" s="33" t="str">
        <f t="shared" si="8"/>
        <v/>
      </c>
      <c r="K611" s="27"/>
      <c r="L611" s="28">
        <f>SUMIFS(Dump!$D:$D,Dump!$B:$B,$C611,Dump!$A:$A,$V611)</f>
        <v>0</v>
      </c>
      <c r="M611" s="28">
        <f>SUMIFS(Dump!R:R,Dump!B:B,C611,Dump!A:A,V611)</f>
        <v>0</v>
      </c>
      <c r="N611" s="29">
        <f t="shared" si="10"/>
        <v>0</v>
      </c>
      <c r="P611" s="30">
        <f>SUMIFS(Dump!E:E,Dump!B:B,C611,Dump!A:A,V611)</f>
        <v>0</v>
      </c>
      <c r="Q611" s="31">
        <f t="shared" si="11"/>
        <v>0</v>
      </c>
      <c r="S611" s="30">
        <f>SUMIFS(Dump!P:P,Dump!B:B,C611,Dump!A:A,V611)</f>
        <v>0</v>
      </c>
      <c r="T611" s="31">
        <f t="shared" si="12"/>
        <v>0</v>
      </c>
      <c r="U611" s="34"/>
      <c r="V611" s="47"/>
    </row>
    <row r="612">
      <c r="C612" s="46"/>
      <c r="G612" s="1" t="str">
        <f t="shared" si="16"/>
        <v/>
      </c>
      <c r="I612" s="33" t="str">
        <f t="shared" si="8"/>
        <v/>
      </c>
      <c r="K612" s="27"/>
      <c r="L612" s="28">
        <f>SUMIFS(Dump!$D:$D,Dump!$B:$B,$C612,Dump!$A:$A,$V612)</f>
        <v>0</v>
      </c>
      <c r="M612" s="28">
        <f>SUMIFS(Dump!R:R,Dump!B:B,C612,Dump!A:A,V612)</f>
        <v>0</v>
      </c>
      <c r="N612" s="29">
        <f t="shared" si="10"/>
        <v>0</v>
      </c>
      <c r="P612" s="30">
        <f>SUMIFS(Dump!E:E,Dump!B:B,C612,Dump!A:A,V612)</f>
        <v>0</v>
      </c>
      <c r="Q612" s="31">
        <f t="shared" si="11"/>
        <v>0</v>
      </c>
      <c r="S612" s="30">
        <f>SUMIFS(Dump!P:P,Dump!B:B,C612,Dump!A:A,V612)</f>
        <v>0</v>
      </c>
      <c r="T612" s="31">
        <f t="shared" si="12"/>
        <v>0</v>
      </c>
      <c r="U612" s="34"/>
      <c r="V612" s="47"/>
    </row>
    <row r="613">
      <c r="C613" s="46"/>
      <c r="G613" s="1" t="str">
        <f t="shared" si="16"/>
        <v/>
      </c>
      <c r="I613" s="33" t="str">
        <f t="shared" si="8"/>
        <v/>
      </c>
      <c r="K613" s="27"/>
      <c r="L613" s="28">
        <f>SUMIFS(Dump!$D:$D,Dump!$B:$B,$C613,Dump!$A:$A,$V613)</f>
        <v>0</v>
      </c>
      <c r="M613" s="28">
        <f>SUMIFS(Dump!R:R,Dump!B:B,C613,Dump!A:A,V613)</f>
        <v>0</v>
      </c>
      <c r="N613" s="29">
        <f t="shared" si="10"/>
        <v>0</v>
      </c>
      <c r="P613" s="30">
        <f>SUMIFS(Dump!E:E,Dump!B:B,C613,Dump!A:A,V613)</f>
        <v>0</v>
      </c>
      <c r="Q613" s="31">
        <f t="shared" si="11"/>
        <v>0</v>
      </c>
      <c r="S613" s="30">
        <f>SUMIFS(Dump!P:P,Dump!B:B,C613,Dump!A:A,V613)</f>
        <v>0</v>
      </c>
      <c r="T613" s="31">
        <f t="shared" si="12"/>
        <v>0</v>
      </c>
      <c r="U613" s="34"/>
      <c r="V613" s="47"/>
    </row>
    <row r="614">
      <c r="C614" s="46"/>
      <c r="G614" s="1" t="str">
        <f t="shared" si="16"/>
        <v/>
      </c>
      <c r="I614" s="33" t="str">
        <f t="shared" si="8"/>
        <v/>
      </c>
      <c r="K614" s="27"/>
      <c r="L614" s="28">
        <f>SUMIFS(Dump!$D:$D,Dump!$B:$B,$C614,Dump!$A:$A,$V614)</f>
        <v>0</v>
      </c>
      <c r="M614" s="28">
        <f>SUMIFS(Dump!R:R,Dump!B:B,C614,Dump!A:A,V614)</f>
        <v>0</v>
      </c>
      <c r="N614" s="29">
        <f t="shared" si="10"/>
        <v>0</v>
      </c>
      <c r="P614" s="30">
        <f>SUMIFS(Dump!E:E,Dump!B:B,C614,Dump!A:A,V614)</f>
        <v>0</v>
      </c>
      <c r="Q614" s="31">
        <f t="shared" si="11"/>
        <v>0</v>
      </c>
      <c r="S614" s="30">
        <f>SUMIFS(Dump!P:P,Dump!B:B,C614,Dump!A:A,V614)</f>
        <v>0</v>
      </c>
      <c r="T614" s="31">
        <f t="shared" si="12"/>
        <v>0</v>
      </c>
      <c r="U614" s="34"/>
      <c r="V614" s="47"/>
    </row>
    <row r="615">
      <c r="C615" s="46"/>
      <c r="G615" s="1" t="str">
        <f t="shared" si="16"/>
        <v/>
      </c>
      <c r="I615" s="33" t="str">
        <f t="shared" si="8"/>
        <v/>
      </c>
      <c r="K615" s="27"/>
      <c r="L615" s="28">
        <f>SUMIFS(Dump!$D:$D,Dump!$B:$B,$C615,Dump!$A:$A,$V615)</f>
        <v>0</v>
      </c>
      <c r="M615" s="28">
        <f>SUMIFS(Dump!R:R,Dump!B:B,C615,Dump!A:A,V615)</f>
        <v>0</v>
      </c>
      <c r="N615" s="29">
        <f t="shared" si="10"/>
        <v>0</v>
      </c>
      <c r="P615" s="30">
        <f>SUMIFS(Dump!E:E,Dump!B:B,C615,Dump!A:A,V615)</f>
        <v>0</v>
      </c>
      <c r="Q615" s="31">
        <f t="shared" si="11"/>
        <v>0</v>
      </c>
      <c r="S615" s="30">
        <f>SUMIFS(Dump!P:P,Dump!B:B,C615,Dump!A:A,V615)</f>
        <v>0</v>
      </c>
      <c r="T615" s="31">
        <f t="shared" si="12"/>
        <v>0</v>
      </c>
      <c r="U615" s="34"/>
      <c r="V615" s="47"/>
    </row>
    <row r="616">
      <c r="C616" s="46"/>
      <c r="G616" s="1" t="str">
        <f t="shared" si="16"/>
        <v/>
      </c>
      <c r="I616" s="33" t="str">
        <f t="shared" si="8"/>
        <v/>
      </c>
      <c r="K616" s="27"/>
      <c r="L616" s="28">
        <f>SUMIFS(Dump!$D:$D,Dump!$B:$B,$C616,Dump!$A:$A,$V616)</f>
        <v>0</v>
      </c>
      <c r="M616" s="28">
        <f>SUMIFS(Dump!R:R,Dump!B:B,C616,Dump!A:A,V616)</f>
        <v>0</v>
      </c>
      <c r="N616" s="29">
        <f t="shared" si="10"/>
        <v>0</v>
      </c>
      <c r="P616" s="30">
        <f>SUMIFS(Dump!E:E,Dump!B:B,C616,Dump!A:A,V616)</f>
        <v>0</v>
      </c>
      <c r="Q616" s="31">
        <f t="shared" si="11"/>
        <v>0</v>
      </c>
      <c r="S616" s="30">
        <f>SUMIFS(Dump!P:P,Dump!B:B,C616,Dump!A:A,V616)</f>
        <v>0</v>
      </c>
      <c r="T616" s="31">
        <f t="shared" si="12"/>
        <v>0</v>
      </c>
      <c r="U616" s="34"/>
      <c r="V616" s="47"/>
    </row>
    <row r="617">
      <c r="C617" s="46"/>
      <c r="G617" s="1" t="str">
        <f t="shared" si="16"/>
        <v/>
      </c>
      <c r="I617" s="33" t="str">
        <f t="shared" si="8"/>
        <v/>
      </c>
      <c r="K617" s="27"/>
      <c r="L617" s="28">
        <f>SUMIFS(Dump!$D:$D,Dump!$B:$B,$C617,Dump!$A:$A,$V617)</f>
        <v>0</v>
      </c>
      <c r="M617" s="28">
        <f>SUMIFS(Dump!R:R,Dump!B:B,C617,Dump!A:A,V617)</f>
        <v>0</v>
      </c>
      <c r="N617" s="29">
        <f t="shared" si="10"/>
        <v>0</v>
      </c>
      <c r="P617" s="30">
        <f>SUMIFS(Dump!E:E,Dump!B:B,C617,Dump!A:A,V617)</f>
        <v>0</v>
      </c>
      <c r="Q617" s="31">
        <f t="shared" si="11"/>
        <v>0</v>
      </c>
      <c r="S617" s="30">
        <f>SUMIFS(Dump!P:P,Dump!B:B,C617,Dump!A:A,V617)</f>
        <v>0</v>
      </c>
      <c r="T617" s="31">
        <f t="shared" si="12"/>
        <v>0</v>
      </c>
      <c r="U617" s="34"/>
      <c r="V617" s="47"/>
    </row>
    <row r="618">
      <c r="C618" s="46"/>
      <c r="G618" s="1" t="str">
        <f t="shared" si="16"/>
        <v/>
      </c>
      <c r="I618" s="33" t="str">
        <f t="shared" si="8"/>
        <v/>
      </c>
      <c r="K618" s="27"/>
      <c r="L618" s="28">
        <f>SUMIFS(Dump!$D:$D,Dump!$B:$B,$C618,Dump!$A:$A,$V618)</f>
        <v>0</v>
      </c>
      <c r="M618" s="28">
        <f>SUMIFS(Dump!R:R,Dump!B:B,C618,Dump!A:A,V618)</f>
        <v>0</v>
      </c>
      <c r="N618" s="29">
        <f t="shared" si="10"/>
        <v>0</v>
      </c>
      <c r="P618" s="30">
        <f>SUMIFS(Dump!E:E,Dump!B:B,C618,Dump!A:A,V618)</f>
        <v>0</v>
      </c>
      <c r="Q618" s="31">
        <f t="shared" si="11"/>
        <v>0</v>
      </c>
      <c r="S618" s="30">
        <f>SUMIFS(Dump!P:P,Dump!B:B,C618,Dump!A:A,V618)</f>
        <v>0</v>
      </c>
      <c r="T618" s="31">
        <f t="shared" si="12"/>
        <v>0</v>
      </c>
      <c r="U618" s="34"/>
      <c r="V618" s="47"/>
    </row>
    <row r="619">
      <c r="C619" s="46"/>
      <c r="G619" s="1" t="str">
        <f t="shared" si="16"/>
        <v/>
      </c>
      <c r="I619" s="33" t="str">
        <f t="shared" si="8"/>
        <v/>
      </c>
      <c r="K619" s="27"/>
      <c r="L619" s="28">
        <f>SUMIFS(Dump!$D:$D,Dump!$B:$B,$C619,Dump!$A:$A,$V619)</f>
        <v>0</v>
      </c>
      <c r="M619" s="28">
        <f>SUMIFS(Dump!R:R,Dump!B:B,C619,Dump!A:A,V619)</f>
        <v>0</v>
      </c>
      <c r="N619" s="29">
        <f t="shared" si="10"/>
        <v>0</v>
      </c>
      <c r="P619" s="30">
        <f>SUMIFS(Dump!E:E,Dump!B:B,C619,Dump!A:A,V619)</f>
        <v>0</v>
      </c>
      <c r="Q619" s="31">
        <f t="shared" si="11"/>
        <v>0</v>
      </c>
      <c r="S619" s="30">
        <f>SUMIFS(Dump!P:P,Dump!B:B,C619,Dump!A:A,V619)</f>
        <v>0</v>
      </c>
      <c r="T619" s="31">
        <f t="shared" si="12"/>
        <v>0</v>
      </c>
      <c r="U619" s="34"/>
      <c r="V619" s="47"/>
    </row>
    <row r="620">
      <c r="C620" s="46"/>
      <c r="G620" s="1" t="str">
        <f t="shared" si="16"/>
        <v/>
      </c>
      <c r="I620" s="33" t="str">
        <f t="shared" si="8"/>
        <v/>
      </c>
      <c r="K620" s="27"/>
      <c r="L620" s="28">
        <f>SUMIFS(Dump!$D:$D,Dump!$B:$B,$C620,Dump!$A:$A,$V620)</f>
        <v>0</v>
      </c>
      <c r="M620" s="28">
        <f>SUMIFS(Dump!R:R,Dump!B:B,C620,Dump!A:A,V620)</f>
        <v>0</v>
      </c>
      <c r="N620" s="29">
        <f t="shared" si="10"/>
        <v>0</v>
      </c>
      <c r="P620" s="30">
        <f>SUMIFS(Dump!E:E,Dump!B:B,C620,Dump!A:A,V620)</f>
        <v>0</v>
      </c>
      <c r="Q620" s="31">
        <f t="shared" si="11"/>
        <v>0</v>
      </c>
      <c r="S620" s="30">
        <f>SUMIFS(Dump!P:P,Dump!B:B,C620,Dump!A:A,V620)</f>
        <v>0</v>
      </c>
      <c r="T620" s="31">
        <f t="shared" si="12"/>
        <v>0</v>
      </c>
      <c r="U620" s="34"/>
      <c r="V620" s="47"/>
    </row>
    <row r="621">
      <c r="C621" s="46"/>
      <c r="G621" s="1" t="str">
        <f t="shared" si="16"/>
        <v/>
      </c>
      <c r="I621" s="33" t="str">
        <f t="shared" si="8"/>
        <v/>
      </c>
      <c r="K621" s="27"/>
      <c r="L621" s="28">
        <f>SUMIFS(Dump!$D:$D,Dump!$B:$B,$C621,Dump!$A:$A,$V621)</f>
        <v>0</v>
      </c>
      <c r="M621" s="28">
        <f>SUMIFS(Dump!R:R,Dump!B:B,C621,Dump!A:A,V621)</f>
        <v>0</v>
      </c>
      <c r="N621" s="29">
        <f t="shared" si="10"/>
        <v>0</v>
      </c>
      <c r="P621" s="30">
        <f>SUMIFS(Dump!E:E,Dump!B:B,C621,Dump!A:A,V621)</f>
        <v>0</v>
      </c>
      <c r="Q621" s="31">
        <f t="shared" si="11"/>
        <v>0</v>
      </c>
      <c r="S621" s="30">
        <f>SUMIFS(Dump!P:P,Dump!B:B,C621,Dump!A:A,V621)</f>
        <v>0</v>
      </c>
      <c r="T621" s="31">
        <f t="shared" si="12"/>
        <v>0</v>
      </c>
      <c r="U621" s="34"/>
      <c r="V621" s="47"/>
    </row>
    <row r="622">
      <c r="C622" s="46"/>
      <c r="G622" s="1" t="str">
        <f t="shared" si="16"/>
        <v/>
      </c>
      <c r="I622" s="33" t="str">
        <f t="shared" si="8"/>
        <v/>
      </c>
      <c r="K622" s="27"/>
      <c r="L622" s="28">
        <f>SUMIFS(Dump!$D:$D,Dump!$B:$B,$C622,Dump!$A:$A,$V622)</f>
        <v>0</v>
      </c>
      <c r="M622" s="28">
        <f>SUMIFS(Dump!R:R,Dump!B:B,C622,Dump!A:A,V622)</f>
        <v>0</v>
      </c>
      <c r="N622" s="29">
        <f t="shared" si="10"/>
        <v>0</v>
      </c>
      <c r="P622" s="30">
        <f>SUMIFS(Dump!E:E,Dump!B:B,C622,Dump!A:A,V622)</f>
        <v>0</v>
      </c>
      <c r="Q622" s="31">
        <f t="shared" si="11"/>
        <v>0</v>
      </c>
      <c r="S622" s="30">
        <f>SUMIFS(Dump!P:P,Dump!B:B,C622,Dump!A:A,V622)</f>
        <v>0</v>
      </c>
      <c r="T622" s="31">
        <f t="shared" si="12"/>
        <v>0</v>
      </c>
      <c r="U622" s="34"/>
      <c r="V622" s="47"/>
    </row>
    <row r="623">
      <c r="C623" s="46"/>
      <c r="G623" s="1" t="str">
        <f t="shared" si="16"/>
        <v/>
      </c>
      <c r="I623" s="33" t="str">
        <f t="shared" si="8"/>
        <v/>
      </c>
      <c r="K623" s="27"/>
      <c r="L623" s="28">
        <f>SUMIFS(Dump!$D:$D,Dump!$B:$B,$C623,Dump!$A:$A,$V623)</f>
        <v>0</v>
      </c>
      <c r="M623" s="28">
        <f>SUMIFS(Dump!R:R,Dump!B:B,C623,Dump!A:A,V623)</f>
        <v>0</v>
      </c>
      <c r="N623" s="29">
        <f t="shared" si="10"/>
        <v>0</v>
      </c>
      <c r="P623" s="30">
        <f>SUMIFS(Dump!E:E,Dump!B:B,C623,Dump!A:A,V623)</f>
        <v>0</v>
      </c>
      <c r="Q623" s="31">
        <f t="shared" si="11"/>
        <v>0</v>
      </c>
      <c r="S623" s="30">
        <f>SUMIFS(Dump!P:P,Dump!B:B,C623,Dump!A:A,V623)</f>
        <v>0</v>
      </c>
      <c r="T623" s="31">
        <f t="shared" si="12"/>
        <v>0</v>
      </c>
      <c r="U623" s="34"/>
      <c r="V623" s="47"/>
    </row>
    <row r="624">
      <c r="C624" s="46"/>
      <c r="G624" s="1" t="str">
        <f t="shared" si="16"/>
        <v/>
      </c>
      <c r="I624" s="33" t="str">
        <f t="shared" si="8"/>
        <v/>
      </c>
      <c r="K624" s="27"/>
      <c r="L624" s="28">
        <f>SUMIFS(Dump!$D:$D,Dump!$B:$B,$C624,Dump!$A:$A,$V624)</f>
        <v>0</v>
      </c>
      <c r="M624" s="28">
        <f>SUMIFS(Dump!R:R,Dump!B:B,C624,Dump!A:A,V624)</f>
        <v>0</v>
      </c>
      <c r="N624" s="29">
        <f t="shared" si="10"/>
        <v>0</v>
      </c>
      <c r="P624" s="30">
        <f>SUMIFS(Dump!E:E,Dump!B:B,C624,Dump!A:A,V624)</f>
        <v>0</v>
      </c>
      <c r="Q624" s="31">
        <f t="shared" si="11"/>
        <v>0</v>
      </c>
      <c r="S624" s="30">
        <f>SUMIFS(Dump!P:P,Dump!B:B,C624,Dump!A:A,V624)</f>
        <v>0</v>
      </c>
      <c r="T624" s="31">
        <f t="shared" si="12"/>
        <v>0</v>
      </c>
      <c r="U624" s="34"/>
      <c r="V624" s="47"/>
    </row>
    <row r="625">
      <c r="C625" s="46"/>
      <c r="G625" s="1" t="str">
        <f t="shared" si="16"/>
        <v/>
      </c>
      <c r="I625" s="33" t="str">
        <f t="shared" si="8"/>
        <v/>
      </c>
      <c r="K625" s="27"/>
      <c r="L625" s="28">
        <f>SUMIFS(Dump!$D:$D,Dump!$B:$B,$C625,Dump!$A:$A,$V625)</f>
        <v>0</v>
      </c>
      <c r="M625" s="28">
        <f>SUMIFS(Dump!R:R,Dump!B:B,C625,Dump!A:A,V625)</f>
        <v>0</v>
      </c>
      <c r="N625" s="29">
        <f t="shared" si="10"/>
        <v>0</v>
      </c>
      <c r="P625" s="30">
        <f>SUMIFS(Dump!E:E,Dump!B:B,C625,Dump!A:A,V625)</f>
        <v>0</v>
      </c>
      <c r="Q625" s="31">
        <f t="shared" si="11"/>
        <v>0</v>
      </c>
      <c r="S625" s="30">
        <f>SUMIFS(Dump!P:P,Dump!B:B,C625,Dump!A:A,V625)</f>
        <v>0</v>
      </c>
      <c r="T625" s="31">
        <f t="shared" si="12"/>
        <v>0</v>
      </c>
      <c r="U625" s="34"/>
      <c r="V625" s="47"/>
    </row>
    <row r="626">
      <c r="C626" s="46"/>
      <c r="G626" s="1" t="str">
        <f t="shared" si="16"/>
        <v/>
      </c>
      <c r="I626" s="33" t="str">
        <f t="shared" si="8"/>
        <v/>
      </c>
      <c r="K626" s="27"/>
      <c r="L626" s="28">
        <f>SUMIFS(Dump!$D:$D,Dump!$B:$B,$C626,Dump!$A:$A,$V626)</f>
        <v>0</v>
      </c>
      <c r="M626" s="28">
        <f>SUMIFS(Dump!R:R,Dump!B:B,C626,Dump!A:A,V626)</f>
        <v>0</v>
      </c>
      <c r="N626" s="29">
        <f t="shared" si="10"/>
        <v>0</v>
      </c>
      <c r="P626" s="30">
        <f>SUMIFS(Dump!E:E,Dump!B:B,C626,Dump!A:A,V626)</f>
        <v>0</v>
      </c>
      <c r="Q626" s="31">
        <f t="shared" si="11"/>
        <v>0</v>
      </c>
      <c r="S626" s="30">
        <f>SUMIFS(Dump!P:P,Dump!B:B,C626,Dump!A:A,V626)</f>
        <v>0</v>
      </c>
      <c r="T626" s="31">
        <f t="shared" si="12"/>
        <v>0</v>
      </c>
      <c r="U626" s="34"/>
      <c r="V626" s="47"/>
    </row>
    <row r="627">
      <c r="C627" s="46"/>
      <c r="G627" s="1" t="str">
        <f t="shared" si="16"/>
        <v/>
      </c>
      <c r="I627" s="33" t="str">
        <f t="shared" si="8"/>
        <v/>
      </c>
      <c r="K627" s="27"/>
      <c r="L627" s="28">
        <f>SUMIFS(Dump!$D:$D,Dump!$B:$B,$C627,Dump!$A:$A,$V627)</f>
        <v>0</v>
      </c>
      <c r="M627" s="28">
        <f>SUMIFS(Dump!R:R,Dump!B:B,C627,Dump!A:A,V627)</f>
        <v>0</v>
      </c>
      <c r="N627" s="29">
        <f t="shared" si="10"/>
        <v>0</v>
      </c>
      <c r="P627" s="30">
        <f>SUMIFS(Dump!E:E,Dump!B:B,C627,Dump!A:A,V627)</f>
        <v>0</v>
      </c>
      <c r="Q627" s="31">
        <f t="shared" si="11"/>
        <v>0</v>
      </c>
      <c r="S627" s="30">
        <f>SUMIFS(Dump!P:P,Dump!B:B,C627,Dump!A:A,V627)</f>
        <v>0</v>
      </c>
      <c r="T627" s="31">
        <f t="shared" si="12"/>
        <v>0</v>
      </c>
      <c r="U627" s="34"/>
      <c r="V627" s="47"/>
    </row>
    <row r="628">
      <c r="C628" s="46"/>
      <c r="G628" s="1" t="str">
        <f t="shared" si="16"/>
        <v/>
      </c>
      <c r="I628" s="33" t="str">
        <f t="shared" si="8"/>
        <v/>
      </c>
      <c r="K628" s="27"/>
      <c r="L628" s="28">
        <f>SUMIFS(Dump!$D:$D,Dump!$B:$B,$C628,Dump!$A:$A,$V628)</f>
        <v>0</v>
      </c>
      <c r="M628" s="28">
        <f>SUMIFS(Dump!R:R,Dump!B:B,C628,Dump!A:A,V628)</f>
        <v>0</v>
      </c>
      <c r="N628" s="29">
        <f t="shared" si="10"/>
        <v>0</v>
      </c>
      <c r="P628" s="30">
        <f>SUMIFS(Dump!E:E,Dump!B:B,C628,Dump!A:A,V628)</f>
        <v>0</v>
      </c>
      <c r="Q628" s="31">
        <f t="shared" si="11"/>
        <v>0</v>
      </c>
      <c r="S628" s="30">
        <f>SUMIFS(Dump!P:P,Dump!B:B,C628,Dump!A:A,V628)</f>
        <v>0</v>
      </c>
      <c r="T628" s="31">
        <f t="shared" si="12"/>
        <v>0</v>
      </c>
      <c r="U628" s="34"/>
      <c r="V628" s="47"/>
    </row>
    <row r="629">
      <c r="C629" s="46"/>
      <c r="G629" s="1" t="str">
        <f t="shared" si="16"/>
        <v/>
      </c>
      <c r="I629" s="33" t="str">
        <f t="shared" si="8"/>
        <v/>
      </c>
      <c r="K629" s="27"/>
      <c r="L629" s="28">
        <f>SUMIFS(Dump!$D:$D,Dump!$B:$B,$C629,Dump!$A:$A,$V629)</f>
        <v>0</v>
      </c>
      <c r="M629" s="28">
        <f>SUMIFS(Dump!R:R,Dump!B:B,C629,Dump!A:A,V629)</f>
        <v>0</v>
      </c>
      <c r="N629" s="29">
        <f t="shared" si="10"/>
        <v>0</v>
      </c>
      <c r="P629" s="30">
        <f>SUMIFS(Dump!E:E,Dump!B:B,C629,Dump!A:A,V629)</f>
        <v>0</v>
      </c>
      <c r="Q629" s="31">
        <f t="shared" si="11"/>
        <v>0</v>
      </c>
      <c r="S629" s="30">
        <f>SUMIFS(Dump!P:P,Dump!B:B,C629,Dump!A:A,V629)</f>
        <v>0</v>
      </c>
      <c r="T629" s="31">
        <f t="shared" si="12"/>
        <v>0</v>
      </c>
      <c r="U629" s="34"/>
      <c r="V629" s="47"/>
    </row>
    <row r="630">
      <c r="C630" s="46"/>
      <c r="G630" s="1" t="str">
        <f t="shared" si="16"/>
        <v/>
      </c>
      <c r="I630" s="33" t="str">
        <f t="shared" si="8"/>
        <v/>
      </c>
      <c r="K630" s="27"/>
      <c r="L630" s="28">
        <f>SUMIFS(Dump!$D:$D,Dump!$B:$B,$C630,Dump!$A:$A,$V630)</f>
        <v>0</v>
      </c>
      <c r="M630" s="28">
        <f>SUMIFS(Dump!R:R,Dump!B:B,C630,Dump!A:A,V630)</f>
        <v>0</v>
      </c>
      <c r="N630" s="29">
        <f t="shared" si="10"/>
        <v>0</v>
      </c>
      <c r="P630" s="30">
        <f>SUMIFS(Dump!E:E,Dump!B:B,C630,Dump!A:A,V630)</f>
        <v>0</v>
      </c>
      <c r="Q630" s="31">
        <f t="shared" si="11"/>
        <v>0</v>
      </c>
      <c r="S630" s="30">
        <f>SUMIFS(Dump!P:P,Dump!B:B,C630,Dump!A:A,V630)</f>
        <v>0</v>
      </c>
      <c r="T630" s="31">
        <f t="shared" si="12"/>
        <v>0</v>
      </c>
      <c r="U630" s="34"/>
      <c r="V630" s="47"/>
    </row>
    <row r="631">
      <c r="C631" s="46"/>
      <c r="G631" s="1" t="str">
        <f t="shared" si="16"/>
        <v/>
      </c>
      <c r="I631" s="33" t="str">
        <f t="shared" si="8"/>
        <v/>
      </c>
      <c r="K631" s="27"/>
      <c r="L631" s="28">
        <f>SUMIFS(Dump!$D:$D,Dump!$B:$B,$C631,Dump!$A:$A,$V631)</f>
        <v>0</v>
      </c>
      <c r="M631" s="28">
        <f>SUMIFS(Dump!R:R,Dump!B:B,C631,Dump!A:A,V631)</f>
        <v>0</v>
      </c>
      <c r="N631" s="29">
        <f t="shared" si="10"/>
        <v>0</v>
      </c>
      <c r="P631" s="30">
        <f>SUMIFS(Dump!E:E,Dump!B:B,C631,Dump!A:A,V631)</f>
        <v>0</v>
      </c>
      <c r="Q631" s="31">
        <f t="shared" si="11"/>
        <v>0</v>
      </c>
      <c r="S631" s="30">
        <f>SUMIFS(Dump!P:P,Dump!B:B,C631,Dump!A:A,V631)</f>
        <v>0</v>
      </c>
      <c r="T631" s="31">
        <f t="shared" si="12"/>
        <v>0</v>
      </c>
      <c r="U631" s="34"/>
      <c r="V631" s="47"/>
    </row>
    <row r="632">
      <c r="C632" s="46"/>
      <c r="G632" s="1" t="str">
        <f t="shared" si="16"/>
        <v/>
      </c>
      <c r="I632" s="33" t="str">
        <f t="shared" si="8"/>
        <v/>
      </c>
      <c r="K632" s="27"/>
      <c r="L632" s="28">
        <f>SUMIFS(Dump!$D:$D,Dump!$B:$B,$C632,Dump!$A:$A,$V632)</f>
        <v>0</v>
      </c>
      <c r="M632" s="28">
        <f>SUMIFS(Dump!R:R,Dump!B:B,C632,Dump!A:A,V632)</f>
        <v>0</v>
      </c>
      <c r="N632" s="29">
        <f t="shared" si="10"/>
        <v>0</v>
      </c>
      <c r="P632" s="30">
        <f>SUMIFS(Dump!E:E,Dump!B:B,C632,Dump!A:A,V632)</f>
        <v>0</v>
      </c>
      <c r="Q632" s="31">
        <f t="shared" si="11"/>
        <v>0</v>
      </c>
      <c r="S632" s="30">
        <f>SUMIFS(Dump!P:P,Dump!B:B,C632,Dump!A:A,V632)</f>
        <v>0</v>
      </c>
      <c r="T632" s="31">
        <f t="shared" si="12"/>
        <v>0</v>
      </c>
      <c r="U632" s="34"/>
      <c r="V632" s="47"/>
    </row>
    <row r="633">
      <c r="C633" s="46"/>
      <c r="G633" s="1" t="str">
        <f t="shared" si="16"/>
        <v/>
      </c>
      <c r="I633" s="33" t="str">
        <f t="shared" si="8"/>
        <v/>
      </c>
      <c r="K633" s="27"/>
      <c r="L633" s="28">
        <f>SUMIFS(Dump!$D:$D,Dump!$B:$B,$C633,Dump!$A:$A,$V633)</f>
        <v>0</v>
      </c>
      <c r="M633" s="28">
        <f>SUMIFS(Dump!R:R,Dump!B:B,C633,Dump!A:A,V633)</f>
        <v>0</v>
      </c>
      <c r="N633" s="29">
        <f t="shared" si="10"/>
        <v>0</v>
      </c>
      <c r="P633" s="30">
        <f>SUMIFS(Dump!E:E,Dump!B:B,C633,Dump!A:A,V633)</f>
        <v>0</v>
      </c>
      <c r="Q633" s="31">
        <f t="shared" si="11"/>
        <v>0</v>
      </c>
      <c r="S633" s="30">
        <f>SUMIFS(Dump!P:P,Dump!B:B,C633,Dump!A:A,V633)</f>
        <v>0</v>
      </c>
      <c r="T633" s="31">
        <f t="shared" si="12"/>
        <v>0</v>
      </c>
      <c r="U633" s="34"/>
      <c r="V633" s="47"/>
    </row>
    <row r="634">
      <c r="C634" s="46"/>
      <c r="G634" s="1" t="str">
        <f t="shared" si="16"/>
        <v/>
      </c>
      <c r="I634" s="33" t="str">
        <f t="shared" si="8"/>
        <v/>
      </c>
      <c r="K634" s="27"/>
      <c r="L634" s="28">
        <f>SUMIFS(Dump!$D:$D,Dump!$B:$B,$C634,Dump!$A:$A,$V634)</f>
        <v>0</v>
      </c>
      <c r="M634" s="28">
        <f>SUMIFS(Dump!R:R,Dump!B:B,C634,Dump!A:A,V634)</f>
        <v>0</v>
      </c>
      <c r="N634" s="29">
        <f t="shared" si="10"/>
        <v>0</v>
      </c>
      <c r="P634" s="30">
        <f>SUMIFS(Dump!E:E,Dump!B:B,C634,Dump!A:A,V634)</f>
        <v>0</v>
      </c>
      <c r="Q634" s="31">
        <f t="shared" si="11"/>
        <v>0</v>
      </c>
      <c r="S634" s="30">
        <f>SUMIFS(Dump!P:P,Dump!B:B,C634,Dump!A:A,V634)</f>
        <v>0</v>
      </c>
      <c r="T634" s="31">
        <f t="shared" si="12"/>
        <v>0</v>
      </c>
      <c r="U634" s="34"/>
      <c r="V634" s="47"/>
    </row>
    <row r="635">
      <c r="C635" s="46"/>
      <c r="G635" s="1" t="str">
        <f t="shared" si="16"/>
        <v/>
      </c>
      <c r="I635" s="33" t="str">
        <f t="shared" si="8"/>
        <v/>
      </c>
      <c r="K635" s="27"/>
      <c r="L635" s="28">
        <f>SUMIFS(Dump!$D:$D,Dump!$B:$B,$C635,Dump!$A:$A,$V635)</f>
        <v>0</v>
      </c>
      <c r="M635" s="28">
        <f>SUMIFS(Dump!R:R,Dump!B:B,C635,Dump!A:A,V635)</f>
        <v>0</v>
      </c>
      <c r="N635" s="29">
        <f t="shared" si="10"/>
        <v>0</v>
      </c>
      <c r="P635" s="30">
        <f>SUMIFS(Dump!E:E,Dump!B:B,C635,Dump!A:A,V635)</f>
        <v>0</v>
      </c>
      <c r="Q635" s="31">
        <f t="shared" si="11"/>
        <v>0</v>
      </c>
      <c r="S635" s="30">
        <f>SUMIFS(Dump!P:P,Dump!B:B,C635,Dump!A:A,V635)</f>
        <v>0</v>
      </c>
      <c r="T635" s="31">
        <f t="shared" si="12"/>
        <v>0</v>
      </c>
      <c r="U635" s="34"/>
      <c r="V635" s="47"/>
    </row>
    <row r="636">
      <c r="C636" s="46"/>
      <c r="G636" s="1" t="str">
        <f t="shared" si="16"/>
        <v/>
      </c>
      <c r="I636" s="33" t="str">
        <f t="shared" si="8"/>
        <v/>
      </c>
      <c r="K636" s="27"/>
      <c r="L636" s="28">
        <f>SUMIFS(Dump!$D:$D,Dump!$B:$B,$C636,Dump!$A:$A,$V636)</f>
        <v>0</v>
      </c>
      <c r="M636" s="28">
        <f>SUMIFS(Dump!R:R,Dump!B:B,C636,Dump!A:A,V636)</f>
        <v>0</v>
      </c>
      <c r="N636" s="29">
        <f t="shared" si="10"/>
        <v>0</v>
      </c>
      <c r="P636" s="30">
        <f>SUMIFS(Dump!E:E,Dump!B:B,C636,Dump!A:A,V636)</f>
        <v>0</v>
      </c>
      <c r="Q636" s="31">
        <f t="shared" si="11"/>
        <v>0</v>
      </c>
      <c r="S636" s="30">
        <f>SUMIFS(Dump!P:P,Dump!B:B,C636,Dump!A:A,V636)</f>
        <v>0</v>
      </c>
      <c r="T636" s="31">
        <f t="shared" si="12"/>
        <v>0</v>
      </c>
      <c r="U636" s="34"/>
      <c r="V636" s="47"/>
    </row>
    <row r="637">
      <c r="C637" s="46"/>
      <c r="G637" s="1" t="str">
        <f t="shared" si="16"/>
        <v/>
      </c>
      <c r="I637" s="33" t="str">
        <f t="shared" si="8"/>
        <v/>
      </c>
      <c r="K637" s="27"/>
      <c r="L637" s="28">
        <f>SUMIFS(Dump!$D:$D,Dump!$B:$B,$C637,Dump!$A:$A,$V637)</f>
        <v>0</v>
      </c>
      <c r="M637" s="28">
        <f>SUMIFS(Dump!R:R,Dump!B:B,C637,Dump!A:A,V637)</f>
        <v>0</v>
      </c>
      <c r="N637" s="29">
        <f t="shared" si="10"/>
        <v>0</v>
      </c>
      <c r="P637" s="30">
        <f>SUMIFS(Dump!E:E,Dump!B:B,C637,Dump!A:A,V637)</f>
        <v>0</v>
      </c>
      <c r="Q637" s="31">
        <f t="shared" si="11"/>
        <v>0</v>
      </c>
      <c r="S637" s="30">
        <f>SUMIFS(Dump!P:P,Dump!B:B,C637,Dump!A:A,V637)</f>
        <v>0</v>
      </c>
      <c r="T637" s="31">
        <f t="shared" si="12"/>
        <v>0</v>
      </c>
      <c r="U637" s="34"/>
      <c r="V637" s="47"/>
    </row>
    <row r="638">
      <c r="C638" s="46"/>
      <c r="G638" s="1" t="str">
        <f t="shared" si="16"/>
        <v/>
      </c>
      <c r="I638" s="33" t="str">
        <f t="shared" si="8"/>
        <v/>
      </c>
      <c r="K638" s="27"/>
      <c r="L638" s="28">
        <f>SUMIFS(Dump!$D:$D,Dump!$B:$B,$C638,Dump!$A:$A,$V638)</f>
        <v>0</v>
      </c>
      <c r="M638" s="28">
        <f>SUMIFS(Dump!R:R,Dump!B:B,C638,Dump!A:A,V638)</f>
        <v>0</v>
      </c>
      <c r="N638" s="29">
        <f t="shared" si="10"/>
        <v>0</v>
      </c>
      <c r="P638" s="30">
        <f>SUMIFS(Dump!E:E,Dump!B:B,C638,Dump!A:A,V638)</f>
        <v>0</v>
      </c>
      <c r="Q638" s="31">
        <f t="shared" si="11"/>
        <v>0</v>
      </c>
      <c r="S638" s="30">
        <f>SUMIFS(Dump!P:P,Dump!B:B,C638,Dump!A:A,V638)</f>
        <v>0</v>
      </c>
      <c r="T638" s="31">
        <f t="shared" si="12"/>
        <v>0</v>
      </c>
      <c r="U638" s="34"/>
      <c r="V638" s="47"/>
    </row>
    <row r="639">
      <c r="C639" s="46"/>
      <c r="G639" s="1" t="str">
        <f t="shared" si="16"/>
        <v/>
      </c>
      <c r="I639" s="33" t="str">
        <f t="shared" si="8"/>
        <v/>
      </c>
      <c r="K639" s="27"/>
      <c r="L639" s="28">
        <f>SUMIFS(Dump!$D:$D,Dump!$B:$B,$C639,Dump!$A:$A,$V639)</f>
        <v>0</v>
      </c>
      <c r="M639" s="28">
        <f>SUMIFS(Dump!R:R,Dump!B:B,C639,Dump!A:A,V639)</f>
        <v>0</v>
      </c>
      <c r="N639" s="29">
        <f t="shared" si="10"/>
        <v>0</v>
      </c>
      <c r="P639" s="30">
        <f>SUMIFS(Dump!E:E,Dump!B:B,C639,Dump!A:A,V639)</f>
        <v>0</v>
      </c>
      <c r="Q639" s="31">
        <f t="shared" si="11"/>
        <v>0</v>
      </c>
      <c r="S639" s="30">
        <f>SUMIFS(Dump!P:P,Dump!B:B,C639,Dump!A:A,V639)</f>
        <v>0</v>
      </c>
      <c r="T639" s="31">
        <f t="shared" si="12"/>
        <v>0</v>
      </c>
      <c r="U639" s="34"/>
      <c r="V639" s="47"/>
    </row>
    <row r="640">
      <c r="C640" s="46"/>
      <c r="G640" s="1" t="str">
        <f t="shared" si="16"/>
        <v/>
      </c>
      <c r="I640" s="33" t="str">
        <f t="shared" si="8"/>
        <v/>
      </c>
      <c r="K640" s="27"/>
      <c r="L640" s="28">
        <f>SUMIFS(Dump!$D:$D,Dump!$B:$B,$C640,Dump!$A:$A,$V640)</f>
        <v>0</v>
      </c>
      <c r="M640" s="28">
        <f>SUMIFS(Dump!R:R,Dump!B:B,C640,Dump!A:A,V640)</f>
        <v>0</v>
      </c>
      <c r="N640" s="29">
        <f t="shared" si="10"/>
        <v>0</v>
      </c>
      <c r="P640" s="30">
        <f>SUMIFS(Dump!E:E,Dump!B:B,C640,Dump!A:A,V640)</f>
        <v>0</v>
      </c>
      <c r="Q640" s="31">
        <f t="shared" si="11"/>
        <v>0</v>
      </c>
      <c r="S640" s="30">
        <f>SUMIFS(Dump!P:P,Dump!B:B,C640,Dump!A:A,V640)</f>
        <v>0</v>
      </c>
      <c r="T640" s="31">
        <f t="shared" si="12"/>
        <v>0</v>
      </c>
      <c r="U640" s="34"/>
      <c r="V640" s="47"/>
    </row>
    <row r="641">
      <c r="C641" s="46"/>
      <c r="G641" s="1" t="str">
        <f t="shared" si="16"/>
        <v/>
      </c>
      <c r="I641" s="33" t="str">
        <f t="shared" si="8"/>
        <v/>
      </c>
      <c r="K641" s="27"/>
      <c r="L641" s="28">
        <f>SUMIFS(Dump!$D:$D,Dump!$B:$B,$C641,Dump!$A:$A,$V641)</f>
        <v>0</v>
      </c>
      <c r="M641" s="28">
        <f>SUMIFS(Dump!R:R,Dump!B:B,C641,Dump!A:A,V641)</f>
        <v>0</v>
      </c>
      <c r="N641" s="29">
        <f t="shared" si="10"/>
        <v>0</v>
      </c>
      <c r="P641" s="30">
        <f>SUMIFS(Dump!E:E,Dump!B:B,C641,Dump!A:A,V641)</f>
        <v>0</v>
      </c>
      <c r="Q641" s="31">
        <f t="shared" si="11"/>
        <v>0</v>
      </c>
      <c r="S641" s="30">
        <f>SUMIFS(Dump!P:P,Dump!B:B,C641,Dump!A:A,V641)</f>
        <v>0</v>
      </c>
      <c r="T641" s="31">
        <f t="shared" si="12"/>
        <v>0</v>
      </c>
      <c r="U641" s="34"/>
      <c r="V641" s="47"/>
    </row>
    <row r="642">
      <c r="C642" s="46"/>
      <c r="G642" s="1" t="str">
        <f t="shared" si="16"/>
        <v/>
      </c>
      <c r="I642" s="33" t="str">
        <f t="shared" si="8"/>
        <v/>
      </c>
      <c r="K642" s="27"/>
      <c r="L642" s="28">
        <f>SUMIFS(Dump!$D:$D,Dump!$B:$B,$C642,Dump!$A:$A,$V642)</f>
        <v>0</v>
      </c>
      <c r="M642" s="28">
        <f>SUMIFS(Dump!R:R,Dump!B:B,C642,Dump!A:A,V642)</f>
        <v>0</v>
      </c>
      <c r="N642" s="29">
        <f t="shared" si="10"/>
        <v>0</v>
      </c>
      <c r="P642" s="30">
        <f>SUMIFS(Dump!E:E,Dump!B:B,C642,Dump!A:A,V642)</f>
        <v>0</v>
      </c>
      <c r="Q642" s="31">
        <f t="shared" si="11"/>
        <v>0</v>
      </c>
      <c r="S642" s="30">
        <f>SUMIFS(Dump!P:P,Dump!B:B,C642,Dump!A:A,V642)</f>
        <v>0</v>
      </c>
      <c r="T642" s="31">
        <f t="shared" si="12"/>
        <v>0</v>
      </c>
      <c r="U642" s="34"/>
      <c r="V642" s="47"/>
    </row>
    <row r="643">
      <c r="C643" s="46"/>
      <c r="G643" s="1" t="str">
        <f t="shared" si="16"/>
        <v/>
      </c>
      <c r="I643" s="33" t="str">
        <f t="shared" si="8"/>
        <v/>
      </c>
      <c r="K643" s="27"/>
      <c r="L643" s="28">
        <f>SUMIFS(Dump!$D:$D,Dump!$B:$B,$C643,Dump!$A:$A,$V643)</f>
        <v>0</v>
      </c>
      <c r="M643" s="28">
        <f>SUMIFS(Dump!R:R,Dump!B:B,C643,Dump!A:A,V643)</f>
        <v>0</v>
      </c>
      <c r="N643" s="29">
        <f t="shared" si="10"/>
        <v>0</v>
      </c>
      <c r="P643" s="30">
        <f>SUMIFS(Dump!E:E,Dump!B:B,C643,Dump!A:A,V643)</f>
        <v>0</v>
      </c>
      <c r="Q643" s="31">
        <f t="shared" si="11"/>
        <v>0</v>
      </c>
      <c r="S643" s="30">
        <f>SUMIFS(Dump!P:P,Dump!B:B,C643,Dump!A:A,V643)</f>
        <v>0</v>
      </c>
      <c r="T643" s="31">
        <f t="shared" si="12"/>
        <v>0</v>
      </c>
      <c r="U643" s="34"/>
      <c r="V643" s="47"/>
    </row>
    <row r="644">
      <c r="C644" s="46"/>
      <c r="G644" s="1" t="str">
        <f t="shared" si="16"/>
        <v/>
      </c>
      <c r="I644" s="33" t="str">
        <f t="shared" si="8"/>
        <v/>
      </c>
      <c r="K644" s="27"/>
      <c r="L644" s="28">
        <f>SUMIFS(Dump!$D:$D,Dump!$B:$B,$C644,Dump!$A:$A,$V644)</f>
        <v>0</v>
      </c>
      <c r="M644" s="28">
        <f>SUMIFS(Dump!R:R,Dump!B:B,C644,Dump!A:A,V644)</f>
        <v>0</v>
      </c>
      <c r="N644" s="29">
        <f t="shared" si="10"/>
        <v>0</v>
      </c>
      <c r="P644" s="30">
        <f>SUMIFS(Dump!E:E,Dump!B:B,C644,Dump!A:A,V644)</f>
        <v>0</v>
      </c>
      <c r="Q644" s="31">
        <f t="shared" si="11"/>
        <v>0</v>
      </c>
      <c r="S644" s="30">
        <f>SUMIFS(Dump!P:P,Dump!B:B,C644,Dump!A:A,V644)</f>
        <v>0</v>
      </c>
      <c r="T644" s="31">
        <f t="shared" si="12"/>
        <v>0</v>
      </c>
      <c r="U644" s="34"/>
      <c r="V644" s="47"/>
    </row>
    <row r="645">
      <c r="C645" s="46"/>
      <c r="G645" s="1" t="str">
        <f t="shared" si="16"/>
        <v/>
      </c>
      <c r="I645" s="33" t="str">
        <f t="shared" si="8"/>
        <v/>
      </c>
      <c r="K645" s="27"/>
      <c r="L645" s="28">
        <f>SUMIFS(Dump!$D:$D,Dump!$B:$B,$C645,Dump!$A:$A,$V645)</f>
        <v>0</v>
      </c>
      <c r="M645" s="28">
        <f>SUMIFS(Dump!R:R,Dump!B:B,C645,Dump!A:A,V645)</f>
        <v>0</v>
      </c>
      <c r="N645" s="29">
        <f t="shared" si="10"/>
        <v>0</v>
      </c>
      <c r="P645" s="30">
        <f>SUMIFS(Dump!E:E,Dump!B:B,C645,Dump!A:A,V645)</f>
        <v>0</v>
      </c>
      <c r="Q645" s="31">
        <f t="shared" si="11"/>
        <v>0</v>
      </c>
      <c r="S645" s="30">
        <f>SUMIFS(Dump!P:P,Dump!B:B,C645,Dump!A:A,V645)</f>
        <v>0</v>
      </c>
      <c r="T645" s="31">
        <f t="shared" si="12"/>
        <v>0</v>
      </c>
      <c r="U645" s="34"/>
      <c r="V645" s="47"/>
    </row>
    <row r="646">
      <c r="C646" s="46"/>
      <c r="G646" s="1" t="str">
        <f t="shared" si="16"/>
        <v/>
      </c>
      <c r="I646" s="33" t="str">
        <f t="shared" si="8"/>
        <v/>
      </c>
      <c r="K646" s="27"/>
      <c r="L646" s="28">
        <f>SUMIFS(Dump!$D:$D,Dump!$B:$B,$C646,Dump!$A:$A,$V646)</f>
        <v>0</v>
      </c>
      <c r="M646" s="28">
        <f>SUMIFS(Dump!R:R,Dump!B:B,C646,Dump!A:A,V646)</f>
        <v>0</v>
      </c>
      <c r="N646" s="29">
        <f t="shared" si="10"/>
        <v>0</v>
      </c>
      <c r="P646" s="30">
        <f>SUMIFS(Dump!E:E,Dump!B:B,C646,Dump!A:A,V646)</f>
        <v>0</v>
      </c>
      <c r="Q646" s="31">
        <f t="shared" si="11"/>
        <v>0</v>
      </c>
      <c r="S646" s="30">
        <f>SUMIFS(Dump!P:P,Dump!B:B,C646,Dump!A:A,V646)</f>
        <v>0</v>
      </c>
      <c r="T646" s="31">
        <f t="shared" si="12"/>
        <v>0</v>
      </c>
      <c r="U646" s="34"/>
      <c r="V646" s="47"/>
    </row>
    <row r="647">
      <c r="C647" s="46"/>
      <c r="G647" s="1" t="str">
        <f t="shared" si="16"/>
        <v/>
      </c>
      <c r="I647" s="33" t="str">
        <f t="shared" si="8"/>
        <v/>
      </c>
      <c r="K647" s="27"/>
      <c r="L647" s="28">
        <f>SUMIFS(Dump!$D:$D,Dump!$B:$B,$C647,Dump!$A:$A,$V647)</f>
        <v>0</v>
      </c>
      <c r="M647" s="28">
        <f>SUMIFS(Dump!R:R,Dump!B:B,C647,Dump!A:A,V647)</f>
        <v>0</v>
      </c>
      <c r="N647" s="29">
        <f t="shared" si="10"/>
        <v>0</v>
      </c>
      <c r="P647" s="30">
        <f>SUMIFS(Dump!E:E,Dump!B:B,C647,Dump!A:A,V647)</f>
        <v>0</v>
      </c>
      <c r="Q647" s="31">
        <f t="shared" si="11"/>
        <v>0</v>
      </c>
      <c r="S647" s="30">
        <f>SUMIFS(Dump!P:P,Dump!B:B,C647,Dump!A:A,V647)</f>
        <v>0</v>
      </c>
      <c r="T647" s="31">
        <f t="shared" si="12"/>
        <v>0</v>
      </c>
      <c r="U647" s="34"/>
      <c r="V647" s="47"/>
    </row>
    <row r="648">
      <c r="C648" s="46"/>
      <c r="G648" s="1" t="str">
        <f t="shared" si="16"/>
        <v/>
      </c>
      <c r="I648" s="33" t="str">
        <f t="shared" si="8"/>
        <v/>
      </c>
      <c r="K648" s="27"/>
      <c r="L648" s="28">
        <f>SUMIFS(Dump!$D:$D,Dump!$B:$B,$C648,Dump!$A:$A,$V648)</f>
        <v>0</v>
      </c>
      <c r="M648" s="28">
        <f>SUMIFS(Dump!R:R,Dump!B:B,C648,Dump!A:A,V648)</f>
        <v>0</v>
      </c>
      <c r="N648" s="29">
        <f t="shared" si="10"/>
        <v>0</v>
      </c>
      <c r="P648" s="30">
        <f>SUMIFS(Dump!E:E,Dump!B:B,C648,Dump!A:A,V648)</f>
        <v>0</v>
      </c>
      <c r="Q648" s="31">
        <f t="shared" si="11"/>
        <v>0</v>
      </c>
      <c r="S648" s="30">
        <f>SUMIFS(Dump!P:P,Dump!B:B,C648,Dump!A:A,V648)</f>
        <v>0</v>
      </c>
      <c r="T648" s="31">
        <f t="shared" si="12"/>
        <v>0</v>
      </c>
      <c r="U648" s="34"/>
      <c r="V648" s="47"/>
    </row>
    <row r="649">
      <c r="C649" s="46"/>
      <c r="G649" s="1" t="str">
        <f t="shared" si="16"/>
        <v/>
      </c>
      <c r="I649" s="33" t="str">
        <f t="shared" si="8"/>
        <v/>
      </c>
      <c r="K649" s="27"/>
      <c r="L649" s="28">
        <f>SUMIFS(Dump!$D:$D,Dump!$B:$B,$C649,Dump!$A:$A,$V649)</f>
        <v>0</v>
      </c>
      <c r="M649" s="28">
        <f>SUMIFS(Dump!R:R,Dump!B:B,C649,Dump!A:A,V649)</f>
        <v>0</v>
      </c>
      <c r="N649" s="29">
        <f t="shared" si="10"/>
        <v>0</v>
      </c>
      <c r="P649" s="30">
        <f>SUMIFS(Dump!E:E,Dump!B:B,C649,Dump!A:A,V649)</f>
        <v>0</v>
      </c>
      <c r="Q649" s="31">
        <f t="shared" si="11"/>
        <v>0</v>
      </c>
      <c r="S649" s="30">
        <f>SUMIFS(Dump!P:P,Dump!B:B,C649,Dump!A:A,V649)</f>
        <v>0</v>
      </c>
      <c r="T649" s="31">
        <f t="shared" si="12"/>
        <v>0</v>
      </c>
      <c r="U649" s="34"/>
      <c r="V649" s="47"/>
    </row>
    <row r="650">
      <c r="C650" s="46"/>
      <c r="G650" s="1" t="str">
        <f t="shared" si="16"/>
        <v/>
      </c>
      <c r="I650" s="33" t="str">
        <f t="shared" si="8"/>
        <v/>
      </c>
      <c r="K650" s="27"/>
      <c r="L650" s="28">
        <f>SUMIFS(Dump!$D:$D,Dump!$B:$B,$C650,Dump!$A:$A,$V650)</f>
        <v>0</v>
      </c>
      <c r="M650" s="28">
        <f>SUMIFS(Dump!R:R,Dump!B:B,C650,Dump!A:A,V650)</f>
        <v>0</v>
      </c>
      <c r="N650" s="29">
        <f t="shared" si="10"/>
        <v>0</v>
      </c>
      <c r="P650" s="30">
        <f>SUMIFS(Dump!E:E,Dump!B:B,C650,Dump!A:A,V650)</f>
        <v>0</v>
      </c>
      <c r="Q650" s="31">
        <f t="shared" si="11"/>
        <v>0</v>
      </c>
      <c r="S650" s="30">
        <f>SUMIFS(Dump!P:P,Dump!B:B,C650,Dump!A:A,V650)</f>
        <v>0</v>
      </c>
      <c r="T650" s="31">
        <f t="shared" si="12"/>
        <v>0</v>
      </c>
      <c r="U650" s="34"/>
      <c r="V650" s="47"/>
    </row>
    <row r="651">
      <c r="C651" s="46"/>
      <c r="G651" s="1" t="str">
        <f t="shared" si="16"/>
        <v/>
      </c>
      <c r="I651" s="33" t="str">
        <f t="shared" si="8"/>
        <v/>
      </c>
      <c r="K651" s="27"/>
      <c r="L651" s="28">
        <f>SUMIFS(Dump!$D:$D,Dump!$B:$B,$C651,Dump!$A:$A,$V651)</f>
        <v>0</v>
      </c>
      <c r="M651" s="28">
        <f>SUMIFS(Dump!R:R,Dump!B:B,C651,Dump!A:A,V651)</f>
        <v>0</v>
      </c>
      <c r="N651" s="29">
        <f t="shared" si="10"/>
        <v>0</v>
      </c>
      <c r="P651" s="30">
        <f>SUMIFS(Dump!E:E,Dump!B:B,C651,Dump!A:A,V651)</f>
        <v>0</v>
      </c>
      <c r="Q651" s="31">
        <f t="shared" si="11"/>
        <v>0</v>
      </c>
      <c r="S651" s="30">
        <f>SUMIFS(Dump!P:P,Dump!B:B,C651,Dump!A:A,V651)</f>
        <v>0</v>
      </c>
      <c r="T651" s="31">
        <f t="shared" si="12"/>
        <v>0</v>
      </c>
      <c r="U651" s="34"/>
      <c r="V651" s="47"/>
    </row>
    <row r="652">
      <c r="C652" s="46"/>
      <c r="G652" s="1" t="str">
        <f t="shared" si="16"/>
        <v/>
      </c>
      <c r="I652" s="33" t="str">
        <f t="shared" si="8"/>
        <v/>
      </c>
      <c r="K652" s="27"/>
      <c r="L652" s="28">
        <f>SUMIFS(Dump!$D:$D,Dump!$B:$B,$C652,Dump!$A:$A,$V652)</f>
        <v>0</v>
      </c>
      <c r="M652" s="28">
        <f>SUMIFS(Dump!R:R,Dump!B:B,C652,Dump!A:A,V652)</f>
        <v>0</v>
      </c>
      <c r="N652" s="29">
        <f t="shared" si="10"/>
        <v>0</v>
      </c>
      <c r="P652" s="30">
        <f>SUMIFS(Dump!E:E,Dump!B:B,C652,Dump!A:A,V652)</f>
        <v>0</v>
      </c>
      <c r="Q652" s="31">
        <f t="shared" si="11"/>
        <v>0</v>
      </c>
      <c r="S652" s="30">
        <f>SUMIFS(Dump!P:P,Dump!B:B,C652,Dump!A:A,V652)</f>
        <v>0</v>
      </c>
      <c r="T652" s="31">
        <f t="shared" si="12"/>
        <v>0</v>
      </c>
      <c r="U652" s="34"/>
      <c r="V652" s="47"/>
    </row>
    <row r="653">
      <c r="C653" s="46"/>
      <c r="G653" s="1" t="str">
        <f t="shared" si="16"/>
        <v/>
      </c>
      <c r="I653" s="33" t="str">
        <f t="shared" si="8"/>
        <v/>
      </c>
      <c r="K653" s="27"/>
      <c r="L653" s="28">
        <f>SUMIFS(Dump!$D:$D,Dump!$B:$B,$C653,Dump!$A:$A,$V653)</f>
        <v>0</v>
      </c>
      <c r="M653" s="28">
        <f>SUMIFS(Dump!R:R,Dump!B:B,C653,Dump!A:A,V653)</f>
        <v>0</v>
      </c>
      <c r="N653" s="29">
        <f t="shared" si="10"/>
        <v>0</v>
      </c>
      <c r="P653" s="30">
        <f>SUMIFS(Dump!E:E,Dump!B:B,C653,Dump!A:A,V653)</f>
        <v>0</v>
      </c>
      <c r="Q653" s="31">
        <f t="shared" si="11"/>
        <v>0</v>
      </c>
      <c r="S653" s="30">
        <f>SUMIFS(Dump!P:P,Dump!B:B,C653,Dump!A:A,V653)</f>
        <v>0</v>
      </c>
      <c r="T653" s="31">
        <f t="shared" si="12"/>
        <v>0</v>
      </c>
      <c r="U653" s="34"/>
      <c r="V653" s="47"/>
    </row>
    <row r="654">
      <c r="C654" s="46"/>
      <c r="G654" s="1" t="str">
        <f t="shared" si="16"/>
        <v/>
      </c>
      <c r="I654" s="33" t="str">
        <f t="shared" si="8"/>
        <v/>
      </c>
      <c r="K654" s="27"/>
      <c r="L654" s="28">
        <f>SUMIFS(Dump!$D:$D,Dump!$B:$B,$C654,Dump!$A:$A,$V654)</f>
        <v>0</v>
      </c>
      <c r="M654" s="28">
        <f>SUMIFS(Dump!R:R,Dump!B:B,C654,Dump!A:A,V654)</f>
        <v>0</v>
      </c>
      <c r="N654" s="29">
        <f t="shared" si="10"/>
        <v>0</v>
      </c>
      <c r="P654" s="30">
        <f>SUMIFS(Dump!E:E,Dump!B:B,C654,Dump!A:A,V654)</f>
        <v>0</v>
      </c>
      <c r="Q654" s="31">
        <f t="shared" si="11"/>
        <v>0</v>
      </c>
      <c r="S654" s="30">
        <f>SUMIFS(Dump!P:P,Dump!B:B,C654,Dump!A:A,V654)</f>
        <v>0</v>
      </c>
      <c r="T654" s="31">
        <f t="shared" si="12"/>
        <v>0</v>
      </c>
      <c r="U654" s="34"/>
      <c r="V654" s="47"/>
    </row>
    <row r="655">
      <c r="C655" s="46"/>
      <c r="G655" s="1" t="str">
        <f t="shared" si="16"/>
        <v/>
      </c>
      <c r="I655" s="33" t="str">
        <f t="shared" si="8"/>
        <v/>
      </c>
      <c r="K655" s="27"/>
      <c r="L655" s="28">
        <f>SUMIFS(Dump!$D:$D,Dump!$B:$B,$C655,Dump!$A:$A,$V655)</f>
        <v>0</v>
      </c>
      <c r="M655" s="28">
        <f>SUMIFS(Dump!R:R,Dump!B:B,C655,Dump!A:A,V655)</f>
        <v>0</v>
      </c>
      <c r="N655" s="29">
        <f t="shared" si="10"/>
        <v>0</v>
      </c>
      <c r="P655" s="30">
        <f>SUMIFS(Dump!E:E,Dump!B:B,C655,Dump!A:A,V655)</f>
        <v>0</v>
      </c>
      <c r="Q655" s="31">
        <f t="shared" si="11"/>
        <v>0</v>
      </c>
      <c r="S655" s="30">
        <f>SUMIFS(Dump!P:P,Dump!B:B,C655,Dump!A:A,V655)</f>
        <v>0</v>
      </c>
      <c r="T655" s="31">
        <f t="shared" si="12"/>
        <v>0</v>
      </c>
      <c r="U655" s="34"/>
      <c r="V655" s="47"/>
    </row>
    <row r="656">
      <c r="C656" s="46"/>
      <c r="G656" s="1" t="str">
        <f t="shared" si="16"/>
        <v/>
      </c>
      <c r="I656" s="33" t="str">
        <f t="shared" si="8"/>
        <v/>
      </c>
      <c r="K656" s="27"/>
      <c r="L656" s="28">
        <f>SUMIFS(Dump!$D:$D,Dump!$B:$B,$C656,Dump!$A:$A,$V656)</f>
        <v>0</v>
      </c>
      <c r="M656" s="28">
        <f>SUMIFS(Dump!R:R,Dump!B:B,C656,Dump!A:A,V656)</f>
        <v>0</v>
      </c>
      <c r="N656" s="29">
        <f t="shared" si="10"/>
        <v>0</v>
      </c>
      <c r="P656" s="30">
        <f>SUMIFS(Dump!E:E,Dump!B:B,C656,Dump!A:A,V656)</f>
        <v>0</v>
      </c>
      <c r="Q656" s="31">
        <f t="shared" si="11"/>
        <v>0</v>
      </c>
      <c r="S656" s="30">
        <f>SUMIFS(Dump!P:P,Dump!B:B,C656,Dump!A:A,V656)</f>
        <v>0</v>
      </c>
      <c r="T656" s="31">
        <f t="shared" si="12"/>
        <v>0</v>
      </c>
      <c r="U656" s="34"/>
      <c r="V656" s="47"/>
    </row>
    <row r="657">
      <c r="C657" s="46"/>
      <c r="G657" s="1" t="str">
        <f t="shared" si="16"/>
        <v/>
      </c>
      <c r="I657" s="33" t="str">
        <f t="shared" si="8"/>
        <v/>
      </c>
      <c r="K657" s="27"/>
      <c r="L657" s="28">
        <f>SUMIFS(Dump!$D:$D,Dump!$B:$B,$C657,Dump!$A:$A,$V657)</f>
        <v>0</v>
      </c>
      <c r="M657" s="28">
        <f>SUMIFS(Dump!R:R,Dump!B:B,C657,Dump!A:A,V657)</f>
        <v>0</v>
      </c>
      <c r="N657" s="29">
        <f t="shared" si="10"/>
        <v>0</v>
      </c>
      <c r="P657" s="30">
        <f>SUMIFS(Dump!E:E,Dump!B:B,C657,Dump!A:A,V657)</f>
        <v>0</v>
      </c>
      <c r="Q657" s="31">
        <f t="shared" si="11"/>
        <v>0</v>
      </c>
      <c r="S657" s="30">
        <f>SUMIFS(Dump!P:P,Dump!B:B,C657,Dump!A:A,V657)</f>
        <v>0</v>
      </c>
      <c r="T657" s="31">
        <f t="shared" si="12"/>
        <v>0</v>
      </c>
      <c r="U657" s="34"/>
      <c r="V657" s="47"/>
    </row>
    <row r="658">
      <c r="C658" s="46"/>
      <c r="G658" s="1" t="str">
        <f t="shared" si="16"/>
        <v/>
      </c>
      <c r="I658" s="33" t="str">
        <f t="shared" si="8"/>
        <v/>
      </c>
      <c r="K658" s="27"/>
      <c r="L658" s="28">
        <f>SUMIFS(Dump!$D:$D,Dump!$B:$B,$C658,Dump!$A:$A,$V658)</f>
        <v>0</v>
      </c>
      <c r="M658" s="28">
        <f>SUMIFS(Dump!R:R,Dump!B:B,C658,Dump!A:A,V658)</f>
        <v>0</v>
      </c>
      <c r="N658" s="29">
        <f t="shared" si="10"/>
        <v>0</v>
      </c>
      <c r="P658" s="30">
        <f>SUMIFS(Dump!E:E,Dump!B:B,C658,Dump!A:A,V658)</f>
        <v>0</v>
      </c>
      <c r="Q658" s="31">
        <f t="shared" si="11"/>
        <v>0</v>
      </c>
      <c r="S658" s="30">
        <f>SUMIFS(Dump!P:P,Dump!B:B,C658,Dump!A:A,V658)</f>
        <v>0</v>
      </c>
      <c r="T658" s="31">
        <f t="shared" si="12"/>
        <v>0</v>
      </c>
      <c r="U658" s="34"/>
      <c r="V658" s="47"/>
    </row>
    <row r="659">
      <c r="C659" s="46"/>
      <c r="G659" s="1" t="str">
        <f t="shared" si="16"/>
        <v/>
      </c>
      <c r="I659" s="33" t="str">
        <f t="shared" si="8"/>
        <v/>
      </c>
      <c r="K659" s="27"/>
      <c r="L659" s="28">
        <f>SUMIFS(Dump!$D:$D,Dump!$B:$B,$C659,Dump!$A:$A,$V659)</f>
        <v>0</v>
      </c>
      <c r="M659" s="28">
        <f>SUMIFS(Dump!R:R,Dump!B:B,C659,Dump!A:A,V659)</f>
        <v>0</v>
      </c>
      <c r="N659" s="29">
        <f t="shared" si="10"/>
        <v>0</v>
      </c>
      <c r="P659" s="30">
        <f>SUMIFS(Dump!E:E,Dump!B:B,C659,Dump!A:A,V659)</f>
        <v>0</v>
      </c>
      <c r="Q659" s="31">
        <f t="shared" si="11"/>
        <v>0</v>
      </c>
      <c r="S659" s="30">
        <f>SUMIFS(Dump!P:P,Dump!B:B,C659,Dump!A:A,V659)</f>
        <v>0</v>
      </c>
      <c r="T659" s="31">
        <f t="shared" si="12"/>
        <v>0</v>
      </c>
      <c r="U659" s="34"/>
      <c r="V659" s="47"/>
    </row>
    <row r="660">
      <c r="C660" s="46"/>
      <c r="G660" s="1" t="str">
        <f t="shared" si="16"/>
        <v/>
      </c>
      <c r="I660" s="33" t="str">
        <f t="shared" si="8"/>
        <v/>
      </c>
      <c r="K660" s="27"/>
      <c r="L660" s="28">
        <f>SUMIFS(Dump!$D:$D,Dump!$B:$B,$C660,Dump!$A:$A,$V660)</f>
        <v>0</v>
      </c>
      <c r="M660" s="28">
        <f>SUMIFS(Dump!R:R,Dump!B:B,C660,Dump!A:A,V660)</f>
        <v>0</v>
      </c>
      <c r="N660" s="29">
        <f t="shared" si="10"/>
        <v>0</v>
      </c>
      <c r="P660" s="30">
        <f>SUMIFS(Dump!E:E,Dump!B:B,C660,Dump!A:A,V660)</f>
        <v>0</v>
      </c>
      <c r="Q660" s="31">
        <f t="shared" si="11"/>
        <v>0</v>
      </c>
      <c r="S660" s="30">
        <f>SUMIFS(Dump!P:P,Dump!B:B,C660,Dump!A:A,V660)</f>
        <v>0</v>
      </c>
      <c r="T660" s="31">
        <f t="shared" si="12"/>
        <v>0</v>
      </c>
      <c r="U660" s="34"/>
      <c r="V660" s="47"/>
    </row>
    <row r="661">
      <c r="C661" s="46"/>
      <c r="G661" s="1" t="str">
        <f t="shared" si="16"/>
        <v/>
      </c>
      <c r="I661" s="33" t="str">
        <f t="shared" si="8"/>
        <v/>
      </c>
      <c r="K661" s="27"/>
      <c r="L661" s="28">
        <f>SUMIFS(Dump!$D:$D,Dump!$B:$B,$C661,Dump!$A:$A,$V661)</f>
        <v>0</v>
      </c>
      <c r="M661" s="28">
        <f>SUMIFS(Dump!R:R,Dump!B:B,C661,Dump!A:A,V661)</f>
        <v>0</v>
      </c>
      <c r="N661" s="29">
        <f t="shared" si="10"/>
        <v>0</v>
      </c>
      <c r="P661" s="30">
        <f>SUMIFS(Dump!E:E,Dump!B:B,C661,Dump!A:A,V661)</f>
        <v>0</v>
      </c>
      <c r="Q661" s="31">
        <f t="shared" si="11"/>
        <v>0</v>
      </c>
      <c r="S661" s="30">
        <f>SUMIFS(Dump!P:P,Dump!B:B,C661,Dump!A:A,V661)</f>
        <v>0</v>
      </c>
      <c r="T661" s="31">
        <f t="shared" si="12"/>
        <v>0</v>
      </c>
      <c r="U661" s="34"/>
      <c r="V661" s="47"/>
    </row>
    <row r="662">
      <c r="C662" s="46"/>
      <c r="G662" s="1" t="str">
        <f t="shared" si="16"/>
        <v/>
      </c>
      <c r="I662" s="33" t="str">
        <f t="shared" si="8"/>
        <v/>
      </c>
      <c r="K662" s="27"/>
      <c r="L662" s="28">
        <f>SUMIFS(Dump!$D:$D,Dump!$B:$B,$C662,Dump!$A:$A,$V662)</f>
        <v>0</v>
      </c>
      <c r="M662" s="28">
        <f>SUMIFS(Dump!R:R,Dump!B:B,C662,Dump!A:A,V662)</f>
        <v>0</v>
      </c>
      <c r="N662" s="29">
        <f t="shared" si="10"/>
        <v>0</v>
      </c>
      <c r="P662" s="30">
        <f>SUMIFS(Dump!E:E,Dump!B:B,C662,Dump!A:A,V662)</f>
        <v>0</v>
      </c>
      <c r="Q662" s="31">
        <f t="shared" si="11"/>
        <v>0</v>
      </c>
      <c r="S662" s="30">
        <f>SUMIFS(Dump!P:P,Dump!B:B,C662,Dump!A:A,V662)</f>
        <v>0</v>
      </c>
      <c r="T662" s="31">
        <f t="shared" si="12"/>
        <v>0</v>
      </c>
      <c r="U662" s="34"/>
      <c r="V662" s="47"/>
    </row>
    <row r="663">
      <c r="C663" s="46"/>
      <c r="G663" s="1" t="str">
        <f t="shared" si="16"/>
        <v/>
      </c>
      <c r="I663" s="33" t="str">
        <f t="shared" si="8"/>
        <v/>
      </c>
      <c r="K663" s="27"/>
      <c r="L663" s="28">
        <f>SUMIFS(Dump!$D:$D,Dump!$B:$B,$C663,Dump!$A:$A,$V663)</f>
        <v>0</v>
      </c>
      <c r="M663" s="28">
        <f>SUMIFS(Dump!R:R,Dump!B:B,C663,Dump!A:A,V663)</f>
        <v>0</v>
      </c>
      <c r="N663" s="29">
        <f t="shared" si="10"/>
        <v>0</v>
      </c>
      <c r="P663" s="30">
        <f>SUMIFS(Dump!E:E,Dump!B:B,C663,Dump!A:A,V663)</f>
        <v>0</v>
      </c>
      <c r="Q663" s="31">
        <f t="shared" si="11"/>
        <v>0</v>
      </c>
      <c r="S663" s="30">
        <f>SUMIFS(Dump!P:P,Dump!B:B,C663,Dump!A:A,V663)</f>
        <v>0</v>
      </c>
      <c r="T663" s="31">
        <f t="shared" si="12"/>
        <v>0</v>
      </c>
      <c r="U663" s="34"/>
      <c r="V663" s="47"/>
    </row>
    <row r="664">
      <c r="C664" s="46"/>
      <c r="G664" s="1" t="str">
        <f t="shared" si="16"/>
        <v/>
      </c>
      <c r="I664" s="33" t="str">
        <f t="shared" si="8"/>
        <v/>
      </c>
      <c r="K664" s="27"/>
      <c r="L664" s="28">
        <f>SUMIFS(Dump!$D:$D,Dump!$B:$B,$C664,Dump!$A:$A,$V664)</f>
        <v>0</v>
      </c>
      <c r="M664" s="28">
        <f>SUMIFS(Dump!R:R,Dump!B:B,C664,Dump!A:A,V664)</f>
        <v>0</v>
      </c>
      <c r="N664" s="29">
        <f t="shared" si="10"/>
        <v>0</v>
      </c>
      <c r="P664" s="30">
        <f>SUMIFS(Dump!E:E,Dump!B:B,C664,Dump!A:A,V664)</f>
        <v>0</v>
      </c>
      <c r="Q664" s="31">
        <f t="shared" si="11"/>
        <v>0</v>
      </c>
      <c r="S664" s="30">
        <f>SUMIFS(Dump!P:P,Dump!B:B,C664,Dump!A:A,V664)</f>
        <v>0</v>
      </c>
      <c r="T664" s="31">
        <f t="shared" si="12"/>
        <v>0</v>
      </c>
      <c r="U664" s="34"/>
      <c r="V664" s="47"/>
    </row>
    <row r="665">
      <c r="C665" s="46"/>
      <c r="G665" s="1" t="str">
        <f t="shared" si="16"/>
        <v/>
      </c>
      <c r="I665" s="33" t="str">
        <f t="shared" si="8"/>
        <v/>
      </c>
      <c r="K665" s="27"/>
      <c r="L665" s="28">
        <f>SUMIFS(Dump!$D:$D,Dump!$B:$B,$C665,Dump!$A:$A,$V665)</f>
        <v>0</v>
      </c>
      <c r="M665" s="28">
        <f>SUMIFS(Dump!R:R,Dump!B:B,C665,Dump!A:A,V665)</f>
        <v>0</v>
      </c>
      <c r="N665" s="29">
        <f t="shared" si="10"/>
        <v>0</v>
      </c>
      <c r="P665" s="30">
        <f>SUMIFS(Dump!E:E,Dump!B:B,C665,Dump!A:A,V665)</f>
        <v>0</v>
      </c>
      <c r="Q665" s="31">
        <f t="shared" si="11"/>
        <v>0</v>
      </c>
      <c r="S665" s="30">
        <f>SUMIFS(Dump!P:P,Dump!B:B,C665,Dump!A:A,V665)</f>
        <v>0</v>
      </c>
      <c r="T665" s="31">
        <f t="shared" si="12"/>
        <v>0</v>
      </c>
      <c r="U665" s="34"/>
      <c r="V665" s="47"/>
    </row>
    <row r="666">
      <c r="C666" s="46"/>
      <c r="G666" s="1" t="str">
        <f t="shared" si="16"/>
        <v/>
      </c>
      <c r="I666" s="33" t="str">
        <f t="shared" si="8"/>
        <v/>
      </c>
      <c r="K666" s="27"/>
      <c r="L666" s="28">
        <f>SUMIFS(Dump!$D:$D,Dump!$B:$B,$C666,Dump!$A:$A,$V666)</f>
        <v>0</v>
      </c>
      <c r="M666" s="28">
        <f>SUMIFS(Dump!R:R,Dump!B:B,C666,Dump!A:A,V666)</f>
        <v>0</v>
      </c>
      <c r="N666" s="29">
        <f t="shared" si="10"/>
        <v>0</v>
      </c>
      <c r="P666" s="30">
        <f>SUMIFS(Dump!E:E,Dump!B:B,C666,Dump!A:A,V666)</f>
        <v>0</v>
      </c>
      <c r="Q666" s="31">
        <f t="shared" si="11"/>
        <v>0</v>
      </c>
      <c r="S666" s="30">
        <f>SUMIFS(Dump!P:P,Dump!B:B,C666,Dump!A:A,V666)</f>
        <v>0</v>
      </c>
      <c r="T666" s="31">
        <f t="shared" si="12"/>
        <v>0</v>
      </c>
      <c r="U666" s="34"/>
      <c r="V666" s="47"/>
    </row>
    <row r="667">
      <c r="C667" s="46"/>
      <c r="G667" s="1" t="str">
        <f t="shared" si="16"/>
        <v/>
      </c>
      <c r="I667" s="33" t="str">
        <f t="shared" si="8"/>
        <v/>
      </c>
      <c r="K667" s="27"/>
      <c r="L667" s="28">
        <f>SUMIFS(Dump!$D:$D,Dump!$B:$B,$C667,Dump!$A:$A,$V667)</f>
        <v>0</v>
      </c>
      <c r="M667" s="28">
        <f>SUMIFS(Dump!R:R,Dump!B:B,C667,Dump!A:A,V667)</f>
        <v>0</v>
      </c>
      <c r="N667" s="29">
        <f t="shared" si="10"/>
        <v>0</v>
      </c>
      <c r="P667" s="30">
        <f>SUMIFS(Dump!E:E,Dump!B:B,C667,Dump!A:A,V667)</f>
        <v>0</v>
      </c>
      <c r="Q667" s="31">
        <f t="shared" si="11"/>
        <v>0</v>
      </c>
      <c r="S667" s="30">
        <f>SUMIFS(Dump!P:P,Dump!B:B,C667,Dump!A:A,V667)</f>
        <v>0</v>
      </c>
      <c r="T667" s="31">
        <f t="shared" si="12"/>
        <v>0</v>
      </c>
      <c r="U667" s="34"/>
      <c r="V667" s="47"/>
    </row>
    <row r="668">
      <c r="C668" s="46"/>
      <c r="G668" s="1" t="str">
        <f t="shared" si="16"/>
        <v/>
      </c>
      <c r="I668" s="33" t="str">
        <f t="shared" si="8"/>
        <v/>
      </c>
      <c r="K668" s="27"/>
      <c r="L668" s="28">
        <f>SUMIFS(Dump!$D:$D,Dump!$B:$B,$C668,Dump!$A:$A,$V668)</f>
        <v>0</v>
      </c>
      <c r="M668" s="28">
        <f>SUMIFS(Dump!R:R,Dump!B:B,C668,Dump!A:A,V668)</f>
        <v>0</v>
      </c>
      <c r="N668" s="29">
        <f t="shared" si="10"/>
        <v>0</v>
      </c>
      <c r="P668" s="30">
        <f>SUMIFS(Dump!E:E,Dump!B:B,C668,Dump!A:A,V668)</f>
        <v>0</v>
      </c>
      <c r="Q668" s="31">
        <f t="shared" si="11"/>
        <v>0</v>
      </c>
      <c r="S668" s="30">
        <f>SUMIFS(Dump!P:P,Dump!B:B,C668,Dump!A:A,V668)</f>
        <v>0</v>
      </c>
      <c r="T668" s="31">
        <f t="shared" si="12"/>
        <v>0</v>
      </c>
      <c r="U668" s="34"/>
      <c r="V668" s="47"/>
    </row>
    <row r="669">
      <c r="C669" s="46"/>
      <c r="G669" s="1" t="str">
        <f t="shared" si="16"/>
        <v/>
      </c>
      <c r="I669" s="33" t="str">
        <f t="shared" si="8"/>
        <v/>
      </c>
      <c r="K669" s="27"/>
      <c r="L669" s="28">
        <f>SUMIFS(Dump!$D:$D,Dump!$B:$B,$C669,Dump!$A:$A,$V669)</f>
        <v>0</v>
      </c>
      <c r="M669" s="28">
        <f>SUMIFS(Dump!R:R,Dump!B:B,C669,Dump!A:A,V669)</f>
        <v>0</v>
      </c>
      <c r="N669" s="29">
        <f t="shared" si="10"/>
        <v>0</v>
      </c>
      <c r="P669" s="30">
        <f>SUMIFS(Dump!E:E,Dump!B:B,C669,Dump!A:A,V669)</f>
        <v>0</v>
      </c>
      <c r="Q669" s="31">
        <f t="shared" si="11"/>
        <v>0</v>
      </c>
      <c r="S669" s="30">
        <f>SUMIFS(Dump!P:P,Dump!B:B,C669,Dump!A:A,V669)</f>
        <v>0</v>
      </c>
      <c r="T669" s="31">
        <f t="shared" si="12"/>
        <v>0</v>
      </c>
      <c r="U669" s="34"/>
      <c r="V669" s="47"/>
    </row>
    <row r="670">
      <c r="C670" s="46"/>
      <c r="G670" s="1" t="str">
        <f t="shared" si="16"/>
        <v/>
      </c>
      <c r="I670" s="33" t="str">
        <f t="shared" si="8"/>
        <v/>
      </c>
      <c r="K670" s="27"/>
      <c r="L670" s="28">
        <f>SUMIFS(Dump!$D:$D,Dump!$B:$B,$C670,Dump!$A:$A,$V670)</f>
        <v>0</v>
      </c>
      <c r="M670" s="28">
        <f>SUMIFS(Dump!R:R,Dump!B:B,C670,Dump!A:A,V670)</f>
        <v>0</v>
      </c>
      <c r="N670" s="29">
        <f t="shared" si="10"/>
        <v>0</v>
      </c>
      <c r="P670" s="30">
        <f>SUMIFS(Dump!E:E,Dump!B:B,C670,Dump!A:A,V670)</f>
        <v>0</v>
      </c>
      <c r="Q670" s="31">
        <f t="shared" si="11"/>
        <v>0</v>
      </c>
      <c r="S670" s="30">
        <f>SUMIFS(Dump!P:P,Dump!B:B,C670,Dump!A:A,V670)</f>
        <v>0</v>
      </c>
      <c r="T670" s="31">
        <f t="shared" si="12"/>
        <v>0</v>
      </c>
      <c r="U670" s="34"/>
      <c r="V670" s="47"/>
    </row>
    <row r="671">
      <c r="C671" s="46"/>
      <c r="G671" s="1" t="str">
        <f t="shared" si="16"/>
        <v/>
      </c>
      <c r="I671" s="33" t="str">
        <f t="shared" si="8"/>
        <v/>
      </c>
      <c r="K671" s="27"/>
      <c r="L671" s="28">
        <f>SUMIFS(Dump!$D:$D,Dump!$B:$B,$C671,Dump!$A:$A,$V671)</f>
        <v>0</v>
      </c>
      <c r="M671" s="28">
        <f>SUMIFS(Dump!R:R,Dump!B:B,C671,Dump!A:A,V671)</f>
        <v>0</v>
      </c>
      <c r="N671" s="29">
        <f t="shared" si="10"/>
        <v>0</v>
      </c>
      <c r="P671" s="30">
        <f>SUMIFS(Dump!E:E,Dump!B:B,C671,Dump!A:A,V671)</f>
        <v>0</v>
      </c>
      <c r="Q671" s="31">
        <f t="shared" si="11"/>
        <v>0</v>
      </c>
      <c r="S671" s="30">
        <f>SUMIFS(Dump!P:P,Dump!B:B,C671,Dump!A:A,V671)</f>
        <v>0</v>
      </c>
      <c r="T671" s="31">
        <f t="shared" si="12"/>
        <v>0</v>
      </c>
      <c r="U671" s="34"/>
      <c r="V671" s="47"/>
    </row>
    <row r="672">
      <c r="C672" s="46"/>
      <c r="G672" s="1" t="str">
        <f t="shared" si="16"/>
        <v/>
      </c>
      <c r="I672" s="33" t="str">
        <f t="shared" si="8"/>
        <v/>
      </c>
      <c r="K672" s="27"/>
      <c r="L672" s="28">
        <f>SUMIFS(Dump!$D:$D,Dump!$B:$B,$C672,Dump!$A:$A,$V672)</f>
        <v>0</v>
      </c>
      <c r="M672" s="28">
        <f>SUMIFS(Dump!R:R,Dump!B:B,C672,Dump!A:A,V672)</f>
        <v>0</v>
      </c>
      <c r="N672" s="29">
        <f t="shared" si="10"/>
        <v>0</v>
      </c>
      <c r="P672" s="30">
        <f>SUMIFS(Dump!E:E,Dump!B:B,C672,Dump!A:A,V672)</f>
        <v>0</v>
      </c>
      <c r="Q672" s="31">
        <f t="shared" si="11"/>
        <v>0</v>
      </c>
      <c r="S672" s="30">
        <f>SUMIFS(Dump!P:P,Dump!B:B,C672,Dump!A:A,V672)</f>
        <v>0</v>
      </c>
      <c r="T672" s="31">
        <f t="shared" si="12"/>
        <v>0</v>
      </c>
      <c r="U672" s="34"/>
      <c r="V672" s="47"/>
    </row>
    <row r="673">
      <c r="C673" s="46"/>
      <c r="G673" s="1" t="str">
        <f t="shared" si="16"/>
        <v/>
      </c>
      <c r="I673" s="33" t="str">
        <f t="shared" si="8"/>
        <v/>
      </c>
      <c r="K673" s="27"/>
      <c r="L673" s="28">
        <f>SUMIFS(Dump!$D:$D,Dump!$B:$B,$C673,Dump!$A:$A,$V673)</f>
        <v>0</v>
      </c>
      <c r="M673" s="28">
        <f>SUMIFS(Dump!R:R,Dump!B:B,C673,Dump!A:A,V673)</f>
        <v>0</v>
      </c>
      <c r="N673" s="29">
        <f t="shared" si="10"/>
        <v>0</v>
      </c>
      <c r="P673" s="30">
        <f>SUMIFS(Dump!E:E,Dump!B:B,C673,Dump!A:A,V673)</f>
        <v>0</v>
      </c>
      <c r="Q673" s="31">
        <f t="shared" si="11"/>
        <v>0</v>
      </c>
      <c r="S673" s="30">
        <f>SUMIFS(Dump!P:P,Dump!B:B,C673,Dump!A:A,V673)</f>
        <v>0</v>
      </c>
      <c r="T673" s="31">
        <f t="shared" si="12"/>
        <v>0</v>
      </c>
      <c r="U673" s="34"/>
      <c r="V673" s="47"/>
    </row>
    <row r="674">
      <c r="C674" s="46"/>
      <c r="G674" s="1" t="str">
        <f t="shared" si="16"/>
        <v/>
      </c>
      <c r="I674" s="33" t="str">
        <f t="shared" si="8"/>
        <v/>
      </c>
      <c r="K674" s="27"/>
      <c r="L674" s="28">
        <f>SUMIFS(Dump!$D:$D,Dump!$B:$B,$C674,Dump!$A:$A,$V674)</f>
        <v>0</v>
      </c>
      <c r="M674" s="28">
        <f>SUMIFS(Dump!R:R,Dump!B:B,C674,Dump!A:A,V674)</f>
        <v>0</v>
      </c>
      <c r="N674" s="29">
        <f t="shared" si="10"/>
        <v>0</v>
      </c>
      <c r="P674" s="30">
        <f>SUMIFS(Dump!E:E,Dump!B:B,C674,Dump!A:A,V674)</f>
        <v>0</v>
      </c>
      <c r="Q674" s="31">
        <f t="shared" si="11"/>
        <v>0</v>
      </c>
      <c r="S674" s="30">
        <f>SUMIFS(Dump!P:P,Dump!B:B,C674,Dump!A:A,V674)</f>
        <v>0</v>
      </c>
      <c r="T674" s="31">
        <f t="shared" si="12"/>
        <v>0</v>
      </c>
      <c r="U674" s="34"/>
      <c r="V674" s="47"/>
    </row>
    <row r="675">
      <c r="C675" s="46"/>
      <c r="G675" s="1" t="str">
        <f t="shared" si="16"/>
        <v/>
      </c>
      <c r="I675" s="33" t="str">
        <f t="shared" si="8"/>
        <v/>
      </c>
      <c r="K675" s="27"/>
      <c r="L675" s="28">
        <f>SUMIFS(Dump!$D:$D,Dump!$B:$B,$C675,Dump!$A:$A,$V675)</f>
        <v>0</v>
      </c>
      <c r="M675" s="28">
        <f>SUMIFS(Dump!R:R,Dump!B:B,C675,Dump!A:A,V675)</f>
        <v>0</v>
      </c>
      <c r="N675" s="29">
        <f t="shared" si="10"/>
        <v>0</v>
      </c>
      <c r="P675" s="30">
        <f>SUMIFS(Dump!E:E,Dump!B:B,C675,Dump!A:A,V675)</f>
        <v>0</v>
      </c>
      <c r="Q675" s="31">
        <f t="shared" si="11"/>
        <v>0</v>
      </c>
      <c r="S675" s="30">
        <f>SUMIFS(Dump!P:P,Dump!B:B,C675,Dump!A:A,V675)</f>
        <v>0</v>
      </c>
      <c r="T675" s="31">
        <f t="shared" si="12"/>
        <v>0</v>
      </c>
      <c r="U675" s="34"/>
      <c r="V675" s="47"/>
    </row>
    <row r="676">
      <c r="C676" s="46"/>
      <c r="G676" s="1" t="str">
        <f t="shared" si="16"/>
        <v/>
      </c>
      <c r="I676" s="33" t="str">
        <f t="shared" si="8"/>
        <v/>
      </c>
      <c r="K676" s="27"/>
      <c r="L676" s="28">
        <f>SUMIFS(Dump!$D:$D,Dump!$B:$B,$C676,Dump!$A:$A,$V676)</f>
        <v>0</v>
      </c>
      <c r="M676" s="28">
        <f>SUMIFS(Dump!R:R,Dump!B:B,C676,Dump!A:A,V676)</f>
        <v>0</v>
      </c>
      <c r="N676" s="29">
        <f t="shared" si="10"/>
        <v>0</v>
      </c>
      <c r="P676" s="30">
        <f>SUMIFS(Dump!E:E,Dump!B:B,C676,Dump!A:A,V676)</f>
        <v>0</v>
      </c>
      <c r="Q676" s="31">
        <f t="shared" si="11"/>
        <v>0</v>
      </c>
      <c r="S676" s="30">
        <f>SUMIFS(Dump!P:P,Dump!B:B,C676,Dump!A:A,V676)</f>
        <v>0</v>
      </c>
      <c r="T676" s="31">
        <f t="shared" si="12"/>
        <v>0</v>
      </c>
      <c r="U676" s="34"/>
      <c r="V676" s="47"/>
    </row>
    <row r="677">
      <c r="C677" s="46"/>
      <c r="G677" s="1" t="str">
        <f t="shared" si="16"/>
        <v/>
      </c>
      <c r="I677" s="33" t="str">
        <f t="shared" si="8"/>
        <v/>
      </c>
      <c r="K677" s="27"/>
      <c r="L677" s="28">
        <f>SUMIFS(Dump!$D:$D,Dump!$B:$B,$C677,Dump!$A:$A,$V677)</f>
        <v>0</v>
      </c>
      <c r="M677" s="28">
        <f>SUMIFS(Dump!R:R,Dump!B:B,C677,Dump!A:A,V677)</f>
        <v>0</v>
      </c>
      <c r="N677" s="29">
        <f t="shared" si="10"/>
        <v>0</v>
      </c>
      <c r="P677" s="30">
        <f>SUMIFS(Dump!E:E,Dump!B:B,C677,Dump!A:A,V677)</f>
        <v>0</v>
      </c>
      <c r="Q677" s="31">
        <f t="shared" si="11"/>
        <v>0</v>
      </c>
      <c r="S677" s="30">
        <f>SUMIFS(Dump!P:P,Dump!B:B,C677,Dump!A:A,V677)</f>
        <v>0</v>
      </c>
      <c r="T677" s="31">
        <f t="shared" si="12"/>
        <v>0</v>
      </c>
      <c r="U677" s="34"/>
      <c r="V677" s="47"/>
    </row>
    <row r="678">
      <c r="C678" s="46"/>
      <c r="G678" s="1" t="str">
        <f t="shared" si="16"/>
        <v/>
      </c>
      <c r="I678" s="33" t="str">
        <f t="shared" si="8"/>
        <v/>
      </c>
      <c r="K678" s="27"/>
      <c r="L678" s="28">
        <f>SUMIFS(Dump!$D:$D,Dump!$B:$B,$C678,Dump!$A:$A,$V678)</f>
        <v>0</v>
      </c>
      <c r="M678" s="28">
        <f>SUMIFS(Dump!R:R,Dump!B:B,C678,Dump!A:A,V678)</f>
        <v>0</v>
      </c>
      <c r="N678" s="29">
        <f t="shared" si="10"/>
        <v>0</v>
      </c>
      <c r="P678" s="30">
        <f>SUMIFS(Dump!E:E,Dump!B:B,C678,Dump!A:A,V678)</f>
        <v>0</v>
      </c>
      <c r="Q678" s="31">
        <f t="shared" si="11"/>
        <v>0</v>
      </c>
      <c r="S678" s="30">
        <f>SUMIFS(Dump!P:P,Dump!B:B,C678,Dump!A:A,V678)</f>
        <v>0</v>
      </c>
      <c r="T678" s="31">
        <f t="shared" si="12"/>
        <v>0</v>
      </c>
      <c r="U678" s="34"/>
      <c r="V678" s="47"/>
    </row>
    <row r="679">
      <c r="C679" s="46"/>
      <c r="G679" s="1" t="str">
        <f t="shared" si="16"/>
        <v/>
      </c>
      <c r="I679" s="33" t="str">
        <f t="shared" si="8"/>
        <v/>
      </c>
      <c r="K679" s="27"/>
      <c r="L679" s="28">
        <f>SUMIFS(Dump!$D:$D,Dump!$B:$B,$C679,Dump!$A:$A,$V679)</f>
        <v>0</v>
      </c>
      <c r="M679" s="28">
        <f>SUMIFS(Dump!R:R,Dump!B:B,C679,Dump!A:A,V679)</f>
        <v>0</v>
      </c>
      <c r="N679" s="29">
        <f t="shared" si="10"/>
        <v>0</v>
      </c>
      <c r="P679" s="30">
        <f>SUMIFS(Dump!E:E,Dump!B:B,C679,Dump!A:A,V679)</f>
        <v>0</v>
      </c>
      <c r="Q679" s="31">
        <f t="shared" si="11"/>
        <v>0</v>
      </c>
      <c r="S679" s="30">
        <f>SUMIFS(Dump!P:P,Dump!B:B,C679,Dump!A:A,V679)</f>
        <v>0</v>
      </c>
      <c r="T679" s="31">
        <f t="shared" si="12"/>
        <v>0</v>
      </c>
      <c r="U679" s="34"/>
      <c r="V679" s="47"/>
    </row>
    <row r="680">
      <c r="C680" s="46"/>
      <c r="G680" s="1" t="str">
        <f t="shared" si="16"/>
        <v/>
      </c>
      <c r="I680" s="33" t="str">
        <f t="shared" si="8"/>
        <v/>
      </c>
      <c r="K680" s="27"/>
      <c r="L680" s="28">
        <f>SUMIFS(Dump!$D:$D,Dump!$B:$B,$C680,Dump!$A:$A,$V680)</f>
        <v>0</v>
      </c>
      <c r="M680" s="28">
        <f>SUMIFS(Dump!R:R,Dump!B:B,C680,Dump!A:A,V680)</f>
        <v>0</v>
      </c>
      <c r="N680" s="29">
        <f t="shared" si="10"/>
        <v>0</v>
      </c>
      <c r="P680" s="30">
        <f>SUMIFS(Dump!E:E,Dump!B:B,C680,Dump!A:A,V680)</f>
        <v>0</v>
      </c>
      <c r="Q680" s="31">
        <f t="shared" si="11"/>
        <v>0</v>
      </c>
      <c r="S680" s="30">
        <f>SUMIFS(Dump!P:P,Dump!B:B,C680,Dump!A:A,V680)</f>
        <v>0</v>
      </c>
      <c r="T680" s="31">
        <f t="shared" si="12"/>
        <v>0</v>
      </c>
      <c r="U680" s="34"/>
      <c r="V680" s="47"/>
    </row>
    <row r="681">
      <c r="C681" s="46"/>
      <c r="G681" s="1" t="str">
        <f t="shared" si="16"/>
        <v/>
      </c>
      <c r="I681" s="33" t="str">
        <f t="shared" si="8"/>
        <v/>
      </c>
      <c r="K681" s="27"/>
      <c r="L681" s="28">
        <f>SUMIFS(Dump!$D:$D,Dump!$B:$B,$C681,Dump!$A:$A,$V681)</f>
        <v>0</v>
      </c>
      <c r="M681" s="28">
        <f>SUMIFS(Dump!R:R,Dump!B:B,C681,Dump!A:A,V681)</f>
        <v>0</v>
      </c>
      <c r="N681" s="29">
        <f t="shared" si="10"/>
        <v>0</v>
      </c>
      <c r="P681" s="30">
        <f>SUMIFS(Dump!E:E,Dump!B:B,C681,Dump!A:A,V681)</f>
        <v>0</v>
      </c>
      <c r="Q681" s="31">
        <f t="shared" si="11"/>
        <v>0</v>
      </c>
      <c r="S681" s="30">
        <f>SUMIFS(Dump!P:P,Dump!B:B,C681,Dump!A:A,V681)</f>
        <v>0</v>
      </c>
      <c r="T681" s="31">
        <f t="shared" si="12"/>
        <v>0</v>
      </c>
      <c r="U681" s="34"/>
      <c r="V681" s="47"/>
    </row>
    <row r="682">
      <c r="C682" s="46"/>
      <c r="G682" s="1" t="str">
        <f t="shared" si="16"/>
        <v/>
      </c>
      <c r="I682" s="33" t="str">
        <f t="shared" si="8"/>
        <v/>
      </c>
      <c r="K682" s="27"/>
      <c r="L682" s="28">
        <f>SUMIFS(Dump!$D:$D,Dump!$B:$B,$C682,Dump!$A:$A,$V682)</f>
        <v>0</v>
      </c>
      <c r="M682" s="28">
        <f>SUMIFS(Dump!R:R,Dump!B:B,C682,Dump!A:A,V682)</f>
        <v>0</v>
      </c>
      <c r="N682" s="29">
        <f t="shared" si="10"/>
        <v>0</v>
      </c>
      <c r="P682" s="30">
        <f>SUMIFS(Dump!E:E,Dump!B:B,C682,Dump!A:A,V682)</f>
        <v>0</v>
      </c>
      <c r="Q682" s="31">
        <f t="shared" si="11"/>
        <v>0</v>
      </c>
      <c r="S682" s="30">
        <f>SUMIFS(Dump!P:P,Dump!B:B,C682,Dump!A:A,V682)</f>
        <v>0</v>
      </c>
      <c r="T682" s="31">
        <f t="shared" si="12"/>
        <v>0</v>
      </c>
      <c r="U682" s="34"/>
      <c r="V682" s="47"/>
    </row>
    <row r="683">
      <c r="C683" s="46"/>
      <c r="G683" s="1" t="str">
        <f t="shared" si="16"/>
        <v/>
      </c>
      <c r="I683" s="33" t="str">
        <f t="shared" si="8"/>
        <v/>
      </c>
      <c r="K683" s="27"/>
      <c r="L683" s="28">
        <f>SUMIFS(Dump!$D:$D,Dump!$B:$B,$C683,Dump!$A:$A,$V683)</f>
        <v>0</v>
      </c>
      <c r="M683" s="28">
        <f>SUMIFS(Dump!R:R,Dump!B:B,C683,Dump!A:A,V683)</f>
        <v>0</v>
      </c>
      <c r="N683" s="29">
        <f t="shared" si="10"/>
        <v>0</v>
      </c>
      <c r="P683" s="30">
        <f>SUMIFS(Dump!E:E,Dump!B:B,C683,Dump!A:A,V683)</f>
        <v>0</v>
      </c>
      <c r="Q683" s="31">
        <f t="shared" si="11"/>
        <v>0</v>
      </c>
      <c r="S683" s="30">
        <f>SUMIFS(Dump!P:P,Dump!B:B,C683,Dump!A:A,V683)</f>
        <v>0</v>
      </c>
      <c r="T683" s="31">
        <f t="shared" si="12"/>
        <v>0</v>
      </c>
      <c r="U683" s="34"/>
      <c r="V683" s="47"/>
    </row>
    <row r="684">
      <c r="C684" s="46"/>
      <c r="G684" s="1" t="str">
        <f t="shared" si="16"/>
        <v/>
      </c>
      <c r="I684" s="33" t="str">
        <f t="shared" si="8"/>
        <v/>
      </c>
      <c r="K684" s="27"/>
      <c r="L684" s="28">
        <f>SUMIFS(Dump!$D:$D,Dump!$B:$B,$C684,Dump!$A:$A,$V684)</f>
        <v>0</v>
      </c>
      <c r="M684" s="28">
        <f>SUMIFS(Dump!R:R,Dump!B:B,C684,Dump!A:A,V684)</f>
        <v>0</v>
      </c>
      <c r="N684" s="29">
        <f t="shared" si="10"/>
        <v>0</v>
      </c>
      <c r="P684" s="30">
        <f>SUMIFS(Dump!E:E,Dump!B:B,C684,Dump!A:A,V684)</f>
        <v>0</v>
      </c>
      <c r="Q684" s="31">
        <f t="shared" si="11"/>
        <v>0</v>
      </c>
      <c r="S684" s="30">
        <f>SUMIFS(Dump!P:P,Dump!B:B,C684,Dump!A:A,V684)</f>
        <v>0</v>
      </c>
      <c r="T684" s="31">
        <f t="shared" si="12"/>
        <v>0</v>
      </c>
      <c r="U684" s="34"/>
      <c r="V684" s="47"/>
    </row>
    <row r="685">
      <c r="C685" s="46"/>
      <c r="G685" s="1" t="str">
        <f t="shared" si="16"/>
        <v/>
      </c>
      <c r="I685" s="33" t="str">
        <f t="shared" si="8"/>
        <v/>
      </c>
      <c r="K685" s="27"/>
      <c r="L685" s="28">
        <f>SUMIFS(Dump!$D:$D,Dump!$B:$B,$C685,Dump!$A:$A,$V685)</f>
        <v>0</v>
      </c>
      <c r="M685" s="28">
        <f>SUMIFS(Dump!R:R,Dump!B:B,C685,Dump!A:A,V685)</f>
        <v>0</v>
      </c>
      <c r="N685" s="29">
        <f t="shared" si="10"/>
        <v>0</v>
      </c>
      <c r="P685" s="30">
        <f>SUMIFS(Dump!E:E,Dump!B:B,C685,Dump!A:A,V685)</f>
        <v>0</v>
      </c>
      <c r="Q685" s="31">
        <f t="shared" si="11"/>
        <v>0</v>
      </c>
      <c r="S685" s="30">
        <f>SUMIFS(Dump!P:P,Dump!B:B,C685,Dump!A:A,V685)</f>
        <v>0</v>
      </c>
      <c r="T685" s="31">
        <f t="shared" si="12"/>
        <v>0</v>
      </c>
      <c r="U685" s="34"/>
      <c r="V685" s="47"/>
    </row>
    <row r="686">
      <c r="C686" s="46"/>
      <c r="G686" s="1" t="str">
        <f t="shared" si="16"/>
        <v/>
      </c>
      <c r="I686" s="33" t="str">
        <f t="shared" si="8"/>
        <v/>
      </c>
      <c r="K686" s="27"/>
      <c r="L686" s="28">
        <f>SUMIFS(Dump!$D:$D,Dump!$B:$B,$C686,Dump!$A:$A,$V686)</f>
        <v>0</v>
      </c>
      <c r="M686" s="28">
        <f>SUMIFS(Dump!R:R,Dump!B:B,C686,Dump!A:A,V686)</f>
        <v>0</v>
      </c>
      <c r="N686" s="29">
        <f t="shared" si="10"/>
        <v>0</v>
      </c>
      <c r="P686" s="30">
        <f>SUMIFS(Dump!E:E,Dump!B:B,C686,Dump!A:A,V686)</f>
        <v>0</v>
      </c>
      <c r="Q686" s="31">
        <f t="shared" si="11"/>
        <v>0</v>
      </c>
      <c r="S686" s="30">
        <f>SUMIFS(Dump!P:P,Dump!B:B,C686,Dump!A:A,V686)</f>
        <v>0</v>
      </c>
      <c r="T686" s="31">
        <f t="shared" si="12"/>
        <v>0</v>
      </c>
      <c r="U686" s="34"/>
      <c r="V686" s="47"/>
    </row>
    <row r="687">
      <c r="C687" s="46"/>
      <c r="G687" s="1" t="str">
        <f t="shared" si="16"/>
        <v/>
      </c>
      <c r="I687" s="33" t="str">
        <f t="shared" si="8"/>
        <v/>
      </c>
      <c r="K687" s="27"/>
      <c r="L687" s="28">
        <f>SUMIFS(Dump!$D:$D,Dump!$B:$B,$C687,Dump!$A:$A,$V687)</f>
        <v>0</v>
      </c>
      <c r="M687" s="28">
        <f>SUMIFS(Dump!R:R,Dump!B:B,C687,Dump!A:A,V687)</f>
        <v>0</v>
      </c>
      <c r="N687" s="29">
        <f t="shared" si="10"/>
        <v>0</v>
      </c>
      <c r="P687" s="30">
        <f>SUMIFS(Dump!E:E,Dump!B:B,C687,Dump!A:A,V687)</f>
        <v>0</v>
      </c>
      <c r="Q687" s="31">
        <f t="shared" si="11"/>
        <v>0</v>
      </c>
      <c r="S687" s="30">
        <f>SUMIFS(Dump!P:P,Dump!B:B,C687,Dump!A:A,V687)</f>
        <v>0</v>
      </c>
      <c r="T687" s="31">
        <f t="shared" si="12"/>
        <v>0</v>
      </c>
      <c r="U687" s="34"/>
      <c r="V687" s="47"/>
    </row>
    <row r="688">
      <c r="C688" s="46"/>
      <c r="G688" s="1" t="str">
        <f t="shared" si="16"/>
        <v/>
      </c>
      <c r="I688" s="33" t="str">
        <f t="shared" si="8"/>
        <v/>
      </c>
      <c r="K688" s="27"/>
      <c r="L688" s="28">
        <f>SUMIFS(Dump!$D:$D,Dump!$B:$B,$C688,Dump!$A:$A,$V688)</f>
        <v>0</v>
      </c>
      <c r="M688" s="28">
        <f>SUMIFS(Dump!R:R,Dump!B:B,C688,Dump!A:A,V688)</f>
        <v>0</v>
      </c>
      <c r="N688" s="29">
        <f t="shared" si="10"/>
        <v>0</v>
      </c>
      <c r="P688" s="30">
        <f>SUMIFS(Dump!E:E,Dump!B:B,C688,Dump!A:A,V688)</f>
        <v>0</v>
      </c>
      <c r="Q688" s="31">
        <f t="shared" si="11"/>
        <v>0</v>
      </c>
      <c r="S688" s="30">
        <f>SUMIFS(Dump!P:P,Dump!B:B,C688,Dump!A:A,V688)</f>
        <v>0</v>
      </c>
      <c r="T688" s="31">
        <f t="shared" si="12"/>
        <v>0</v>
      </c>
      <c r="U688" s="34"/>
      <c r="V688" s="47"/>
    </row>
    <row r="689">
      <c r="C689" s="46"/>
      <c r="G689" s="1" t="str">
        <f t="shared" si="16"/>
        <v/>
      </c>
      <c r="I689" s="33" t="str">
        <f t="shared" si="8"/>
        <v/>
      </c>
      <c r="K689" s="27"/>
      <c r="L689" s="28">
        <f>SUMIFS(Dump!$D:$D,Dump!$B:$B,$C689,Dump!$A:$A,$V689)</f>
        <v>0</v>
      </c>
      <c r="M689" s="28">
        <f>SUMIFS(Dump!R:R,Dump!B:B,C689,Dump!A:A,V689)</f>
        <v>0</v>
      </c>
      <c r="N689" s="29">
        <f t="shared" si="10"/>
        <v>0</v>
      </c>
      <c r="P689" s="30">
        <f>SUMIFS(Dump!E:E,Dump!B:B,C689,Dump!A:A,V689)</f>
        <v>0</v>
      </c>
      <c r="Q689" s="31">
        <f t="shared" si="11"/>
        <v>0</v>
      </c>
      <c r="S689" s="30">
        <f>SUMIFS(Dump!P:P,Dump!B:B,C689,Dump!A:A,V689)</f>
        <v>0</v>
      </c>
      <c r="T689" s="31">
        <f t="shared" si="12"/>
        <v>0</v>
      </c>
      <c r="U689" s="34"/>
      <c r="V689" s="47"/>
    </row>
    <row r="690">
      <c r="C690" s="46"/>
      <c r="G690" s="1" t="str">
        <f t="shared" si="16"/>
        <v/>
      </c>
      <c r="I690" s="33" t="str">
        <f t="shared" si="8"/>
        <v/>
      </c>
      <c r="K690" s="27"/>
      <c r="L690" s="28">
        <f>SUMIFS(Dump!$D:$D,Dump!$B:$B,$C690,Dump!$A:$A,$V690)</f>
        <v>0</v>
      </c>
      <c r="M690" s="28">
        <f>SUMIFS(Dump!R:R,Dump!B:B,C690,Dump!A:A,V690)</f>
        <v>0</v>
      </c>
      <c r="N690" s="29">
        <f t="shared" si="10"/>
        <v>0</v>
      </c>
      <c r="P690" s="30">
        <f>SUMIFS(Dump!E:E,Dump!B:B,C690,Dump!A:A,V690)</f>
        <v>0</v>
      </c>
      <c r="Q690" s="31">
        <f t="shared" si="11"/>
        <v>0</v>
      </c>
      <c r="S690" s="30">
        <f>SUMIFS(Dump!P:P,Dump!B:B,C690,Dump!A:A,V690)</f>
        <v>0</v>
      </c>
      <c r="T690" s="31">
        <f t="shared" si="12"/>
        <v>0</v>
      </c>
      <c r="U690" s="34"/>
      <c r="V690" s="47"/>
    </row>
    <row r="691">
      <c r="C691" s="46"/>
      <c r="G691" s="1" t="str">
        <f t="shared" si="16"/>
        <v/>
      </c>
      <c r="I691" s="33" t="str">
        <f t="shared" si="8"/>
        <v/>
      </c>
      <c r="K691" s="27"/>
      <c r="L691" s="28">
        <f>SUMIFS(Dump!$D:$D,Dump!$B:$B,$C691,Dump!$A:$A,$V691)</f>
        <v>0</v>
      </c>
      <c r="M691" s="28">
        <f>SUMIFS(Dump!R:R,Dump!B:B,C691,Dump!A:A,V691)</f>
        <v>0</v>
      </c>
      <c r="N691" s="29">
        <f t="shared" si="10"/>
        <v>0</v>
      </c>
      <c r="P691" s="30">
        <f>SUMIFS(Dump!E:E,Dump!B:B,C691,Dump!A:A,V691)</f>
        <v>0</v>
      </c>
      <c r="Q691" s="31">
        <f t="shared" si="11"/>
        <v>0</v>
      </c>
      <c r="S691" s="30">
        <f>SUMIFS(Dump!P:P,Dump!B:B,C691,Dump!A:A,V691)</f>
        <v>0</v>
      </c>
      <c r="T691" s="31">
        <f t="shared" si="12"/>
        <v>0</v>
      </c>
      <c r="U691" s="34"/>
      <c r="V691" s="47"/>
    </row>
    <row r="692">
      <c r="C692" s="46"/>
      <c r="G692" s="1" t="str">
        <f t="shared" si="16"/>
        <v/>
      </c>
      <c r="I692" s="33" t="str">
        <f t="shared" si="8"/>
        <v/>
      </c>
      <c r="K692" s="27"/>
      <c r="L692" s="28">
        <f>SUMIFS(Dump!$D:$D,Dump!$B:$B,$C692,Dump!$A:$A,$V692)</f>
        <v>0</v>
      </c>
      <c r="M692" s="28">
        <f>SUMIFS(Dump!R:R,Dump!B:B,C692,Dump!A:A,V692)</f>
        <v>0</v>
      </c>
      <c r="N692" s="29">
        <f t="shared" si="10"/>
        <v>0</v>
      </c>
      <c r="P692" s="30">
        <f>SUMIFS(Dump!E:E,Dump!B:B,C692,Dump!A:A,V692)</f>
        <v>0</v>
      </c>
      <c r="Q692" s="31">
        <f t="shared" si="11"/>
        <v>0</v>
      </c>
      <c r="S692" s="30">
        <f>SUMIFS(Dump!P:P,Dump!B:B,C692,Dump!A:A,V692)</f>
        <v>0</v>
      </c>
      <c r="T692" s="31">
        <f t="shared" si="12"/>
        <v>0</v>
      </c>
      <c r="U692" s="34"/>
      <c r="V692" s="47"/>
    </row>
    <row r="693">
      <c r="C693" s="46"/>
      <c r="G693" s="1" t="str">
        <f t="shared" si="16"/>
        <v/>
      </c>
      <c r="I693" s="33" t="str">
        <f t="shared" si="8"/>
        <v/>
      </c>
      <c r="K693" s="27"/>
      <c r="L693" s="28">
        <f>SUMIFS(Dump!$D:$D,Dump!$B:$B,$C693,Dump!$A:$A,$V693)</f>
        <v>0</v>
      </c>
      <c r="M693" s="28">
        <f>SUMIFS(Dump!R:R,Dump!B:B,C693,Dump!A:A,V693)</f>
        <v>0</v>
      </c>
      <c r="N693" s="29">
        <f t="shared" si="10"/>
        <v>0</v>
      </c>
      <c r="P693" s="30">
        <f>SUMIFS(Dump!E:E,Dump!B:B,C693,Dump!A:A,V693)</f>
        <v>0</v>
      </c>
      <c r="Q693" s="31">
        <f t="shared" si="11"/>
        <v>0</v>
      </c>
      <c r="S693" s="30">
        <f>SUMIFS(Dump!P:P,Dump!B:B,C693,Dump!A:A,V693)</f>
        <v>0</v>
      </c>
      <c r="T693" s="31">
        <f t="shared" si="12"/>
        <v>0</v>
      </c>
      <c r="U693" s="34"/>
      <c r="V693" s="47"/>
    </row>
    <row r="694">
      <c r="C694" s="46"/>
      <c r="G694" s="1" t="str">
        <f t="shared" si="16"/>
        <v/>
      </c>
      <c r="I694" s="33" t="str">
        <f t="shared" si="8"/>
        <v/>
      </c>
      <c r="K694" s="27"/>
      <c r="L694" s="28">
        <f>SUMIFS(Dump!$D:$D,Dump!$B:$B,$C694,Dump!$A:$A,$V694)</f>
        <v>0</v>
      </c>
      <c r="M694" s="28">
        <f>SUMIFS(Dump!R:R,Dump!B:B,C694,Dump!A:A,V694)</f>
        <v>0</v>
      </c>
      <c r="N694" s="29">
        <f t="shared" si="10"/>
        <v>0</v>
      </c>
      <c r="P694" s="30">
        <f>SUMIFS(Dump!E:E,Dump!B:B,C694,Dump!A:A,V694)</f>
        <v>0</v>
      </c>
      <c r="Q694" s="31">
        <f t="shared" si="11"/>
        <v>0</v>
      </c>
      <c r="S694" s="30">
        <f>SUMIFS(Dump!P:P,Dump!B:B,C694,Dump!A:A,V694)</f>
        <v>0</v>
      </c>
      <c r="T694" s="31">
        <f t="shared" si="12"/>
        <v>0</v>
      </c>
      <c r="U694" s="34"/>
      <c r="V694" s="47"/>
    </row>
    <row r="695">
      <c r="C695" s="46"/>
      <c r="G695" s="1" t="str">
        <f t="shared" si="16"/>
        <v/>
      </c>
      <c r="I695" s="33" t="str">
        <f t="shared" si="8"/>
        <v/>
      </c>
      <c r="K695" s="27"/>
      <c r="L695" s="28">
        <f>SUMIFS(Dump!$D:$D,Dump!$B:$B,$C695,Dump!$A:$A,$V695)</f>
        <v>0</v>
      </c>
      <c r="M695" s="28">
        <f>SUMIFS(Dump!R:R,Dump!B:B,C695,Dump!A:A,V695)</f>
        <v>0</v>
      </c>
      <c r="N695" s="29">
        <f t="shared" si="10"/>
        <v>0</v>
      </c>
      <c r="P695" s="30">
        <f>SUMIFS(Dump!E:E,Dump!B:B,C695,Dump!A:A,V695)</f>
        <v>0</v>
      </c>
      <c r="Q695" s="31">
        <f t="shared" si="11"/>
        <v>0</v>
      </c>
      <c r="S695" s="30">
        <f>SUMIFS(Dump!P:P,Dump!B:B,C695,Dump!A:A,V695)</f>
        <v>0</v>
      </c>
      <c r="T695" s="31">
        <f t="shared" si="12"/>
        <v>0</v>
      </c>
      <c r="U695" s="34"/>
      <c r="V695" s="47"/>
    </row>
    <row r="696">
      <c r="C696" s="46"/>
      <c r="G696" s="1" t="str">
        <f t="shared" si="16"/>
        <v/>
      </c>
      <c r="I696" s="33" t="str">
        <f t="shared" si="8"/>
        <v/>
      </c>
      <c r="K696" s="27"/>
      <c r="L696" s="28">
        <f>SUMIFS(Dump!$D:$D,Dump!$B:$B,$C696,Dump!$A:$A,$V696)</f>
        <v>0</v>
      </c>
      <c r="M696" s="28">
        <f>SUMIFS(Dump!R:R,Dump!B:B,C696,Dump!A:A,V696)</f>
        <v>0</v>
      </c>
      <c r="N696" s="29">
        <f t="shared" si="10"/>
        <v>0</v>
      </c>
      <c r="P696" s="30">
        <f>SUMIFS(Dump!E:E,Dump!B:B,C696,Dump!A:A,V696)</f>
        <v>0</v>
      </c>
      <c r="Q696" s="31">
        <f t="shared" si="11"/>
        <v>0</v>
      </c>
      <c r="S696" s="30">
        <f>SUMIFS(Dump!P:P,Dump!B:B,C696,Dump!A:A,V696)</f>
        <v>0</v>
      </c>
      <c r="T696" s="31">
        <f t="shared" si="12"/>
        <v>0</v>
      </c>
      <c r="U696" s="34"/>
      <c r="V696" s="47"/>
    </row>
    <row r="697">
      <c r="C697" s="46"/>
      <c r="G697" s="1" t="str">
        <f t="shared" si="16"/>
        <v/>
      </c>
      <c r="I697" s="33" t="str">
        <f t="shared" si="8"/>
        <v/>
      </c>
      <c r="K697" s="27"/>
      <c r="L697" s="28">
        <f>SUMIFS(Dump!$D:$D,Dump!$B:$B,$C697,Dump!$A:$A,$V697)</f>
        <v>0</v>
      </c>
      <c r="M697" s="28">
        <f>SUMIFS(Dump!R:R,Dump!B:B,C697,Dump!A:A,V697)</f>
        <v>0</v>
      </c>
      <c r="N697" s="29">
        <f t="shared" si="10"/>
        <v>0</v>
      </c>
      <c r="P697" s="30">
        <f>SUMIFS(Dump!E:E,Dump!B:B,C697,Dump!A:A,V697)</f>
        <v>0</v>
      </c>
      <c r="Q697" s="31">
        <f t="shared" si="11"/>
        <v>0</v>
      </c>
      <c r="S697" s="30">
        <f>SUMIFS(Dump!P:P,Dump!B:B,C697,Dump!A:A,V697)</f>
        <v>0</v>
      </c>
      <c r="T697" s="31">
        <f t="shared" si="12"/>
        <v>0</v>
      </c>
      <c r="U697" s="34"/>
      <c r="V697" s="47"/>
    </row>
    <row r="698">
      <c r="C698" s="46"/>
      <c r="G698" s="1" t="str">
        <f t="shared" si="16"/>
        <v/>
      </c>
      <c r="I698" s="33" t="str">
        <f t="shared" si="8"/>
        <v/>
      </c>
      <c r="K698" s="27"/>
      <c r="L698" s="28">
        <f>SUMIFS(Dump!$D:$D,Dump!$B:$B,$C698,Dump!$A:$A,$V698)</f>
        <v>0</v>
      </c>
      <c r="M698" s="28">
        <f>SUMIFS(Dump!R:R,Dump!B:B,C698,Dump!A:A,V698)</f>
        <v>0</v>
      </c>
      <c r="N698" s="29">
        <f t="shared" si="10"/>
        <v>0</v>
      </c>
      <c r="P698" s="30">
        <f>SUMIFS(Dump!E:E,Dump!B:B,C698,Dump!A:A,V698)</f>
        <v>0</v>
      </c>
      <c r="Q698" s="31">
        <f t="shared" si="11"/>
        <v>0</v>
      </c>
      <c r="S698" s="30">
        <f>SUMIFS(Dump!P:P,Dump!B:B,C698,Dump!A:A,V698)</f>
        <v>0</v>
      </c>
      <c r="T698" s="31">
        <f t="shared" si="12"/>
        <v>0</v>
      </c>
      <c r="U698" s="34"/>
      <c r="V698" s="47"/>
    </row>
    <row r="699">
      <c r="C699" s="46"/>
      <c r="G699" s="1" t="str">
        <f t="shared" si="16"/>
        <v/>
      </c>
      <c r="I699" s="33" t="str">
        <f t="shared" si="8"/>
        <v/>
      </c>
      <c r="K699" s="27"/>
      <c r="L699" s="28">
        <f>SUMIFS(Dump!$D:$D,Dump!$B:$B,$C699,Dump!$A:$A,$V699)</f>
        <v>0</v>
      </c>
      <c r="M699" s="28">
        <f>SUMIFS(Dump!R:R,Dump!B:B,C699,Dump!A:A,V699)</f>
        <v>0</v>
      </c>
      <c r="N699" s="29">
        <f t="shared" si="10"/>
        <v>0</v>
      </c>
      <c r="P699" s="30">
        <f>SUMIFS(Dump!E:E,Dump!B:B,C699,Dump!A:A,V699)</f>
        <v>0</v>
      </c>
      <c r="Q699" s="31">
        <f t="shared" si="11"/>
        <v>0</v>
      </c>
      <c r="S699" s="30">
        <f>SUMIFS(Dump!P:P,Dump!B:B,C699,Dump!A:A,V699)</f>
        <v>0</v>
      </c>
      <c r="T699" s="31">
        <f t="shared" si="12"/>
        <v>0</v>
      </c>
      <c r="U699" s="34"/>
      <c r="V699" s="47"/>
    </row>
    <row r="700">
      <c r="C700" s="46"/>
      <c r="G700" s="1" t="str">
        <f t="shared" si="16"/>
        <v/>
      </c>
      <c r="I700" s="33" t="str">
        <f t="shared" si="8"/>
        <v/>
      </c>
      <c r="K700" s="27"/>
      <c r="L700" s="28">
        <f>SUMIFS(Dump!$D:$D,Dump!$B:$B,$C700,Dump!$A:$A,$V700)</f>
        <v>0</v>
      </c>
      <c r="M700" s="28">
        <f>SUMIFS(Dump!R:R,Dump!B:B,C700,Dump!A:A,V700)</f>
        <v>0</v>
      </c>
      <c r="N700" s="29">
        <f t="shared" si="10"/>
        <v>0</v>
      </c>
      <c r="P700" s="30">
        <f>SUMIFS(Dump!E:E,Dump!B:B,C700,Dump!A:A,V700)</f>
        <v>0</v>
      </c>
      <c r="Q700" s="31">
        <f t="shared" si="11"/>
        <v>0</v>
      </c>
      <c r="S700" s="30">
        <f>SUMIFS(Dump!P:P,Dump!B:B,C700,Dump!A:A,V700)</f>
        <v>0</v>
      </c>
      <c r="T700" s="31">
        <f t="shared" si="12"/>
        <v>0</v>
      </c>
      <c r="U700" s="34"/>
      <c r="V700" s="47"/>
    </row>
    <row r="701">
      <c r="C701" s="46"/>
      <c r="G701" s="1" t="str">
        <f t="shared" si="16"/>
        <v/>
      </c>
      <c r="I701" s="33" t="str">
        <f t="shared" si="8"/>
        <v/>
      </c>
      <c r="K701" s="27"/>
      <c r="L701" s="28">
        <f>SUMIFS(Dump!$D:$D,Dump!$B:$B,$C701,Dump!$A:$A,$V701)</f>
        <v>0</v>
      </c>
      <c r="M701" s="28">
        <f>SUMIFS(Dump!R:R,Dump!B:B,C701,Dump!A:A,V701)</f>
        <v>0</v>
      </c>
      <c r="N701" s="29">
        <f t="shared" si="10"/>
        <v>0</v>
      </c>
      <c r="P701" s="30">
        <f>SUMIFS(Dump!E:E,Dump!B:B,C701,Dump!A:A,V701)</f>
        <v>0</v>
      </c>
      <c r="Q701" s="31">
        <f t="shared" si="11"/>
        <v>0</v>
      </c>
      <c r="S701" s="30">
        <f>SUMIFS(Dump!P:P,Dump!B:B,C701,Dump!A:A,V701)</f>
        <v>0</v>
      </c>
      <c r="T701" s="31">
        <f t="shared" si="12"/>
        <v>0</v>
      </c>
      <c r="U701" s="34"/>
      <c r="V701" s="47"/>
    </row>
    <row r="702">
      <c r="C702" s="46"/>
      <c r="G702" s="1" t="str">
        <f t="shared" si="16"/>
        <v/>
      </c>
      <c r="I702" s="33" t="str">
        <f t="shared" si="8"/>
        <v/>
      </c>
      <c r="K702" s="27"/>
      <c r="L702" s="28">
        <f>SUMIFS(Dump!$D:$D,Dump!$B:$B,$C702,Dump!$A:$A,$V702)</f>
        <v>0</v>
      </c>
      <c r="M702" s="28">
        <f>SUMIFS(Dump!R:R,Dump!B:B,C702,Dump!A:A,V702)</f>
        <v>0</v>
      </c>
      <c r="N702" s="29">
        <f t="shared" si="10"/>
        <v>0</v>
      </c>
      <c r="P702" s="30">
        <f>SUMIFS(Dump!E:E,Dump!B:B,C702,Dump!A:A,V702)</f>
        <v>0</v>
      </c>
      <c r="Q702" s="31">
        <f t="shared" si="11"/>
        <v>0</v>
      </c>
      <c r="S702" s="30">
        <f>SUMIFS(Dump!P:P,Dump!B:B,C702,Dump!A:A,V702)</f>
        <v>0</v>
      </c>
      <c r="T702" s="31">
        <f t="shared" si="12"/>
        <v>0</v>
      </c>
      <c r="U702" s="34"/>
      <c r="V702" s="47"/>
    </row>
    <row r="703">
      <c r="C703" s="46"/>
      <c r="G703" s="1" t="str">
        <f t="shared" si="16"/>
        <v/>
      </c>
      <c r="I703" s="33" t="str">
        <f t="shared" si="8"/>
        <v/>
      </c>
      <c r="K703" s="27"/>
      <c r="L703" s="28">
        <f>SUMIFS(Dump!$D:$D,Dump!$B:$B,$C703,Dump!$A:$A,$V703)</f>
        <v>0</v>
      </c>
      <c r="M703" s="28">
        <f>SUMIFS(Dump!R:R,Dump!B:B,C703,Dump!A:A,V703)</f>
        <v>0</v>
      </c>
      <c r="N703" s="29">
        <f t="shared" si="10"/>
        <v>0</v>
      </c>
      <c r="P703" s="30">
        <f>SUMIFS(Dump!E:E,Dump!B:B,C703,Dump!A:A,V703)</f>
        <v>0</v>
      </c>
      <c r="Q703" s="31">
        <f t="shared" si="11"/>
        <v>0</v>
      </c>
      <c r="S703" s="30">
        <f>SUMIFS(Dump!P:P,Dump!B:B,C703,Dump!A:A,V703)</f>
        <v>0</v>
      </c>
      <c r="T703" s="31">
        <f t="shared" si="12"/>
        <v>0</v>
      </c>
      <c r="U703" s="34"/>
      <c r="V703" s="47"/>
    </row>
    <row r="704">
      <c r="C704" s="46"/>
      <c r="G704" s="1" t="str">
        <f t="shared" si="16"/>
        <v/>
      </c>
      <c r="I704" s="33" t="str">
        <f t="shared" si="8"/>
        <v/>
      </c>
      <c r="K704" s="27"/>
      <c r="L704" s="28">
        <f>SUMIFS(Dump!$D:$D,Dump!$B:$B,$C704,Dump!$A:$A,$V704)</f>
        <v>0</v>
      </c>
      <c r="M704" s="28">
        <f>SUMIFS(Dump!R:R,Dump!B:B,C704,Dump!A:A,V704)</f>
        <v>0</v>
      </c>
      <c r="N704" s="29">
        <f t="shared" si="10"/>
        <v>0</v>
      </c>
      <c r="P704" s="30">
        <f>SUMIFS(Dump!E:E,Dump!B:B,C704,Dump!A:A,V704)</f>
        <v>0</v>
      </c>
      <c r="Q704" s="31">
        <f t="shared" si="11"/>
        <v>0</v>
      </c>
      <c r="S704" s="30">
        <f>SUMIFS(Dump!P:P,Dump!B:B,C704,Dump!A:A,V704)</f>
        <v>0</v>
      </c>
      <c r="T704" s="31">
        <f t="shared" si="12"/>
        <v>0</v>
      </c>
      <c r="U704" s="34"/>
      <c r="V704" s="47"/>
    </row>
    <row r="705">
      <c r="C705" s="46"/>
      <c r="G705" s="1" t="str">
        <f t="shared" si="16"/>
        <v/>
      </c>
      <c r="I705" s="33" t="str">
        <f t="shared" si="8"/>
        <v/>
      </c>
      <c r="K705" s="27"/>
      <c r="L705" s="28">
        <f>SUMIFS(Dump!$D:$D,Dump!$B:$B,$C705,Dump!$A:$A,$V705)</f>
        <v>0</v>
      </c>
      <c r="M705" s="28">
        <f>SUMIFS(Dump!R:R,Dump!B:B,C705,Dump!A:A,V705)</f>
        <v>0</v>
      </c>
      <c r="N705" s="29">
        <f t="shared" si="10"/>
        <v>0</v>
      </c>
      <c r="P705" s="30">
        <f>SUMIFS(Dump!E:E,Dump!B:B,C705,Dump!A:A,V705)</f>
        <v>0</v>
      </c>
      <c r="Q705" s="31">
        <f t="shared" si="11"/>
        <v>0</v>
      </c>
      <c r="S705" s="30">
        <f>SUMIFS(Dump!P:P,Dump!B:B,C705,Dump!A:A,V705)</f>
        <v>0</v>
      </c>
      <c r="T705" s="31">
        <f t="shared" si="12"/>
        <v>0</v>
      </c>
      <c r="U705" s="34"/>
      <c r="V705" s="47"/>
    </row>
    <row r="706">
      <c r="C706" s="46"/>
      <c r="G706" s="1" t="str">
        <f t="shared" si="16"/>
        <v/>
      </c>
      <c r="I706" s="33" t="str">
        <f t="shared" si="8"/>
        <v/>
      </c>
      <c r="K706" s="27"/>
      <c r="L706" s="28">
        <f>SUMIFS(Dump!$D:$D,Dump!$B:$B,$C706,Dump!$A:$A,$V706)</f>
        <v>0</v>
      </c>
      <c r="M706" s="28">
        <f>SUMIFS(Dump!R:R,Dump!B:B,C706,Dump!A:A,V706)</f>
        <v>0</v>
      </c>
      <c r="N706" s="29">
        <f t="shared" si="10"/>
        <v>0</v>
      </c>
      <c r="P706" s="30">
        <f>SUMIFS(Dump!E:E,Dump!B:B,C706,Dump!A:A,V706)</f>
        <v>0</v>
      </c>
      <c r="Q706" s="31">
        <f t="shared" si="11"/>
        <v>0</v>
      </c>
      <c r="S706" s="30">
        <f>SUMIFS(Dump!P:P,Dump!B:B,C706,Dump!A:A,V706)</f>
        <v>0</v>
      </c>
      <c r="T706" s="31">
        <f t="shared" si="12"/>
        <v>0</v>
      </c>
      <c r="U706" s="34"/>
      <c r="V706" s="47"/>
    </row>
    <row r="707">
      <c r="C707" s="46"/>
      <c r="G707" s="1" t="str">
        <f t="shared" si="16"/>
        <v/>
      </c>
      <c r="I707" s="33" t="str">
        <f t="shared" si="8"/>
        <v/>
      </c>
      <c r="K707" s="27"/>
      <c r="L707" s="28">
        <f>SUMIFS(Dump!$D:$D,Dump!$B:$B,$C707,Dump!$A:$A,$V707)</f>
        <v>0</v>
      </c>
      <c r="M707" s="28">
        <f>SUMIFS(Dump!R:R,Dump!B:B,C707,Dump!A:A,V707)</f>
        <v>0</v>
      </c>
      <c r="N707" s="29">
        <f t="shared" si="10"/>
        <v>0</v>
      </c>
      <c r="P707" s="30">
        <f>SUMIFS(Dump!E:E,Dump!B:B,C707,Dump!A:A,V707)</f>
        <v>0</v>
      </c>
      <c r="Q707" s="31">
        <f t="shared" si="11"/>
        <v>0</v>
      </c>
      <c r="S707" s="30">
        <f>SUMIFS(Dump!P:P,Dump!B:B,C707,Dump!A:A,V707)</f>
        <v>0</v>
      </c>
      <c r="T707" s="31">
        <f t="shared" si="12"/>
        <v>0</v>
      </c>
      <c r="U707" s="34"/>
      <c r="V707" s="47"/>
    </row>
    <row r="708">
      <c r="C708" s="46"/>
      <c r="G708" s="1" t="str">
        <f t="shared" si="16"/>
        <v/>
      </c>
      <c r="I708" s="33" t="str">
        <f t="shared" si="8"/>
        <v/>
      </c>
      <c r="K708" s="27"/>
      <c r="L708" s="28">
        <f>SUMIFS(Dump!$D:$D,Dump!$B:$B,$C708,Dump!$A:$A,$V708)</f>
        <v>0</v>
      </c>
      <c r="M708" s="28">
        <f>SUMIFS(Dump!R:R,Dump!B:B,C708,Dump!A:A,V708)</f>
        <v>0</v>
      </c>
      <c r="N708" s="29">
        <f t="shared" si="10"/>
        <v>0</v>
      </c>
      <c r="P708" s="30">
        <f>SUMIFS(Dump!E:E,Dump!B:B,C708,Dump!A:A,V708)</f>
        <v>0</v>
      </c>
      <c r="Q708" s="31">
        <f t="shared" si="11"/>
        <v>0</v>
      </c>
      <c r="S708" s="30">
        <f>SUMIFS(Dump!P:P,Dump!B:B,C708,Dump!A:A,V708)</f>
        <v>0</v>
      </c>
      <c r="T708" s="31">
        <f t="shared" si="12"/>
        <v>0</v>
      </c>
      <c r="U708" s="34"/>
      <c r="V708" s="47"/>
    </row>
    <row r="709">
      <c r="C709" s="46"/>
      <c r="G709" s="1" t="str">
        <f t="shared" si="16"/>
        <v/>
      </c>
      <c r="I709" s="33" t="str">
        <f t="shared" si="8"/>
        <v/>
      </c>
      <c r="K709" s="27"/>
      <c r="L709" s="28">
        <f>SUMIFS(Dump!$D:$D,Dump!$B:$B,$C709,Dump!$A:$A,$V709)</f>
        <v>0</v>
      </c>
      <c r="M709" s="28">
        <f>SUMIFS(Dump!R:R,Dump!B:B,C709,Dump!A:A,V709)</f>
        <v>0</v>
      </c>
      <c r="N709" s="29">
        <f t="shared" si="10"/>
        <v>0</v>
      </c>
      <c r="P709" s="30">
        <f>SUMIFS(Dump!E:E,Dump!B:B,C709,Dump!A:A,V709)</f>
        <v>0</v>
      </c>
      <c r="Q709" s="31">
        <f t="shared" si="11"/>
        <v>0</v>
      </c>
      <c r="S709" s="30">
        <f>SUMIFS(Dump!P:P,Dump!B:B,C709,Dump!A:A,V709)</f>
        <v>0</v>
      </c>
      <c r="T709" s="31">
        <f t="shared" si="12"/>
        <v>0</v>
      </c>
      <c r="U709" s="34"/>
      <c r="V709" s="47"/>
    </row>
    <row r="710">
      <c r="C710" s="46"/>
      <c r="G710" s="1" t="str">
        <f t="shared" si="16"/>
        <v/>
      </c>
      <c r="I710" s="33" t="str">
        <f t="shared" si="8"/>
        <v/>
      </c>
      <c r="K710" s="27"/>
      <c r="L710" s="28">
        <f>SUMIFS(Dump!$D:$D,Dump!$B:$B,$C710,Dump!$A:$A,$V710)</f>
        <v>0</v>
      </c>
      <c r="M710" s="28">
        <f>SUMIFS(Dump!R:R,Dump!B:B,C710,Dump!A:A,V710)</f>
        <v>0</v>
      </c>
      <c r="N710" s="29">
        <f t="shared" si="10"/>
        <v>0</v>
      </c>
      <c r="P710" s="30">
        <f>SUMIFS(Dump!E:E,Dump!B:B,C710,Dump!A:A,V710)</f>
        <v>0</v>
      </c>
      <c r="Q710" s="31">
        <f t="shared" si="11"/>
        <v>0</v>
      </c>
      <c r="S710" s="30">
        <f>SUMIFS(Dump!P:P,Dump!B:B,C710,Dump!A:A,V710)</f>
        <v>0</v>
      </c>
      <c r="T710" s="31">
        <f t="shared" si="12"/>
        <v>0</v>
      </c>
      <c r="U710" s="34"/>
      <c r="V710" s="47"/>
    </row>
    <row r="711">
      <c r="C711" s="46"/>
      <c r="G711" s="1" t="str">
        <f t="shared" si="16"/>
        <v/>
      </c>
      <c r="I711" s="33" t="str">
        <f t="shared" si="8"/>
        <v/>
      </c>
      <c r="K711" s="27"/>
      <c r="L711" s="28">
        <f>SUMIFS(Dump!$D:$D,Dump!$B:$B,$C711,Dump!$A:$A,$V711)</f>
        <v>0</v>
      </c>
      <c r="M711" s="28">
        <f>SUMIFS(Dump!R:R,Dump!B:B,C711,Dump!A:A,V711)</f>
        <v>0</v>
      </c>
      <c r="N711" s="29">
        <f t="shared" si="10"/>
        <v>0</v>
      </c>
      <c r="P711" s="30">
        <f>SUMIFS(Dump!E:E,Dump!B:B,C711,Dump!A:A,V711)</f>
        <v>0</v>
      </c>
      <c r="Q711" s="31">
        <f t="shared" si="11"/>
        <v>0</v>
      </c>
      <c r="S711" s="30">
        <f>SUMIFS(Dump!P:P,Dump!B:B,C711,Dump!A:A,V711)</f>
        <v>0</v>
      </c>
      <c r="T711" s="31">
        <f t="shared" si="12"/>
        <v>0</v>
      </c>
      <c r="U711" s="34"/>
      <c r="V711" s="47"/>
    </row>
    <row r="712">
      <c r="C712" s="46"/>
      <c r="G712" s="1" t="str">
        <f t="shared" si="16"/>
        <v/>
      </c>
      <c r="I712" s="33" t="str">
        <f t="shared" si="8"/>
        <v/>
      </c>
      <c r="K712" s="27"/>
      <c r="L712" s="28">
        <f>SUMIFS(Dump!$D:$D,Dump!$B:$B,$C712,Dump!$A:$A,$V712)</f>
        <v>0</v>
      </c>
      <c r="M712" s="28">
        <f>SUMIFS(Dump!R:R,Dump!B:B,C712,Dump!A:A,V712)</f>
        <v>0</v>
      </c>
      <c r="N712" s="29">
        <f t="shared" si="10"/>
        <v>0</v>
      </c>
      <c r="P712" s="30">
        <f>SUMIFS(Dump!E:E,Dump!B:B,C712,Dump!A:A,V712)</f>
        <v>0</v>
      </c>
      <c r="Q712" s="31">
        <f t="shared" si="11"/>
        <v>0</v>
      </c>
      <c r="S712" s="30">
        <f>SUMIFS(Dump!P:P,Dump!B:B,C712,Dump!A:A,V712)</f>
        <v>0</v>
      </c>
      <c r="T712" s="31">
        <f t="shared" si="12"/>
        <v>0</v>
      </c>
      <c r="U712" s="34"/>
      <c r="V712" s="47"/>
    </row>
    <row r="713">
      <c r="C713" s="46"/>
      <c r="G713" s="1" t="str">
        <f t="shared" si="16"/>
        <v/>
      </c>
      <c r="I713" s="33" t="str">
        <f t="shared" si="8"/>
        <v/>
      </c>
      <c r="K713" s="27"/>
      <c r="L713" s="28">
        <f>SUMIFS(Dump!$D:$D,Dump!$B:$B,$C713,Dump!$A:$A,$V713)</f>
        <v>0</v>
      </c>
      <c r="M713" s="28">
        <f>SUMIFS(Dump!R:R,Dump!B:B,C713,Dump!A:A,V713)</f>
        <v>0</v>
      </c>
      <c r="N713" s="29">
        <f t="shared" si="10"/>
        <v>0</v>
      </c>
      <c r="P713" s="30">
        <f>SUMIFS(Dump!E:E,Dump!B:B,C713,Dump!A:A,V713)</f>
        <v>0</v>
      </c>
      <c r="Q713" s="31">
        <f t="shared" si="11"/>
        <v>0</v>
      </c>
      <c r="S713" s="30">
        <f>SUMIFS(Dump!P:P,Dump!B:B,C713,Dump!A:A,V713)</f>
        <v>0</v>
      </c>
      <c r="T713" s="31">
        <f t="shared" si="12"/>
        <v>0</v>
      </c>
      <c r="U713" s="34"/>
      <c r="V713" s="47"/>
    </row>
    <row r="714">
      <c r="C714" s="46"/>
      <c r="G714" s="1" t="str">
        <f t="shared" si="16"/>
        <v/>
      </c>
      <c r="I714" s="33" t="str">
        <f t="shared" si="8"/>
        <v/>
      </c>
      <c r="K714" s="27"/>
      <c r="L714" s="28">
        <f>SUMIFS(Dump!$D:$D,Dump!$B:$B,$C714,Dump!$A:$A,$V714)</f>
        <v>0</v>
      </c>
      <c r="M714" s="28">
        <f>SUMIFS(Dump!R:R,Dump!B:B,C714,Dump!A:A,V714)</f>
        <v>0</v>
      </c>
      <c r="N714" s="29">
        <f t="shared" si="10"/>
        <v>0</v>
      </c>
      <c r="P714" s="30">
        <f>SUMIFS(Dump!E:E,Dump!B:B,C714,Dump!A:A,V714)</f>
        <v>0</v>
      </c>
      <c r="Q714" s="31">
        <f t="shared" si="11"/>
        <v>0</v>
      </c>
      <c r="S714" s="30">
        <f>SUMIFS(Dump!P:P,Dump!B:B,C714,Dump!A:A,V714)</f>
        <v>0</v>
      </c>
      <c r="T714" s="31">
        <f t="shared" si="12"/>
        <v>0</v>
      </c>
      <c r="U714" s="34"/>
      <c r="V714" s="47"/>
    </row>
    <row r="715">
      <c r="C715" s="46"/>
      <c r="G715" s="1" t="str">
        <f t="shared" si="16"/>
        <v/>
      </c>
      <c r="I715" s="33" t="str">
        <f t="shared" si="8"/>
        <v/>
      </c>
      <c r="K715" s="27"/>
      <c r="L715" s="28">
        <f>SUMIFS(Dump!$D:$D,Dump!$B:$B,$C715,Dump!$A:$A,$V715)</f>
        <v>0</v>
      </c>
      <c r="M715" s="28">
        <f>SUMIFS(Dump!R:R,Dump!B:B,C715,Dump!A:A,V715)</f>
        <v>0</v>
      </c>
      <c r="N715" s="29">
        <f t="shared" si="10"/>
        <v>0</v>
      </c>
      <c r="P715" s="30">
        <f>SUMIFS(Dump!E:E,Dump!B:B,C715,Dump!A:A,V715)</f>
        <v>0</v>
      </c>
      <c r="Q715" s="31">
        <f t="shared" si="11"/>
        <v>0</v>
      </c>
      <c r="S715" s="30">
        <f>SUMIFS(Dump!P:P,Dump!B:B,C715,Dump!A:A,V715)</f>
        <v>0</v>
      </c>
      <c r="T715" s="31">
        <f t="shared" si="12"/>
        <v>0</v>
      </c>
      <c r="U715" s="34"/>
      <c r="V715" s="47"/>
    </row>
    <row r="716">
      <c r="C716" s="46"/>
      <c r="G716" s="1" t="str">
        <f t="shared" si="16"/>
        <v/>
      </c>
      <c r="I716" s="33" t="str">
        <f t="shared" si="8"/>
        <v/>
      </c>
      <c r="K716" s="27"/>
      <c r="L716" s="28">
        <f>SUMIFS(Dump!$D:$D,Dump!$B:$B,$C716,Dump!$A:$A,$V716)</f>
        <v>0</v>
      </c>
      <c r="M716" s="28">
        <f>SUMIFS(Dump!R:R,Dump!B:B,C716,Dump!A:A,V716)</f>
        <v>0</v>
      </c>
      <c r="N716" s="29">
        <f t="shared" si="10"/>
        <v>0</v>
      </c>
      <c r="P716" s="30">
        <f>SUMIFS(Dump!E:E,Dump!B:B,C716,Dump!A:A,V716)</f>
        <v>0</v>
      </c>
      <c r="Q716" s="31">
        <f t="shared" si="11"/>
        <v>0</v>
      </c>
      <c r="S716" s="30">
        <f>SUMIFS(Dump!P:P,Dump!B:B,C716,Dump!A:A,V716)</f>
        <v>0</v>
      </c>
      <c r="T716" s="31">
        <f t="shared" si="12"/>
        <v>0</v>
      </c>
      <c r="U716" s="34"/>
      <c r="V716" s="47"/>
    </row>
    <row r="717">
      <c r="C717" s="46"/>
      <c r="G717" s="1" t="str">
        <f t="shared" si="16"/>
        <v/>
      </c>
      <c r="I717" s="33" t="str">
        <f t="shared" si="8"/>
        <v/>
      </c>
      <c r="K717" s="27"/>
      <c r="L717" s="28">
        <f>SUMIFS(Dump!$D:$D,Dump!$B:$B,$C717,Dump!$A:$A,$V717)</f>
        <v>0</v>
      </c>
      <c r="M717" s="28">
        <f>SUMIFS(Dump!R:R,Dump!B:B,C717,Dump!A:A,V717)</f>
        <v>0</v>
      </c>
      <c r="N717" s="29">
        <f t="shared" si="10"/>
        <v>0</v>
      </c>
      <c r="P717" s="30">
        <f>SUMIFS(Dump!E:E,Dump!B:B,C717,Dump!A:A,V717)</f>
        <v>0</v>
      </c>
      <c r="Q717" s="31">
        <f t="shared" si="11"/>
        <v>0</v>
      </c>
      <c r="S717" s="30">
        <f>SUMIFS(Dump!P:P,Dump!B:B,C717,Dump!A:A,V717)</f>
        <v>0</v>
      </c>
      <c r="T717" s="31">
        <f t="shared" si="12"/>
        <v>0</v>
      </c>
      <c r="U717" s="34"/>
      <c r="V717" s="47"/>
    </row>
    <row r="718">
      <c r="C718" s="46"/>
      <c r="G718" s="1" t="str">
        <f t="shared" si="16"/>
        <v/>
      </c>
      <c r="I718" s="33" t="str">
        <f t="shared" si="8"/>
        <v/>
      </c>
      <c r="K718" s="27"/>
      <c r="L718" s="28">
        <f>SUMIFS(Dump!$D:$D,Dump!$B:$B,$C718,Dump!$A:$A,$V718)</f>
        <v>0</v>
      </c>
      <c r="M718" s="28">
        <f>SUMIFS(Dump!R:R,Dump!B:B,C718,Dump!A:A,V718)</f>
        <v>0</v>
      </c>
      <c r="N718" s="29">
        <f t="shared" si="10"/>
        <v>0</v>
      </c>
      <c r="P718" s="30">
        <f>SUMIFS(Dump!E:E,Dump!B:B,C718,Dump!A:A,V718)</f>
        <v>0</v>
      </c>
      <c r="Q718" s="31">
        <f t="shared" si="11"/>
        <v>0</v>
      </c>
      <c r="S718" s="30">
        <f>SUMIFS(Dump!P:P,Dump!B:B,C718,Dump!A:A,V718)</f>
        <v>0</v>
      </c>
      <c r="T718" s="31">
        <f t="shared" si="12"/>
        <v>0</v>
      </c>
      <c r="U718" s="34"/>
      <c r="V718" s="47"/>
    </row>
    <row r="719">
      <c r="C719" s="46"/>
      <c r="G719" s="1" t="str">
        <f t="shared" si="16"/>
        <v/>
      </c>
      <c r="I719" s="33" t="str">
        <f t="shared" si="8"/>
        <v/>
      </c>
      <c r="K719" s="27"/>
      <c r="L719" s="28">
        <f>SUMIFS(Dump!$D:$D,Dump!$B:$B,$C719,Dump!$A:$A,$V719)</f>
        <v>0</v>
      </c>
      <c r="M719" s="28">
        <f>SUMIFS(Dump!R:R,Dump!B:B,C719,Dump!A:A,V719)</f>
        <v>0</v>
      </c>
      <c r="N719" s="29">
        <f t="shared" si="10"/>
        <v>0</v>
      </c>
      <c r="P719" s="30">
        <f>SUMIFS(Dump!E:E,Dump!B:B,C719,Dump!A:A,V719)</f>
        <v>0</v>
      </c>
      <c r="Q719" s="31">
        <f t="shared" si="11"/>
        <v>0</v>
      </c>
      <c r="S719" s="30">
        <f>SUMIFS(Dump!P:P,Dump!B:B,C719,Dump!A:A,V719)</f>
        <v>0</v>
      </c>
      <c r="T719" s="31">
        <f t="shared" si="12"/>
        <v>0</v>
      </c>
      <c r="U719" s="34"/>
      <c r="V719" s="47"/>
    </row>
    <row r="720">
      <c r="C720" s="46"/>
      <c r="G720" s="1" t="str">
        <f t="shared" si="16"/>
        <v/>
      </c>
      <c r="I720" s="33" t="str">
        <f t="shared" si="8"/>
        <v/>
      </c>
      <c r="K720" s="27"/>
      <c r="L720" s="28">
        <f>SUMIFS(Dump!$D:$D,Dump!$B:$B,$C720,Dump!$A:$A,$V720)</f>
        <v>0</v>
      </c>
      <c r="M720" s="28">
        <f>SUMIFS(Dump!R:R,Dump!B:B,C720,Dump!A:A,V720)</f>
        <v>0</v>
      </c>
      <c r="N720" s="29">
        <f t="shared" si="10"/>
        <v>0</v>
      </c>
      <c r="P720" s="30">
        <f>SUMIFS(Dump!E:E,Dump!B:B,C720,Dump!A:A,V720)</f>
        <v>0</v>
      </c>
      <c r="Q720" s="31">
        <f t="shared" si="11"/>
        <v>0</v>
      </c>
      <c r="S720" s="30">
        <f>SUMIFS(Dump!P:P,Dump!B:B,C720,Dump!A:A,V720)</f>
        <v>0</v>
      </c>
      <c r="T720" s="31">
        <f t="shared" si="12"/>
        <v>0</v>
      </c>
      <c r="U720" s="34"/>
      <c r="V720" s="47"/>
    </row>
    <row r="721">
      <c r="C721" s="46"/>
      <c r="G721" s="1" t="str">
        <f t="shared" si="16"/>
        <v/>
      </c>
      <c r="I721" s="33" t="str">
        <f t="shared" si="8"/>
        <v/>
      </c>
      <c r="K721" s="27"/>
      <c r="L721" s="28">
        <f>SUMIFS(Dump!$D:$D,Dump!$B:$B,$C721,Dump!$A:$A,$V721)</f>
        <v>0</v>
      </c>
      <c r="M721" s="28">
        <f>SUMIFS(Dump!R:R,Dump!B:B,C721,Dump!A:A,V721)</f>
        <v>0</v>
      </c>
      <c r="N721" s="29">
        <f t="shared" si="10"/>
        <v>0</v>
      </c>
      <c r="P721" s="30">
        <f>SUMIFS(Dump!E:E,Dump!B:B,C721,Dump!A:A,V721)</f>
        <v>0</v>
      </c>
      <c r="Q721" s="31">
        <f t="shared" si="11"/>
        <v>0</v>
      </c>
      <c r="S721" s="30">
        <f>SUMIFS(Dump!P:P,Dump!B:B,C721,Dump!A:A,V721)</f>
        <v>0</v>
      </c>
      <c r="T721" s="31">
        <f t="shared" si="12"/>
        <v>0</v>
      </c>
      <c r="U721" s="34"/>
      <c r="V721" s="47"/>
    </row>
    <row r="722">
      <c r="C722" s="46"/>
      <c r="G722" s="1" t="str">
        <f t="shared" si="16"/>
        <v/>
      </c>
      <c r="I722" s="33" t="str">
        <f t="shared" si="8"/>
        <v/>
      </c>
      <c r="K722" s="27"/>
      <c r="L722" s="28">
        <f>SUMIFS(Dump!$D:$D,Dump!$B:$B,$C722,Dump!$A:$A,$V722)</f>
        <v>0</v>
      </c>
      <c r="M722" s="28">
        <f>SUMIFS(Dump!R:R,Dump!B:B,C722,Dump!A:A,V722)</f>
        <v>0</v>
      </c>
      <c r="N722" s="29">
        <f t="shared" si="10"/>
        <v>0</v>
      </c>
      <c r="P722" s="30">
        <f>SUMIFS(Dump!E:E,Dump!B:B,C722,Dump!A:A,V722)</f>
        <v>0</v>
      </c>
      <c r="Q722" s="31">
        <f t="shared" si="11"/>
        <v>0</v>
      </c>
      <c r="S722" s="30">
        <f>SUMIFS(Dump!P:P,Dump!B:B,C722,Dump!A:A,V722)</f>
        <v>0</v>
      </c>
      <c r="T722" s="31">
        <f t="shared" si="12"/>
        <v>0</v>
      </c>
      <c r="U722" s="34"/>
      <c r="V722" s="47"/>
    </row>
    <row r="723">
      <c r="C723" s="46"/>
      <c r="G723" s="1" t="str">
        <f t="shared" si="16"/>
        <v/>
      </c>
      <c r="I723" s="33" t="str">
        <f t="shared" si="8"/>
        <v/>
      </c>
      <c r="K723" s="27"/>
      <c r="L723" s="28">
        <f>SUMIFS(Dump!$D:$D,Dump!$B:$B,$C723,Dump!$A:$A,$V723)</f>
        <v>0</v>
      </c>
      <c r="M723" s="28">
        <f>SUMIFS(Dump!R:R,Dump!B:B,C723,Dump!A:A,V723)</f>
        <v>0</v>
      </c>
      <c r="N723" s="29">
        <f t="shared" si="10"/>
        <v>0</v>
      </c>
      <c r="P723" s="30">
        <f>SUMIFS(Dump!E:E,Dump!B:B,C723,Dump!A:A,V723)</f>
        <v>0</v>
      </c>
      <c r="Q723" s="31">
        <f t="shared" si="11"/>
        <v>0</v>
      </c>
      <c r="S723" s="30">
        <f>SUMIFS(Dump!P:P,Dump!B:B,C723,Dump!A:A,V723)</f>
        <v>0</v>
      </c>
      <c r="T723" s="31">
        <f t="shared" si="12"/>
        <v>0</v>
      </c>
      <c r="U723" s="34"/>
      <c r="V723" s="47"/>
    </row>
    <row r="724">
      <c r="C724" s="46"/>
      <c r="G724" s="1" t="str">
        <f t="shared" si="16"/>
        <v/>
      </c>
      <c r="I724" s="33" t="str">
        <f t="shared" si="8"/>
        <v/>
      </c>
      <c r="K724" s="27"/>
      <c r="L724" s="28">
        <f>SUMIFS(Dump!$D:$D,Dump!$B:$B,$C724,Dump!$A:$A,$V724)</f>
        <v>0</v>
      </c>
      <c r="M724" s="28">
        <f>SUMIFS(Dump!R:R,Dump!B:B,C724,Dump!A:A,V724)</f>
        <v>0</v>
      </c>
      <c r="N724" s="29">
        <f t="shared" si="10"/>
        <v>0</v>
      </c>
      <c r="P724" s="30">
        <f>SUMIFS(Dump!E:E,Dump!B:B,C724,Dump!A:A,V724)</f>
        <v>0</v>
      </c>
      <c r="Q724" s="31">
        <f t="shared" si="11"/>
        <v>0</v>
      </c>
      <c r="S724" s="30">
        <f>SUMIFS(Dump!P:P,Dump!B:B,C724,Dump!A:A,V724)</f>
        <v>0</v>
      </c>
      <c r="T724" s="31">
        <f t="shared" si="12"/>
        <v>0</v>
      </c>
      <c r="U724" s="34"/>
      <c r="V724" s="47"/>
    </row>
    <row r="725">
      <c r="C725" s="46"/>
      <c r="G725" s="1" t="str">
        <f t="shared" si="16"/>
        <v/>
      </c>
      <c r="I725" s="33" t="str">
        <f t="shared" si="8"/>
        <v/>
      </c>
      <c r="K725" s="27"/>
      <c r="L725" s="28">
        <f>SUMIFS(Dump!$D:$D,Dump!$B:$B,$C725,Dump!$A:$A,$V725)</f>
        <v>0</v>
      </c>
      <c r="M725" s="28">
        <f>SUMIFS(Dump!R:R,Dump!B:B,C725,Dump!A:A,V725)</f>
        <v>0</v>
      </c>
      <c r="N725" s="29">
        <f t="shared" si="10"/>
        <v>0</v>
      </c>
      <c r="P725" s="30">
        <f>SUMIFS(Dump!E:E,Dump!B:B,C725,Dump!A:A,V725)</f>
        <v>0</v>
      </c>
      <c r="Q725" s="31">
        <f t="shared" si="11"/>
        <v>0</v>
      </c>
      <c r="S725" s="30">
        <f>SUMIFS(Dump!P:P,Dump!B:B,C725,Dump!A:A,V725)</f>
        <v>0</v>
      </c>
      <c r="T725" s="31">
        <f t="shared" si="12"/>
        <v>0</v>
      </c>
      <c r="U725" s="34"/>
      <c r="V725" s="47"/>
    </row>
    <row r="726">
      <c r="C726" s="46"/>
      <c r="G726" s="1" t="str">
        <f t="shared" si="16"/>
        <v/>
      </c>
      <c r="I726" s="33" t="str">
        <f t="shared" si="8"/>
        <v/>
      </c>
      <c r="K726" s="27"/>
      <c r="L726" s="28">
        <f>SUMIFS(Dump!$D:$D,Dump!$B:$B,$C726,Dump!$A:$A,$V726)</f>
        <v>0</v>
      </c>
      <c r="M726" s="28">
        <f>SUMIFS(Dump!R:R,Dump!B:B,C726,Dump!A:A,V726)</f>
        <v>0</v>
      </c>
      <c r="N726" s="29">
        <f t="shared" si="10"/>
        <v>0</v>
      </c>
      <c r="P726" s="30">
        <f>SUMIFS(Dump!E:E,Dump!B:B,C726,Dump!A:A,V726)</f>
        <v>0</v>
      </c>
      <c r="Q726" s="31">
        <f t="shared" si="11"/>
        <v>0</v>
      </c>
      <c r="S726" s="30">
        <f>SUMIFS(Dump!P:P,Dump!B:B,C726,Dump!A:A,V726)</f>
        <v>0</v>
      </c>
      <c r="T726" s="31">
        <f t="shared" si="12"/>
        <v>0</v>
      </c>
      <c r="U726" s="34"/>
      <c r="V726" s="47"/>
    </row>
    <row r="727">
      <c r="C727" s="46"/>
      <c r="G727" s="1" t="str">
        <f t="shared" si="16"/>
        <v/>
      </c>
      <c r="I727" s="33" t="str">
        <f t="shared" si="8"/>
        <v/>
      </c>
      <c r="K727" s="27"/>
      <c r="L727" s="28">
        <f>SUMIFS(Dump!$D:$D,Dump!$B:$B,$C727,Dump!$A:$A,$V727)</f>
        <v>0</v>
      </c>
      <c r="M727" s="28">
        <f>SUMIFS(Dump!R:R,Dump!B:B,C727,Dump!A:A,V727)</f>
        <v>0</v>
      </c>
      <c r="N727" s="29">
        <f t="shared" si="10"/>
        <v>0</v>
      </c>
      <c r="P727" s="30">
        <f>SUMIFS(Dump!E:E,Dump!B:B,C727,Dump!A:A,V727)</f>
        <v>0</v>
      </c>
      <c r="Q727" s="31">
        <f t="shared" si="11"/>
        <v>0</v>
      </c>
      <c r="S727" s="30">
        <f>SUMIFS(Dump!P:P,Dump!B:B,C727,Dump!A:A,V727)</f>
        <v>0</v>
      </c>
      <c r="T727" s="31">
        <f t="shared" si="12"/>
        <v>0</v>
      </c>
      <c r="U727" s="34"/>
      <c r="V727" s="47"/>
    </row>
    <row r="728">
      <c r="C728" s="46"/>
      <c r="G728" s="1" t="str">
        <f t="shared" si="16"/>
        <v/>
      </c>
      <c r="I728" s="33" t="str">
        <f t="shared" si="8"/>
        <v/>
      </c>
      <c r="K728" s="27"/>
      <c r="L728" s="28">
        <f>SUMIFS(Dump!$D:$D,Dump!$B:$B,$C728,Dump!$A:$A,$V728)</f>
        <v>0</v>
      </c>
      <c r="M728" s="28">
        <f>SUMIFS(Dump!R:R,Dump!B:B,C728,Dump!A:A,V728)</f>
        <v>0</v>
      </c>
      <c r="N728" s="29">
        <f t="shared" si="10"/>
        <v>0</v>
      </c>
      <c r="P728" s="30">
        <f>SUMIFS(Dump!E:E,Dump!B:B,C728,Dump!A:A,V728)</f>
        <v>0</v>
      </c>
      <c r="Q728" s="31">
        <f t="shared" si="11"/>
        <v>0</v>
      </c>
      <c r="S728" s="30">
        <f>SUMIFS(Dump!P:P,Dump!B:B,C728,Dump!A:A,V728)</f>
        <v>0</v>
      </c>
      <c r="T728" s="31">
        <f t="shared" si="12"/>
        <v>0</v>
      </c>
      <c r="U728" s="34"/>
      <c r="V728" s="47"/>
    </row>
    <row r="729">
      <c r="C729" s="46"/>
      <c r="G729" s="1" t="str">
        <f t="shared" si="16"/>
        <v/>
      </c>
      <c r="I729" s="33" t="str">
        <f t="shared" si="8"/>
        <v/>
      </c>
      <c r="K729" s="27"/>
      <c r="L729" s="28">
        <f>SUMIFS(Dump!$D:$D,Dump!$B:$B,$C729,Dump!$A:$A,$V729)</f>
        <v>0</v>
      </c>
      <c r="M729" s="28">
        <f>SUMIFS(Dump!R:R,Dump!B:B,C729,Dump!A:A,V729)</f>
        <v>0</v>
      </c>
      <c r="N729" s="29">
        <f t="shared" si="10"/>
        <v>0</v>
      </c>
      <c r="P729" s="30">
        <f>SUMIFS(Dump!E:E,Dump!B:B,C729,Dump!A:A,V729)</f>
        <v>0</v>
      </c>
      <c r="Q729" s="31">
        <f t="shared" si="11"/>
        <v>0</v>
      </c>
      <c r="S729" s="30">
        <f>SUMIFS(Dump!P:P,Dump!B:B,C729,Dump!A:A,V729)</f>
        <v>0</v>
      </c>
      <c r="T729" s="31">
        <f t="shared" si="12"/>
        <v>0</v>
      </c>
      <c r="U729" s="34"/>
      <c r="V729" s="47"/>
    </row>
    <row r="730">
      <c r="C730" s="46"/>
      <c r="G730" s="1" t="str">
        <f t="shared" si="16"/>
        <v/>
      </c>
      <c r="I730" s="33" t="str">
        <f t="shared" si="8"/>
        <v/>
      </c>
      <c r="K730" s="27"/>
      <c r="L730" s="28">
        <f>SUMIFS(Dump!$D:$D,Dump!$B:$B,$C730,Dump!$A:$A,$V730)</f>
        <v>0</v>
      </c>
      <c r="M730" s="28">
        <f>SUMIFS(Dump!R:R,Dump!B:B,C730,Dump!A:A,V730)</f>
        <v>0</v>
      </c>
      <c r="N730" s="29">
        <f t="shared" si="10"/>
        <v>0</v>
      </c>
      <c r="P730" s="30">
        <f>SUMIFS(Dump!E:E,Dump!B:B,C730,Dump!A:A,V730)</f>
        <v>0</v>
      </c>
      <c r="Q730" s="31">
        <f t="shared" si="11"/>
        <v>0</v>
      </c>
      <c r="S730" s="30">
        <f>SUMIFS(Dump!P:P,Dump!B:B,C730,Dump!A:A,V730)</f>
        <v>0</v>
      </c>
      <c r="T730" s="31">
        <f t="shared" si="12"/>
        <v>0</v>
      </c>
      <c r="U730" s="34"/>
      <c r="V730" s="47"/>
    </row>
    <row r="731">
      <c r="C731" s="46"/>
      <c r="G731" s="1" t="str">
        <f t="shared" si="16"/>
        <v/>
      </c>
      <c r="I731" s="33" t="str">
        <f t="shared" si="8"/>
        <v/>
      </c>
      <c r="K731" s="27"/>
      <c r="L731" s="28">
        <f>SUMIFS(Dump!$D:$D,Dump!$B:$B,$C731,Dump!$A:$A,$V731)</f>
        <v>0</v>
      </c>
      <c r="M731" s="28">
        <f>SUMIFS(Dump!R:R,Dump!B:B,C731,Dump!A:A,V731)</f>
        <v>0</v>
      </c>
      <c r="N731" s="29">
        <f t="shared" si="10"/>
        <v>0</v>
      </c>
      <c r="P731" s="30">
        <f>SUMIFS(Dump!E:E,Dump!B:B,C731,Dump!A:A,V731)</f>
        <v>0</v>
      </c>
      <c r="Q731" s="31">
        <f t="shared" si="11"/>
        <v>0</v>
      </c>
      <c r="S731" s="30">
        <f>SUMIFS(Dump!P:P,Dump!B:B,C731,Dump!A:A,V731)</f>
        <v>0</v>
      </c>
      <c r="T731" s="31">
        <f t="shared" si="12"/>
        <v>0</v>
      </c>
      <c r="U731" s="34"/>
      <c r="V731" s="47"/>
    </row>
    <row r="732">
      <c r="C732" s="46"/>
      <c r="G732" s="1" t="str">
        <f t="shared" si="16"/>
        <v/>
      </c>
      <c r="I732" s="33" t="str">
        <f t="shared" si="8"/>
        <v/>
      </c>
      <c r="K732" s="27"/>
      <c r="L732" s="28">
        <f>SUMIFS(Dump!$D:$D,Dump!$B:$B,$C732,Dump!$A:$A,$V732)</f>
        <v>0</v>
      </c>
      <c r="M732" s="28">
        <f>SUMIFS(Dump!R:R,Dump!B:B,C732,Dump!A:A,V732)</f>
        <v>0</v>
      </c>
      <c r="N732" s="29">
        <f t="shared" si="10"/>
        <v>0</v>
      </c>
      <c r="P732" s="30">
        <f>SUMIFS(Dump!E:E,Dump!B:B,C732,Dump!A:A,V732)</f>
        <v>0</v>
      </c>
      <c r="Q732" s="31">
        <f t="shared" si="11"/>
        <v>0</v>
      </c>
      <c r="S732" s="30">
        <f>SUMIFS(Dump!P:P,Dump!B:B,C732,Dump!A:A,V732)</f>
        <v>0</v>
      </c>
      <c r="T732" s="31">
        <f t="shared" si="12"/>
        <v>0</v>
      </c>
      <c r="U732" s="34"/>
      <c r="V732" s="47"/>
    </row>
    <row r="733">
      <c r="C733" s="46"/>
      <c r="G733" s="1" t="str">
        <f t="shared" si="16"/>
        <v/>
      </c>
      <c r="I733" s="33" t="str">
        <f t="shared" si="8"/>
        <v/>
      </c>
      <c r="K733" s="27"/>
      <c r="L733" s="28">
        <f>SUMIFS(Dump!$D:$D,Dump!$B:$B,$C733,Dump!$A:$A,$V733)</f>
        <v>0</v>
      </c>
      <c r="M733" s="28">
        <f>SUMIFS(Dump!R:R,Dump!B:B,C733,Dump!A:A,V733)</f>
        <v>0</v>
      </c>
      <c r="N733" s="29">
        <f t="shared" si="10"/>
        <v>0</v>
      </c>
      <c r="P733" s="30">
        <f>SUMIFS(Dump!E:E,Dump!B:B,C733,Dump!A:A,V733)</f>
        <v>0</v>
      </c>
      <c r="Q733" s="31">
        <f t="shared" si="11"/>
        <v>0</v>
      </c>
      <c r="S733" s="30">
        <f>SUMIFS(Dump!P:P,Dump!B:B,C733,Dump!A:A,V733)</f>
        <v>0</v>
      </c>
      <c r="T733" s="31">
        <f t="shared" si="12"/>
        <v>0</v>
      </c>
      <c r="U733" s="34"/>
      <c r="V733" s="47"/>
    </row>
    <row r="734">
      <c r="C734" s="46"/>
      <c r="G734" s="1" t="str">
        <f t="shared" si="16"/>
        <v/>
      </c>
      <c r="I734" s="33" t="str">
        <f t="shared" si="8"/>
        <v/>
      </c>
      <c r="K734" s="27"/>
      <c r="L734" s="28">
        <f>SUMIFS(Dump!$D:$D,Dump!$B:$B,$C734,Dump!$A:$A,$V734)</f>
        <v>0</v>
      </c>
      <c r="M734" s="28">
        <f>SUMIFS(Dump!R:R,Dump!B:B,C734,Dump!A:A,V734)</f>
        <v>0</v>
      </c>
      <c r="N734" s="29">
        <f t="shared" si="10"/>
        <v>0</v>
      </c>
      <c r="P734" s="30">
        <f>SUMIFS(Dump!E:E,Dump!B:B,C734,Dump!A:A,V734)</f>
        <v>0</v>
      </c>
      <c r="Q734" s="31">
        <f t="shared" si="11"/>
        <v>0</v>
      </c>
      <c r="S734" s="30">
        <f>SUMIFS(Dump!P:P,Dump!B:B,C734,Dump!A:A,V734)</f>
        <v>0</v>
      </c>
      <c r="T734" s="31">
        <f t="shared" si="12"/>
        <v>0</v>
      </c>
      <c r="U734" s="34"/>
      <c r="V734" s="47"/>
    </row>
    <row r="735">
      <c r="C735" s="46"/>
      <c r="G735" s="1" t="str">
        <f t="shared" si="16"/>
        <v/>
      </c>
      <c r="I735" s="33" t="str">
        <f t="shared" si="8"/>
        <v/>
      </c>
      <c r="K735" s="27"/>
      <c r="L735" s="28">
        <f>SUMIFS(Dump!$D:$D,Dump!$B:$B,$C735,Dump!$A:$A,$V735)</f>
        <v>0</v>
      </c>
      <c r="M735" s="28">
        <f>SUMIFS(Dump!R:R,Dump!B:B,C735,Dump!A:A,V735)</f>
        <v>0</v>
      </c>
      <c r="N735" s="29">
        <f t="shared" si="10"/>
        <v>0</v>
      </c>
      <c r="P735" s="30">
        <f>SUMIFS(Dump!E:E,Dump!B:B,C735,Dump!A:A,V735)</f>
        <v>0</v>
      </c>
      <c r="Q735" s="31">
        <f t="shared" si="11"/>
        <v>0</v>
      </c>
      <c r="S735" s="30">
        <f>SUMIFS(Dump!P:P,Dump!B:B,C735,Dump!A:A,V735)</f>
        <v>0</v>
      </c>
      <c r="T735" s="31">
        <f t="shared" si="12"/>
        <v>0</v>
      </c>
      <c r="U735" s="34"/>
      <c r="V735" s="47"/>
    </row>
    <row r="736">
      <c r="C736" s="46"/>
      <c r="G736" s="1" t="str">
        <f t="shared" si="16"/>
        <v/>
      </c>
      <c r="I736" s="33" t="str">
        <f t="shared" si="8"/>
        <v/>
      </c>
      <c r="K736" s="27"/>
      <c r="L736" s="28">
        <f>SUMIFS(Dump!$D:$D,Dump!$B:$B,$C736,Dump!$A:$A,$V736)</f>
        <v>0</v>
      </c>
      <c r="M736" s="28">
        <f>SUMIFS(Dump!R:R,Dump!B:B,C736,Dump!A:A,V736)</f>
        <v>0</v>
      </c>
      <c r="N736" s="29">
        <f t="shared" si="10"/>
        <v>0</v>
      </c>
      <c r="P736" s="30">
        <f>SUMIFS(Dump!E:E,Dump!B:B,C736,Dump!A:A,V736)</f>
        <v>0</v>
      </c>
      <c r="Q736" s="31">
        <f t="shared" si="11"/>
        <v>0</v>
      </c>
      <c r="S736" s="30">
        <f>SUMIFS(Dump!P:P,Dump!B:B,C736,Dump!A:A,V736)</f>
        <v>0</v>
      </c>
      <c r="T736" s="31">
        <f t="shared" si="12"/>
        <v>0</v>
      </c>
      <c r="U736" s="34"/>
      <c r="V736" s="47"/>
    </row>
    <row r="737">
      <c r="C737" s="46"/>
      <c r="G737" s="1" t="str">
        <f t="shared" si="16"/>
        <v/>
      </c>
      <c r="I737" s="33" t="str">
        <f t="shared" si="8"/>
        <v/>
      </c>
      <c r="K737" s="27"/>
      <c r="L737" s="28">
        <f>SUMIFS(Dump!$D:$D,Dump!$B:$B,$C737,Dump!$A:$A,$V737)</f>
        <v>0</v>
      </c>
      <c r="M737" s="28">
        <f>SUMIFS(Dump!R:R,Dump!B:B,C737,Dump!A:A,V737)</f>
        <v>0</v>
      </c>
      <c r="N737" s="29">
        <f t="shared" si="10"/>
        <v>0</v>
      </c>
      <c r="P737" s="30">
        <f>SUMIFS(Dump!E:E,Dump!B:B,C737,Dump!A:A,V737)</f>
        <v>0</v>
      </c>
      <c r="Q737" s="31">
        <f t="shared" si="11"/>
        <v>0</v>
      </c>
      <c r="S737" s="30">
        <f>SUMIFS(Dump!P:P,Dump!B:B,C737,Dump!A:A,V737)</f>
        <v>0</v>
      </c>
      <c r="T737" s="31">
        <f t="shared" si="12"/>
        <v>0</v>
      </c>
      <c r="U737" s="34"/>
      <c r="V737" s="47"/>
    </row>
    <row r="738">
      <c r="C738" s="46"/>
      <c r="G738" s="1" t="str">
        <f t="shared" si="16"/>
        <v/>
      </c>
      <c r="I738" s="33" t="str">
        <f t="shared" si="8"/>
        <v/>
      </c>
      <c r="K738" s="27"/>
      <c r="L738" s="28">
        <f>SUMIFS(Dump!$D:$D,Dump!$B:$B,$C738,Dump!$A:$A,$V738)</f>
        <v>0</v>
      </c>
      <c r="M738" s="28">
        <f>SUMIFS(Dump!R:R,Dump!B:B,C738,Dump!A:A,V738)</f>
        <v>0</v>
      </c>
      <c r="N738" s="29">
        <f t="shared" si="10"/>
        <v>0</v>
      </c>
      <c r="P738" s="30">
        <f>SUMIFS(Dump!E:E,Dump!B:B,C738,Dump!A:A,V738)</f>
        <v>0</v>
      </c>
      <c r="Q738" s="31">
        <f t="shared" si="11"/>
        <v>0</v>
      </c>
      <c r="S738" s="30">
        <f>SUMIFS(Dump!P:P,Dump!B:B,C738,Dump!A:A,V738)</f>
        <v>0</v>
      </c>
      <c r="T738" s="31">
        <f t="shared" si="12"/>
        <v>0</v>
      </c>
      <c r="U738" s="34"/>
      <c r="V738" s="47"/>
    </row>
    <row r="739">
      <c r="C739" s="46"/>
      <c r="G739" s="1" t="str">
        <f t="shared" si="16"/>
        <v/>
      </c>
      <c r="I739" s="33" t="str">
        <f t="shared" si="8"/>
        <v/>
      </c>
      <c r="K739" s="27"/>
      <c r="L739" s="28">
        <f>SUMIFS(Dump!$D:$D,Dump!$B:$B,$C739,Dump!$A:$A,$V739)</f>
        <v>0</v>
      </c>
      <c r="M739" s="28">
        <f>SUMIFS(Dump!R:R,Dump!B:B,C739,Dump!A:A,V739)</f>
        <v>0</v>
      </c>
      <c r="N739" s="29">
        <f t="shared" si="10"/>
        <v>0</v>
      </c>
      <c r="P739" s="30">
        <f>SUMIFS(Dump!E:E,Dump!B:B,C739,Dump!A:A,V739)</f>
        <v>0</v>
      </c>
      <c r="Q739" s="31">
        <f t="shared" si="11"/>
        <v>0</v>
      </c>
      <c r="S739" s="30">
        <f>SUMIFS(Dump!P:P,Dump!B:B,C739,Dump!A:A,V739)</f>
        <v>0</v>
      </c>
      <c r="T739" s="31">
        <f t="shared" si="12"/>
        <v>0</v>
      </c>
      <c r="U739" s="34"/>
      <c r="V739" s="47"/>
    </row>
    <row r="740">
      <c r="C740" s="46"/>
      <c r="G740" s="1" t="str">
        <f t="shared" si="16"/>
        <v/>
      </c>
      <c r="I740" s="33" t="str">
        <f t="shared" si="8"/>
        <v/>
      </c>
      <c r="K740" s="27"/>
      <c r="L740" s="28">
        <f>SUMIFS(Dump!$D:$D,Dump!$B:$B,$C740,Dump!$A:$A,$V740)</f>
        <v>0</v>
      </c>
      <c r="M740" s="28">
        <f>SUMIFS(Dump!R:R,Dump!B:B,C740,Dump!A:A,V740)</f>
        <v>0</v>
      </c>
      <c r="N740" s="29">
        <f t="shared" si="10"/>
        <v>0</v>
      </c>
      <c r="P740" s="30">
        <f>SUMIFS(Dump!E:E,Dump!B:B,C740,Dump!A:A,V740)</f>
        <v>0</v>
      </c>
      <c r="Q740" s="31">
        <f t="shared" si="11"/>
        <v>0</v>
      </c>
      <c r="S740" s="30">
        <f>SUMIFS(Dump!P:P,Dump!B:B,C740,Dump!A:A,V740)</f>
        <v>0</v>
      </c>
      <c r="T740" s="31">
        <f t="shared" si="12"/>
        <v>0</v>
      </c>
      <c r="U740" s="34"/>
      <c r="V740" s="47"/>
    </row>
    <row r="741">
      <c r="C741" s="46"/>
      <c r="G741" s="1" t="str">
        <f t="shared" si="16"/>
        <v/>
      </c>
      <c r="I741" s="33" t="str">
        <f t="shared" si="8"/>
        <v/>
      </c>
      <c r="K741" s="27"/>
      <c r="L741" s="28">
        <f>SUMIFS(Dump!$D:$D,Dump!$B:$B,$C741,Dump!$A:$A,$V741)</f>
        <v>0</v>
      </c>
      <c r="M741" s="28">
        <f>SUMIFS(Dump!R:R,Dump!B:B,C741,Dump!A:A,V741)</f>
        <v>0</v>
      </c>
      <c r="N741" s="29">
        <f t="shared" si="10"/>
        <v>0</v>
      </c>
      <c r="P741" s="30">
        <f>SUMIFS(Dump!E:E,Dump!B:B,C741,Dump!A:A,V741)</f>
        <v>0</v>
      </c>
      <c r="Q741" s="31">
        <f t="shared" si="11"/>
        <v>0</v>
      </c>
      <c r="S741" s="30">
        <f>SUMIFS(Dump!P:P,Dump!B:B,C741,Dump!A:A,V741)</f>
        <v>0</v>
      </c>
      <c r="T741" s="31">
        <f t="shared" si="12"/>
        <v>0</v>
      </c>
      <c r="U741" s="34"/>
      <c r="V741" s="47"/>
    </row>
    <row r="742">
      <c r="C742" s="46"/>
      <c r="G742" s="1" t="str">
        <f t="shared" si="16"/>
        <v/>
      </c>
      <c r="I742" s="33" t="str">
        <f t="shared" si="8"/>
        <v/>
      </c>
      <c r="K742" s="27"/>
      <c r="L742" s="28">
        <f>SUMIFS(Dump!$D:$D,Dump!$B:$B,$C742,Dump!$A:$A,$V742)</f>
        <v>0</v>
      </c>
      <c r="M742" s="28">
        <f>SUMIFS(Dump!R:R,Dump!B:B,C742,Dump!A:A,V742)</f>
        <v>0</v>
      </c>
      <c r="N742" s="29">
        <f t="shared" si="10"/>
        <v>0</v>
      </c>
      <c r="P742" s="30">
        <f>SUMIFS(Dump!E:E,Dump!B:B,C742,Dump!A:A,V742)</f>
        <v>0</v>
      </c>
      <c r="Q742" s="31">
        <f t="shared" si="11"/>
        <v>0</v>
      </c>
      <c r="S742" s="30">
        <f>SUMIFS(Dump!P:P,Dump!B:B,C742,Dump!A:A,V742)</f>
        <v>0</v>
      </c>
      <c r="T742" s="31">
        <f t="shared" si="12"/>
        <v>0</v>
      </c>
      <c r="U742" s="34"/>
      <c r="V742" s="47"/>
    </row>
    <row r="743">
      <c r="C743" s="46"/>
      <c r="G743" s="1" t="str">
        <f t="shared" si="16"/>
        <v/>
      </c>
      <c r="I743" s="33" t="str">
        <f t="shared" si="8"/>
        <v/>
      </c>
      <c r="K743" s="27"/>
      <c r="L743" s="28">
        <f>SUMIFS(Dump!$D:$D,Dump!$B:$B,$C743,Dump!$A:$A,$V743)</f>
        <v>0</v>
      </c>
      <c r="M743" s="28">
        <f>SUMIFS(Dump!R:R,Dump!B:B,C743,Dump!A:A,V743)</f>
        <v>0</v>
      </c>
      <c r="N743" s="29">
        <f t="shared" si="10"/>
        <v>0</v>
      </c>
      <c r="P743" s="30">
        <f>SUMIFS(Dump!E:E,Dump!B:B,C743,Dump!A:A,V743)</f>
        <v>0</v>
      </c>
      <c r="Q743" s="31">
        <f t="shared" si="11"/>
        <v>0</v>
      </c>
      <c r="S743" s="30">
        <f>SUMIFS(Dump!P:P,Dump!B:B,C743,Dump!A:A,V743)</f>
        <v>0</v>
      </c>
      <c r="T743" s="31">
        <f t="shared" si="12"/>
        <v>0</v>
      </c>
      <c r="U743" s="34"/>
      <c r="V743" s="47"/>
    </row>
    <row r="744">
      <c r="C744" s="46"/>
      <c r="G744" s="1" t="str">
        <f t="shared" si="16"/>
        <v/>
      </c>
      <c r="I744" s="33" t="str">
        <f t="shared" si="8"/>
        <v/>
      </c>
      <c r="K744" s="27"/>
      <c r="L744" s="28">
        <f>SUMIFS(Dump!$D:$D,Dump!$B:$B,$C744,Dump!$A:$A,$V744)</f>
        <v>0</v>
      </c>
      <c r="M744" s="28">
        <f>SUMIFS(Dump!R:R,Dump!B:B,C744,Dump!A:A,V744)</f>
        <v>0</v>
      </c>
      <c r="N744" s="29">
        <f t="shared" si="10"/>
        <v>0</v>
      </c>
      <c r="P744" s="30">
        <f>SUMIFS(Dump!E:E,Dump!B:B,C744,Dump!A:A,V744)</f>
        <v>0</v>
      </c>
      <c r="Q744" s="31">
        <f t="shared" si="11"/>
        <v>0</v>
      </c>
      <c r="S744" s="30">
        <f>SUMIFS(Dump!P:P,Dump!B:B,C744,Dump!A:A,V744)</f>
        <v>0</v>
      </c>
      <c r="T744" s="31">
        <f t="shared" si="12"/>
        <v>0</v>
      </c>
      <c r="U744" s="34"/>
      <c r="V744" s="47"/>
    </row>
    <row r="745">
      <c r="C745" s="46"/>
      <c r="G745" s="1" t="str">
        <f t="shared" si="16"/>
        <v/>
      </c>
      <c r="I745" s="33" t="str">
        <f t="shared" si="8"/>
        <v/>
      </c>
      <c r="K745" s="27"/>
      <c r="L745" s="28">
        <f>SUMIFS(Dump!$D:$D,Dump!$B:$B,$C745,Dump!$A:$A,$V745)</f>
        <v>0</v>
      </c>
      <c r="M745" s="28">
        <f>SUMIFS(Dump!R:R,Dump!B:B,C745,Dump!A:A,V745)</f>
        <v>0</v>
      </c>
      <c r="N745" s="29">
        <f t="shared" si="10"/>
        <v>0</v>
      </c>
      <c r="P745" s="30">
        <f>SUMIFS(Dump!E:E,Dump!B:B,C745,Dump!A:A,V745)</f>
        <v>0</v>
      </c>
      <c r="Q745" s="31">
        <f t="shared" si="11"/>
        <v>0</v>
      </c>
      <c r="S745" s="30">
        <f>SUMIFS(Dump!P:P,Dump!B:B,C745,Dump!A:A,V745)</f>
        <v>0</v>
      </c>
      <c r="T745" s="31">
        <f t="shared" si="12"/>
        <v>0</v>
      </c>
      <c r="U745" s="34"/>
      <c r="V745" s="47"/>
    </row>
    <row r="746">
      <c r="C746" s="46"/>
      <c r="G746" s="1" t="str">
        <f t="shared" si="16"/>
        <v/>
      </c>
      <c r="I746" s="33" t="str">
        <f t="shared" si="8"/>
        <v/>
      </c>
      <c r="K746" s="27"/>
      <c r="L746" s="28">
        <f>SUMIFS(Dump!$D:$D,Dump!$B:$B,$C746,Dump!$A:$A,$V746)</f>
        <v>0</v>
      </c>
      <c r="M746" s="28">
        <f>SUMIFS(Dump!R:R,Dump!B:B,C746,Dump!A:A,V746)</f>
        <v>0</v>
      </c>
      <c r="N746" s="29">
        <f t="shared" si="10"/>
        <v>0</v>
      </c>
      <c r="P746" s="30">
        <f>SUMIFS(Dump!E:E,Dump!B:B,C746,Dump!A:A,V746)</f>
        <v>0</v>
      </c>
      <c r="Q746" s="31">
        <f t="shared" si="11"/>
        <v>0</v>
      </c>
      <c r="S746" s="30">
        <f>SUMIFS(Dump!P:P,Dump!B:B,C746,Dump!A:A,V746)</f>
        <v>0</v>
      </c>
      <c r="T746" s="31">
        <f t="shared" si="12"/>
        <v>0</v>
      </c>
      <c r="U746" s="34"/>
      <c r="V746" s="47"/>
    </row>
    <row r="747">
      <c r="C747" s="46"/>
      <c r="G747" s="1" t="str">
        <f t="shared" si="16"/>
        <v/>
      </c>
      <c r="I747" s="33" t="str">
        <f t="shared" si="8"/>
        <v/>
      </c>
      <c r="K747" s="27"/>
      <c r="L747" s="28">
        <f>SUMIFS(Dump!$D:$D,Dump!$B:$B,$C747,Dump!$A:$A,$V747)</f>
        <v>0</v>
      </c>
      <c r="M747" s="28">
        <f>SUMIFS(Dump!R:R,Dump!B:B,C747,Dump!A:A,V747)</f>
        <v>0</v>
      </c>
      <c r="N747" s="29">
        <f t="shared" si="10"/>
        <v>0</v>
      </c>
      <c r="P747" s="30">
        <f>SUMIFS(Dump!E:E,Dump!B:B,C747,Dump!A:A,V747)</f>
        <v>0</v>
      </c>
      <c r="Q747" s="31">
        <f t="shared" si="11"/>
        <v>0</v>
      </c>
      <c r="S747" s="30">
        <f>SUMIFS(Dump!P:P,Dump!B:B,C747,Dump!A:A,V747)</f>
        <v>0</v>
      </c>
      <c r="T747" s="31">
        <f t="shared" si="12"/>
        <v>0</v>
      </c>
      <c r="U747" s="34"/>
      <c r="V747" s="47"/>
    </row>
    <row r="748">
      <c r="C748" s="46"/>
      <c r="G748" s="1" t="str">
        <f t="shared" si="16"/>
        <v/>
      </c>
      <c r="I748" s="33" t="str">
        <f t="shared" si="8"/>
        <v/>
      </c>
      <c r="K748" s="27"/>
      <c r="L748" s="28">
        <f>SUMIFS(Dump!$D:$D,Dump!$B:$B,$C748,Dump!$A:$A,$V748)</f>
        <v>0</v>
      </c>
      <c r="M748" s="28">
        <f>SUMIFS(Dump!R:R,Dump!B:B,C748,Dump!A:A,V748)</f>
        <v>0</v>
      </c>
      <c r="N748" s="29">
        <f t="shared" si="10"/>
        <v>0</v>
      </c>
      <c r="P748" s="30">
        <f>SUMIFS(Dump!E:E,Dump!B:B,C748,Dump!A:A,V748)</f>
        <v>0</v>
      </c>
      <c r="Q748" s="31">
        <f t="shared" si="11"/>
        <v>0</v>
      </c>
      <c r="S748" s="30">
        <f>SUMIFS(Dump!P:P,Dump!B:B,C748,Dump!A:A,V748)</f>
        <v>0</v>
      </c>
      <c r="T748" s="31">
        <f t="shared" si="12"/>
        <v>0</v>
      </c>
      <c r="U748" s="34"/>
      <c r="V748" s="47"/>
    </row>
    <row r="749">
      <c r="C749" s="46"/>
      <c r="G749" s="1" t="str">
        <f t="shared" si="16"/>
        <v/>
      </c>
      <c r="I749" s="33" t="str">
        <f t="shared" si="8"/>
        <v/>
      </c>
      <c r="K749" s="27"/>
      <c r="L749" s="28">
        <f>SUMIFS(Dump!$D:$D,Dump!$B:$B,$C749,Dump!$A:$A,$V749)</f>
        <v>0</v>
      </c>
      <c r="M749" s="28">
        <f>SUMIFS(Dump!R:R,Dump!B:B,C749,Dump!A:A,V749)</f>
        <v>0</v>
      </c>
      <c r="N749" s="29">
        <f t="shared" si="10"/>
        <v>0</v>
      </c>
      <c r="P749" s="30">
        <f>SUMIFS(Dump!E:E,Dump!B:B,C749,Dump!A:A,V749)</f>
        <v>0</v>
      </c>
      <c r="Q749" s="31">
        <f t="shared" si="11"/>
        <v>0</v>
      </c>
      <c r="S749" s="30">
        <f>SUMIFS(Dump!P:P,Dump!B:B,C749,Dump!A:A,V749)</f>
        <v>0</v>
      </c>
      <c r="T749" s="31">
        <f t="shared" si="12"/>
        <v>0</v>
      </c>
      <c r="U749" s="34"/>
      <c r="V749" s="47"/>
    </row>
    <row r="750">
      <c r="C750" s="46"/>
      <c r="G750" s="1" t="str">
        <f t="shared" si="16"/>
        <v/>
      </c>
      <c r="I750" s="33" t="str">
        <f t="shared" si="8"/>
        <v/>
      </c>
      <c r="K750" s="27"/>
      <c r="L750" s="28">
        <f>SUMIFS(Dump!$D:$D,Dump!$B:$B,$C750,Dump!$A:$A,$V750)</f>
        <v>0</v>
      </c>
      <c r="M750" s="28">
        <f>SUMIFS(Dump!R:R,Dump!B:B,C750,Dump!A:A,V750)</f>
        <v>0</v>
      </c>
      <c r="N750" s="29">
        <f t="shared" si="10"/>
        <v>0</v>
      </c>
      <c r="P750" s="30">
        <f>SUMIFS(Dump!E:E,Dump!B:B,C750,Dump!A:A,V750)</f>
        <v>0</v>
      </c>
      <c r="Q750" s="31">
        <f t="shared" si="11"/>
        <v>0</v>
      </c>
      <c r="S750" s="30">
        <f>SUMIFS(Dump!P:P,Dump!B:B,C750,Dump!A:A,V750)</f>
        <v>0</v>
      </c>
      <c r="T750" s="31">
        <f t="shared" si="12"/>
        <v>0</v>
      </c>
      <c r="U750" s="34"/>
      <c r="V750" s="47"/>
    </row>
    <row r="751">
      <c r="C751" s="46"/>
      <c r="G751" s="1" t="str">
        <f t="shared" si="16"/>
        <v/>
      </c>
      <c r="I751" s="33" t="str">
        <f t="shared" si="8"/>
        <v/>
      </c>
      <c r="K751" s="27"/>
      <c r="L751" s="28">
        <f>SUMIFS(Dump!$D:$D,Dump!$B:$B,$C751,Dump!$A:$A,$V751)</f>
        <v>0</v>
      </c>
      <c r="M751" s="28">
        <f>SUMIFS(Dump!R:R,Dump!B:B,C751,Dump!A:A,V751)</f>
        <v>0</v>
      </c>
      <c r="N751" s="29">
        <f t="shared" si="10"/>
        <v>0</v>
      </c>
      <c r="P751" s="30">
        <f>SUMIFS(Dump!E:E,Dump!B:B,C751,Dump!A:A,V751)</f>
        <v>0</v>
      </c>
      <c r="Q751" s="31">
        <f t="shared" si="11"/>
        <v>0</v>
      </c>
      <c r="S751" s="30">
        <f>SUMIFS(Dump!P:P,Dump!B:B,C751,Dump!A:A,V751)</f>
        <v>0</v>
      </c>
      <c r="T751" s="31">
        <f t="shared" si="12"/>
        <v>0</v>
      </c>
      <c r="U751" s="34"/>
      <c r="V751" s="47"/>
    </row>
    <row r="752">
      <c r="C752" s="46"/>
      <c r="G752" s="1" t="str">
        <f t="shared" si="16"/>
        <v/>
      </c>
      <c r="I752" s="33" t="str">
        <f t="shared" si="8"/>
        <v/>
      </c>
      <c r="K752" s="27"/>
      <c r="L752" s="28">
        <f>SUMIFS(Dump!$D:$D,Dump!$B:$B,$C752,Dump!$A:$A,$V752)</f>
        <v>0</v>
      </c>
      <c r="M752" s="28">
        <f>SUMIFS(Dump!R:R,Dump!B:B,C752,Dump!A:A,V752)</f>
        <v>0</v>
      </c>
      <c r="N752" s="29">
        <f t="shared" si="10"/>
        <v>0</v>
      </c>
      <c r="P752" s="30">
        <f>SUMIFS(Dump!E:E,Dump!B:B,C752,Dump!A:A,V752)</f>
        <v>0</v>
      </c>
      <c r="Q752" s="31">
        <f t="shared" si="11"/>
        <v>0</v>
      </c>
      <c r="S752" s="30">
        <f>SUMIFS(Dump!P:P,Dump!B:B,C752,Dump!A:A,V752)</f>
        <v>0</v>
      </c>
      <c r="T752" s="31">
        <f t="shared" si="12"/>
        <v>0</v>
      </c>
      <c r="U752" s="34"/>
      <c r="V752" s="47"/>
    </row>
    <row r="753">
      <c r="C753" s="46"/>
      <c r="G753" s="1" t="str">
        <f t="shared" si="16"/>
        <v/>
      </c>
      <c r="I753" s="33" t="str">
        <f t="shared" si="8"/>
        <v/>
      </c>
      <c r="K753" s="27"/>
      <c r="L753" s="28">
        <f>SUMIFS(Dump!$D:$D,Dump!$B:$B,$C753,Dump!$A:$A,$V753)</f>
        <v>0</v>
      </c>
      <c r="M753" s="28">
        <f>SUMIFS(Dump!R:R,Dump!B:B,C753,Dump!A:A,V753)</f>
        <v>0</v>
      </c>
      <c r="N753" s="29">
        <f t="shared" si="10"/>
        <v>0</v>
      </c>
      <c r="P753" s="30">
        <f>SUMIFS(Dump!E:E,Dump!B:B,C753,Dump!A:A,V753)</f>
        <v>0</v>
      </c>
      <c r="Q753" s="31">
        <f t="shared" si="11"/>
        <v>0</v>
      </c>
      <c r="S753" s="30">
        <f>SUMIFS(Dump!P:P,Dump!B:B,C753,Dump!A:A,V753)</f>
        <v>0</v>
      </c>
      <c r="T753" s="31">
        <f t="shared" si="12"/>
        <v>0</v>
      </c>
      <c r="U753" s="34"/>
      <c r="V753" s="47"/>
    </row>
    <row r="754">
      <c r="C754" s="46"/>
      <c r="G754" s="1" t="str">
        <f t="shared" si="16"/>
        <v/>
      </c>
      <c r="I754" s="33" t="str">
        <f t="shared" si="8"/>
        <v/>
      </c>
      <c r="K754" s="27"/>
      <c r="L754" s="28">
        <f>SUMIFS(Dump!$D:$D,Dump!$B:$B,$C754,Dump!$A:$A,$V754)</f>
        <v>0</v>
      </c>
      <c r="M754" s="28">
        <f>SUMIFS(Dump!R:R,Dump!B:B,C754,Dump!A:A,V754)</f>
        <v>0</v>
      </c>
      <c r="N754" s="29">
        <f t="shared" si="10"/>
        <v>0</v>
      </c>
      <c r="P754" s="30">
        <f>SUMIFS(Dump!E:E,Dump!B:B,C754,Dump!A:A,V754)</f>
        <v>0</v>
      </c>
      <c r="Q754" s="31">
        <f t="shared" si="11"/>
        <v>0</v>
      </c>
      <c r="S754" s="30">
        <f>SUMIFS(Dump!P:P,Dump!B:B,C754,Dump!A:A,V754)</f>
        <v>0</v>
      </c>
      <c r="T754" s="31">
        <f t="shared" si="12"/>
        <v>0</v>
      </c>
      <c r="U754" s="34"/>
      <c r="V754" s="47"/>
    </row>
    <row r="755">
      <c r="C755" s="46"/>
      <c r="G755" s="1" t="str">
        <f t="shared" si="16"/>
        <v/>
      </c>
      <c r="I755" s="33" t="str">
        <f t="shared" si="8"/>
        <v/>
      </c>
      <c r="K755" s="27"/>
      <c r="L755" s="28">
        <f>SUMIFS(Dump!$D:$D,Dump!$B:$B,$C755,Dump!$A:$A,$V755)</f>
        <v>0</v>
      </c>
      <c r="M755" s="28">
        <f>SUMIFS(Dump!R:R,Dump!B:B,C755,Dump!A:A,V755)</f>
        <v>0</v>
      </c>
      <c r="N755" s="29">
        <f t="shared" si="10"/>
        <v>0</v>
      </c>
      <c r="P755" s="30">
        <f>SUMIFS(Dump!E:E,Dump!B:B,C755,Dump!A:A,V755)</f>
        <v>0</v>
      </c>
      <c r="Q755" s="31">
        <f t="shared" si="11"/>
        <v>0</v>
      </c>
      <c r="S755" s="30">
        <f>SUMIFS(Dump!P:P,Dump!B:B,C755,Dump!A:A,V755)</f>
        <v>0</v>
      </c>
      <c r="T755" s="31">
        <f t="shared" si="12"/>
        <v>0</v>
      </c>
      <c r="U755" s="34"/>
      <c r="V755" s="47"/>
    </row>
    <row r="756">
      <c r="C756" s="46"/>
      <c r="G756" s="1" t="str">
        <f t="shared" si="16"/>
        <v/>
      </c>
      <c r="I756" s="33" t="str">
        <f t="shared" si="8"/>
        <v/>
      </c>
      <c r="K756" s="27"/>
      <c r="L756" s="28">
        <f>SUMIFS(Dump!$D:$D,Dump!$B:$B,$C756,Dump!$A:$A,$V756)</f>
        <v>0</v>
      </c>
      <c r="M756" s="28">
        <f>SUMIFS(Dump!R:R,Dump!B:B,C756,Dump!A:A,V756)</f>
        <v>0</v>
      </c>
      <c r="N756" s="29">
        <f t="shared" si="10"/>
        <v>0</v>
      </c>
      <c r="P756" s="30">
        <f>SUMIFS(Dump!E:E,Dump!B:B,C756,Dump!A:A,V756)</f>
        <v>0</v>
      </c>
      <c r="Q756" s="31">
        <f t="shared" si="11"/>
        <v>0</v>
      </c>
      <c r="S756" s="30">
        <f>SUMIFS(Dump!P:P,Dump!B:B,C756,Dump!A:A,V756)</f>
        <v>0</v>
      </c>
      <c r="T756" s="31">
        <f t="shared" si="12"/>
        <v>0</v>
      </c>
      <c r="U756" s="34"/>
      <c r="V756" s="47"/>
    </row>
    <row r="757">
      <c r="C757" s="46"/>
      <c r="G757" s="1" t="str">
        <f t="shared" si="16"/>
        <v/>
      </c>
      <c r="I757" s="33" t="str">
        <f t="shared" si="8"/>
        <v/>
      </c>
      <c r="K757" s="27"/>
      <c r="L757" s="28">
        <f>SUMIFS(Dump!$D:$D,Dump!$B:$B,$C757,Dump!$A:$A,$V757)</f>
        <v>0</v>
      </c>
      <c r="M757" s="28">
        <f>SUMIFS(Dump!R:R,Dump!B:B,C757,Dump!A:A,V757)</f>
        <v>0</v>
      </c>
      <c r="N757" s="29">
        <f t="shared" si="10"/>
        <v>0</v>
      </c>
      <c r="P757" s="30">
        <f>SUMIFS(Dump!E:E,Dump!B:B,C757,Dump!A:A,V757)</f>
        <v>0</v>
      </c>
      <c r="Q757" s="31">
        <f t="shared" si="11"/>
        <v>0</v>
      </c>
      <c r="S757" s="30">
        <f>SUMIFS(Dump!P:P,Dump!B:B,C757,Dump!A:A,V757)</f>
        <v>0</v>
      </c>
      <c r="T757" s="31">
        <f t="shared" si="12"/>
        <v>0</v>
      </c>
      <c r="U757" s="34"/>
      <c r="V757" s="47"/>
    </row>
    <row r="758">
      <c r="C758" s="46"/>
      <c r="G758" s="1" t="str">
        <f t="shared" si="16"/>
        <v/>
      </c>
      <c r="I758" s="33" t="str">
        <f t="shared" si="8"/>
        <v/>
      </c>
      <c r="K758" s="27"/>
      <c r="L758" s="28">
        <f>SUMIFS(Dump!$D:$D,Dump!$B:$B,$C758,Dump!$A:$A,$V758)</f>
        <v>0</v>
      </c>
      <c r="M758" s="28">
        <f>SUMIFS(Dump!R:R,Dump!B:B,C758,Dump!A:A,V758)</f>
        <v>0</v>
      </c>
      <c r="N758" s="29">
        <f t="shared" si="10"/>
        <v>0</v>
      </c>
      <c r="P758" s="30">
        <f>SUMIFS(Dump!E:E,Dump!B:B,C758,Dump!A:A,V758)</f>
        <v>0</v>
      </c>
      <c r="Q758" s="31">
        <f t="shared" si="11"/>
        <v>0</v>
      </c>
      <c r="S758" s="30">
        <f>SUMIFS(Dump!P:P,Dump!B:B,C758,Dump!A:A,V758)</f>
        <v>0</v>
      </c>
      <c r="T758" s="31">
        <f t="shared" si="12"/>
        <v>0</v>
      </c>
      <c r="U758" s="34"/>
      <c r="V758" s="47"/>
    </row>
    <row r="759">
      <c r="C759" s="46"/>
      <c r="G759" s="1" t="str">
        <f t="shared" si="16"/>
        <v/>
      </c>
      <c r="I759" s="33" t="str">
        <f t="shared" si="8"/>
        <v/>
      </c>
      <c r="K759" s="27"/>
      <c r="L759" s="28">
        <f>SUMIFS(Dump!$D:$D,Dump!$B:$B,$C759,Dump!$A:$A,$V759)</f>
        <v>0</v>
      </c>
      <c r="M759" s="28">
        <f>SUMIFS(Dump!R:R,Dump!B:B,C759,Dump!A:A,V759)</f>
        <v>0</v>
      </c>
      <c r="N759" s="29">
        <f t="shared" si="10"/>
        <v>0</v>
      </c>
      <c r="P759" s="30">
        <f>SUMIFS(Dump!E:E,Dump!B:B,C759,Dump!A:A,V759)</f>
        <v>0</v>
      </c>
      <c r="Q759" s="31">
        <f t="shared" si="11"/>
        <v>0</v>
      </c>
      <c r="S759" s="30">
        <f>SUMIFS(Dump!P:P,Dump!B:B,C759,Dump!A:A,V759)</f>
        <v>0</v>
      </c>
      <c r="T759" s="31">
        <f t="shared" si="12"/>
        <v>0</v>
      </c>
      <c r="U759" s="34"/>
      <c r="V759" s="47"/>
    </row>
    <row r="760">
      <c r="C760" s="46"/>
      <c r="G760" s="1" t="str">
        <f t="shared" si="16"/>
        <v/>
      </c>
      <c r="I760" s="33" t="str">
        <f t="shared" si="8"/>
        <v/>
      </c>
      <c r="K760" s="27"/>
      <c r="L760" s="28">
        <f>SUMIFS(Dump!$D:$D,Dump!$B:$B,$C760,Dump!$A:$A,$V760)</f>
        <v>0</v>
      </c>
      <c r="M760" s="28">
        <f>SUMIFS(Dump!R:R,Dump!B:B,C760,Dump!A:A,V760)</f>
        <v>0</v>
      </c>
      <c r="N760" s="29">
        <f t="shared" si="10"/>
        <v>0</v>
      </c>
      <c r="P760" s="30">
        <f>SUMIFS(Dump!E:E,Dump!B:B,C760,Dump!A:A,V760)</f>
        <v>0</v>
      </c>
      <c r="Q760" s="31">
        <f t="shared" si="11"/>
        <v>0</v>
      </c>
      <c r="S760" s="30">
        <f>SUMIFS(Dump!P:P,Dump!B:B,C760,Dump!A:A,V760)</f>
        <v>0</v>
      </c>
      <c r="T760" s="31">
        <f t="shared" si="12"/>
        <v>0</v>
      </c>
      <c r="U760" s="34"/>
      <c r="V760" s="47"/>
    </row>
    <row r="761">
      <c r="C761" s="46"/>
      <c r="G761" s="1" t="str">
        <f t="shared" si="16"/>
        <v/>
      </c>
      <c r="I761" s="33" t="str">
        <f t="shared" si="8"/>
        <v/>
      </c>
      <c r="K761" s="27"/>
      <c r="L761" s="28">
        <f>SUMIFS(Dump!$D:$D,Dump!$B:$B,$C761,Dump!$A:$A,$V761)</f>
        <v>0</v>
      </c>
      <c r="M761" s="28">
        <f>SUMIFS(Dump!R:R,Dump!B:B,C761,Dump!A:A,V761)</f>
        <v>0</v>
      </c>
      <c r="N761" s="29">
        <f t="shared" si="10"/>
        <v>0</v>
      </c>
      <c r="P761" s="30">
        <f>SUMIFS(Dump!E:E,Dump!B:B,C761,Dump!A:A,V761)</f>
        <v>0</v>
      </c>
      <c r="Q761" s="31">
        <f t="shared" si="11"/>
        <v>0</v>
      </c>
      <c r="S761" s="30">
        <f>SUMIFS(Dump!P:P,Dump!B:B,C761,Dump!A:A,V761)</f>
        <v>0</v>
      </c>
      <c r="T761" s="31">
        <f t="shared" si="12"/>
        <v>0</v>
      </c>
      <c r="U761" s="34"/>
      <c r="V761" s="47"/>
    </row>
    <row r="762">
      <c r="C762" s="46"/>
      <c r="G762" s="1" t="str">
        <f t="shared" si="16"/>
        <v/>
      </c>
      <c r="I762" s="33" t="str">
        <f t="shared" si="8"/>
        <v/>
      </c>
      <c r="K762" s="27"/>
      <c r="L762" s="28">
        <f>SUMIFS(Dump!$D:$D,Dump!$B:$B,$C762,Dump!$A:$A,$V762)</f>
        <v>0</v>
      </c>
      <c r="M762" s="28">
        <f>SUMIFS(Dump!R:R,Dump!B:B,C762,Dump!A:A,V762)</f>
        <v>0</v>
      </c>
      <c r="N762" s="29">
        <f t="shared" si="10"/>
        <v>0</v>
      </c>
      <c r="P762" s="30">
        <f>SUMIFS(Dump!E:E,Dump!B:B,C762,Dump!A:A,V762)</f>
        <v>0</v>
      </c>
      <c r="Q762" s="31">
        <f t="shared" si="11"/>
        <v>0</v>
      </c>
      <c r="S762" s="30">
        <f>SUMIFS(Dump!P:P,Dump!B:B,C762,Dump!A:A,V762)</f>
        <v>0</v>
      </c>
      <c r="T762" s="31">
        <f t="shared" si="12"/>
        <v>0</v>
      </c>
      <c r="U762" s="34"/>
      <c r="V762" s="47"/>
    </row>
    <row r="763">
      <c r="C763" s="46"/>
      <c r="G763" s="1" t="str">
        <f t="shared" si="16"/>
        <v/>
      </c>
      <c r="I763" s="33" t="str">
        <f t="shared" si="8"/>
        <v/>
      </c>
      <c r="K763" s="27"/>
      <c r="L763" s="28">
        <f>SUMIFS(Dump!$D:$D,Dump!$B:$B,$C763,Dump!$A:$A,$V763)</f>
        <v>0</v>
      </c>
      <c r="M763" s="28">
        <f>SUMIFS(Dump!R:R,Dump!B:B,C763,Dump!A:A,V763)</f>
        <v>0</v>
      </c>
      <c r="N763" s="29">
        <f t="shared" si="10"/>
        <v>0</v>
      </c>
      <c r="P763" s="30">
        <f>SUMIFS(Dump!E:E,Dump!B:B,C763,Dump!A:A,V763)</f>
        <v>0</v>
      </c>
      <c r="Q763" s="31">
        <f t="shared" si="11"/>
        <v>0</v>
      </c>
      <c r="S763" s="30">
        <f>SUMIFS(Dump!P:P,Dump!B:B,C763,Dump!A:A,V763)</f>
        <v>0</v>
      </c>
      <c r="T763" s="31">
        <f t="shared" si="12"/>
        <v>0</v>
      </c>
      <c r="U763" s="34"/>
      <c r="V763" s="47"/>
    </row>
    <row r="764">
      <c r="C764" s="46"/>
      <c r="G764" s="1" t="str">
        <f t="shared" si="16"/>
        <v/>
      </c>
      <c r="I764" s="33" t="str">
        <f t="shared" si="8"/>
        <v/>
      </c>
      <c r="K764" s="27"/>
      <c r="L764" s="28">
        <f>SUMIFS(Dump!$D:$D,Dump!$B:$B,$C764,Dump!$A:$A,$V764)</f>
        <v>0</v>
      </c>
      <c r="M764" s="28">
        <f>SUMIFS(Dump!R:R,Dump!B:B,C764,Dump!A:A,V764)</f>
        <v>0</v>
      </c>
      <c r="N764" s="29">
        <f t="shared" si="10"/>
        <v>0</v>
      </c>
      <c r="P764" s="30">
        <f>SUMIFS(Dump!E:E,Dump!B:B,C764,Dump!A:A,V764)</f>
        <v>0</v>
      </c>
      <c r="Q764" s="31">
        <f t="shared" si="11"/>
        <v>0</v>
      </c>
      <c r="S764" s="30">
        <f>SUMIFS(Dump!P:P,Dump!B:B,C764,Dump!A:A,V764)</f>
        <v>0</v>
      </c>
      <c r="T764" s="31">
        <f t="shared" si="12"/>
        <v>0</v>
      </c>
      <c r="U764" s="34"/>
      <c r="V764" s="47"/>
    </row>
    <row r="765">
      <c r="C765" s="46"/>
      <c r="G765" s="1" t="str">
        <f t="shared" si="16"/>
        <v/>
      </c>
      <c r="I765" s="33" t="str">
        <f t="shared" si="8"/>
        <v/>
      </c>
      <c r="K765" s="27"/>
      <c r="L765" s="28">
        <f>SUMIFS(Dump!$D:$D,Dump!$B:$B,$C765,Dump!$A:$A,$V765)</f>
        <v>0</v>
      </c>
      <c r="M765" s="28">
        <f>SUMIFS(Dump!R:R,Dump!B:B,C765,Dump!A:A,V765)</f>
        <v>0</v>
      </c>
      <c r="N765" s="29">
        <f t="shared" si="10"/>
        <v>0</v>
      </c>
      <c r="P765" s="30">
        <f>SUMIFS(Dump!E:E,Dump!B:B,C765,Dump!A:A,V765)</f>
        <v>0</v>
      </c>
      <c r="Q765" s="31">
        <f t="shared" si="11"/>
        <v>0</v>
      </c>
      <c r="S765" s="30">
        <f>SUMIFS(Dump!P:P,Dump!B:B,C765,Dump!A:A,V765)</f>
        <v>0</v>
      </c>
      <c r="T765" s="31">
        <f t="shared" si="12"/>
        <v>0</v>
      </c>
      <c r="U765" s="34"/>
      <c r="V765" s="47"/>
    </row>
    <row r="766">
      <c r="C766" s="46"/>
      <c r="G766" s="1" t="str">
        <f t="shared" si="16"/>
        <v/>
      </c>
      <c r="I766" s="33" t="str">
        <f t="shared" si="8"/>
        <v/>
      </c>
      <c r="K766" s="27"/>
      <c r="L766" s="28">
        <f>SUMIFS(Dump!$D:$D,Dump!$B:$B,$C766,Dump!$A:$A,$V766)</f>
        <v>0</v>
      </c>
      <c r="M766" s="28">
        <f>SUMIFS(Dump!R:R,Dump!B:B,C766,Dump!A:A,V766)</f>
        <v>0</v>
      </c>
      <c r="N766" s="29">
        <f t="shared" si="10"/>
        <v>0</v>
      </c>
      <c r="P766" s="30">
        <f>SUMIFS(Dump!E:E,Dump!B:B,C766,Dump!A:A,V766)</f>
        <v>0</v>
      </c>
      <c r="Q766" s="31">
        <f t="shared" si="11"/>
        <v>0</v>
      </c>
      <c r="S766" s="30">
        <f>SUMIFS(Dump!P:P,Dump!B:B,C766,Dump!A:A,V766)</f>
        <v>0</v>
      </c>
      <c r="T766" s="31">
        <f t="shared" si="12"/>
        <v>0</v>
      </c>
      <c r="U766" s="34"/>
      <c r="V766" s="47"/>
    </row>
    <row r="767">
      <c r="C767" s="46"/>
      <c r="G767" s="1" t="str">
        <f t="shared" si="16"/>
        <v/>
      </c>
      <c r="I767" s="33" t="str">
        <f t="shared" si="8"/>
        <v/>
      </c>
      <c r="K767" s="27"/>
      <c r="L767" s="28">
        <f>SUMIFS(Dump!$D:$D,Dump!$B:$B,$C767,Dump!$A:$A,$V767)</f>
        <v>0</v>
      </c>
      <c r="M767" s="28">
        <f>SUMIFS(Dump!R:R,Dump!B:B,C767,Dump!A:A,V767)</f>
        <v>0</v>
      </c>
      <c r="N767" s="29">
        <f t="shared" si="10"/>
        <v>0</v>
      </c>
      <c r="P767" s="30">
        <f>SUMIFS(Dump!E:E,Dump!B:B,C767,Dump!A:A,V767)</f>
        <v>0</v>
      </c>
      <c r="Q767" s="31">
        <f t="shared" si="11"/>
        <v>0</v>
      </c>
      <c r="S767" s="30">
        <f>SUMIFS(Dump!P:P,Dump!B:B,C767,Dump!A:A,V767)</f>
        <v>0</v>
      </c>
      <c r="T767" s="31">
        <f t="shared" si="12"/>
        <v>0</v>
      </c>
      <c r="U767" s="34"/>
      <c r="V767" s="47"/>
    </row>
    <row r="768">
      <c r="C768" s="46"/>
      <c r="G768" s="1" t="str">
        <f t="shared" si="16"/>
        <v/>
      </c>
      <c r="I768" s="33" t="str">
        <f t="shared" si="8"/>
        <v/>
      </c>
      <c r="K768" s="27"/>
      <c r="L768" s="28">
        <f>SUMIFS(Dump!$D:$D,Dump!$B:$B,$C768,Dump!$A:$A,$V768)</f>
        <v>0</v>
      </c>
      <c r="M768" s="28">
        <f>SUMIFS(Dump!R:R,Dump!B:B,C768,Dump!A:A,V768)</f>
        <v>0</v>
      </c>
      <c r="N768" s="29">
        <f t="shared" si="10"/>
        <v>0</v>
      </c>
      <c r="P768" s="30">
        <f>SUMIFS(Dump!E:E,Dump!B:B,C768,Dump!A:A,V768)</f>
        <v>0</v>
      </c>
      <c r="Q768" s="31">
        <f t="shared" si="11"/>
        <v>0</v>
      </c>
      <c r="S768" s="30">
        <f>SUMIFS(Dump!P:P,Dump!B:B,C768,Dump!A:A,V768)</f>
        <v>0</v>
      </c>
      <c r="T768" s="31">
        <f t="shared" si="12"/>
        <v>0</v>
      </c>
      <c r="U768" s="34"/>
      <c r="V768" s="47"/>
    </row>
    <row r="769">
      <c r="C769" s="46"/>
      <c r="G769" s="1" t="str">
        <f t="shared" si="16"/>
        <v/>
      </c>
      <c r="I769" s="33" t="str">
        <f t="shared" si="8"/>
        <v/>
      </c>
      <c r="K769" s="27"/>
      <c r="L769" s="28">
        <f>SUMIFS(Dump!$D:$D,Dump!$B:$B,$C769,Dump!$A:$A,$V769)</f>
        <v>0</v>
      </c>
      <c r="M769" s="28">
        <f>SUMIFS(Dump!R:R,Dump!B:B,C769,Dump!A:A,V769)</f>
        <v>0</v>
      </c>
      <c r="N769" s="29">
        <f t="shared" si="10"/>
        <v>0</v>
      </c>
      <c r="P769" s="30">
        <f>SUMIFS(Dump!E:E,Dump!B:B,C769,Dump!A:A,V769)</f>
        <v>0</v>
      </c>
      <c r="Q769" s="31">
        <f t="shared" si="11"/>
        <v>0</v>
      </c>
      <c r="S769" s="30">
        <f>SUMIFS(Dump!P:P,Dump!B:B,C769,Dump!A:A,V769)</f>
        <v>0</v>
      </c>
      <c r="T769" s="31">
        <f t="shared" si="12"/>
        <v>0</v>
      </c>
      <c r="U769" s="34"/>
      <c r="V769" s="47"/>
    </row>
    <row r="770">
      <c r="C770" s="46"/>
      <c r="G770" s="1" t="str">
        <f t="shared" si="16"/>
        <v/>
      </c>
      <c r="I770" s="33" t="str">
        <f t="shared" si="8"/>
        <v/>
      </c>
      <c r="K770" s="27"/>
      <c r="L770" s="28">
        <f>SUMIFS(Dump!$D:$D,Dump!$B:$B,$C770,Dump!$A:$A,$V770)</f>
        <v>0</v>
      </c>
      <c r="M770" s="28">
        <f>SUMIFS(Dump!R:R,Dump!B:B,C770,Dump!A:A,V770)</f>
        <v>0</v>
      </c>
      <c r="N770" s="29">
        <f t="shared" si="10"/>
        <v>0</v>
      </c>
      <c r="P770" s="30">
        <f>SUMIFS(Dump!E:E,Dump!B:B,C770,Dump!A:A,V770)</f>
        <v>0</v>
      </c>
      <c r="Q770" s="31">
        <f t="shared" si="11"/>
        <v>0</v>
      </c>
      <c r="S770" s="30">
        <f>SUMIFS(Dump!P:P,Dump!B:B,C770,Dump!A:A,V770)</f>
        <v>0</v>
      </c>
      <c r="T770" s="31">
        <f t="shared" si="12"/>
        <v>0</v>
      </c>
      <c r="U770" s="34"/>
      <c r="V770" s="47"/>
    </row>
    <row r="771">
      <c r="C771" s="46"/>
      <c r="G771" s="1" t="str">
        <f t="shared" si="16"/>
        <v/>
      </c>
      <c r="I771" s="33" t="str">
        <f t="shared" si="8"/>
        <v/>
      </c>
      <c r="K771" s="27"/>
      <c r="L771" s="28">
        <f>SUMIFS(Dump!$D:$D,Dump!$B:$B,$C771,Dump!$A:$A,$V771)</f>
        <v>0</v>
      </c>
      <c r="M771" s="28">
        <f>SUMIFS(Dump!R:R,Dump!B:B,C771,Dump!A:A,V771)</f>
        <v>0</v>
      </c>
      <c r="N771" s="29">
        <f t="shared" si="10"/>
        <v>0</v>
      </c>
      <c r="P771" s="30">
        <f>SUMIFS(Dump!E:E,Dump!B:B,C771,Dump!A:A,V771)</f>
        <v>0</v>
      </c>
      <c r="Q771" s="31">
        <f t="shared" si="11"/>
        <v>0</v>
      </c>
      <c r="S771" s="30">
        <f>SUMIFS(Dump!P:P,Dump!B:B,C771,Dump!A:A,V771)</f>
        <v>0</v>
      </c>
      <c r="T771" s="31">
        <f t="shared" si="12"/>
        <v>0</v>
      </c>
      <c r="U771" s="34"/>
      <c r="V771" s="47"/>
    </row>
    <row r="772">
      <c r="C772" s="46"/>
      <c r="G772" s="1" t="str">
        <f t="shared" si="16"/>
        <v/>
      </c>
      <c r="I772" s="33" t="str">
        <f t="shared" si="8"/>
        <v/>
      </c>
      <c r="K772" s="27"/>
      <c r="L772" s="28">
        <f>SUMIFS(Dump!$D:$D,Dump!$B:$B,$C772,Dump!$A:$A,$V772)</f>
        <v>0</v>
      </c>
      <c r="M772" s="28">
        <f>SUMIFS(Dump!R:R,Dump!B:B,C772,Dump!A:A,V772)</f>
        <v>0</v>
      </c>
      <c r="N772" s="29">
        <f t="shared" si="10"/>
        <v>0</v>
      </c>
      <c r="P772" s="30">
        <f>SUMIFS(Dump!E:E,Dump!B:B,C772,Dump!A:A,V772)</f>
        <v>0</v>
      </c>
      <c r="Q772" s="31">
        <f t="shared" si="11"/>
        <v>0</v>
      </c>
      <c r="S772" s="30">
        <f>SUMIFS(Dump!P:P,Dump!B:B,C772,Dump!A:A,V772)</f>
        <v>0</v>
      </c>
      <c r="T772" s="31">
        <f t="shared" si="12"/>
        <v>0</v>
      </c>
      <c r="U772" s="34"/>
      <c r="V772" s="47"/>
    </row>
    <row r="773">
      <c r="C773" s="46"/>
      <c r="G773" s="1" t="str">
        <f t="shared" si="16"/>
        <v/>
      </c>
      <c r="I773" s="33" t="str">
        <f t="shared" si="8"/>
        <v/>
      </c>
      <c r="K773" s="27"/>
      <c r="L773" s="28">
        <f>SUMIFS(Dump!$D:$D,Dump!$B:$B,$C773,Dump!$A:$A,$V773)</f>
        <v>0</v>
      </c>
      <c r="M773" s="28">
        <f>SUMIFS(Dump!R:R,Dump!B:B,C773,Dump!A:A,V773)</f>
        <v>0</v>
      </c>
      <c r="N773" s="29">
        <f t="shared" si="10"/>
        <v>0</v>
      </c>
      <c r="P773" s="30">
        <f>SUMIFS(Dump!E:E,Dump!B:B,C773,Dump!A:A,V773)</f>
        <v>0</v>
      </c>
      <c r="Q773" s="31">
        <f t="shared" si="11"/>
        <v>0</v>
      </c>
      <c r="S773" s="30">
        <f>SUMIFS(Dump!P:P,Dump!B:B,C773,Dump!A:A,V773)</f>
        <v>0</v>
      </c>
      <c r="T773" s="31">
        <f t="shared" si="12"/>
        <v>0</v>
      </c>
      <c r="U773" s="34"/>
      <c r="V773" s="47"/>
    </row>
    <row r="774">
      <c r="C774" s="46"/>
      <c r="G774" s="1" t="str">
        <f t="shared" si="16"/>
        <v/>
      </c>
      <c r="I774" s="33" t="str">
        <f t="shared" si="8"/>
        <v/>
      </c>
      <c r="K774" s="27"/>
      <c r="L774" s="28">
        <f>SUMIFS(Dump!$D:$D,Dump!$B:$B,$C774,Dump!$A:$A,$V774)</f>
        <v>0</v>
      </c>
      <c r="M774" s="28">
        <f>SUMIFS(Dump!R:R,Dump!B:B,C774,Dump!A:A,V774)</f>
        <v>0</v>
      </c>
      <c r="N774" s="29">
        <f t="shared" si="10"/>
        <v>0</v>
      </c>
      <c r="P774" s="30">
        <f>SUMIFS(Dump!E:E,Dump!B:B,C774,Dump!A:A,V774)</f>
        <v>0</v>
      </c>
      <c r="Q774" s="31">
        <f t="shared" si="11"/>
        <v>0</v>
      </c>
      <c r="S774" s="30">
        <f>SUMIFS(Dump!P:P,Dump!B:B,C774,Dump!A:A,V774)</f>
        <v>0</v>
      </c>
      <c r="T774" s="31">
        <f t="shared" si="12"/>
        <v>0</v>
      </c>
      <c r="U774" s="34"/>
      <c r="V774" s="47"/>
    </row>
    <row r="775">
      <c r="C775" s="46"/>
      <c r="G775" s="1" t="str">
        <f t="shared" si="16"/>
        <v/>
      </c>
      <c r="I775" s="33" t="str">
        <f t="shared" si="8"/>
        <v/>
      </c>
      <c r="K775" s="27"/>
      <c r="L775" s="28">
        <f>SUMIFS(Dump!$D:$D,Dump!$B:$B,$C775,Dump!$A:$A,$V775)</f>
        <v>0</v>
      </c>
      <c r="M775" s="28">
        <f>SUMIFS(Dump!R:R,Dump!B:B,C775,Dump!A:A,V775)</f>
        <v>0</v>
      </c>
      <c r="N775" s="29">
        <f t="shared" si="10"/>
        <v>0</v>
      </c>
      <c r="P775" s="30">
        <f>SUMIFS(Dump!E:E,Dump!B:B,C775,Dump!A:A,V775)</f>
        <v>0</v>
      </c>
      <c r="Q775" s="31">
        <f t="shared" si="11"/>
        <v>0</v>
      </c>
      <c r="S775" s="30">
        <f>SUMIFS(Dump!P:P,Dump!B:B,C775,Dump!A:A,V775)</f>
        <v>0</v>
      </c>
      <c r="T775" s="31">
        <f t="shared" si="12"/>
        <v>0</v>
      </c>
      <c r="U775" s="34"/>
      <c r="V775" s="47"/>
    </row>
    <row r="776">
      <c r="C776" s="46"/>
      <c r="G776" s="1" t="str">
        <f t="shared" si="16"/>
        <v/>
      </c>
      <c r="I776" s="33" t="str">
        <f t="shared" si="8"/>
        <v/>
      </c>
      <c r="K776" s="27"/>
      <c r="L776" s="28">
        <f>SUMIFS(Dump!$D:$D,Dump!$B:$B,$C776,Dump!$A:$A,$V776)</f>
        <v>0</v>
      </c>
      <c r="M776" s="28">
        <f>SUMIFS(Dump!R:R,Dump!B:B,C776,Dump!A:A,V776)</f>
        <v>0</v>
      </c>
      <c r="N776" s="29">
        <f t="shared" si="10"/>
        <v>0</v>
      </c>
      <c r="P776" s="30">
        <f>SUMIFS(Dump!E:E,Dump!B:B,C776,Dump!A:A,V776)</f>
        <v>0</v>
      </c>
      <c r="Q776" s="31">
        <f t="shared" si="11"/>
        <v>0</v>
      </c>
      <c r="S776" s="30">
        <f>SUMIFS(Dump!P:P,Dump!B:B,C776,Dump!A:A,V776)</f>
        <v>0</v>
      </c>
      <c r="T776" s="31">
        <f t="shared" si="12"/>
        <v>0</v>
      </c>
      <c r="U776" s="34"/>
      <c r="V776" s="47"/>
    </row>
    <row r="777">
      <c r="C777" s="46"/>
      <c r="G777" s="1" t="str">
        <f t="shared" si="16"/>
        <v/>
      </c>
      <c r="I777" s="33" t="str">
        <f t="shared" si="8"/>
        <v/>
      </c>
      <c r="K777" s="27"/>
      <c r="L777" s="28">
        <f>SUMIFS(Dump!$D:$D,Dump!$B:$B,$C777,Dump!$A:$A,$V777)</f>
        <v>0</v>
      </c>
      <c r="M777" s="28">
        <f>SUMIFS(Dump!R:R,Dump!B:B,C777,Dump!A:A,V777)</f>
        <v>0</v>
      </c>
      <c r="N777" s="29">
        <f t="shared" si="10"/>
        <v>0</v>
      </c>
      <c r="P777" s="30">
        <f>SUMIFS(Dump!E:E,Dump!B:B,C777,Dump!A:A,V777)</f>
        <v>0</v>
      </c>
      <c r="Q777" s="31">
        <f t="shared" si="11"/>
        <v>0</v>
      </c>
      <c r="S777" s="30">
        <f>SUMIFS(Dump!P:P,Dump!B:B,C777,Dump!A:A,V777)</f>
        <v>0</v>
      </c>
      <c r="T777" s="31">
        <f t="shared" si="12"/>
        <v>0</v>
      </c>
      <c r="U777" s="34"/>
      <c r="V777" s="47"/>
    </row>
    <row r="778">
      <c r="C778" s="46"/>
      <c r="G778" s="1" t="str">
        <f t="shared" si="16"/>
        <v/>
      </c>
      <c r="I778" s="33" t="str">
        <f t="shared" si="8"/>
        <v/>
      </c>
      <c r="K778" s="27"/>
      <c r="L778" s="28">
        <f>SUMIFS(Dump!$D:$D,Dump!$B:$B,$C778,Dump!$A:$A,$V778)</f>
        <v>0</v>
      </c>
      <c r="M778" s="28">
        <f>SUMIFS(Dump!R:R,Dump!B:B,C778,Dump!A:A,V778)</f>
        <v>0</v>
      </c>
      <c r="N778" s="29">
        <f t="shared" si="10"/>
        <v>0</v>
      </c>
      <c r="P778" s="30">
        <f>SUMIFS(Dump!E:E,Dump!B:B,C778,Dump!A:A,V778)</f>
        <v>0</v>
      </c>
      <c r="Q778" s="31">
        <f t="shared" si="11"/>
        <v>0</v>
      </c>
      <c r="S778" s="30">
        <f>SUMIFS(Dump!P:P,Dump!B:B,C778,Dump!A:A,V778)</f>
        <v>0</v>
      </c>
      <c r="T778" s="31">
        <f t="shared" si="12"/>
        <v>0</v>
      </c>
      <c r="U778" s="34"/>
      <c r="V778" s="47"/>
    </row>
    <row r="779">
      <c r="C779" s="46"/>
      <c r="G779" s="1" t="str">
        <f t="shared" si="16"/>
        <v/>
      </c>
      <c r="I779" s="33" t="str">
        <f t="shared" si="8"/>
        <v/>
      </c>
      <c r="K779" s="27"/>
      <c r="L779" s="28">
        <f>SUMIFS(Dump!$D:$D,Dump!$B:$B,$C779,Dump!$A:$A,$V779)</f>
        <v>0</v>
      </c>
      <c r="M779" s="28">
        <f>SUMIFS(Dump!R:R,Dump!B:B,C779,Dump!A:A,V779)</f>
        <v>0</v>
      </c>
      <c r="N779" s="29">
        <f t="shared" si="10"/>
        <v>0</v>
      </c>
      <c r="P779" s="30">
        <f>SUMIFS(Dump!E:E,Dump!B:B,C779,Dump!A:A,V779)</f>
        <v>0</v>
      </c>
      <c r="Q779" s="31">
        <f t="shared" si="11"/>
        <v>0</v>
      </c>
      <c r="S779" s="30">
        <f>SUMIFS(Dump!P:P,Dump!B:B,C779,Dump!A:A,V779)</f>
        <v>0</v>
      </c>
      <c r="T779" s="31">
        <f t="shared" si="12"/>
        <v>0</v>
      </c>
      <c r="U779" s="34"/>
      <c r="V779" s="47"/>
    </row>
    <row r="780">
      <c r="C780" s="46"/>
      <c r="G780" s="1" t="str">
        <f t="shared" si="16"/>
        <v/>
      </c>
      <c r="I780" s="33" t="str">
        <f t="shared" si="8"/>
        <v/>
      </c>
      <c r="K780" s="27"/>
      <c r="L780" s="28">
        <f>SUMIFS(Dump!$D:$D,Dump!$B:$B,$C780,Dump!$A:$A,$V780)</f>
        <v>0</v>
      </c>
      <c r="M780" s="28">
        <f>SUMIFS(Dump!R:R,Dump!B:B,C780,Dump!A:A,V780)</f>
        <v>0</v>
      </c>
      <c r="N780" s="29">
        <f t="shared" si="10"/>
        <v>0</v>
      </c>
      <c r="P780" s="30">
        <f>SUMIFS(Dump!E:E,Dump!B:B,C780,Dump!A:A,V780)</f>
        <v>0</v>
      </c>
      <c r="Q780" s="31">
        <f t="shared" si="11"/>
        <v>0</v>
      </c>
      <c r="S780" s="30">
        <f>SUMIFS(Dump!P:P,Dump!B:B,C780,Dump!A:A,V780)</f>
        <v>0</v>
      </c>
      <c r="T780" s="31">
        <f t="shared" si="12"/>
        <v>0</v>
      </c>
      <c r="U780" s="34"/>
      <c r="V780" s="47"/>
    </row>
    <row r="781">
      <c r="C781" s="46"/>
      <c r="G781" s="1" t="str">
        <f t="shared" si="16"/>
        <v/>
      </c>
      <c r="I781" s="33" t="str">
        <f t="shared" si="8"/>
        <v/>
      </c>
      <c r="K781" s="27"/>
      <c r="L781" s="28">
        <f>SUMIFS(Dump!$D:$D,Dump!$B:$B,$C781,Dump!$A:$A,$V781)</f>
        <v>0</v>
      </c>
      <c r="M781" s="28">
        <f>SUMIFS(Dump!R:R,Dump!B:B,C781,Dump!A:A,V781)</f>
        <v>0</v>
      </c>
      <c r="N781" s="29">
        <f t="shared" si="10"/>
        <v>0</v>
      </c>
      <c r="P781" s="30">
        <f>SUMIFS(Dump!E:E,Dump!B:B,C781,Dump!A:A,V781)</f>
        <v>0</v>
      </c>
      <c r="Q781" s="31">
        <f t="shared" si="11"/>
        <v>0</v>
      </c>
      <c r="S781" s="30">
        <f>SUMIFS(Dump!P:P,Dump!B:B,C781,Dump!A:A,V781)</f>
        <v>0</v>
      </c>
      <c r="T781" s="31">
        <f t="shared" si="12"/>
        <v>0</v>
      </c>
      <c r="U781" s="34"/>
      <c r="V781" s="47"/>
    </row>
    <row r="782">
      <c r="C782" s="46"/>
      <c r="G782" s="1" t="str">
        <f t="shared" si="16"/>
        <v/>
      </c>
      <c r="I782" s="33" t="str">
        <f t="shared" si="8"/>
        <v/>
      </c>
      <c r="K782" s="27"/>
      <c r="L782" s="28">
        <f>SUMIFS(Dump!$D:$D,Dump!$B:$B,$C782,Dump!$A:$A,$V782)</f>
        <v>0</v>
      </c>
      <c r="M782" s="28">
        <f>SUMIFS(Dump!R:R,Dump!B:B,C782,Dump!A:A,V782)</f>
        <v>0</v>
      </c>
      <c r="N782" s="29">
        <f t="shared" si="10"/>
        <v>0</v>
      </c>
      <c r="P782" s="30">
        <f>SUMIFS(Dump!E:E,Dump!B:B,C782,Dump!A:A,V782)</f>
        <v>0</v>
      </c>
      <c r="Q782" s="31">
        <f t="shared" si="11"/>
        <v>0</v>
      </c>
      <c r="S782" s="30">
        <f>SUMIFS(Dump!P:P,Dump!B:B,C782,Dump!A:A,V782)</f>
        <v>0</v>
      </c>
      <c r="T782" s="31">
        <f t="shared" si="12"/>
        <v>0</v>
      </c>
      <c r="U782" s="34"/>
      <c r="V782" s="47"/>
    </row>
    <row r="783">
      <c r="C783" s="46"/>
      <c r="G783" s="1" t="str">
        <f t="shared" si="16"/>
        <v/>
      </c>
      <c r="I783" s="33" t="str">
        <f t="shared" si="8"/>
        <v/>
      </c>
      <c r="K783" s="27"/>
      <c r="L783" s="28">
        <f>SUMIFS(Dump!$D:$D,Dump!$B:$B,$C783,Dump!$A:$A,$V783)</f>
        <v>0</v>
      </c>
      <c r="M783" s="28">
        <f>SUMIFS(Dump!R:R,Dump!B:B,C783,Dump!A:A,V783)</f>
        <v>0</v>
      </c>
      <c r="N783" s="29">
        <f t="shared" si="10"/>
        <v>0</v>
      </c>
      <c r="P783" s="30">
        <f>SUMIFS(Dump!E:E,Dump!B:B,C783,Dump!A:A,V783)</f>
        <v>0</v>
      </c>
      <c r="Q783" s="31">
        <f t="shared" si="11"/>
        <v>0</v>
      </c>
      <c r="S783" s="30">
        <f>SUMIFS(Dump!P:P,Dump!B:B,C783,Dump!A:A,V783)</f>
        <v>0</v>
      </c>
      <c r="T783" s="31">
        <f t="shared" si="12"/>
        <v>0</v>
      </c>
      <c r="U783" s="34"/>
      <c r="V783" s="47"/>
    </row>
    <row r="784">
      <c r="C784" s="46"/>
      <c r="G784" s="1" t="str">
        <f t="shared" si="16"/>
        <v/>
      </c>
      <c r="I784" s="33" t="str">
        <f t="shared" si="8"/>
        <v/>
      </c>
      <c r="K784" s="27"/>
      <c r="L784" s="28">
        <f>SUMIFS(Dump!$D:$D,Dump!$B:$B,$C784,Dump!$A:$A,$V784)</f>
        <v>0</v>
      </c>
      <c r="M784" s="28">
        <f>SUMIFS(Dump!R:R,Dump!B:B,C784,Dump!A:A,V784)</f>
        <v>0</v>
      </c>
      <c r="N784" s="29">
        <f t="shared" si="10"/>
        <v>0</v>
      </c>
      <c r="P784" s="30">
        <f>SUMIFS(Dump!E:E,Dump!B:B,C784,Dump!A:A,V784)</f>
        <v>0</v>
      </c>
      <c r="Q784" s="31">
        <f t="shared" si="11"/>
        <v>0</v>
      </c>
      <c r="S784" s="30">
        <f>SUMIFS(Dump!P:P,Dump!B:B,C784,Dump!A:A,V784)</f>
        <v>0</v>
      </c>
      <c r="T784" s="31">
        <f t="shared" si="12"/>
        <v>0</v>
      </c>
      <c r="U784" s="34"/>
      <c r="V784" s="47"/>
    </row>
    <row r="785">
      <c r="C785" s="46"/>
      <c r="G785" s="1" t="str">
        <f t="shared" si="16"/>
        <v/>
      </c>
      <c r="I785" s="33" t="str">
        <f t="shared" si="8"/>
        <v/>
      </c>
      <c r="K785" s="27"/>
      <c r="L785" s="28">
        <f>SUMIFS(Dump!$D:$D,Dump!$B:$B,$C785,Dump!$A:$A,$V785)</f>
        <v>0</v>
      </c>
      <c r="M785" s="28">
        <f>SUMIFS(Dump!R:R,Dump!B:B,C785,Dump!A:A,V785)</f>
        <v>0</v>
      </c>
      <c r="N785" s="29">
        <f t="shared" si="10"/>
        <v>0</v>
      </c>
      <c r="P785" s="30">
        <f>SUMIFS(Dump!E:E,Dump!B:B,C785,Dump!A:A,V785)</f>
        <v>0</v>
      </c>
      <c r="Q785" s="31">
        <f t="shared" si="11"/>
        <v>0</v>
      </c>
      <c r="S785" s="30">
        <f>SUMIFS(Dump!P:P,Dump!B:B,C785,Dump!A:A,V785)</f>
        <v>0</v>
      </c>
      <c r="T785" s="31">
        <f t="shared" si="12"/>
        <v>0</v>
      </c>
      <c r="U785" s="34"/>
      <c r="V785" s="47"/>
    </row>
    <row r="786">
      <c r="C786" s="46"/>
      <c r="G786" s="1" t="str">
        <f t="shared" si="16"/>
        <v/>
      </c>
      <c r="I786" s="33" t="str">
        <f t="shared" si="8"/>
        <v/>
      </c>
      <c r="K786" s="27"/>
      <c r="L786" s="28">
        <f>SUMIFS(Dump!$D:$D,Dump!$B:$B,$C786,Dump!$A:$A,$V786)</f>
        <v>0</v>
      </c>
      <c r="M786" s="28">
        <f>SUMIFS(Dump!R:R,Dump!B:B,C786,Dump!A:A,V786)</f>
        <v>0</v>
      </c>
      <c r="N786" s="29">
        <f t="shared" si="10"/>
        <v>0</v>
      </c>
      <c r="P786" s="30">
        <f>SUMIFS(Dump!E:E,Dump!B:B,C786,Dump!A:A,V786)</f>
        <v>0</v>
      </c>
      <c r="Q786" s="31">
        <f t="shared" si="11"/>
        <v>0</v>
      </c>
      <c r="S786" s="30">
        <f>SUMIFS(Dump!P:P,Dump!B:B,C786,Dump!A:A,V786)</f>
        <v>0</v>
      </c>
      <c r="T786" s="31">
        <f t="shared" si="12"/>
        <v>0</v>
      </c>
      <c r="U786" s="34"/>
      <c r="V786" s="47"/>
    </row>
    <row r="787">
      <c r="C787" s="46"/>
      <c r="G787" s="1" t="str">
        <f t="shared" si="16"/>
        <v/>
      </c>
      <c r="I787" s="33" t="str">
        <f t="shared" si="8"/>
        <v/>
      </c>
      <c r="K787" s="27"/>
      <c r="L787" s="28">
        <f>SUMIFS(Dump!$D:$D,Dump!$B:$B,$C787,Dump!$A:$A,$V787)</f>
        <v>0</v>
      </c>
      <c r="M787" s="28">
        <f>SUMIFS(Dump!R:R,Dump!B:B,C787,Dump!A:A,V787)</f>
        <v>0</v>
      </c>
      <c r="N787" s="29">
        <f t="shared" si="10"/>
        <v>0</v>
      </c>
      <c r="P787" s="30">
        <f>SUMIFS(Dump!E:E,Dump!B:B,C787,Dump!A:A,V787)</f>
        <v>0</v>
      </c>
      <c r="Q787" s="31">
        <f t="shared" si="11"/>
        <v>0</v>
      </c>
      <c r="S787" s="30">
        <f>SUMIFS(Dump!P:P,Dump!B:B,C787,Dump!A:A,V787)</f>
        <v>0</v>
      </c>
      <c r="T787" s="31">
        <f t="shared" si="12"/>
        <v>0</v>
      </c>
      <c r="U787" s="34"/>
      <c r="V787" s="47"/>
    </row>
    <row r="788">
      <c r="C788" s="46"/>
      <c r="G788" s="1" t="str">
        <f t="shared" si="16"/>
        <v/>
      </c>
      <c r="I788" s="33" t="str">
        <f t="shared" si="8"/>
        <v/>
      </c>
      <c r="K788" s="27"/>
      <c r="L788" s="28">
        <f>SUMIFS(Dump!$D:$D,Dump!$B:$B,$C788,Dump!$A:$A,$V788)</f>
        <v>0</v>
      </c>
      <c r="M788" s="28">
        <f>SUMIFS(Dump!R:R,Dump!B:B,C788,Dump!A:A,V788)</f>
        <v>0</v>
      </c>
      <c r="N788" s="29">
        <f t="shared" si="10"/>
        <v>0</v>
      </c>
      <c r="P788" s="30">
        <f>SUMIFS(Dump!E:E,Dump!B:B,C788,Dump!A:A,V788)</f>
        <v>0</v>
      </c>
      <c r="Q788" s="31">
        <f t="shared" si="11"/>
        <v>0</v>
      </c>
      <c r="S788" s="30">
        <f>SUMIFS(Dump!P:P,Dump!B:B,C788,Dump!A:A,V788)</f>
        <v>0</v>
      </c>
      <c r="T788" s="31">
        <f t="shared" si="12"/>
        <v>0</v>
      </c>
      <c r="U788" s="34"/>
      <c r="V788" s="47"/>
    </row>
    <row r="789">
      <c r="C789" s="46"/>
      <c r="G789" s="1" t="str">
        <f t="shared" si="16"/>
        <v/>
      </c>
      <c r="I789" s="33" t="str">
        <f t="shared" si="8"/>
        <v/>
      </c>
      <c r="K789" s="27"/>
      <c r="L789" s="28">
        <f>SUMIFS(Dump!$D:$D,Dump!$B:$B,$C789,Dump!$A:$A,$V789)</f>
        <v>0</v>
      </c>
      <c r="M789" s="28">
        <f>SUMIFS(Dump!R:R,Dump!B:B,C789,Dump!A:A,V789)</f>
        <v>0</v>
      </c>
      <c r="N789" s="29">
        <f t="shared" si="10"/>
        <v>0</v>
      </c>
      <c r="P789" s="30">
        <f>SUMIFS(Dump!E:E,Dump!B:B,C789,Dump!A:A,V789)</f>
        <v>0</v>
      </c>
      <c r="Q789" s="31">
        <f t="shared" si="11"/>
        <v>0</v>
      </c>
      <c r="S789" s="30">
        <f>SUMIFS(Dump!P:P,Dump!B:B,C789,Dump!A:A,V789)</f>
        <v>0</v>
      </c>
      <c r="T789" s="31">
        <f t="shared" si="12"/>
        <v>0</v>
      </c>
      <c r="U789" s="34"/>
      <c r="V789" s="47"/>
    </row>
    <row r="790">
      <c r="C790" s="46"/>
      <c r="G790" s="1" t="str">
        <f t="shared" si="16"/>
        <v/>
      </c>
      <c r="I790" s="33" t="str">
        <f t="shared" si="8"/>
        <v/>
      </c>
      <c r="K790" s="27"/>
      <c r="L790" s="28">
        <f>SUMIFS(Dump!$D:$D,Dump!$B:$B,$C790,Dump!$A:$A,$V790)</f>
        <v>0</v>
      </c>
      <c r="M790" s="28">
        <f>SUMIFS(Dump!R:R,Dump!B:B,C790,Dump!A:A,V790)</f>
        <v>0</v>
      </c>
      <c r="N790" s="29">
        <f t="shared" si="10"/>
        <v>0</v>
      </c>
      <c r="P790" s="30">
        <f>SUMIFS(Dump!E:E,Dump!B:B,C790,Dump!A:A,V790)</f>
        <v>0</v>
      </c>
      <c r="Q790" s="31">
        <f t="shared" si="11"/>
        <v>0</v>
      </c>
      <c r="S790" s="30">
        <f>SUMIFS(Dump!P:P,Dump!B:B,C790,Dump!A:A,V790)</f>
        <v>0</v>
      </c>
      <c r="T790" s="31">
        <f t="shared" si="12"/>
        <v>0</v>
      </c>
      <c r="U790" s="34"/>
      <c r="V790" s="47"/>
    </row>
    <row r="791">
      <c r="C791" s="46"/>
      <c r="G791" s="1" t="str">
        <f t="shared" si="16"/>
        <v/>
      </c>
      <c r="I791" s="33" t="str">
        <f t="shared" si="8"/>
        <v/>
      </c>
      <c r="K791" s="27"/>
      <c r="L791" s="28">
        <f>SUMIFS(Dump!$D:$D,Dump!$B:$B,$C791,Dump!$A:$A,$V791)</f>
        <v>0</v>
      </c>
      <c r="M791" s="28">
        <f>SUMIFS(Dump!R:R,Dump!B:B,C791,Dump!A:A,V791)</f>
        <v>0</v>
      </c>
      <c r="N791" s="29">
        <f t="shared" si="10"/>
        <v>0</v>
      </c>
      <c r="P791" s="30">
        <f>SUMIFS(Dump!E:E,Dump!B:B,C791,Dump!A:A,V791)</f>
        <v>0</v>
      </c>
      <c r="Q791" s="31">
        <f t="shared" si="11"/>
        <v>0</v>
      </c>
      <c r="S791" s="30">
        <f>SUMIFS(Dump!P:P,Dump!B:B,C791,Dump!A:A,V791)</f>
        <v>0</v>
      </c>
      <c r="T791" s="31">
        <f t="shared" si="12"/>
        <v>0</v>
      </c>
      <c r="U791" s="34"/>
      <c r="V791" s="47"/>
    </row>
    <row r="792">
      <c r="C792" s="46"/>
      <c r="G792" s="1" t="str">
        <f t="shared" si="16"/>
        <v/>
      </c>
      <c r="I792" s="33" t="str">
        <f t="shared" si="8"/>
        <v/>
      </c>
      <c r="K792" s="27"/>
      <c r="L792" s="28">
        <f>SUMIFS(Dump!$D:$D,Dump!$B:$B,$C792,Dump!$A:$A,$V792)</f>
        <v>0</v>
      </c>
      <c r="M792" s="28">
        <f>SUMIFS(Dump!R:R,Dump!B:B,C792,Dump!A:A,V792)</f>
        <v>0</v>
      </c>
      <c r="N792" s="29">
        <f t="shared" si="10"/>
        <v>0</v>
      </c>
      <c r="P792" s="30">
        <f>SUMIFS(Dump!E:E,Dump!B:B,C792,Dump!A:A,V792)</f>
        <v>0</v>
      </c>
      <c r="Q792" s="31">
        <f t="shared" si="11"/>
        <v>0</v>
      </c>
      <c r="S792" s="30">
        <f>SUMIFS(Dump!P:P,Dump!B:B,C792,Dump!A:A,V792)</f>
        <v>0</v>
      </c>
      <c r="T792" s="31">
        <f t="shared" si="12"/>
        <v>0</v>
      </c>
      <c r="U792" s="34"/>
      <c r="V792" s="47"/>
    </row>
    <row r="793">
      <c r="C793" s="46"/>
      <c r="G793" s="1" t="str">
        <f t="shared" si="16"/>
        <v/>
      </c>
      <c r="I793" s="33" t="str">
        <f t="shared" si="8"/>
        <v/>
      </c>
      <c r="K793" s="27"/>
      <c r="L793" s="28">
        <f>SUMIFS(Dump!$D:$D,Dump!$B:$B,$C793,Dump!$A:$A,$V793)</f>
        <v>0</v>
      </c>
      <c r="M793" s="28">
        <f>SUMIFS(Dump!R:R,Dump!B:B,C793,Dump!A:A,V793)</f>
        <v>0</v>
      </c>
      <c r="N793" s="29">
        <f t="shared" si="10"/>
        <v>0</v>
      </c>
      <c r="P793" s="30">
        <f>SUMIFS(Dump!E:E,Dump!B:B,C793,Dump!A:A,V793)</f>
        <v>0</v>
      </c>
      <c r="Q793" s="31">
        <f t="shared" si="11"/>
        <v>0</v>
      </c>
      <c r="S793" s="30">
        <f>SUMIFS(Dump!P:P,Dump!B:B,C793,Dump!A:A,V793)</f>
        <v>0</v>
      </c>
      <c r="T793" s="31">
        <f t="shared" si="12"/>
        <v>0</v>
      </c>
      <c r="U793" s="34"/>
      <c r="V793" s="47"/>
    </row>
    <row r="794">
      <c r="C794" s="46"/>
      <c r="G794" s="1" t="str">
        <f t="shared" si="16"/>
        <v/>
      </c>
      <c r="I794" s="33" t="str">
        <f t="shared" si="8"/>
        <v/>
      </c>
      <c r="K794" s="27"/>
      <c r="L794" s="28">
        <f>SUMIFS(Dump!$D:$D,Dump!$B:$B,$C794,Dump!$A:$A,$V794)</f>
        <v>0</v>
      </c>
      <c r="M794" s="28">
        <f>SUMIFS(Dump!R:R,Dump!B:B,C794,Dump!A:A,V794)</f>
        <v>0</v>
      </c>
      <c r="N794" s="29">
        <f t="shared" si="10"/>
        <v>0</v>
      </c>
      <c r="P794" s="30">
        <f>SUMIFS(Dump!E:E,Dump!B:B,C794,Dump!A:A,V794)</f>
        <v>0</v>
      </c>
      <c r="Q794" s="31">
        <f t="shared" si="11"/>
        <v>0</v>
      </c>
      <c r="S794" s="30">
        <f>SUMIFS(Dump!P:P,Dump!B:B,C794,Dump!A:A,V794)</f>
        <v>0</v>
      </c>
      <c r="T794" s="31">
        <f t="shared" si="12"/>
        <v>0</v>
      </c>
      <c r="U794" s="34"/>
      <c r="V794" s="47"/>
    </row>
    <row r="795">
      <c r="C795" s="46"/>
      <c r="G795" s="1" t="str">
        <f t="shared" si="16"/>
        <v/>
      </c>
      <c r="I795" s="33" t="str">
        <f t="shared" si="8"/>
        <v/>
      </c>
      <c r="K795" s="27"/>
      <c r="L795" s="28">
        <f>SUMIFS(Dump!$D:$D,Dump!$B:$B,$C795,Dump!$A:$A,$V795)</f>
        <v>0</v>
      </c>
      <c r="M795" s="28">
        <f>SUMIFS(Dump!R:R,Dump!B:B,C795,Dump!A:A,V795)</f>
        <v>0</v>
      </c>
      <c r="N795" s="29">
        <f t="shared" si="10"/>
        <v>0</v>
      </c>
      <c r="P795" s="30">
        <f>SUMIFS(Dump!E:E,Dump!B:B,C795,Dump!A:A,V795)</f>
        <v>0</v>
      </c>
      <c r="Q795" s="31">
        <f t="shared" si="11"/>
        <v>0</v>
      </c>
      <c r="S795" s="30">
        <f>SUMIFS(Dump!P:P,Dump!B:B,C795,Dump!A:A,V795)</f>
        <v>0</v>
      </c>
      <c r="T795" s="31">
        <f t="shared" si="12"/>
        <v>0</v>
      </c>
      <c r="U795" s="34"/>
      <c r="V795" s="47"/>
    </row>
    <row r="796">
      <c r="C796" s="46"/>
      <c r="G796" s="1" t="str">
        <f t="shared" si="16"/>
        <v/>
      </c>
      <c r="I796" s="33" t="str">
        <f t="shared" si="8"/>
        <v/>
      </c>
      <c r="K796" s="27"/>
      <c r="L796" s="28">
        <f>SUMIFS(Dump!$D:$D,Dump!$B:$B,$C796,Dump!$A:$A,$V796)</f>
        <v>0</v>
      </c>
      <c r="M796" s="28">
        <f>SUMIFS(Dump!R:R,Dump!B:B,C796,Dump!A:A,V796)</f>
        <v>0</v>
      </c>
      <c r="N796" s="29">
        <f t="shared" si="10"/>
        <v>0</v>
      </c>
      <c r="P796" s="30">
        <f>SUMIFS(Dump!E:E,Dump!B:B,C796,Dump!A:A,V796)</f>
        <v>0</v>
      </c>
      <c r="Q796" s="31">
        <f t="shared" si="11"/>
        <v>0</v>
      </c>
      <c r="S796" s="30">
        <f>SUMIFS(Dump!P:P,Dump!B:B,C796,Dump!A:A,V796)</f>
        <v>0</v>
      </c>
      <c r="T796" s="31">
        <f t="shared" si="12"/>
        <v>0</v>
      </c>
      <c r="U796" s="34"/>
      <c r="V796" s="47"/>
    </row>
    <row r="797">
      <c r="C797" s="46"/>
      <c r="G797" s="1" t="str">
        <f t="shared" si="16"/>
        <v/>
      </c>
      <c r="I797" s="33" t="str">
        <f t="shared" si="8"/>
        <v/>
      </c>
      <c r="K797" s="27"/>
      <c r="L797" s="28">
        <f>SUMIFS(Dump!$D:$D,Dump!$B:$B,$C797,Dump!$A:$A,$V797)</f>
        <v>0</v>
      </c>
      <c r="M797" s="28">
        <f>SUMIFS(Dump!R:R,Dump!B:B,C797,Dump!A:A,V797)</f>
        <v>0</v>
      </c>
      <c r="N797" s="29">
        <f t="shared" si="10"/>
        <v>0</v>
      </c>
      <c r="P797" s="30">
        <f>SUMIFS(Dump!E:E,Dump!B:B,C797,Dump!A:A,V797)</f>
        <v>0</v>
      </c>
      <c r="Q797" s="31">
        <f t="shared" si="11"/>
        <v>0</v>
      </c>
      <c r="S797" s="30">
        <f>SUMIFS(Dump!P:P,Dump!B:B,C797,Dump!A:A,V797)</f>
        <v>0</v>
      </c>
      <c r="T797" s="31">
        <f t="shared" si="12"/>
        <v>0</v>
      </c>
      <c r="U797" s="34"/>
      <c r="V797" s="47"/>
    </row>
    <row r="798">
      <c r="C798" s="46"/>
      <c r="G798" s="1" t="str">
        <f t="shared" si="16"/>
        <v/>
      </c>
      <c r="I798" s="33" t="str">
        <f t="shared" si="8"/>
        <v/>
      </c>
      <c r="K798" s="27"/>
      <c r="L798" s="28">
        <f>SUMIFS(Dump!$D:$D,Dump!$B:$B,$C798,Dump!$A:$A,$V798)</f>
        <v>0</v>
      </c>
      <c r="M798" s="28">
        <f>SUMIFS(Dump!R:R,Dump!B:B,C798,Dump!A:A,V798)</f>
        <v>0</v>
      </c>
      <c r="N798" s="29">
        <f t="shared" si="10"/>
        <v>0</v>
      </c>
      <c r="P798" s="30">
        <f>SUMIFS(Dump!E:E,Dump!B:B,C798,Dump!A:A,V798)</f>
        <v>0</v>
      </c>
      <c r="Q798" s="31">
        <f t="shared" si="11"/>
        <v>0</v>
      </c>
      <c r="S798" s="30">
        <f>SUMIFS(Dump!P:P,Dump!B:B,C798,Dump!A:A,V798)</f>
        <v>0</v>
      </c>
      <c r="T798" s="31">
        <f t="shared" si="12"/>
        <v>0</v>
      </c>
      <c r="U798" s="34"/>
      <c r="V798" s="47"/>
    </row>
    <row r="799">
      <c r="C799" s="46"/>
      <c r="G799" s="1" t="str">
        <f t="shared" si="16"/>
        <v/>
      </c>
      <c r="I799" s="33" t="str">
        <f t="shared" si="8"/>
        <v/>
      </c>
      <c r="K799" s="27"/>
      <c r="L799" s="28">
        <f>SUMIFS(Dump!$D:$D,Dump!$B:$B,$C799,Dump!$A:$A,$V799)</f>
        <v>0</v>
      </c>
      <c r="M799" s="28">
        <f>SUMIFS(Dump!R:R,Dump!B:B,C799,Dump!A:A,V799)</f>
        <v>0</v>
      </c>
      <c r="N799" s="29">
        <f t="shared" si="10"/>
        <v>0</v>
      </c>
      <c r="P799" s="30">
        <f>SUMIFS(Dump!E:E,Dump!B:B,C799,Dump!A:A,V799)</f>
        <v>0</v>
      </c>
      <c r="Q799" s="31">
        <f t="shared" si="11"/>
        <v>0</v>
      </c>
      <c r="S799" s="30">
        <f>SUMIFS(Dump!P:P,Dump!B:B,C799,Dump!A:A,V799)</f>
        <v>0</v>
      </c>
      <c r="T799" s="31">
        <f t="shared" si="12"/>
        <v>0</v>
      </c>
      <c r="U799" s="34"/>
      <c r="V799" s="47"/>
    </row>
    <row r="800">
      <c r="C800" s="46"/>
      <c r="G800" s="1" t="str">
        <f t="shared" si="16"/>
        <v/>
      </c>
      <c r="I800" s="33" t="str">
        <f t="shared" si="8"/>
        <v/>
      </c>
      <c r="K800" s="27"/>
      <c r="L800" s="28">
        <f>SUMIFS(Dump!$D:$D,Dump!$B:$B,$C800,Dump!$A:$A,$V800)</f>
        <v>0</v>
      </c>
      <c r="M800" s="28">
        <f>SUMIFS(Dump!R:R,Dump!B:B,C800,Dump!A:A,V800)</f>
        <v>0</v>
      </c>
      <c r="N800" s="29">
        <f t="shared" si="10"/>
        <v>0</v>
      </c>
      <c r="P800" s="30">
        <f>SUMIFS(Dump!E:E,Dump!B:B,C800,Dump!A:A,V800)</f>
        <v>0</v>
      </c>
      <c r="Q800" s="31">
        <f t="shared" si="11"/>
        <v>0</v>
      </c>
      <c r="S800" s="30">
        <f>SUMIFS(Dump!P:P,Dump!B:B,C800,Dump!A:A,V800)</f>
        <v>0</v>
      </c>
      <c r="T800" s="31">
        <f t="shared" si="12"/>
        <v>0</v>
      </c>
      <c r="U800" s="34"/>
      <c r="V800" s="47"/>
    </row>
    <row r="801">
      <c r="C801" s="46"/>
      <c r="G801" s="1" t="str">
        <f t="shared" si="16"/>
        <v/>
      </c>
      <c r="I801" s="33" t="str">
        <f t="shared" si="8"/>
        <v/>
      </c>
      <c r="K801" s="27"/>
      <c r="L801" s="28">
        <f>SUMIFS(Dump!$D:$D,Dump!$B:$B,$C801,Dump!$A:$A,$V801)</f>
        <v>0</v>
      </c>
      <c r="M801" s="28">
        <f>SUMIFS(Dump!R:R,Dump!B:B,C801,Dump!A:A,V801)</f>
        <v>0</v>
      </c>
      <c r="N801" s="29">
        <f t="shared" si="10"/>
        <v>0</v>
      </c>
      <c r="P801" s="30">
        <f>SUMIFS(Dump!E:E,Dump!B:B,C801,Dump!A:A,V801)</f>
        <v>0</v>
      </c>
      <c r="Q801" s="31">
        <f t="shared" si="11"/>
        <v>0</v>
      </c>
      <c r="S801" s="30">
        <f>SUMIFS(Dump!P:P,Dump!B:B,C801,Dump!A:A,V801)</f>
        <v>0</v>
      </c>
      <c r="T801" s="31">
        <f t="shared" si="12"/>
        <v>0</v>
      </c>
      <c r="U801" s="34"/>
      <c r="V801" s="47"/>
    </row>
    <row r="802">
      <c r="C802" s="46"/>
      <c r="G802" s="1" t="str">
        <f t="shared" si="16"/>
        <v/>
      </c>
      <c r="I802" s="33" t="str">
        <f t="shared" si="8"/>
        <v/>
      </c>
      <c r="K802" s="27"/>
      <c r="L802" s="28">
        <f>SUMIFS(Dump!$D:$D,Dump!$B:$B,$C802,Dump!$A:$A,$V802)</f>
        <v>0</v>
      </c>
      <c r="M802" s="28">
        <f>SUMIFS(Dump!R:R,Dump!B:B,C802,Dump!A:A,V802)</f>
        <v>0</v>
      </c>
      <c r="N802" s="29">
        <f t="shared" si="10"/>
        <v>0</v>
      </c>
      <c r="P802" s="30">
        <f>SUMIFS(Dump!E:E,Dump!B:B,C802,Dump!A:A,V802)</f>
        <v>0</v>
      </c>
      <c r="Q802" s="31">
        <f t="shared" si="11"/>
        <v>0</v>
      </c>
      <c r="S802" s="30">
        <f>SUMIFS(Dump!P:P,Dump!B:B,C802,Dump!A:A,V802)</f>
        <v>0</v>
      </c>
      <c r="T802" s="31">
        <f t="shared" si="12"/>
        <v>0</v>
      </c>
      <c r="U802" s="34"/>
      <c r="V802" s="47"/>
    </row>
    <row r="803">
      <c r="C803" s="46"/>
      <c r="G803" s="1" t="str">
        <f t="shared" si="16"/>
        <v/>
      </c>
      <c r="I803" s="33" t="str">
        <f t="shared" si="8"/>
        <v/>
      </c>
      <c r="K803" s="27"/>
      <c r="L803" s="28">
        <f>SUMIFS(Dump!$D:$D,Dump!$B:$B,$C803,Dump!$A:$A,$V803)</f>
        <v>0</v>
      </c>
      <c r="M803" s="28">
        <f>SUMIFS(Dump!R:R,Dump!B:B,C803,Dump!A:A,V803)</f>
        <v>0</v>
      </c>
      <c r="N803" s="29">
        <f t="shared" si="10"/>
        <v>0</v>
      </c>
      <c r="P803" s="30">
        <f>SUMIFS(Dump!E:E,Dump!B:B,C803,Dump!A:A,V803)</f>
        <v>0</v>
      </c>
      <c r="Q803" s="31">
        <f t="shared" si="11"/>
        <v>0</v>
      </c>
      <c r="S803" s="30">
        <f>SUMIFS(Dump!P:P,Dump!B:B,C803,Dump!A:A,V803)</f>
        <v>0</v>
      </c>
      <c r="T803" s="31">
        <f t="shared" si="12"/>
        <v>0</v>
      </c>
      <c r="U803" s="34"/>
      <c r="V803" s="47"/>
    </row>
    <row r="804">
      <c r="C804" s="46"/>
      <c r="G804" s="1" t="str">
        <f t="shared" si="16"/>
        <v/>
      </c>
      <c r="I804" s="33" t="str">
        <f t="shared" si="8"/>
        <v/>
      </c>
      <c r="K804" s="27"/>
      <c r="L804" s="28">
        <f>SUMIFS(Dump!$D:$D,Dump!$B:$B,$C804,Dump!$A:$A,$V804)</f>
        <v>0</v>
      </c>
      <c r="M804" s="28">
        <f>SUMIFS(Dump!R:R,Dump!B:B,C804,Dump!A:A,V804)</f>
        <v>0</v>
      </c>
      <c r="N804" s="29">
        <f t="shared" si="10"/>
        <v>0</v>
      </c>
      <c r="P804" s="30">
        <f>SUMIFS(Dump!E:E,Dump!B:B,C804,Dump!A:A,V804)</f>
        <v>0</v>
      </c>
      <c r="Q804" s="31">
        <f t="shared" si="11"/>
        <v>0</v>
      </c>
      <c r="S804" s="30">
        <f>SUMIFS(Dump!P:P,Dump!B:B,C804,Dump!A:A,V804)</f>
        <v>0</v>
      </c>
      <c r="T804" s="31">
        <f t="shared" si="12"/>
        <v>0</v>
      </c>
      <c r="U804" s="34"/>
      <c r="V804" s="47"/>
    </row>
    <row r="805">
      <c r="C805" s="46"/>
      <c r="G805" s="1" t="str">
        <f t="shared" si="16"/>
        <v/>
      </c>
      <c r="I805" s="33" t="str">
        <f t="shared" si="8"/>
        <v/>
      </c>
      <c r="K805" s="27"/>
      <c r="L805" s="28">
        <f>SUMIFS(Dump!$D:$D,Dump!$B:$B,$C805,Dump!$A:$A,$V805)</f>
        <v>0</v>
      </c>
      <c r="M805" s="28">
        <f>SUMIFS(Dump!R:R,Dump!B:B,C805,Dump!A:A,V805)</f>
        <v>0</v>
      </c>
      <c r="N805" s="29">
        <f t="shared" si="10"/>
        <v>0</v>
      </c>
      <c r="P805" s="30">
        <f>SUMIFS(Dump!E:E,Dump!B:B,C805,Dump!A:A,V805)</f>
        <v>0</v>
      </c>
      <c r="Q805" s="31">
        <f t="shared" si="11"/>
        <v>0</v>
      </c>
      <c r="S805" s="30">
        <f>SUMIFS(Dump!P:P,Dump!B:B,C805,Dump!A:A,V805)</f>
        <v>0</v>
      </c>
      <c r="T805" s="31">
        <f t="shared" si="12"/>
        <v>0</v>
      </c>
      <c r="U805" s="34"/>
      <c r="V805" s="47"/>
    </row>
    <row r="806">
      <c r="C806" s="46"/>
      <c r="G806" s="1" t="str">
        <f t="shared" si="16"/>
        <v/>
      </c>
      <c r="I806" s="33" t="str">
        <f t="shared" si="8"/>
        <v/>
      </c>
      <c r="K806" s="27"/>
      <c r="L806" s="28">
        <f>SUMIFS(Dump!$D:$D,Dump!$B:$B,$C806,Dump!$A:$A,$V806)</f>
        <v>0</v>
      </c>
      <c r="M806" s="28">
        <f>SUMIFS(Dump!R:R,Dump!B:B,C806,Dump!A:A,V806)</f>
        <v>0</v>
      </c>
      <c r="N806" s="29">
        <f t="shared" si="10"/>
        <v>0</v>
      </c>
      <c r="P806" s="30">
        <f>SUMIFS(Dump!E:E,Dump!B:B,C806,Dump!A:A,V806)</f>
        <v>0</v>
      </c>
      <c r="Q806" s="31">
        <f t="shared" si="11"/>
        <v>0</v>
      </c>
      <c r="S806" s="30">
        <f>SUMIFS(Dump!P:P,Dump!B:B,C806,Dump!A:A,V806)</f>
        <v>0</v>
      </c>
      <c r="T806" s="31">
        <f t="shared" si="12"/>
        <v>0</v>
      </c>
      <c r="U806" s="34"/>
      <c r="V806" s="47"/>
    </row>
    <row r="807">
      <c r="C807" s="46"/>
      <c r="G807" s="1" t="str">
        <f t="shared" si="16"/>
        <v/>
      </c>
      <c r="I807" s="33" t="str">
        <f t="shared" si="8"/>
        <v/>
      </c>
      <c r="K807" s="27"/>
      <c r="L807" s="28">
        <f>SUMIFS(Dump!$D:$D,Dump!$B:$B,$C807,Dump!$A:$A,$V807)</f>
        <v>0</v>
      </c>
      <c r="M807" s="28">
        <f>SUMIFS(Dump!R:R,Dump!B:B,C807,Dump!A:A,V807)</f>
        <v>0</v>
      </c>
      <c r="N807" s="29">
        <f t="shared" si="10"/>
        <v>0</v>
      </c>
      <c r="P807" s="30">
        <f>SUMIFS(Dump!E:E,Dump!B:B,C807,Dump!A:A,V807)</f>
        <v>0</v>
      </c>
      <c r="Q807" s="31">
        <f t="shared" si="11"/>
        <v>0</v>
      </c>
      <c r="S807" s="30">
        <f>SUMIFS(Dump!P:P,Dump!B:B,C807,Dump!A:A,V807)</f>
        <v>0</v>
      </c>
      <c r="T807" s="31">
        <f t="shared" si="12"/>
        <v>0</v>
      </c>
      <c r="U807" s="34"/>
      <c r="V807" s="47"/>
    </row>
    <row r="808">
      <c r="C808" s="46"/>
      <c r="G808" s="1" t="str">
        <f t="shared" si="16"/>
        <v/>
      </c>
      <c r="I808" s="33" t="str">
        <f t="shared" si="8"/>
        <v/>
      </c>
      <c r="K808" s="27"/>
      <c r="L808" s="28">
        <f>SUMIFS(Dump!$D:$D,Dump!$B:$B,$C808,Dump!$A:$A,$V808)</f>
        <v>0</v>
      </c>
      <c r="M808" s="28">
        <f>SUMIFS(Dump!R:R,Dump!B:B,C808,Dump!A:A,V808)</f>
        <v>0</v>
      </c>
      <c r="N808" s="29">
        <f t="shared" si="10"/>
        <v>0</v>
      </c>
      <c r="P808" s="30">
        <f>SUMIFS(Dump!E:E,Dump!B:B,C808,Dump!A:A,V808)</f>
        <v>0</v>
      </c>
      <c r="Q808" s="31">
        <f t="shared" si="11"/>
        <v>0</v>
      </c>
      <c r="S808" s="30">
        <f>SUMIFS(Dump!P:P,Dump!B:B,C808,Dump!A:A,V808)</f>
        <v>0</v>
      </c>
      <c r="T808" s="31">
        <f t="shared" si="12"/>
        <v>0</v>
      </c>
      <c r="U808" s="34"/>
      <c r="V808" s="47"/>
    </row>
    <row r="809">
      <c r="C809" s="46"/>
      <c r="G809" s="1" t="str">
        <f t="shared" si="16"/>
        <v/>
      </c>
      <c r="I809" s="33" t="str">
        <f t="shared" si="8"/>
        <v/>
      </c>
      <c r="K809" s="27"/>
      <c r="L809" s="28">
        <f>SUMIFS(Dump!$D:$D,Dump!$B:$B,$C809,Dump!$A:$A,$V809)</f>
        <v>0</v>
      </c>
      <c r="M809" s="28">
        <f>SUMIFS(Dump!R:R,Dump!B:B,C809,Dump!A:A,V809)</f>
        <v>0</v>
      </c>
      <c r="N809" s="29">
        <f t="shared" si="10"/>
        <v>0</v>
      </c>
      <c r="P809" s="30">
        <f>SUMIFS(Dump!E:E,Dump!B:B,C809,Dump!A:A,V809)</f>
        <v>0</v>
      </c>
      <c r="Q809" s="31">
        <f t="shared" si="11"/>
        <v>0</v>
      </c>
      <c r="S809" s="30">
        <f>SUMIFS(Dump!P:P,Dump!B:B,C809,Dump!A:A,V809)</f>
        <v>0</v>
      </c>
      <c r="T809" s="31">
        <f t="shared" si="12"/>
        <v>0</v>
      </c>
      <c r="U809" s="34"/>
      <c r="V809" s="47"/>
    </row>
    <row r="810">
      <c r="C810" s="46"/>
      <c r="G810" s="1" t="str">
        <f t="shared" si="16"/>
        <v/>
      </c>
      <c r="I810" s="33" t="str">
        <f t="shared" si="8"/>
        <v/>
      </c>
      <c r="K810" s="27"/>
      <c r="L810" s="28">
        <f>SUMIFS(Dump!$D:$D,Dump!$B:$B,$C810,Dump!$A:$A,$V810)</f>
        <v>0</v>
      </c>
      <c r="M810" s="28">
        <f>SUMIFS(Dump!R:R,Dump!B:B,C810,Dump!A:A,V810)</f>
        <v>0</v>
      </c>
      <c r="N810" s="29">
        <f t="shared" si="10"/>
        <v>0</v>
      </c>
      <c r="P810" s="30">
        <f>SUMIFS(Dump!E:E,Dump!B:B,C810,Dump!A:A,V810)</f>
        <v>0</v>
      </c>
      <c r="Q810" s="31">
        <f t="shared" si="11"/>
        <v>0</v>
      </c>
      <c r="S810" s="30">
        <f>SUMIFS(Dump!P:P,Dump!B:B,C810,Dump!A:A,V810)</f>
        <v>0</v>
      </c>
      <c r="T810" s="31">
        <f t="shared" si="12"/>
        <v>0</v>
      </c>
      <c r="U810" s="34"/>
      <c r="V810" s="47"/>
    </row>
    <row r="811">
      <c r="C811" s="46"/>
      <c r="G811" s="1" t="str">
        <f t="shared" si="16"/>
        <v/>
      </c>
      <c r="I811" s="33" t="str">
        <f t="shared" si="8"/>
        <v/>
      </c>
      <c r="K811" s="27"/>
      <c r="L811" s="28">
        <f>SUMIFS(Dump!$D:$D,Dump!$B:$B,$C811,Dump!$A:$A,$V811)</f>
        <v>0</v>
      </c>
      <c r="M811" s="28">
        <f>SUMIFS(Dump!R:R,Dump!B:B,C811,Dump!A:A,V811)</f>
        <v>0</v>
      </c>
      <c r="N811" s="29">
        <f t="shared" si="10"/>
        <v>0</v>
      </c>
      <c r="P811" s="30">
        <f>SUMIFS(Dump!E:E,Dump!B:B,C811,Dump!A:A,V811)</f>
        <v>0</v>
      </c>
      <c r="Q811" s="31">
        <f t="shared" si="11"/>
        <v>0</v>
      </c>
      <c r="S811" s="30">
        <f>SUMIFS(Dump!P:P,Dump!B:B,C811,Dump!A:A,V811)</f>
        <v>0</v>
      </c>
      <c r="T811" s="31">
        <f t="shared" si="12"/>
        <v>0</v>
      </c>
      <c r="U811" s="34"/>
      <c r="V811" s="47"/>
    </row>
    <row r="812">
      <c r="C812" s="46"/>
      <c r="G812" s="1" t="str">
        <f t="shared" si="16"/>
        <v/>
      </c>
      <c r="I812" s="33" t="str">
        <f t="shared" si="8"/>
        <v/>
      </c>
      <c r="K812" s="27"/>
      <c r="L812" s="28">
        <f>SUMIFS(Dump!$D:$D,Dump!$B:$B,$C812,Dump!$A:$A,$V812)</f>
        <v>0</v>
      </c>
      <c r="M812" s="28">
        <f>SUMIFS(Dump!R:R,Dump!B:B,C812,Dump!A:A,V812)</f>
        <v>0</v>
      </c>
      <c r="N812" s="29">
        <f t="shared" si="10"/>
        <v>0</v>
      </c>
      <c r="P812" s="30">
        <f>SUMIFS(Dump!E:E,Dump!B:B,C812,Dump!A:A,V812)</f>
        <v>0</v>
      </c>
      <c r="Q812" s="31">
        <f t="shared" si="11"/>
        <v>0</v>
      </c>
      <c r="S812" s="30">
        <f>SUMIFS(Dump!P:P,Dump!B:B,C812,Dump!A:A,V812)</f>
        <v>0</v>
      </c>
      <c r="T812" s="31">
        <f t="shared" si="12"/>
        <v>0</v>
      </c>
      <c r="U812" s="34"/>
      <c r="V812" s="47"/>
    </row>
    <row r="813">
      <c r="C813" s="46"/>
      <c r="G813" s="1" t="str">
        <f t="shared" si="16"/>
        <v/>
      </c>
      <c r="I813" s="33" t="str">
        <f t="shared" si="8"/>
        <v/>
      </c>
      <c r="K813" s="27"/>
      <c r="L813" s="28">
        <f>SUMIFS(Dump!$D:$D,Dump!$B:$B,$C813,Dump!$A:$A,$V813)</f>
        <v>0</v>
      </c>
      <c r="M813" s="28">
        <f>SUMIFS(Dump!R:R,Dump!B:B,C813,Dump!A:A,V813)</f>
        <v>0</v>
      </c>
      <c r="N813" s="29">
        <f t="shared" si="10"/>
        <v>0</v>
      </c>
      <c r="P813" s="30">
        <f>SUMIFS(Dump!E:E,Dump!B:B,C813,Dump!A:A,V813)</f>
        <v>0</v>
      </c>
      <c r="Q813" s="31">
        <f t="shared" si="11"/>
        <v>0</v>
      </c>
      <c r="S813" s="30">
        <f>SUMIFS(Dump!P:P,Dump!B:B,C813,Dump!A:A,V813)</f>
        <v>0</v>
      </c>
      <c r="T813" s="31">
        <f t="shared" si="12"/>
        <v>0</v>
      </c>
      <c r="U813" s="34"/>
      <c r="V813" s="47"/>
    </row>
    <row r="814">
      <c r="C814" s="46"/>
      <c r="G814" s="1" t="str">
        <f t="shared" si="16"/>
        <v/>
      </c>
      <c r="I814" s="33" t="str">
        <f t="shared" si="8"/>
        <v/>
      </c>
      <c r="K814" s="27"/>
      <c r="L814" s="28">
        <f>SUMIFS(Dump!$D:$D,Dump!$B:$B,$C814,Dump!$A:$A,$V814)</f>
        <v>0</v>
      </c>
      <c r="M814" s="28">
        <f>SUMIFS(Dump!R:R,Dump!B:B,C814,Dump!A:A,V814)</f>
        <v>0</v>
      </c>
      <c r="N814" s="29">
        <f t="shared" si="10"/>
        <v>0</v>
      </c>
      <c r="P814" s="30">
        <f>SUMIFS(Dump!E:E,Dump!B:B,C814,Dump!A:A,V814)</f>
        <v>0</v>
      </c>
      <c r="Q814" s="31">
        <f t="shared" si="11"/>
        <v>0</v>
      </c>
      <c r="S814" s="30">
        <f>SUMIFS(Dump!P:P,Dump!B:B,C814,Dump!A:A,V814)</f>
        <v>0</v>
      </c>
      <c r="T814" s="31">
        <f t="shared" si="12"/>
        <v>0</v>
      </c>
      <c r="U814" s="34"/>
      <c r="V814" s="47"/>
    </row>
    <row r="815">
      <c r="C815" s="46"/>
      <c r="G815" s="1" t="str">
        <f t="shared" si="16"/>
        <v/>
      </c>
      <c r="I815" s="33" t="str">
        <f t="shared" si="8"/>
        <v/>
      </c>
      <c r="K815" s="27"/>
      <c r="L815" s="28">
        <f>SUMIFS(Dump!$D:$D,Dump!$B:$B,$C815,Dump!$A:$A,$V815)</f>
        <v>0</v>
      </c>
      <c r="M815" s="28">
        <f>SUMIFS(Dump!R:R,Dump!B:B,C815,Dump!A:A,V815)</f>
        <v>0</v>
      </c>
      <c r="N815" s="29">
        <f t="shared" si="10"/>
        <v>0</v>
      </c>
      <c r="P815" s="30">
        <f>SUMIFS(Dump!E:E,Dump!B:B,C815,Dump!A:A,V815)</f>
        <v>0</v>
      </c>
      <c r="Q815" s="31">
        <f t="shared" si="11"/>
        <v>0</v>
      </c>
      <c r="S815" s="30">
        <f>SUMIFS(Dump!P:P,Dump!B:B,C815,Dump!A:A,V815)</f>
        <v>0</v>
      </c>
      <c r="T815" s="31">
        <f t="shared" si="12"/>
        <v>0</v>
      </c>
      <c r="U815" s="34"/>
      <c r="V815" s="47"/>
    </row>
    <row r="816">
      <c r="C816" s="46"/>
      <c r="G816" s="1" t="str">
        <f t="shared" si="16"/>
        <v/>
      </c>
      <c r="I816" s="33" t="str">
        <f t="shared" si="8"/>
        <v/>
      </c>
      <c r="K816" s="27"/>
      <c r="L816" s="28">
        <f>SUMIFS(Dump!$D:$D,Dump!$B:$B,$C816,Dump!$A:$A,$V816)</f>
        <v>0</v>
      </c>
      <c r="M816" s="28">
        <f>SUMIFS(Dump!R:R,Dump!B:B,C816,Dump!A:A,V816)</f>
        <v>0</v>
      </c>
      <c r="N816" s="29">
        <f t="shared" si="10"/>
        <v>0</v>
      </c>
      <c r="P816" s="30">
        <f>SUMIFS(Dump!E:E,Dump!B:B,C816,Dump!A:A,V816)</f>
        <v>0</v>
      </c>
      <c r="Q816" s="31">
        <f t="shared" si="11"/>
        <v>0</v>
      </c>
      <c r="S816" s="30">
        <f>SUMIFS(Dump!P:P,Dump!B:B,C816,Dump!A:A,V816)</f>
        <v>0</v>
      </c>
      <c r="T816" s="31">
        <f t="shared" si="12"/>
        <v>0</v>
      </c>
      <c r="U816" s="34"/>
      <c r="V816" s="47"/>
    </row>
    <row r="817">
      <c r="C817" s="46"/>
      <c r="G817" s="1" t="str">
        <f t="shared" si="16"/>
        <v/>
      </c>
      <c r="I817" s="33" t="str">
        <f t="shared" si="8"/>
        <v/>
      </c>
      <c r="K817" s="27"/>
      <c r="L817" s="28">
        <f>SUMIFS(Dump!$D:$D,Dump!$B:$B,$C817,Dump!$A:$A,$V817)</f>
        <v>0</v>
      </c>
      <c r="M817" s="28">
        <f>SUMIFS(Dump!R:R,Dump!B:B,C817,Dump!A:A,V817)</f>
        <v>0</v>
      </c>
      <c r="N817" s="29">
        <f t="shared" si="10"/>
        <v>0</v>
      </c>
      <c r="P817" s="30">
        <f>SUMIFS(Dump!E:E,Dump!B:B,C817,Dump!A:A,V817)</f>
        <v>0</v>
      </c>
      <c r="Q817" s="31">
        <f t="shared" si="11"/>
        <v>0</v>
      </c>
      <c r="S817" s="30">
        <f>SUMIFS(Dump!P:P,Dump!B:B,C817,Dump!A:A,V817)</f>
        <v>0</v>
      </c>
      <c r="T817" s="31">
        <f t="shared" si="12"/>
        <v>0</v>
      </c>
      <c r="U817" s="34"/>
      <c r="V817" s="47"/>
    </row>
    <row r="818">
      <c r="C818" s="46"/>
      <c r="G818" s="1" t="str">
        <f t="shared" si="16"/>
        <v/>
      </c>
      <c r="I818" s="33" t="str">
        <f t="shared" si="8"/>
        <v/>
      </c>
      <c r="K818" s="27"/>
      <c r="L818" s="28">
        <f>SUMIFS(Dump!$D:$D,Dump!$B:$B,$C818,Dump!$A:$A,$V818)</f>
        <v>0</v>
      </c>
      <c r="M818" s="28">
        <f>SUMIFS(Dump!R:R,Dump!B:B,C818,Dump!A:A,V818)</f>
        <v>0</v>
      </c>
      <c r="N818" s="29">
        <f t="shared" si="10"/>
        <v>0</v>
      </c>
      <c r="P818" s="30">
        <f>SUMIFS(Dump!E:E,Dump!B:B,C818,Dump!A:A,V818)</f>
        <v>0</v>
      </c>
      <c r="Q818" s="31">
        <f t="shared" si="11"/>
        <v>0</v>
      </c>
      <c r="S818" s="30">
        <f>SUMIFS(Dump!P:P,Dump!B:B,C818,Dump!A:A,V818)</f>
        <v>0</v>
      </c>
      <c r="T818" s="31">
        <f t="shared" si="12"/>
        <v>0</v>
      </c>
      <c r="U818" s="34"/>
      <c r="V818" s="47"/>
    </row>
    <row r="819">
      <c r="C819" s="46"/>
      <c r="G819" s="1" t="str">
        <f t="shared" si="16"/>
        <v/>
      </c>
      <c r="I819" s="33" t="str">
        <f t="shared" si="8"/>
        <v/>
      </c>
      <c r="K819" s="27"/>
      <c r="L819" s="28">
        <f>SUMIFS(Dump!$D:$D,Dump!$B:$B,$C819,Dump!$A:$A,$V819)</f>
        <v>0</v>
      </c>
      <c r="M819" s="28">
        <f>SUMIFS(Dump!R:R,Dump!B:B,C819,Dump!A:A,V819)</f>
        <v>0</v>
      </c>
      <c r="N819" s="29">
        <f t="shared" si="10"/>
        <v>0</v>
      </c>
      <c r="P819" s="30">
        <f>SUMIFS(Dump!E:E,Dump!B:B,C819,Dump!A:A,V819)</f>
        <v>0</v>
      </c>
      <c r="Q819" s="31">
        <f t="shared" si="11"/>
        <v>0</v>
      </c>
      <c r="S819" s="30">
        <f>SUMIFS(Dump!P:P,Dump!B:B,C819,Dump!A:A,V819)</f>
        <v>0</v>
      </c>
      <c r="T819" s="31">
        <f t="shared" si="12"/>
        <v>0</v>
      </c>
      <c r="U819" s="34"/>
      <c r="V819" s="47"/>
    </row>
    <row r="820">
      <c r="C820" s="46"/>
      <c r="G820" s="1" t="str">
        <f t="shared" si="16"/>
        <v/>
      </c>
      <c r="I820" s="33" t="str">
        <f t="shared" si="8"/>
        <v/>
      </c>
      <c r="K820" s="27"/>
      <c r="L820" s="28">
        <f>SUMIFS(Dump!$D:$D,Dump!$B:$B,$C820,Dump!$A:$A,$V820)</f>
        <v>0</v>
      </c>
      <c r="M820" s="28">
        <f>SUMIFS(Dump!R:R,Dump!B:B,C820,Dump!A:A,V820)</f>
        <v>0</v>
      </c>
      <c r="N820" s="29">
        <f t="shared" si="10"/>
        <v>0</v>
      </c>
      <c r="P820" s="30">
        <f>SUMIFS(Dump!E:E,Dump!B:B,C820,Dump!A:A,V820)</f>
        <v>0</v>
      </c>
      <c r="Q820" s="31">
        <f t="shared" si="11"/>
        <v>0</v>
      </c>
      <c r="S820" s="30">
        <f>SUMIFS(Dump!P:P,Dump!B:B,C820,Dump!A:A,V820)</f>
        <v>0</v>
      </c>
      <c r="T820" s="31">
        <f t="shared" si="12"/>
        <v>0</v>
      </c>
      <c r="U820" s="34"/>
      <c r="V820" s="47"/>
    </row>
    <row r="821">
      <c r="C821" s="46"/>
      <c r="G821" s="1" t="str">
        <f t="shared" si="16"/>
        <v/>
      </c>
      <c r="I821" s="33" t="str">
        <f t="shared" si="8"/>
        <v/>
      </c>
      <c r="K821" s="27"/>
      <c r="L821" s="28">
        <f>SUMIFS(Dump!$D:$D,Dump!$B:$B,$C821,Dump!$A:$A,$V821)</f>
        <v>0</v>
      </c>
      <c r="M821" s="28">
        <f>SUMIFS(Dump!R:R,Dump!B:B,C821,Dump!A:A,V821)</f>
        <v>0</v>
      </c>
      <c r="N821" s="29">
        <f t="shared" si="10"/>
        <v>0</v>
      </c>
      <c r="P821" s="30">
        <f>SUMIFS(Dump!E:E,Dump!B:B,C821,Dump!A:A,V821)</f>
        <v>0</v>
      </c>
      <c r="Q821" s="31">
        <f t="shared" si="11"/>
        <v>0</v>
      </c>
      <c r="S821" s="30">
        <f>SUMIFS(Dump!P:P,Dump!B:B,C821,Dump!A:A,V821)</f>
        <v>0</v>
      </c>
      <c r="T821" s="31">
        <f t="shared" si="12"/>
        <v>0</v>
      </c>
      <c r="U821" s="34"/>
      <c r="V821" s="47"/>
    </row>
    <row r="822">
      <c r="C822" s="46"/>
      <c r="G822" s="1" t="str">
        <f t="shared" si="16"/>
        <v/>
      </c>
      <c r="I822" s="33" t="str">
        <f t="shared" si="8"/>
        <v/>
      </c>
      <c r="K822" s="27"/>
      <c r="L822" s="28">
        <f>SUMIFS(Dump!$D:$D,Dump!$B:$B,$C822,Dump!$A:$A,$V822)</f>
        <v>0</v>
      </c>
      <c r="M822" s="28">
        <f>SUMIFS(Dump!R:R,Dump!B:B,C822,Dump!A:A,V822)</f>
        <v>0</v>
      </c>
      <c r="N822" s="29">
        <f t="shared" si="10"/>
        <v>0</v>
      </c>
      <c r="P822" s="30">
        <f>SUMIFS(Dump!E:E,Dump!B:B,C822,Dump!A:A,V822)</f>
        <v>0</v>
      </c>
      <c r="Q822" s="31">
        <f t="shared" si="11"/>
        <v>0</v>
      </c>
      <c r="S822" s="30">
        <f>SUMIFS(Dump!P:P,Dump!B:B,C822,Dump!A:A,V822)</f>
        <v>0</v>
      </c>
      <c r="T822" s="31">
        <f t="shared" si="12"/>
        <v>0</v>
      </c>
      <c r="U822" s="34"/>
      <c r="V822" s="47"/>
    </row>
    <row r="823">
      <c r="C823" s="46"/>
      <c r="G823" s="1" t="str">
        <f t="shared" si="16"/>
        <v/>
      </c>
      <c r="I823" s="33" t="str">
        <f t="shared" si="8"/>
        <v/>
      </c>
      <c r="K823" s="27"/>
      <c r="L823" s="28">
        <f>SUMIFS(Dump!$D:$D,Dump!$B:$B,$C823,Dump!$A:$A,$V823)</f>
        <v>0</v>
      </c>
      <c r="M823" s="28">
        <f>SUMIFS(Dump!R:R,Dump!B:B,C823,Dump!A:A,V823)</f>
        <v>0</v>
      </c>
      <c r="N823" s="29">
        <f t="shared" si="10"/>
        <v>0</v>
      </c>
      <c r="P823" s="30">
        <f>SUMIFS(Dump!E:E,Dump!B:B,C823,Dump!A:A,V823)</f>
        <v>0</v>
      </c>
      <c r="Q823" s="31">
        <f t="shared" si="11"/>
        <v>0</v>
      </c>
      <c r="S823" s="30">
        <f>SUMIFS(Dump!P:P,Dump!B:B,C823,Dump!A:A,V823)</f>
        <v>0</v>
      </c>
      <c r="T823" s="31">
        <f t="shared" si="12"/>
        <v>0</v>
      </c>
      <c r="U823" s="34"/>
      <c r="V823" s="47"/>
    </row>
    <row r="824">
      <c r="C824" s="46"/>
      <c r="G824" s="1" t="str">
        <f t="shared" si="16"/>
        <v/>
      </c>
      <c r="I824" s="33" t="str">
        <f t="shared" si="8"/>
        <v/>
      </c>
      <c r="K824" s="27"/>
      <c r="L824" s="28">
        <f>SUMIFS(Dump!$D:$D,Dump!$B:$B,$C824,Dump!$A:$A,$V824)</f>
        <v>0</v>
      </c>
      <c r="M824" s="28">
        <f>SUMIFS(Dump!R:R,Dump!B:B,C824,Dump!A:A,V824)</f>
        <v>0</v>
      </c>
      <c r="N824" s="29">
        <f t="shared" si="10"/>
        <v>0</v>
      </c>
      <c r="P824" s="30">
        <f>SUMIFS(Dump!E:E,Dump!B:B,C824,Dump!A:A,V824)</f>
        <v>0</v>
      </c>
      <c r="Q824" s="31">
        <f t="shared" si="11"/>
        <v>0</v>
      </c>
      <c r="S824" s="30">
        <f>SUMIFS(Dump!P:P,Dump!B:B,C824,Dump!A:A,V824)</f>
        <v>0</v>
      </c>
      <c r="T824" s="31">
        <f t="shared" si="12"/>
        <v>0</v>
      </c>
      <c r="U824" s="34"/>
      <c r="V824" s="47"/>
    </row>
    <row r="825">
      <c r="C825" s="46"/>
      <c r="G825" s="1" t="str">
        <f t="shared" si="16"/>
        <v/>
      </c>
      <c r="I825" s="33" t="str">
        <f t="shared" si="8"/>
        <v/>
      </c>
      <c r="K825" s="27"/>
      <c r="L825" s="28">
        <f>SUMIFS(Dump!$D:$D,Dump!$B:$B,$C825,Dump!$A:$A,$V825)</f>
        <v>0</v>
      </c>
      <c r="M825" s="28">
        <f>SUMIFS(Dump!R:R,Dump!B:B,C825,Dump!A:A,V825)</f>
        <v>0</v>
      </c>
      <c r="N825" s="29">
        <f t="shared" si="10"/>
        <v>0</v>
      </c>
      <c r="P825" s="30">
        <f>SUMIFS(Dump!E:E,Dump!B:B,C825,Dump!A:A,V825)</f>
        <v>0</v>
      </c>
      <c r="Q825" s="31">
        <f t="shared" si="11"/>
        <v>0</v>
      </c>
      <c r="S825" s="30">
        <f>SUMIFS(Dump!P:P,Dump!B:B,C825,Dump!A:A,V825)</f>
        <v>0</v>
      </c>
      <c r="T825" s="31">
        <f t="shared" si="12"/>
        <v>0</v>
      </c>
      <c r="U825" s="34"/>
      <c r="V825" s="47"/>
    </row>
    <row r="826">
      <c r="C826" s="46"/>
      <c r="G826" s="1" t="str">
        <f t="shared" si="16"/>
        <v/>
      </c>
      <c r="I826" s="33" t="str">
        <f t="shared" si="8"/>
        <v/>
      </c>
      <c r="K826" s="27"/>
      <c r="L826" s="28">
        <f>SUMIFS(Dump!$D:$D,Dump!$B:$B,$C826,Dump!$A:$A,$V826)</f>
        <v>0</v>
      </c>
      <c r="M826" s="28">
        <f>SUMIFS(Dump!R:R,Dump!B:B,C826,Dump!A:A,V826)</f>
        <v>0</v>
      </c>
      <c r="N826" s="29">
        <f t="shared" si="10"/>
        <v>0</v>
      </c>
      <c r="P826" s="30">
        <f>SUMIFS(Dump!E:E,Dump!B:B,C826,Dump!A:A,V826)</f>
        <v>0</v>
      </c>
      <c r="Q826" s="31">
        <f t="shared" si="11"/>
        <v>0</v>
      </c>
      <c r="S826" s="30">
        <f>SUMIFS(Dump!P:P,Dump!B:B,C826,Dump!A:A,V826)</f>
        <v>0</v>
      </c>
      <c r="T826" s="31">
        <f t="shared" si="12"/>
        <v>0</v>
      </c>
      <c r="U826" s="34"/>
      <c r="V826" s="47"/>
    </row>
    <row r="827">
      <c r="C827" s="46"/>
      <c r="G827" s="1" t="str">
        <f t="shared" si="16"/>
        <v/>
      </c>
      <c r="I827" s="33" t="str">
        <f t="shared" si="8"/>
        <v/>
      </c>
      <c r="K827" s="27"/>
      <c r="L827" s="28">
        <f>SUMIFS(Dump!$D:$D,Dump!$B:$B,$C827,Dump!$A:$A,$V827)</f>
        <v>0</v>
      </c>
      <c r="M827" s="28">
        <f>SUMIFS(Dump!R:R,Dump!B:B,C827,Dump!A:A,V827)</f>
        <v>0</v>
      </c>
      <c r="N827" s="29">
        <f t="shared" si="10"/>
        <v>0</v>
      </c>
      <c r="P827" s="30">
        <f>SUMIFS(Dump!E:E,Dump!B:B,C827,Dump!A:A,V827)</f>
        <v>0</v>
      </c>
      <c r="Q827" s="31">
        <f t="shared" si="11"/>
        <v>0</v>
      </c>
      <c r="S827" s="30">
        <f>SUMIFS(Dump!P:P,Dump!B:B,C827,Dump!A:A,V827)</f>
        <v>0</v>
      </c>
      <c r="T827" s="31">
        <f t="shared" si="12"/>
        <v>0</v>
      </c>
      <c r="U827" s="34"/>
      <c r="V827" s="47"/>
    </row>
    <row r="828">
      <c r="C828" s="46"/>
      <c r="G828" s="1" t="str">
        <f t="shared" si="16"/>
        <v/>
      </c>
      <c r="I828" s="33" t="str">
        <f t="shared" si="8"/>
        <v/>
      </c>
      <c r="K828" s="27"/>
      <c r="L828" s="28">
        <f>SUMIFS(Dump!$D:$D,Dump!$B:$B,$C828,Dump!$A:$A,$V828)</f>
        <v>0</v>
      </c>
      <c r="M828" s="28">
        <f>SUMIFS(Dump!R:R,Dump!B:B,C828,Dump!A:A,V828)</f>
        <v>0</v>
      </c>
      <c r="N828" s="29">
        <f t="shared" si="10"/>
        <v>0</v>
      </c>
      <c r="P828" s="30">
        <f>SUMIFS(Dump!E:E,Dump!B:B,C828,Dump!A:A,V828)</f>
        <v>0</v>
      </c>
      <c r="Q828" s="31">
        <f t="shared" si="11"/>
        <v>0</v>
      </c>
      <c r="S828" s="30">
        <f>SUMIFS(Dump!P:P,Dump!B:B,C828,Dump!A:A,V828)</f>
        <v>0</v>
      </c>
      <c r="T828" s="31">
        <f t="shared" si="12"/>
        <v>0</v>
      </c>
      <c r="U828" s="34"/>
      <c r="V828" s="47"/>
    </row>
    <row r="829">
      <c r="C829" s="46"/>
      <c r="G829" s="1" t="str">
        <f t="shared" si="16"/>
        <v/>
      </c>
      <c r="I829" s="33" t="str">
        <f t="shared" si="8"/>
        <v/>
      </c>
      <c r="K829" s="27"/>
      <c r="L829" s="28">
        <f>SUMIFS(Dump!$D:$D,Dump!$B:$B,$C829,Dump!$A:$A,$V829)</f>
        <v>0</v>
      </c>
      <c r="M829" s="28">
        <f>SUMIFS(Dump!R:R,Dump!B:B,C829,Dump!A:A,V829)</f>
        <v>0</v>
      </c>
      <c r="N829" s="29">
        <f t="shared" si="10"/>
        <v>0</v>
      </c>
      <c r="P829" s="30">
        <f>SUMIFS(Dump!E:E,Dump!B:B,C829,Dump!A:A,V829)</f>
        <v>0</v>
      </c>
      <c r="Q829" s="31">
        <f t="shared" si="11"/>
        <v>0</v>
      </c>
      <c r="S829" s="30">
        <f>SUMIFS(Dump!P:P,Dump!B:B,C829,Dump!A:A,V829)</f>
        <v>0</v>
      </c>
      <c r="T829" s="31">
        <f t="shared" si="12"/>
        <v>0</v>
      </c>
      <c r="U829" s="34"/>
      <c r="V829" s="47"/>
    </row>
    <row r="830">
      <c r="C830" s="46"/>
      <c r="G830" s="1" t="str">
        <f t="shared" si="16"/>
        <v/>
      </c>
      <c r="I830" s="33" t="str">
        <f t="shared" si="8"/>
        <v/>
      </c>
      <c r="K830" s="27"/>
      <c r="L830" s="28">
        <f>SUMIFS(Dump!$D:$D,Dump!$B:$B,$C830,Dump!$A:$A,$V830)</f>
        <v>0</v>
      </c>
      <c r="M830" s="28">
        <f>SUMIFS(Dump!R:R,Dump!B:B,C830,Dump!A:A,V830)</f>
        <v>0</v>
      </c>
      <c r="N830" s="29">
        <f t="shared" si="10"/>
        <v>0</v>
      </c>
      <c r="P830" s="30">
        <f>SUMIFS(Dump!E:E,Dump!B:B,C830,Dump!A:A,V830)</f>
        <v>0</v>
      </c>
      <c r="Q830" s="31">
        <f t="shared" si="11"/>
        <v>0</v>
      </c>
      <c r="S830" s="30">
        <f>SUMIFS(Dump!P:P,Dump!B:B,C830,Dump!A:A,V830)</f>
        <v>0</v>
      </c>
      <c r="T830" s="31">
        <f t="shared" si="12"/>
        <v>0</v>
      </c>
      <c r="U830" s="34"/>
      <c r="V830" s="47"/>
    </row>
    <row r="831">
      <c r="C831" s="46"/>
      <c r="G831" s="1" t="str">
        <f t="shared" si="16"/>
        <v/>
      </c>
      <c r="I831" s="33" t="str">
        <f t="shared" si="8"/>
        <v/>
      </c>
      <c r="K831" s="27"/>
      <c r="L831" s="28">
        <f>SUMIFS(Dump!$D:$D,Dump!$B:$B,$C831,Dump!$A:$A,$V831)</f>
        <v>0</v>
      </c>
      <c r="M831" s="28">
        <f>SUMIFS(Dump!R:R,Dump!B:B,C831,Dump!A:A,V831)</f>
        <v>0</v>
      </c>
      <c r="N831" s="29">
        <f t="shared" si="10"/>
        <v>0</v>
      </c>
      <c r="P831" s="30">
        <f>SUMIFS(Dump!E:E,Dump!B:B,C831,Dump!A:A,V831)</f>
        <v>0</v>
      </c>
      <c r="Q831" s="31">
        <f t="shared" si="11"/>
        <v>0</v>
      </c>
      <c r="S831" s="30">
        <f>SUMIFS(Dump!P:P,Dump!B:B,C831,Dump!A:A,V831)</f>
        <v>0</v>
      </c>
      <c r="T831" s="31">
        <f t="shared" si="12"/>
        <v>0</v>
      </c>
      <c r="U831" s="34"/>
      <c r="V831" s="47"/>
    </row>
    <row r="832">
      <c r="C832" s="46"/>
      <c r="G832" s="1" t="str">
        <f t="shared" si="16"/>
        <v/>
      </c>
      <c r="I832" s="33" t="str">
        <f t="shared" si="8"/>
        <v/>
      </c>
      <c r="K832" s="27"/>
      <c r="L832" s="28">
        <f>SUMIFS(Dump!$D:$D,Dump!$B:$B,$C832,Dump!$A:$A,$V832)</f>
        <v>0</v>
      </c>
      <c r="M832" s="28">
        <f>SUMIFS(Dump!R:R,Dump!B:B,C832,Dump!A:A,V832)</f>
        <v>0</v>
      </c>
      <c r="N832" s="29">
        <f t="shared" si="10"/>
        <v>0</v>
      </c>
      <c r="P832" s="30">
        <f>SUMIFS(Dump!E:E,Dump!B:B,C832,Dump!A:A,V832)</f>
        <v>0</v>
      </c>
      <c r="Q832" s="31">
        <f t="shared" si="11"/>
        <v>0</v>
      </c>
      <c r="S832" s="30">
        <f>SUMIFS(Dump!P:P,Dump!B:B,C832,Dump!A:A,V832)</f>
        <v>0</v>
      </c>
      <c r="T832" s="31">
        <f t="shared" si="12"/>
        <v>0</v>
      </c>
      <c r="U832" s="34"/>
      <c r="V832" s="47"/>
    </row>
    <row r="833">
      <c r="C833" s="46"/>
      <c r="G833" s="1" t="str">
        <f t="shared" si="16"/>
        <v/>
      </c>
      <c r="I833" s="33" t="str">
        <f t="shared" si="8"/>
        <v/>
      </c>
      <c r="K833" s="27"/>
      <c r="L833" s="28">
        <f>SUMIFS(Dump!$D:$D,Dump!$B:$B,$C833,Dump!$A:$A,$V833)</f>
        <v>0</v>
      </c>
      <c r="M833" s="28">
        <f>SUMIFS(Dump!R:R,Dump!B:B,C833,Dump!A:A,V833)</f>
        <v>0</v>
      </c>
      <c r="N833" s="29">
        <f t="shared" si="10"/>
        <v>0</v>
      </c>
      <c r="P833" s="30">
        <f>SUMIFS(Dump!E:E,Dump!B:B,C833,Dump!A:A,V833)</f>
        <v>0</v>
      </c>
      <c r="Q833" s="31">
        <f t="shared" si="11"/>
        <v>0</v>
      </c>
      <c r="S833" s="30">
        <f>SUMIFS(Dump!P:P,Dump!B:B,C833,Dump!A:A,V833)</f>
        <v>0</v>
      </c>
      <c r="T833" s="31">
        <f t="shared" si="12"/>
        <v>0</v>
      </c>
      <c r="U833" s="34"/>
      <c r="V833" s="47"/>
    </row>
    <row r="834">
      <c r="C834" s="46"/>
      <c r="G834" s="1" t="str">
        <f t="shared" si="16"/>
        <v/>
      </c>
      <c r="I834" s="33" t="str">
        <f t="shared" si="8"/>
        <v/>
      </c>
      <c r="K834" s="27"/>
      <c r="L834" s="28">
        <f>SUMIFS(Dump!$D:$D,Dump!$B:$B,$C834,Dump!$A:$A,$V834)</f>
        <v>0</v>
      </c>
      <c r="M834" s="28">
        <f>SUMIFS(Dump!R:R,Dump!B:B,C834,Dump!A:A,V834)</f>
        <v>0</v>
      </c>
      <c r="N834" s="29">
        <f t="shared" si="10"/>
        <v>0</v>
      </c>
      <c r="P834" s="30">
        <f>SUMIFS(Dump!E:E,Dump!B:B,C834,Dump!A:A,V834)</f>
        <v>0</v>
      </c>
      <c r="Q834" s="31">
        <f t="shared" si="11"/>
        <v>0</v>
      </c>
      <c r="S834" s="30">
        <f>SUMIFS(Dump!P:P,Dump!B:B,C834,Dump!A:A,V834)</f>
        <v>0</v>
      </c>
      <c r="T834" s="31">
        <f t="shared" si="12"/>
        <v>0</v>
      </c>
      <c r="U834" s="34"/>
      <c r="V834" s="47"/>
    </row>
    <row r="835">
      <c r="C835" s="46"/>
      <c r="G835" s="1" t="str">
        <f t="shared" si="16"/>
        <v/>
      </c>
      <c r="I835" s="33" t="str">
        <f t="shared" si="8"/>
        <v/>
      </c>
      <c r="K835" s="27"/>
      <c r="L835" s="28">
        <f>SUMIFS(Dump!$D:$D,Dump!$B:$B,$C835,Dump!$A:$A,$V835)</f>
        <v>0</v>
      </c>
      <c r="M835" s="28">
        <f>SUMIFS(Dump!R:R,Dump!B:B,C835,Dump!A:A,V835)</f>
        <v>0</v>
      </c>
      <c r="N835" s="29">
        <f t="shared" si="10"/>
        <v>0</v>
      </c>
      <c r="P835" s="30">
        <f>SUMIFS(Dump!E:E,Dump!B:B,C835,Dump!A:A,V835)</f>
        <v>0</v>
      </c>
      <c r="Q835" s="31">
        <f t="shared" si="11"/>
        <v>0</v>
      </c>
      <c r="S835" s="30">
        <f>SUMIFS(Dump!P:P,Dump!B:B,C835,Dump!A:A,V835)</f>
        <v>0</v>
      </c>
      <c r="T835" s="31">
        <f t="shared" si="12"/>
        <v>0</v>
      </c>
      <c r="U835" s="34"/>
      <c r="V835" s="47"/>
    </row>
    <row r="836">
      <c r="C836" s="46"/>
      <c r="G836" s="1" t="str">
        <f t="shared" si="16"/>
        <v/>
      </c>
      <c r="I836" s="33" t="str">
        <f t="shared" si="8"/>
        <v/>
      </c>
      <c r="K836" s="27"/>
      <c r="L836" s="28">
        <f>SUMIFS(Dump!$D:$D,Dump!$B:$B,$C836,Dump!$A:$A,$V836)</f>
        <v>0</v>
      </c>
      <c r="M836" s="28">
        <f>SUMIFS(Dump!R:R,Dump!B:B,C836,Dump!A:A,V836)</f>
        <v>0</v>
      </c>
      <c r="N836" s="29">
        <f t="shared" si="10"/>
        <v>0</v>
      </c>
      <c r="P836" s="30">
        <f>SUMIFS(Dump!E:E,Dump!B:B,C836,Dump!A:A,V836)</f>
        <v>0</v>
      </c>
      <c r="Q836" s="31">
        <f t="shared" si="11"/>
        <v>0</v>
      </c>
      <c r="S836" s="30">
        <f>SUMIFS(Dump!P:P,Dump!B:B,C836,Dump!A:A,V836)</f>
        <v>0</v>
      </c>
      <c r="T836" s="31">
        <f t="shared" si="12"/>
        <v>0</v>
      </c>
      <c r="U836" s="34"/>
      <c r="V836" s="47"/>
    </row>
    <row r="837">
      <c r="C837" s="46"/>
      <c r="G837" s="1" t="str">
        <f t="shared" si="16"/>
        <v/>
      </c>
      <c r="I837" s="33" t="str">
        <f t="shared" si="8"/>
        <v/>
      </c>
      <c r="K837" s="27"/>
      <c r="L837" s="28">
        <f>SUMIFS(Dump!$D:$D,Dump!$B:$B,$C837,Dump!$A:$A,$V837)</f>
        <v>0</v>
      </c>
      <c r="M837" s="28">
        <f>SUMIFS(Dump!R:R,Dump!B:B,C837,Dump!A:A,V837)</f>
        <v>0</v>
      </c>
      <c r="N837" s="29">
        <f t="shared" si="10"/>
        <v>0</v>
      </c>
      <c r="P837" s="30">
        <f>SUMIFS(Dump!E:E,Dump!B:B,C837,Dump!A:A,V837)</f>
        <v>0</v>
      </c>
      <c r="Q837" s="31">
        <f t="shared" si="11"/>
        <v>0</v>
      </c>
      <c r="S837" s="30">
        <f>SUMIFS(Dump!P:P,Dump!B:B,C837,Dump!A:A,V837)</f>
        <v>0</v>
      </c>
      <c r="T837" s="31">
        <f t="shared" si="12"/>
        <v>0</v>
      </c>
      <c r="U837" s="34"/>
      <c r="V837" s="47"/>
    </row>
    <row r="838">
      <c r="C838" s="46"/>
      <c r="G838" s="1" t="str">
        <f t="shared" si="16"/>
        <v/>
      </c>
      <c r="I838" s="33" t="str">
        <f t="shared" si="8"/>
        <v/>
      </c>
      <c r="K838" s="27"/>
      <c r="L838" s="28">
        <f>SUMIFS(Dump!$D:$D,Dump!$B:$B,$C838,Dump!$A:$A,$V838)</f>
        <v>0</v>
      </c>
      <c r="M838" s="28">
        <f>SUMIFS(Dump!R:R,Dump!B:B,C838,Dump!A:A,V838)</f>
        <v>0</v>
      </c>
      <c r="N838" s="29">
        <f t="shared" si="10"/>
        <v>0</v>
      </c>
      <c r="P838" s="30">
        <f>SUMIFS(Dump!E:E,Dump!B:B,C838,Dump!A:A,V838)</f>
        <v>0</v>
      </c>
      <c r="Q838" s="31">
        <f t="shared" si="11"/>
        <v>0</v>
      </c>
      <c r="S838" s="30">
        <f>SUMIFS(Dump!P:P,Dump!B:B,C838,Dump!A:A,V838)</f>
        <v>0</v>
      </c>
      <c r="T838" s="31">
        <f t="shared" si="12"/>
        <v>0</v>
      </c>
      <c r="U838" s="34"/>
      <c r="V838" s="47"/>
    </row>
    <row r="839">
      <c r="C839" s="46"/>
      <c r="G839" s="1" t="str">
        <f t="shared" si="16"/>
        <v/>
      </c>
      <c r="I839" s="33" t="str">
        <f t="shared" si="8"/>
        <v/>
      </c>
      <c r="K839" s="27"/>
      <c r="L839" s="28">
        <f>SUMIFS(Dump!$D:$D,Dump!$B:$B,$C839,Dump!$A:$A,$V839)</f>
        <v>0</v>
      </c>
      <c r="M839" s="28">
        <f>SUMIFS(Dump!R:R,Dump!B:B,C839,Dump!A:A,V839)</f>
        <v>0</v>
      </c>
      <c r="N839" s="29">
        <f t="shared" si="10"/>
        <v>0</v>
      </c>
      <c r="P839" s="30">
        <f>SUMIFS(Dump!E:E,Dump!B:B,C839,Dump!A:A,V839)</f>
        <v>0</v>
      </c>
      <c r="Q839" s="31">
        <f t="shared" si="11"/>
        <v>0</v>
      </c>
      <c r="S839" s="30">
        <f>SUMIFS(Dump!P:P,Dump!B:B,C839,Dump!A:A,V839)</f>
        <v>0</v>
      </c>
      <c r="T839" s="31">
        <f t="shared" si="12"/>
        <v>0</v>
      </c>
      <c r="U839" s="34"/>
      <c r="V839" s="47"/>
    </row>
    <row r="840">
      <c r="C840" s="46"/>
      <c r="G840" s="1" t="str">
        <f t="shared" si="16"/>
        <v/>
      </c>
      <c r="I840" s="33" t="str">
        <f t="shared" si="8"/>
        <v/>
      </c>
      <c r="K840" s="27"/>
      <c r="L840" s="28">
        <f>SUMIFS(Dump!$D:$D,Dump!$B:$B,$C840,Dump!$A:$A,$V840)</f>
        <v>0</v>
      </c>
      <c r="M840" s="28">
        <f>SUMIFS(Dump!R:R,Dump!B:B,C840,Dump!A:A,V840)</f>
        <v>0</v>
      </c>
      <c r="N840" s="29">
        <f t="shared" si="10"/>
        <v>0</v>
      </c>
      <c r="P840" s="30">
        <f>SUMIFS(Dump!E:E,Dump!B:B,C840,Dump!A:A,V840)</f>
        <v>0</v>
      </c>
      <c r="Q840" s="31">
        <f t="shared" si="11"/>
        <v>0</v>
      </c>
      <c r="S840" s="30">
        <f>SUMIFS(Dump!P:P,Dump!B:B,C840,Dump!A:A,V840)</f>
        <v>0</v>
      </c>
      <c r="T840" s="31">
        <f t="shared" si="12"/>
        <v>0</v>
      </c>
      <c r="U840" s="34"/>
      <c r="V840" s="47"/>
    </row>
    <row r="841">
      <c r="C841" s="46"/>
      <c r="G841" s="1" t="str">
        <f t="shared" si="16"/>
        <v/>
      </c>
      <c r="I841" s="33" t="str">
        <f t="shared" si="8"/>
        <v/>
      </c>
      <c r="K841" s="27"/>
      <c r="L841" s="28">
        <f>SUMIFS(Dump!$D:$D,Dump!$B:$B,$C841,Dump!$A:$A,$V841)</f>
        <v>0</v>
      </c>
      <c r="M841" s="28">
        <f>SUMIFS(Dump!R:R,Dump!B:B,C841,Dump!A:A,V841)</f>
        <v>0</v>
      </c>
      <c r="N841" s="29">
        <f t="shared" si="10"/>
        <v>0</v>
      </c>
      <c r="P841" s="30">
        <f>SUMIFS(Dump!E:E,Dump!B:B,C841,Dump!A:A,V841)</f>
        <v>0</v>
      </c>
      <c r="Q841" s="31">
        <f t="shared" si="11"/>
        <v>0</v>
      </c>
      <c r="S841" s="30">
        <f>SUMIFS(Dump!P:P,Dump!B:B,C841,Dump!A:A,V841)</f>
        <v>0</v>
      </c>
      <c r="T841" s="31">
        <f t="shared" si="12"/>
        <v>0</v>
      </c>
      <c r="U841" s="34"/>
      <c r="V841" s="47"/>
    </row>
    <row r="842">
      <c r="C842" s="46"/>
      <c r="G842" s="1" t="str">
        <f t="shared" si="16"/>
        <v/>
      </c>
      <c r="I842" s="33" t="str">
        <f t="shared" si="8"/>
        <v/>
      </c>
      <c r="K842" s="27"/>
      <c r="L842" s="28">
        <f>SUMIFS(Dump!$D:$D,Dump!$B:$B,$C842,Dump!$A:$A,$V842)</f>
        <v>0</v>
      </c>
      <c r="M842" s="28">
        <f>SUMIFS(Dump!R:R,Dump!B:B,C842,Dump!A:A,V842)</f>
        <v>0</v>
      </c>
      <c r="N842" s="29">
        <f t="shared" si="10"/>
        <v>0</v>
      </c>
      <c r="P842" s="30">
        <f>SUMIFS(Dump!E:E,Dump!B:B,C842,Dump!A:A,V842)</f>
        <v>0</v>
      </c>
      <c r="Q842" s="31">
        <f t="shared" si="11"/>
        <v>0</v>
      </c>
      <c r="S842" s="30">
        <f>SUMIFS(Dump!P:P,Dump!B:B,C842,Dump!A:A,V842)</f>
        <v>0</v>
      </c>
      <c r="T842" s="31">
        <f t="shared" si="12"/>
        <v>0</v>
      </c>
      <c r="U842" s="34"/>
      <c r="V842" s="47"/>
    </row>
    <row r="843">
      <c r="C843" s="46"/>
      <c r="G843" s="1" t="str">
        <f t="shared" si="16"/>
        <v/>
      </c>
      <c r="I843" s="33" t="str">
        <f t="shared" si="8"/>
        <v/>
      </c>
      <c r="K843" s="27"/>
      <c r="L843" s="28">
        <f>SUMIFS(Dump!$D:$D,Dump!$B:$B,$C843,Dump!$A:$A,$V843)</f>
        <v>0</v>
      </c>
      <c r="M843" s="28">
        <f>SUMIFS(Dump!R:R,Dump!B:B,C843,Dump!A:A,V843)</f>
        <v>0</v>
      </c>
      <c r="N843" s="29">
        <f t="shared" si="10"/>
        <v>0</v>
      </c>
      <c r="P843" s="30">
        <f>SUMIFS(Dump!E:E,Dump!B:B,C843,Dump!A:A,V843)</f>
        <v>0</v>
      </c>
      <c r="Q843" s="31">
        <f t="shared" si="11"/>
        <v>0</v>
      </c>
      <c r="S843" s="30">
        <f>SUMIFS(Dump!P:P,Dump!B:B,C843,Dump!A:A,V843)</f>
        <v>0</v>
      </c>
      <c r="T843" s="31">
        <f t="shared" si="12"/>
        <v>0</v>
      </c>
      <c r="U843" s="34"/>
      <c r="V843" s="47"/>
    </row>
    <row r="844">
      <c r="C844" s="46"/>
      <c r="G844" s="1" t="str">
        <f t="shared" si="16"/>
        <v/>
      </c>
      <c r="I844" s="33" t="str">
        <f t="shared" si="8"/>
        <v/>
      </c>
      <c r="K844" s="27"/>
      <c r="L844" s="28">
        <f>SUMIFS(Dump!$D:$D,Dump!$B:$B,$C844,Dump!$A:$A,$V844)</f>
        <v>0</v>
      </c>
      <c r="M844" s="28">
        <f>SUMIFS(Dump!R:R,Dump!B:B,C844,Dump!A:A,V844)</f>
        <v>0</v>
      </c>
      <c r="N844" s="29">
        <f t="shared" si="10"/>
        <v>0</v>
      </c>
      <c r="P844" s="30">
        <f>SUMIFS(Dump!E:E,Dump!B:B,C844,Dump!A:A,V844)</f>
        <v>0</v>
      </c>
      <c r="Q844" s="31">
        <f t="shared" si="11"/>
        <v>0</v>
      </c>
      <c r="S844" s="30">
        <f>SUMIFS(Dump!P:P,Dump!B:B,C844,Dump!A:A,V844)</f>
        <v>0</v>
      </c>
      <c r="T844" s="31">
        <f t="shared" si="12"/>
        <v>0</v>
      </c>
      <c r="U844" s="34"/>
      <c r="V844" s="47"/>
    </row>
    <row r="845">
      <c r="C845" s="46"/>
      <c r="G845" s="1" t="str">
        <f t="shared" si="16"/>
        <v/>
      </c>
      <c r="I845" s="33" t="str">
        <f t="shared" si="8"/>
        <v/>
      </c>
      <c r="K845" s="27"/>
      <c r="L845" s="28">
        <f>SUMIFS(Dump!$D:$D,Dump!$B:$B,$C845,Dump!$A:$A,$V845)</f>
        <v>0</v>
      </c>
      <c r="M845" s="28">
        <f>SUMIFS(Dump!R:R,Dump!B:B,C845,Dump!A:A,V845)</f>
        <v>0</v>
      </c>
      <c r="N845" s="29">
        <f t="shared" si="10"/>
        <v>0</v>
      </c>
      <c r="P845" s="30">
        <f>SUMIFS(Dump!E:E,Dump!B:B,C845,Dump!A:A,V845)</f>
        <v>0</v>
      </c>
      <c r="Q845" s="31">
        <f t="shared" si="11"/>
        <v>0</v>
      </c>
      <c r="S845" s="30">
        <f>SUMIFS(Dump!P:P,Dump!B:B,C845,Dump!A:A,V845)</f>
        <v>0</v>
      </c>
      <c r="T845" s="31">
        <f t="shared" si="12"/>
        <v>0</v>
      </c>
      <c r="U845" s="34"/>
      <c r="V845" s="47"/>
    </row>
    <row r="846">
      <c r="C846" s="46"/>
      <c r="G846" s="1" t="str">
        <f t="shared" si="16"/>
        <v/>
      </c>
      <c r="I846" s="33" t="str">
        <f t="shared" si="8"/>
        <v/>
      </c>
      <c r="K846" s="27"/>
      <c r="L846" s="28">
        <f>SUMIFS(Dump!$D:$D,Dump!$B:$B,$C846,Dump!$A:$A,$V846)</f>
        <v>0</v>
      </c>
      <c r="M846" s="28">
        <f>SUMIFS(Dump!R:R,Dump!B:B,C846,Dump!A:A,V846)</f>
        <v>0</v>
      </c>
      <c r="N846" s="29">
        <f t="shared" si="10"/>
        <v>0</v>
      </c>
      <c r="P846" s="30">
        <f>SUMIFS(Dump!E:E,Dump!B:B,C846,Dump!A:A,V846)</f>
        <v>0</v>
      </c>
      <c r="Q846" s="31">
        <f t="shared" si="11"/>
        <v>0</v>
      </c>
      <c r="S846" s="30">
        <f>SUMIFS(Dump!P:P,Dump!B:B,C846,Dump!A:A,V846)</f>
        <v>0</v>
      </c>
      <c r="T846" s="31">
        <f t="shared" si="12"/>
        <v>0</v>
      </c>
      <c r="U846" s="34"/>
      <c r="V846" s="47"/>
    </row>
    <row r="847">
      <c r="C847" s="46"/>
      <c r="G847" s="1" t="str">
        <f t="shared" si="16"/>
        <v/>
      </c>
      <c r="I847" s="33" t="str">
        <f t="shared" si="8"/>
        <v/>
      </c>
      <c r="K847" s="27"/>
      <c r="L847" s="28">
        <f>SUMIFS(Dump!$D:$D,Dump!$B:$B,$C847,Dump!$A:$A,$V847)</f>
        <v>0</v>
      </c>
      <c r="M847" s="28">
        <f>SUMIFS(Dump!R:R,Dump!B:B,C847,Dump!A:A,V847)</f>
        <v>0</v>
      </c>
      <c r="N847" s="29">
        <f t="shared" si="10"/>
        <v>0</v>
      </c>
      <c r="P847" s="30">
        <f>SUMIFS(Dump!E:E,Dump!B:B,C847,Dump!A:A,V847)</f>
        <v>0</v>
      </c>
      <c r="Q847" s="31">
        <f t="shared" si="11"/>
        <v>0</v>
      </c>
      <c r="S847" s="30">
        <f>SUMIFS(Dump!P:P,Dump!B:B,C847,Dump!A:A,V847)</f>
        <v>0</v>
      </c>
      <c r="T847" s="31">
        <f t="shared" si="12"/>
        <v>0</v>
      </c>
      <c r="U847" s="34"/>
      <c r="V847" s="47"/>
    </row>
    <row r="848">
      <c r="C848" s="46"/>
      <c r="G848" s="1" t="str">
        <f t="shared" si="16"/>
        <v/>
      </c>
      <c r="I848" s="33" t="str">
        <f t="shared" si="8"/>
        <v/>
      </c>
      <c r="K848" s="27"/>
      <c r="L848" s="28">
        <f>SUMIFS(Dump!$D:$D,Dump!$B:$B,$C848,Dump!$A:$A,$V848)</f>
        <v>0</v>
      </c>
      <c r="M848" s="28">
        <f>SUMIFS(Dump!R:R,Dump!B:B,C848,Dump!A:A,V848)</f>
        <v>0</v>
      </c>
      <c r="N848" s="29">
        <f t="shared" si="10"/>
        <v>0</v>
      </c>
      <c r="P848" s="30">
        <f>SUMIFS(Dump!E:E,Dump!B:B,C848,Dump!A:A,V848)</f>
        <v>0</v>
      </c>
      <c r="Q848" s="31">
        <f t="shared" si="11"/>
        <v>0</v>
      </c>
      <c r="S848" s="30">
        <f>SUMIFS(Dump!P:P,Dump!B:B,C848,Dump!A:A,V848)</f>
        <v>0</v>
      </c>
      <c r="T848" s="31">
        <f t="shared" si="12"/>
        <v>0</v>
      </c>
      <c r="U848" s="34"/>
      <c r="V848" s="47"/>
    </row>
    <row r="849">
      <c r="C849" s="46"/>
      <c r="G849" s="1" t="str">
        <f t="shared" si="16"/>
        <v/>
      </c>
      <c r="I849" s="33" t="str">
        <f t="shared" si="8"/>
        <v/>
      </c>
      <c r="K849" s="27"/>
      <c r="L849" s="28">
        <f>SUMIFS(Dump!$D:$D,Dump!$B:$B,$C849,Dump!$A:$A,$V849)</f>
        <v>0</v>
      </c>
      <c r="M849" s="28">
        <f>SUMIFS(Dump!R:R,Dump!B:B,C849,Dump!A:A,V849)</f>
        <v>0</v>
      </c>
      <c r="N849" s="29">
        <f t="shared" si="10"/>
        <v>0</v>
      </c>
      <c r="P849" s="30">
        <f>SUMIFS(Dump!E:E,Dump!B:B,C849,Dump!A:A,V849)</f>
        <v>0</v>
      </c>
      <c r="Q849" s="31">
        <f t="shared" si="11"/>
        <v>0</v>
      </c>
      <c r="S849" s="30">
        <f>SUMIFS(Dump!P:P,Dump!B:B,C849,Dump!A:A,V849)</f>
        <v>0</v>
      </c>
      <c r="T849" s="31">
        <f t="shared" si="12"/>
        <v>0</v>
      </c>
      <c r="U849" s="34"/>
      <c r="V849" s="47"/>
    </row>
    <row r="850">
      <c r="C850" s="46"/>
      <c r="G850" s="1" t="str">
        <f t="shared" si="16"/>
        <v/>
      </c>
      <c r="I850" s="33" t="str">
        <f t="shared" si="8"/>
        <v/>
      </c>
      <c r="K850" s="27"/>
      <c r="L850" s="28">
        <f>SUMIFS(Dump!$D:$D,Dump!$B:$B,$C850,Dump!$A:$A,$V850)</f>
        <v>0</v>
      </c>
      <c r="M850" s="28">
        <f>SUMIFS(Dump!R:R,Dump!B:B,C850,Dump!A:A,V850)</f>
        <v>0</v>
      </c>
      <c r="N850" s="29">
        <f t="shared" si="10"/>
        <v>0</v>
      </c>
      <c r="P850" s="30">
        <f>SUMIFS(Dump!E:E,Dump!B:B,C850,Dump!A:A,V850)</f>
        <v>0</v>
      </c>
      <c r="Q850" s="31">
        <f t="shared" si="11"/>
        <v>0</v>
      </c>
      <c r="S850" s="30">
        <f>SUMIFS(Dump!P:P,Dump!B:B,C850,Dump!A:A,V850)</f>
        <v>0</v>
      </c>
      <c r="T850" s="31">
        <f t="shared" si="12"/>
        <v>0</v>
      </c>
      <c r="U850" s="34"/>
      <c r="V850" s="47"/>
    </row>
    <row r="851">
      <c r="C851" s="46"/>
      <c r="G851" s="1" t="str">
        <f t="shared" si="16"/>
        <v/>
      </c>
      <c r="I851" s="33" t="str">
        <f t="shared" si="8"/>
        <v/>
      </c>
      <c r="K851" s="27"/>
      <c r="L851" s="28">
        <f>SUMIFS(Dump!$D:$D,Dump!$B:$B,$C851,Dump!$A:$A,$V851)</f>
        <v>0</v>
      </c>
      <c r="M851" s="28">
        <f>SUMIFS(Dump!R:R,Dump!B:B,C851,Dump!A:A,V851)</f>
        <v>0</v>
      </c>
      <c r="N851" s="29">
        <f t="shared" si="10"/>
        <v>0</v>
      </c>
      <c r="P851" s="30">
        <f>SUMIFS(Dump!E:E,Dump!B:B,C851,Dump!A:A,V851)</f>
        <v>0</v>
      </c>
      <c r="Q851" s="31">
        <f t="shared" si="11"/>
        <v>0</v>
      </c>
      <c r="S851" s="30">
        <f>SUMIFS(Dump!P:P,Dump!B:B,C851,Dump!A:A,V851)</f>
        <v>0</v>
      </c>
      <c r="T851" s="31">
        <f t="shared" si="12"/>
        <v>0</v>
      </c>
      <c r="U851" s="34"/>
      <c r="V851" s="47"/>
    </row>
    <row r="852">
      <c r="C852" s="46"/>
      <c r="G852" s="1" t="str">
        <f t="shared" si="16"/>
        <v/>
      </c>
      <c r="I852" s="33" t="str">
        <f t="shared" si="8"/>
        <v/>
      </c>
      <c r="K852" s="27"/>
      <c r="L852" s="28">
        <f>SUMIFS(Dump!$D:$D,Dump!$B:$B,$C852,Dump!$A:$A,$V852)</f>
        <v>0</v>
      </c>
      <c r="M852" s="28">
        <f>SUMIFS(Dump!R:R,Dump!B:B,C852,Dump!A:A,V852)</f>
        <v>0</v>
      </c>
      <c r="N852" s="29">
        <f t="shared" si="10"/>
        <v>0</v>
      </c>
      <c r="P852" s="30">
        <f>SUMIFS(Dump!E:E,Dump!B:B,C852,Dump!A:A,V852)</f>
        <v>0</v>
      </c>
      <c r="Q852" s="31">
        <f t="shared" si="11"/>
        <v>0</v>
      </c>
      <c r="S852" s="30">
        <f>SUMIFS(Dump!P:P,Dump!B:B,C852,Dump!A:A,V852)</f>
        <v>0</v>
      </c>
      <c r="T852" s="31">
        <f t="shared" si="12"/>
        <v>0</v>
      </c>
      <c r="U852" s="34"/>
      <c r="V852" s="47"/>
    </row>
    <row r="853">
      <c r="C853" s="46"/>
      <c r="G853" s="1" t="str">
        <f t="shared" si="16"/>
        <v/>
      </c>
      <c r="I853" s="33" t="str">
        <f t="shared" si="8"/>
        <v/>
      </c>
      <c r="K853" s="27"/>
      <c r="L853" s="28">
        <f>SUMIFS(Dump!$D:$D,Dump!$B:$B,$C853,Dump!$A:$A,$V853)</f>
        <v>0</v>
      </c>
      <c r="M853" s="28">
        <f>SUMIFS(Dump!R:R,Dump!B:B,C853,Dump!A:A,V853)</f>
        <v>0</v>
      </c>
      <c r="N853" s="29">
        <f t="shared" si="10"/>
        <v>0</v>
      </c>
      <c r="P853" s="30">
        <f>SUMIFS(Dump!E:E,Dump!B:B,C853,Dump!A:A,V853)</f>
        <v>0</v>
      </c>
      <c r="Q853" s="31">
        <f t="shared" si="11"/>
        <v>0</v>
      </c>
      <c r="S853" s="30">
        <f>SUMIFS(Dump!P:P,Dump!B:B,C853,Dump!A:A,V853)</f>
        <v>0</v>
      </c>
      <c r="T853" s="31">
        <f t="shared" si="12"/>
        <v>0</v>
      </c>
      <c r="U853" s="34"/>
      <c r="V853" s="47"/>
    </row>
    <row r="854">
      <c r="C854" s="46"/>
      <c r="G854" s="1" t="str">
        <f t="shared" si="16"/>
        <v/>
      </c>
      <c r="I854" s="33" t="str">
        <f t="shared" si="8"/>
        <v/>
      </c>
      <c r="K854" s="27"/>
      <c r="L854" s="28">
        <f>SUMIFS(Dump!$D:$D,Dump!$B:$B,$C854,Dump!$A:$A,$V854)</f>
        <v>0</v>
      </c>
      <c r="M854" s="28">
        <f>SUMIFS(Dump!R:R,Dump!B:B,C854,Dump!A:A,V854)</f>
        <v>0</v>
      </c>
      <c r="N854" s="29">
        <f t="shared" si="10"/>
        <v>0</v>
      </c>
      <c r="P854" s="30">
        <f>SUMIFS(Dump!E:E,Dump!B:B,C854,Dump!A:A,V854)</f>
        <v>0</v>
      </c>
      <c r="Q854" s="31">
        <f t="shared" si="11"/>
        <v>0</v>
      </c>
      <c r="S854" s="30">
        <f>SUMIFS(Dump!P:P,Dump!B:B,C854,Dump!A:A,V854)</f>
        <v>0</v>
      </c>
      <c r="T854" s="31">
        <f t="shared" si="12"/>
        <v>0</v>
      </c>
      <c r="U854" s="34"/>
      <c r="V854" s="47"/>
    </row>
    <row r="855">
      <c r="C855" s="46"/>
      <c r="G855" s="1" t="str">
        <f t="shared" si="16"/>
        <v/>
      </c>
      <c r="I855" s="33" t="str">
        <f t="shared" si="8"/>
        <v/>
      </c>
      <c r="K855" s="27"/>
      <c r="L855" s="28">
        <f>SUMIFS(Dump!$D:$D,Dump!$B:$B,$C855,Dump!$A:$A,$V855)</f>
        <v>0</v>
      </c>
      <c r="M855" s="28">
        <f>SUMIFS(Dump!R:R,Dump!B:B,C855,Dump!A:A,V855)</f>
        <v>0</v>
      </c>
      <c r="N855" s="29">
        <f t="shared" si="10"/>
        <v>0</v>
      </c>
      <c r="P855" s="30">
        <f>SUMIFS(Dump!E:E,Dump!B:B,C855,Dump!A:A,V855)</f>
        <v>0</v>
      </c>
      <c r="Q855" s="31">
        <f t="shared" si="11"/>
        <v>0</v>
      </c>
      <c r="S855" s="30">
        <f>SUMIFS(Dump!P:P,Dump!B:B,C855,Dump!A:A,V855)</f>
        <v>0</v>
      </c>
      <c r="T855" s="31">
        <f t="shared" si="12"/>
        <v>0</v>
      </c>
      <c r="U855" s="34"/>
      <c r="V855" s="47"/>
    </row>
    <row r="856">
      <c r="C856" s="46"/>
      <c r="G856" s="1" t="str">
        <f t="shared" si="16"/>
        <v/>
      </c>
      <c r="I856" s="33" t="str">
        <f t="shared" si="8"/>
        <v/>
      </c>
      <c r="K856" s="27"/>
      <c r="L856" s="28">
        <f>SUMIFS(Dump!$D:$D,Dump!$B:$B,$C856,Dump!$A:$A,$V856)</f>
        <v>0</v>
      </c>
      <c r="M856" s="28">
        <f>SUMIFS(Dump!R:R,Dump!B:B,C856,Dump!A:A,V856)</f>
        <v>0</v>
      </c>
      <c r="N856" s="29">
        <f t="shared" si="10"/>
        <v>0</v>
      </c>
      <c r="P856" s="30">
        <f>SUMIFS(Dump!E:E,Dump!B:B,C856,Dump!A:A,V856)</f>
        <v>0</v>
      </c>
      <c r="Q856" s="31">
        <f t="shared" si="11"/>
        <v>0</v>
      </c>
      <c r="S856" s="30">
        <f>SUMIFS(Dump!P:P,Dump!B:B,C856,Dump!A:A,V856)</f>
        <v>0</v>
      </c>
      <c r="T856" s="31">
        <f t="shared" si="12"/>
        <v>0</v>
      </c>
      <c r="U856" s="34"/>
      <c r="V856" s="47"/>
    </row>
    <row r="857">
      <c r="C857" s="46"/>
      <c r="G857" s="1" t="str">
        <f t="shared" si="16"/>
        <v/>
      </c>
      <c r="I857" s="33" t="str">
        <f t="shared" si="8"/>
        <v/>
      </c>
      <c r="K857" s="27"/>
      <c r="L857" s="28">
        <f>SUMIFS(Dump!$D:$D,Dump!$B:$B,$C857,Dump!$A:$A,$V857)</f>
        <v>0</v>
      </c>
      <c r="M857" s="28">
        <f>SUMIFS(Dump!R:R,Dump!B:B,C857,Dump!A:A,V857)</f>
        <v>0</v>
      </c>
      <c r="N857" s="29">
        <f t="shared" si="10"/>
        <v>0</v>
      </c>
      <c r="P857" s="30">
        <f>SUMIFS(Dump!E:E,Dump!B:B,C857,Dump!A:A,V857)</f>
        <v>0</v>
      </c>
      <c r="Q857" s="31">
        <f t="shared" si="11"/>
        <v>0</v>
      </c>
      <c r="S857" s="30">
        <f>SUMIFS(Dump!P:P,Dump!B:B,C857,Dump!A:A,V857)</f>
        <v>0</v>
      </c>
      <c r="T857" s="31">
        <f t="shared" si="12"/>
        <v>0</v>
      </c>
      <c r="U857" s="34"/>
      <c r="V857" s="47"/>
    </row>
    <row r="858">
      <c r="C858" s="46"/>
      <c r="G858" s="1" t="str">
        <f t="shared" si="16"/>
        <v/>
      </c>
      <c r="I858" s="33" t="str">
        <f t="shared" si="8"/>
        <v/>
      </c>
      <c r="K858" s="27"/>
      <c r="L858" s="28">
        <f>SUMIFS(Dump!$D:$D,Dump!$B:$B,$C858,Dump!$A:$A,$V858)</f>
        <v>0</v>
      </c>
      <c r="M858" s="28">
        <f>SUMIFS(Dump!R:R,Dump!B:B,C858,Dump!A:A,V858)</f>
        <v>0</v>
      </c>
      <c r="N858" s="29">
        <f t="shared" si="10"/>
        <v>0</v>
      </c>
      <c r="P858" s="30">
        <f>SUMIFS(Dump!E:E,Dump!B:B,C858,Dump!A:A,V858)</f>
        <v>0</v>
      </c>
      <c r="Q858" s="31">
        <f t="shared" si="11"/>
        <v>0</v>
      </c>
      <c r="S858" s="30">
        <f>SUMIFS(Dump!P:P,Dump!B:B,C858,Dump!A:A,V858)</f>
        <v>0</v>
      </c>
      <c r="T858" s="31">
        <f t="shared" si="12"/>
        <v>0</v>
      </c>
      <c r="U858" s="34"/>
      <c r="V858" s="47"/>
    </row>
    <row r="859">
      <c r="C859" s="46"/>
      <c r="G859" s="1" t="str">
        <f t="shared" si="16"/>
        <v/>
      </c>
      <c r="I859" s="33" t="str">
        <f t="shared" si="8"/>
        <v/>
      </c>
      <c r="K859" s="27"/>
      <c r="L859" s="28">
        <f>SUMIFS(Dump!$D:$D,Dump!$B:$B,$C859,Dump!$A:$A,$V859)</f>
        <v>0</v>
      </c>
      <c r="M859" s="28">
        <f>SUMIFS(Dump!R:R,Dump!B:B,C859,Dump!A:A,V859)</f>
        <v>0</v>
      </c>
      <c r="N859" s="29">
        <f t="shared" si="10"/>
        <v>0</v>
      </c>
      <c r="P859" s="30">
        <f>SUMIFS(Dump!E:E,Dump!B:B,C859,Dump!A:A,V859)</f>
        <v>0</v>
      </c>
      <c r="Q859" s="31">
        <f t="shared" si="11"/>
        <v>0</v>
      </c>
      <c r="S859" s="30">
        <f>SUMIFS(Dump!P:P,Dump!B:B,C859,Dump!A:A,V859)</f>
        <v>0</v>
      </c>
      <c r="T859" s="31">
        <f t="shared" si="12"/>
        <v>0</v>
      </c>
      <c r="U859" s="34"/>
      <c r="V859" s="47"/>
    </row>
    <row r="860">
      <c r="C860" s="46"/>
      <c r="G860" s="1" t="str">
        <f t="shared" si="16"/>
        <v/>
      </c>
      <c r="I860" s="33" t="str">
        <f t="shared" si="8"/>
        <v/>
      </c>
      <c r="K860" s="27"/>
      <c r="L860" s="28">
        <f>SUMIFS(Dump!$D:$D,Dump!$B:$B,$C860,Dump!$A:$A,$V860)</f>
        <v>0</v>
      </c>
      <c r="M860" s="28">
        <f>SUMIFS(Dump!R:R,Dump!B:B,C860,Dump!A:A,V860)</f>
        <v>0</v>
      </c>
      <c r="N860" s="29">
        <f t="shared" si="10"/>
        <v>0</v>
      </c>
      <c r="P860" s="30">
        <f>SUMIFS(Dump!E:E,Dump!B:B,C860,Dump!A:A,V860)</f>
        <v>0</v>
      </c>
      <c r="Q860" s="31">
        <f t="shared" si="11"/>
        <v>0</v>
      </c>
      <c r="S860" s="30">
        <f>SUMIFS(Dump!P:P,Dump!B:B,C860,Dump!A:A,V860)</f>
        <v>0</v>
      </c>
      <c r="T860" s="31">
        <f t="shared" si="12"/>
        <v>0</v>
      </c>
      <c r="U860" s="34"/>
      <c r="V860" s="47"/>
    </row>
    <row r="861">
      <c r="C861" s="46"/>
      <c r="G861" s="1" t="str">
        <f t="shared" si="16"/>
        <v/>
      </c>
      <c r="I861" s="33" t="str">
        <f t="shared" si="8"/>
        <v/>
      </c>
      <c r="K861" s="27"/>
      <c r="L861" s="28">
        <f>SUMIFS(Dump!$D:$D,Dump!$B:$B,$C861,Dump!$A:$A,$V861)</f>
        <v>0</v>
      </c>
      <c r="M861" s="28">
        <f>SUMIFS(Dump!R:R,Dump!B:B,C861,Dump!A:A,V861)</f>
        <v>0</v>
      </c>
      <c r="N861" s="29">
        <f t="shared" si="10"/>
        <v>0</v>
      </c>
      <c r="P861" s="30">
        <f>SUMIFS(Dump!E:E,Dump!B:B,C861,Dump!A:A,V861)</f>
        <v>0</v>
      </c>
      <c r="Q861" s="31">
        <f t="shared" si="11"/>
        <v>0</v>
      </c>
      <c r="S861" s="30">
        <f>SUMIFS(Dump!P:P,Dump!B:B,C861,Dump!A:A,V861)</f>
        <v>0</v>
      </c>
      <c r="T861" s="31">
        <f t="shared" si="12"/>
        <v>0</v>
      </c>
      <c r="U861" s="34"/>
      <c r="V861" s="47"/>
    </row>
    <row r="862">
      <c r="C862" s="46"/>
      <c r="G862" s="1" t="str">
        <f t="shared" si="16"/>
        <v/>
      </c>
      <c r="I862" s="33" t="str">
        <f t="shared" si="8"/>
        <v/>
      </c>
      <c r="K862" s="27"/>
      <c r="L862" s="28">
        <f>SUMIFS(Dump!$D:$D,Dump!$B:$B,$C862,Dump!$A:$A,$V862)</f>
        <v>0</v>
      </c>
      <c r="M862" s="28">
        <f>SUMIFS(Dump!R:R,Dump!B:B,C862,Dump!A:A,V862)</f>
        <v>0</v>
      </c>
      <c r="N862" s="29">
        <f t="shared" si="10"/>
        <v>0</v>
      </c>
      <c r="P862" s="30">
        <f>SUMIFS(Dump!E:E,Dump!B:B,C862,Dump!A:A,V862)</f>
        <v>0</v>
      </c>
      <c r="Q862" s="31">
        <f t="shared" si="11"/>
        <v>0</v>
      </c>
      <c r="S862" s="30">
        <f>SUMIFS(Dump!P:P,Dump!B:B,C862,Dump!A:A,V862)</f>
        <v>0</v>
      </c>
      <c r="T862" s="31">
        <f t="shared" si="12"/>
        <v>0</v>
      </c>
      <c r="U862" s="34"/>
      <c r="V862" s="47"/>
    </row>
    <row r="863">
      <c r="C863" s="46"/>
      <c r="G863" s="1" t="str">
        <f t="shared" si="16"/>
        <v/>
      </c>
      <c r="I863" s="33" t="str">
        <f t="shared" si="8"/>
        <v/>
      </c>
      <c r="K863" s="27"/>
      <c r="L863" s="28">
        <f>SUMIFS(Dump!$D:$D,Dump!$B:$B,$C863,Dump!$A:$A,$V863)</f>
        <v>0</v>
      </c>
      <c r="M863" s="28">
        <f>SUMIFS(Dump!R:R,Dump!B:B,C863,Dump!A:A,V863)</f>
        <v>0</v>
      </c>
      <c r="N863" s="29">
        <f t="shared" si="10"/>
        <v>0</v>
      </c>
      <c r="P863" s="30">
        <f>SUMIFS(Dump!E:E,Dump!B:B,C863,Dump!A:A,V863)</f>
        <v>0</v>
      </c>
      <c r="Q863" s="31">
        <f t="shared" si="11"/>
        <v>0</v>
      </c>
      <c r="S863" s="30">
        <f>SUMIFS(Dump!P:P,Dump!B:B,C863,Dump!A:A,V863)</f>
        <v>0</v>
      </c>
      <c r="T863" s="31">
        <f t="shared" si="12"/>
        <v>0</v>
      </c>
      <c r="U863" s="34"/>
      <c r="V863" s="47"/>
    </row>
    <row r="864">
      <c r="C864" s="46"/>
      <c r="G864" s="1" t="str">
        <f t="shared" si="16"/>
        <v/>
      </c>
      <c r="I864" s="33" t="str">
        <f t="shared" si="8"/>
        <v/>
      </c>
      <c r="K864" s="27"/>
      <c r="L864" s="28">
        <f>SUMIFS(Dump!$D:$D,Dump!$B:$B,$C864,Dump!$A:$A,$V864)</f>
        <v>0</v>
      </c>
      <c r="M864" s="28">
        <f>SUMIFS(Dump!R:R,Dump!B:B,C864,Dump!A:A,V864)</f>
        <v>0</v>
      </c>
      <c r="N864" s="29">
        <f t="shared" si="10"/>
        <v>0</v>
      </c>
      <c r="P864" s="30">
        <f>SUMIFS(Dump!E:E,Dump!B:B,C864,Dump!A:A,V864)</f>
        <v>0</v>
      </c>
      <c r="Q864" s="31">
        <f t="shared" si="11"/>
        <v>0</v>
      </c>
      <c r="S864" s="30">
        <f>SUMIFS(Dump!P:P,Dump!B:B,C864,Dump!A:A,V864)</f>
        <v>0</v>
      </c>
      <c r="T864" s="31">
        <f t="shared" si="12"/>
        <v>0</v>
      </c>
      <c r="U864" s="34"/>
      <c r="V864" s="47"/>
    </row>
    <row r="865">
      <c r="C865" s="46"/>
      <c r="G865" s="1" t="str">
        <f t="shared" si="16"/>
        <v/>
      </c>
      <c r="I865" s="33" t="str">
        <f t="shared" si="8"/>
        <v/>
      </c>
      <c r="K865" s="27"/>
      <c r="L865" s="28">
        <f>SUMIFS(Dump!$D:$D,Dump!$B:$B,$C865,Dump!$A:$A,$V865)</f>
        <v>0</v>
      </c>
      <c r="M865" s="28">
        <f>SUMIFS(Dump!R:R,Dump!B:B,C865,Dump!A:A,V865)</f>
        <v>0</v>
      </c>
      <c r="N865" s="29">
        <f t="shared" si="10"/>
        <v>0</v>
      </c>
      <c r="P865" s="30">
        <f>SUMIFS(Dump!E:E,Dump!B:B,C865,Dump!A:A,V865)</f>
        <v>0</v>
      </c>
      <c r="Q865" s="31">
        <f t="shared" si="11"/>
        <v>0</v>
      </c>
      <c r="S865" s="30">
        <f>SUMIFS(Dump!P:P,Dump!B:B,C865,Dump!A:A,V865)</f>
        <v>0</v>
      </c>
      <c r="T865" s="31">
        <f t="shared" si="12"/>
        <v>0</v>
      </c>
      <c r="U865" s="34"/>
      <c r="V865" s="47"/>
    </row>
    <row r="866">
      <c r="C866" s="46"/>
      <c r="G866" s="1" t="str">
        <f t="shared" si="16"/>
        <v/>
      </c>
      <c r="I866" s="33" t="str">
        <f t="shared" si="8"/>
        <v/>
      </c>
      <c r="K866" s="27"/>
      <c r="L866" s="28">
        <f>SUMIFS(Dump!$D:$D,Dump!$B:$B,$C866,Dump!$A:$A,$V866)</f>
        <v>0</v>
      </c>
      <c r="M866" s="28">
        <f>SUMIFS(Dump!R:R,Dump!B:B,C866,Dump!A:A,V866)</f>
        <v>0</v>
      </c>
      <c r="N866" s="29">
        <f t="shared" si="10"/>
        <v>0</v>
      </c>
      <c r="P866" s="30">
        <f>SUMIFS(Dump!E:E,Dump!B:B,C866,Dump!A:A,V866)</f>
        <v>0</v>
      </c>
      <c r="Q866" s="31">
        <f t="shared" si="11"/>
        <v>0</v>
      </c>
      <c r="S866" s="30">
        <f>SUMIFS(Dump!P:P,Dump!B:B,C866,Dump!A:A,V866)</f>
        <v>0</v>
      </c>
      <c r="T866" s="31">
        <f t="shared" si="12"/>
        <v>0</v>
      </c>
      <c r="U866" s="34"/>
      <c r="V866" s="47"/>
    </row>
    <row r="867">
      <c r="C867" s="46"/>
      <c r="G867" s="1" t="str">
        <f t="shared" si="16"/>
        <v/>
      </c>
      <c r="I867" s="33" t="str">
        <f t="shared" si="8"/>
        <v/>
      </c>
      <c r="K867" s="27"/>
      <c r="L867" s="28">
        <f>SUMIFS(Dump!$D:$D,Dump!$B:$B,$C867,Dump!$A:$A,$V867)</f>
        <v>0</v>
      </c>
      <c r="M867" s="28">
        <f>SUMIFS(Dump!R:R,Dump!B:B,C867,Dump!A:A,V867)</f>
        <v>0</v>
      </c>
      <c r="N867" s="29">
        <f t="shared" si="10"/>
        <v>0</v>
      </c>
      <c r="P867" s="30">
        <f>SUMIFS(Dump!E:E,Dump!B:B,C867,Dump!A:A,V867)</f>
        <v>0</v>
      </c>
      <c r="Q867" s="31">
        <f t="shared" si="11"/>
        <v>0</v>
      </c>
      <c r="S867" s="30">
        <f>SUMIFS(Dump!P:P,Dump!B:B,C867,Dump!A:A,V867)</f>
        <v>0</v>
      </c>
      <c r="T867" s="31">
        <f t="shared" si="12"/>
        <v>0</v>
      </c>
      <c r="U867" s="34"/>
      <c r="V867" s="47"/>
    </row>
    <row r="868">
      <c r="C868" s="46"/>
      <c r="G868" s="1" t="str">
        <f t="shared" si="16"/>
        <v/>
      </c>
      <c r="I868" s="33" t="str">
        <f t="shared" si="8"/>
        <v/>
      </c>
      <c r="K868" s="27"/>
      <c r="L868" s="28">
        <f>SUMIFS(Dump!$D:$D,Dump!$B:$B,$C868,Dump!$A:$A,$V868)</f>
        <v>0</v>
      </c>
      <c r="M868" s="28">
        <f>SUMIFS(Dump!R:R,Dump!B:B,C868,Dump!A:A,V868)</f>
        <v>0</v>
      </c>
      <c r="N868" s="29">
        <f t="shared" si="10"/>
        <v>0</v>
      </c>
      <c r="P868" s="30">
        <f>SUMIFS(Dump!E:E,Dump!B:B,C868,Dump!A:A,V868)</f>
        <v>0</v>
      </c>
      <c r="Q868" s="31">
        <f t="shared" si="11"/>
        <v>0</v>
      </c>
      <c r="S868" s="30">
        <f>SUMIFS(Dump!P:P,Dump!B:B,C868,Dump!A:A,V868)</f>
        <v>0</v>
      </c>
      <c r="T868" s="31">
        <f t="shared" si="12"/>
        <v>0</v>
      </c>
      <c r="U868" s="34"/>
      <c r="V868" s="47"/>
    </row>
    <row r="869">
      <c r="C869" s="46"/>
      <c r="G869" s="1" t="str">
        <f t="shared" si="16"/>
        <v/>
      </c>
      <c r="I869" s="33" t="str">
        <f t="shared" si="8"/>
        <v/>
      </c>
      <c r="K869" s="27"/>
      <c r="L869" s="28">
        <f>SUMIFS(Dump!$D:$D,Dump!$B:$B,$C869,Dump!$A:$A,$V869)</f>
        <v>0</v>
      </c>
      <c r="M869" s="28">
        <f>SUMIFS(Dump!R:R,Dump!B:B,C869,Dump!A:A,V869)</f>
        <v>0</v>
      </c>
      <c r="N869" s="29">
        <f t="shared" si="10"/>
        <v>0</v>
      </c>
      <c r="P869" s="30">
        <f>SUMIFS(Dump!E:E,Dump!B:B,C869,Dump!A:A,V869)</f>
        <v>0</v>
      </c>
      <c r="Q869" s="31">
        <f t="shared" si="11"/>
        <v>0</v>
      </c>
      <c r="S869" s="30">
        <f>SUMIFS(Dump!P:P,Dump!B:B,C869,Dump!A:A,V869)</f>
        <v>0</v>
      </c>
      <c r="T869" s="31">
        <f t="shared" si="12"/>
        <v>0</v>
      </c>
      <c r="U869" s="34"/>
      <c r="V869" s="47"/>
    </row>
    <row r="870">
      <c r="C870" s="46"/>
      <c r="G870" s="1" t="str">
        <f t="shared" si="16"/>
        <v/>
      </c>
      <c r="I870" s="33" t="str">
        <f t="shared" si="8"/>
        <v/>
      </c>
      <c r="K870" s="27"/>
      <c r="L870" s="28">
        <f>SUMIFS(Dump!$D:$D,Dump!$B:$B,$C870,Dump!$A:$A,$V870)</f>
        <v>0</v>
      </c>
      <c r="M870" s="28">
        <f>SUMIFS(Dump!R:R,Dump!B:B,C870,Dump!A:A,V870)</f>
        <v>0</v>
      </c>
      <c r="N870" s="29">
        <f t="shared" si="10"/>
        <v>0</v>
      </c>
      <c r="P870" s="30">
        <f>SUMIFS(Dump!E:E,Dump!B:B,C870,Dump!A:A,V870)</f>
        <v>0</v>
      </c>
      <c r="Q870" s="31">
        <f t="shared" si="11"/>
        <v>0</v>
      </c>
      <c r="S870" s="30">
        <f>SUMIFS(Dump!P:P,Dump!B:B,C870,Dump!A:A,V870)</f>
        <v>0</v>
      </c>
      <c r="T870" s="31">
        <f t="shared" si="12"/>
        <v>0</v>
      </c>
      <c r="U870" s="34"/>
      <c r="V870" s="47"/>
    </row>
    <row r="871">
      <c r="C871" s="46"/>
      <c r="G871" s="1" t="str">
        <f t="shared" si="16"/>
        <v/>
      </c>
      <c r="I871" s="33" t="str">
        <f t="shared" si="8"/>
        <v/>
      </c>
      <c r="K871" s="27"/>
      <c r="L871" s="28">
        <f>SUMIFS(Dump!$D:$D,Dump!$B:$B,$C871,Dump!$A:$A,$V871)</f>
        <v>0</v>
      </c>
      <c r="M871" s="28">
        <f>SUMIFS(Dump!R:R,Dump!B:B,C871,Dump!A:A,V871)</f>
        <v>0</v>
      </c>
      <c r="N871" s="29">
        <f t="shared" si="10"/>
        <v>0</v>
      </c>
      <c r="P871" s="30">
        <f>SUMIFS(Dump!E:E,Dump!B:B,C871,Dump!A:A,V871)</f>
        <v>0</v>
      </c>
      <c r="Q871" s="31">
        <f t="shared" si="11"/>
        <v>0</v>
      </c>
      <c r="S871" s="30">
        <f>SUMIFS(Dump!P:P,Dump!B:B,C871,Dump!A:A,V871)</f>
        <v>0</v>
      </c>
      <c r="T871" s="31">
        <f t="shared" si="12"/>
        <v>0</v>
      </c>
      <c r="U871" s="34"/>
      <c r="V871" s="47"/>
    </row>
    <row r="872">
      <c r="C872" s="46"/>
      <c r="G872" s="1" t="str">
        <f t="shared" si="16"/>
        <v/>
      </c>
      <c r="I872" s="33" t="str">
        <f t="shared" si="8"/>
        <v/>
      </c>
      <c r="K872" s="27"/>
      <c r="L872" s="28">
        <f>SUMIFS(Dump!$D:$D,Dump!$B:$B,$C872,Dump!$A:$A,$V872)</f>
        <v>0</v>
      </c>
      <c r="M872" s="28">
        <f>SUMIFS(Dump!R:R,Dump!B:B,C872,Dump!A:A,V872)</f>
        <v>0</v>
      </c>
      <c r="N872" s="29">
        <f t="shared" si="10"/>
        <v>0</v>
      </c>
      <c r="P872" s="30">
        <f>SUMIFS(Dump!E:E,Dump!B:B,C872,Dump!A:A,V872)</f>
        <v>0</v>
      </c>
      <c r="Q872" s="31">
        <f t="shared" si="11"/>
        <v>0</v>
      </c>
      <c r="S872" s="30">
        <f>SUMIFS(Dump!P:P,Dump!B:B,C872,Dump!A:A,V872)</f>
        <v>0</v>
      </c>
      <c r="T872" s="31">
        <f t="shared" si="12"/>
        <v>0</v>
      </c>
      <c r="U872" s="34"/>
      <c r="V872" s="47"/>
    </row>
    <row r="873">
      <c r="C873" s="46"/>
      <c r="G873" s="1" t="str">
        <f t="shared" si="16"/>
        <v/>
      </c>
      <c r="I873" s="33" t="str">
        <f t="shared" si="8"/>
        <v/>
      </c>
      <c r="K873" s="27"/>
      <c r="L873" s="28">
        <f>SUMIFS(Dump!$D:$D,Dump!$B:$B,$C873,Dump!$A:$A,$V873)</f>
        <v>0</v>
      </c>
      <c r="M873" s="28">
        <f>SUMIFS(Dump!R:R,Dump!B:B,C873,Dump!A:A,V873)</f>
        <v>0</v>
      </c>
      <c r="N873" s="29">
        <f t="shared" si="10"/>
        <v>0</v>
      </c>
      <c r="P873" s="30">
        <f>SUMIFS(Dump!E:E,Dump!B:B,C873,Dump!A:A,V873)</f>
        <v>0</v>
      </c>
      <c r="Q873" s="31">
        <f t="shared" si="11"/>
        <v>0</v>
      </c>
      <c r="S873" s="30">
        <f>SUMIFS(Dump!P:P,Dump!B:B,C873,Dump!A:A,V873)</f>
        <v>0</v>
      </c>
      <c r="T873" s="31">
        <f t="shared" si="12"/>
        <v>0</v>
      </c>
      <c r="U873" s="34"/>
      <c r="V873" s="47"/>
    </row>
    <row r="874">
      <c r="C874" s="46"/>
      <c r="G874" s="1" t="str">
        <f t="shared" si="16"/>
        <v/>
      </c>
      <c r="I874" s="33" t="str">
        <f t="shared" si="8"/>
        <v/>
      </c>
      <c r="K874" s="27"/>
      <c r="L874" s="28">
        <f>SUMIFS(Dump!$D:$D,Dump!$B:$B,$C874,Dump!$A:$A,$V874)</f>
        <v>0</v>
      </c>
      <c r="M874" s="28">
        <f>SUMIFS(Dump!R:R,Dump!B:B,C874,Dump!A:A,V874)</f>
        <v>0</v>
      </c>
      <c r="N874" s="29">
        <f t="shared" si="10"/>
        <v>0</v>
      </c>
      <c r="P874" s="30">
        <f>SUMIFS(Dump!E:E,Dump!B:B,C874,Dump!A:A,V874)</f>
        <v>0</v>
      </c>
      <c r="Q874" s="31">
        <f t="shared" si="11"/>
        <v>0</v>
      </c>
      <c r="S874" s="30">
        <f>SUMIFS(Dump!P:P,Dump!B:B,C874,Dump!A:A,V874)</f>
        <v>0</v>
      </c>
      <c r="T874" s="31">
        <f t="shared" si="12"/>
        <v>0</v>
      </c>
      <c r="U874" s="34"/>
      <c r="V874" s="47"/>
    </row>
    <row r="875">
      <c r="C875" s="46"/>
      <c r="G875" s="1" t="str">
        <f t="shared" si="16"/>
        <v/>
      </c>
      <c r="I875" s="33" t="str">
        <f t="shared" si="8"/>
        <v/>
      </c>
      <c r="K875" s="27"/>
      <c r="L875" s="28">
        <f>SUMIFS(Dump!$D:$D,Dump!$B:$B,$C875,Dump!$A:$A,$V875)</f>
        <v>0</v>
      </c>
      <c r="M875" s="28">
        <f>SUMIFS(Dump!R:R,Dump!B:B,C875,Dump!A:A,V875)</f>
        <v>0</v>
      </c>
      <c r="N875" s="29">
        <f t="shared" si="10"/>
        <v>0</v>
      </c>
      <c r="P875" s="30">
        <f>SUMIFS(Dump!E:E,Dump!B:B,C875,Dump!A:A,V875)</f>
        <v>0</v>
      </c>
      <c r="Q875" s="31">
        <f t="shared" si="11"/>
        <v>0</v>
      </c>
      <c r="S875" s="30">
        <f>SUMIFS(Dump!P:P,Dump!B:B,C875,Dump!A:A,V875)</f>
        <v>0</v>
      </c>
      <c r="T875" s="31">
        <f t="shared" si="12"/>
        <v>0</v>
      </c>
      <c r="U875" s="34"/>
      <c r="V875" s="47"/>
    </row>
    <row r="876">
      <c r="C876" s="46"/>
      <c r="G876" s="1" t="str">
        <f t="shared" si="16"/>
        <v/>
      </c>
      <c r="I876" s="33" t="str">
        <f t="shared" si="8"/>
        <v/>
      </c>
      <c r="K876" s="27"/>
      <c r="L876" s="28">
        <f>SUMIFS(Dump!$D:$D,Dump!$B:$B,$C876,Dump!$A:$A,$V876)</f>
        <v>0</v>
      </c>
      <c r="M876" s="28">
        <f>SUMIFS(Dump!R:R,Dump!B:B,C876,Dump!A:A,V876)</f>
        <v>0</v>
      </c>
      <c r="N876" s="29">
        <f t="shared" si="10"/>
        <v>0</v>
      </c>
      <c r="P876" s="30">
        <f>SUMIFS(Dump!E:E,Dump!B:B,C876,Dump!A:A,V876)</f>
        <v>0</v>
      </c>
      <c r="Q876" s="31">
        <f t="shared" si="11"/>
        <v>0</v>
      </c>
      <c r="S876" s="30">
        <f>SUMIFS(Dump!P:P,Dump!B:B,C876,Dump!A:A,V876)</f>
        <v>0</v>
      </c>
      <c r="T876" s="31">
        <f t="shared" si="12"/>
        <v>0</v>
      </c>
      <c r="U876" s="34"/>
      <c r="V876" s="47"/>
    </row>
    <row r="877">
      <c r="C877" s="46"/>
      <c r="G877" s="1" t="str">
        <f t="shared" si="16"/>
        <v/>
      </c>
      <c r="I877" s="33" t="str">
        <f t="shared" si="8"/>
        <v/>
      </c>
      <c r="K877" s="27"/>
      <c r="L877" s="28">
        <f>SUMIFS(Dump!$D:$D,Dump!$B:$B,$C877,Dump!$A:$A,$V877)</f>
        <v>0</v>
      </c>
      <c r="M877" s="28">
        <f>SUMIFS(Dump!R:R,Dump!B:B,C877,Dump!A:A,V877)</f>
        <v>0</v>
      </c>
      <c r="N877" s="29">
        <f t="shared" si="10"/>
        <v>0</v>
      </c>
      <c r="P877" s="30">
        <f>SUMIFS(Dump!E:E,Dump!B:B,C877,Dump!A:A,V877)</f>
        <v>0</v>
      </c>
      <c r="Q877" s="31">
        <f t="shared" si="11"/>
        <v>0</v>
      </c>
      <c r="S877" s="30">
        <f>SUMIFS(Dump!P:P,Dump!B:B,C877,Dump!A:A,V877)</f>
        <v>0</v>
      </c>
      <c r="T877" s="31">
        <f t="shared" si="12"/>
        <v>0</v>
      </c>
      <c r="U877" s="34"/>
      <c r="V877" s="47"/>
    </row>
    <row r="878">
      <c r="C878" s="46"/>
      <c r="G878" s="1" t="str">
        <f t="shared" si="16"/>
        <v/>
      </c>
      <c r="I878" s="33" t="str">
        <f t="shared" si="8"/>
        <v/>
      </c>
      <c r="K878" s="27"/>
      <c r="L878" s="28">
        <f>SUMIFS(Dump!$D:$D,Dump!$B:$B,$C878,Dump!$A:$A,$V878)</f>
        <v>0</v>
      </c>
      <c r="M878" s="28">
        <f>SUMIFS(Dump!R:R,Dump!B:B,C878,Dump!A:A,V878)</f>
        <v>0</v>
      </c>
      <c r="N878" s="29">
        <f t="shared" si="10"/>
        <v>0</v>
      </c>
      <c r="P878" s="30">
        <f>SUMIFS(Dump!E:E,Dump!B:B,C878,Dump!A:A,V878)</f>
        <v>0</v>
      </c>
      <c r="Q878" s="31">
        <f t="shared" si="11"/>
        <v>0</v>
      </c>
      <c r="S878" s="30">
        <f>SUMIFS(Dump!P:P,Dump!B:B,C878,Dump!A:A,V878)</f>
        <v>0</v>
      </c>
      <c r="T878" s="31">
        <f t="shared" si="12"/>
        <v>0</v>
      </c>
      <c r="U878" s="34"/>
      <c r="V878" s="47"/>
    </row>
    <row r="879">
      <c r="C879" s="46"/>
      <c r="G879" s="1" t="str">
        <f t="shared" si="16"/>
        <v/>
      </c>
      <c r="I879" s="33" t="str">
        <f t="shared" si="8"/>
        <v/>
      </c>
      <c r="K879" s="27"/>
      <c r="L879" s="28">
        <f>SUMIFS(Dump!$D:$D,Dump!$B:$B,$C879,Dump!$A:$A,$V879)</f>
        <v>0</v>
      </c>
      <c r="M879" s="28">
        <f>SUMIFS(Dump!R:R,Dump!B:B,C879,Dump!A:A,V879)</f>
        <v>0</v>
      </c>
      <c r="N879" s="29">
        <f t="shared" si="10"/>
        <v>0</v>
      </c>
      <c r="P879" s="30">
        <f>SUMIFS(Dump!E:E,Dump!B:B,C879,Dump!A:A,V879)</f>
        <v>0</v>
      </c>
      <c r="Q879" s="31">
        <f t="shared" si="11"/>
        <v>0</v>
      </c>
      <c r="S879" s="30">
        <f>SUMIFS(Dump!P:P,Dump!B:B,C879,Dump!A:A,V879)</f>
        <v>0</v>
      </c>
      <c r="T879" s="31">
        <f t="shared" si="12"/>
        <v>0</v>
      </c>
      <c r="U879" s="34"/>
      <c r="V879" s="47"/>
    </row>
    <row r="880">
      <c r="C880" s="46"/>
      <c r="G880" s="1" t="str">
        <f t="shared" si="16"/>
        <v/>
      </c>
      <c r="I880" s="33" t="str">
        <f t="shared" si="8"/>
        <v/>
      </c>
      <c r="K880" s="27"/>
      <c r="L880" s="28">
        <f>SUMIFS(Dump!$D:$D,Dump!$B:$B,$C880,Dump!$A:$A,$V880)</f>
        <v>0</v>
      </c>
      <c r="M880" s="28">
        <f>SUMIFS(Dump!R:R,Dump!B:B,C880,Dump!A:A,V880)</f>
        <v>0</v>
      </c>
      <c r="N880" s="29">
        <f t="shared" si="10"/>
        <v>0</v>
      </c>
      <c r="P880" s="30">
        <f>SUMIFS(Dump!E:E,Dump!B:B,C880,Dump!A:A,V880)</f>
        <v>0</v>
      </c>
      <c r="Q880" s="31">
        <f t="shared" si="11"/>
        <v>0</v>
      </c>
      <c r="S880" s="30">
        <f>SUMIFS(Dump!P:P,Dump!B:B,C880,Dump!A:A,V880)</f>
        <v>0</v>
      </c>
      <c r="T880" s="31">
        <f t="shared" si="12"/>
        <v>0</v>
      </c>
      <c r="U880" s="34"/>
      <c r="V880" s="47"/>
    </row>
    <row r="881">
      <c r="C881" s="46"/>
      <c r="G881" s="1" t="str">
        <f t="shared" si="16"/>
        <v/>
      </c>
      <c r="I881" s="33" t="str">
        <f t="shared" si="8"/>
        <v/>
      </c>
      <c r="K881" s="27"/>
      <c r="L881" s="28">
        <f>SUMIFS(Dump!$D:$D,Dump!$B:$B,$C881,Dump!$A:$A,$V881)</f>
        <v>0</v>
      </c>
      <c r="M881" s="28">
        <f>SUMIFS(Dump!R:R,Dump!B:B,C881,Dump!A:A,V881)</f>
        <v>0</v>
      </c>
      <c r="N881" s="29">
        <f t="shared" si="10"/>
        <v>0</v>
      </c>
      <c r="P881" s="30">
        <f>SUMIFS(Dump!E:E,Dump!B:B,C881,Dump!A:A,V881)</f>
        <v>0</v>
      </c>
      <c r="Q881" s="31">
        <f t="shared" si="11"/>
        <v>0</v>
      </c>
      <c r="S881" s="30">
        <f>SUMIFS(Dump!P:P,Dump!B:B,C881,Dump!A:A,V881)</f>
        <v>0</v>
      </c>
      <c r="T881" s="31">
        <f t="shared" si="12"/>
        <v>0</v>
      </c>
      <c r="U881" s="34"/>
      <c r="V881" s="47"/>
    </row>
    <row r="882">
      <c r="C882" s="46"/>
      <c r="G882" s="1" t="str">
        <f t="shared" si="16"/>
        <v/>
      </c>
      <c r="I882" s="33" t="str">
        <f t="shared" si="8"/>
        <v/>
      </c>
      <c r="K882" s="27"/>
      <c r="L882" s="28">
        <f>SUMIFS(Dump!$D:$D,Dump!$B:$B,$C882,Dump!$A:$A,$V882)</f>
        <v>0</v>
      </c>
      <c r="M882" s="28">
        <f>SUMIFS(Dump!R:R,Dump!B:B,C882,Dump!A:A,V882)</f>
        <v>0</v>
      </c>
      <c r="N882" s="29">
        <f t="shared" si="10"/>
        <v>0</v>
      </c>
      <c r="P882" s="30">
        <f>SUMIFS(Dump!E:E,Dump!B:B,C882,Dump!A:A,V882)</f>
        <v>0</v>
      </c>
      <c r="Q882" s="31">
        <f t="shared" si="11"/>
        <v>0</v>
      </c>
      <c r="S882" s="30">
        <f>SUMIFS(Dump!P:P,Dump!B:B,C882,Dump!A:A,V882)</f>
        <v>0</v>
      </c>
      <c r="T882" s="31">
        <f t="shared" si="12"/>
        <v>0</v>
      </c>
      <c r="U882" s="34"/>
      <c r="V882" s="47"/>
    </row>
    <row r="883">
      <c r="C883" s="46"/>
      <c r="G883" s="1" t="str">
        <f t="shared" si="16"/>
        <v/>
      </c>
      <c r="I883" s="33" t="str">
        <f t="shared" si="8"/>
        <v/>
      </c>
      <c r="K883" s="27"/>
      <c r="L883" s="28">
        <f>SUMIFS(Dump!$D:$D,Dump!$B:$B,$C883,Dump!$A:$A,$V883)</f>
        <v>0</v>
      </c>
      <c r="M883" s="28">
        <f>SUMIFS(Dump!R:R,Dump!B:B,C883,Dump!A:A,V883)</f>
        <v>0</v>
      </c>
      <c r="N883" s="29">
        <f t="shared" si="10"/>
        <v>0</v>
      </c>
      <c r="P883" s="30">
        <f>SUMIFS(Dump!E:E,Dump!B:B,C883,Dump!A:A,V883)</f>
        <v>0</v>
      </c>
      <c r="Q883" s="31">
        <f t="shared" si="11"/>
        <v>0</v>
      </c>
      <c r="S883" s="30">
        <f>SUMIFS(Dump!P:P,Dump!B:B,C883,Dump!A:A,V883)</f>
        <v>0</v>
      </c>
      <c r="T883" s="31">
        <f t="shared" si="12"/>
        <v>0</v>
      </c>
      <c r="U883" s="34"/>
      <c r="V883" s="47"/>
    </row>
    <row r="884">
      <c r="C884" s="46"/>
      <c r="G884" s="1" t="str">
        <f t="shared" si="16"/>
        <v/>
      </c>
      <c r="I884" s="33" t="str">
        <f t="shared" si="8"/>
        <v/>
      </c>
      <c r="K884" s="27"/>
      <c r="L884" s="28">
        <f>SUMIFS(Dump!$D:$D,Dump!$B:$B,$C884,Dump!$A:$A,$V884)</f>
        <v>0</v>
      </c>
      <c r="M884" s="28">
        <f>SUMIFS(Dump!R:R,Dump!B:B,C884,Dump!A:A,V884)</f>
        <v>0</v>
      </c>
      <c r="N884" s="29">
        <f t="shared" si="10"/>
        <v>0</v>
      </c>
      <c r="P884" s="30">
        <f>SUMIFS(Dump!E:E,Dump!B:B,C884,Dump!A:A,V884)</f>
        <v>0</v>
      </c>
      <c r="Q884" s="31">
        <f t="shared" si="11"/>
        <v>0</v>
      </c>
      <c r="S884" s="30">
        <f>SUMIFS(Dump!P:P,Dump!B:B,C884,Dump!A:A,V884)</f>
        <v>0</v>
      </c>
      <c r="T884" s="31">
        <f t="shared" si="12"/>
        <v>0</v>
      </c>
      <c r="U884" s="34"/>
      <c r="V884" s="47"/>
    </row>
    <row r="885">
      <c r="C885" s="46"/>
      <c r="G885" s="1" t="str">
        <f t="shared" si="16"/>
        <v/>
      </c>
      <c r="I885" s="33" t="str">
        <f t="shared" si="8"/>
        <v/>
      </c>
      <c r="K885" s="27"/>
      <c r="L885" s="28">
        <f>SUMIFS(Dump!$D:$D,Dump!$B:$B,$C885,Dump!$A:$A,$V885)</f>
        <v>0</v>
      </c>
      <c r="M885" s="28">
        <f>SUMIFS(Dump!R:R,Dump!B:B,C885,Dump!A:A,V885)</f>
        <v>0</v>
      </c>
      <c r="N885" s="29">
        <f t="shared" si="10"/>
        <v>0</v>
      </c>
      <c r="P885" s="30">
        <f>SUMIFS(Dump!E:E,Dump!B:B,C885,Dump!A:A,V885)</f>
        <v>0</v>
      </c>
      <c r="Q885" s="31">
        <f t="shared" si="11"/>
        <v>0</v>
      </c>
      <c r="S885" s="30">
        <f>SUMIFS(Dump!P:P,Dump!B:B,C885,Dump!A:A,V885)</f>
        <v>0</v>
      </c>
      <c r="T885" s="31">
        <f t="shared" si="12"/>
        <v>0</v>
      </c>
      <c r="U885" s="34"/>
      <c r="V885" s="47"/>
    </row>
    <row r="886">
      <c r="C886" s="46"/>
      <c r="G886" s="1" t="str">
        <f t="shared" si="16"/>
        <v/>
      </c>
      <c r="I886" s="33" t="str">
        <f t="shared" si="8"/>
        <v/>
      </c>
      <c r="K886" s="27"/>
      <c r="L886" s="28">
        <f>SUMIFS(Dump!$D:$D,Dump!$B:$B,$C886,Dump!$A:$A,$V886)</f>
        <v>0</v>
      </c>
      <c r="M886" s="28">
        <f>SUMIFS(Dump!R:R,Dump!B:B,C886,Dump!A:A,V886)</f>
        <v>0</v>
      </c>
      <c r="N886" s="29">
        <f t="shared" si="10"/>
        <v>0</v>
      </c>
      <c r="P886" s="30">
        <f>SUMIFS(Dump!E:E,Dump!B:B,C886,Dump!A:A,V886)</f>
        <v>0</v>
      </c>
      <c r="Q886" s="31">
        <f t="shared" si="11"/>
        <v>0</v>
      </c>
      <c r="S886" s="30">
        <f>SUMIFS(Dump!P:P,Dump!B:B,C886,Dump!A:A,V886)</f>
        <v>0</v>
      </c>
      <c r="T886" s="31">
        <f t="shared" si="12"/>
        <v>0</v>
      </c>
      <c r="U886" s="34"/>
      <c r="V886" s="47"/>
    </row>
    <row r="887">
      <c r="C887" s="46"/>
      <c r="G887" s="1" t="str">
        <f t="shared" si="16"/>
        <v/>
      </c>
      <c r="I887" s="33" t="str">
        <f t="shared" si="8"/>
        <v/>
      </c>
      <c r="K887" s="27"/>
      <c r="L887" s="28">
        <f>SUMIFS(Dump!$D:$D,Dump!$B:$B,$C887,Dump!$A:$A,$V887)</f>
        <v>0</v>
      </c>
      <c r="M887" s="28">
        <f>SUMIFS(Dump!R:R,Dump!B:B,C887,Dump!A:A,V887)</f>
        <v>0</v>
      </c>
      <c r="N887" s="29">
        <f t="shared" si="10"/>
        <v>0</v>
      </c>
      <c r="P887" s="30">
        <f>SUMIFS(Dump!E:E,Dump!B:B,C887,Dump!A:A,V887)</f>
        <v>0</v>
      </c>
      <c r="Q887" s="31">
        <f t="shared" si="11"/>
        <v>0</v>
      </c>
      <c r="S887" s="30">
        <f>SUMIFS(Dump!P:P,Dump!B:B,C887,Dump!A:A,V887)</f>
        <v>0</v>
      </c>
      <c r="T887" s="31">
        <f t="shared" si="12"/>
        <v>0</v>
      </c>
      <c r="U887" s="34"/>
      <c r="V887" s="47"/>
    </row>
    <row r="888">
      <c r="C888" s="46"/>
      <c r="G888" s="1" t="str">
        <f t="shared" si="16"/>
        <v/>
      </c>
      <c r="I888" s="33" t="str">
        <f t="shared" si="8"/>
        <v/>
      </c>
      <c r="K888" s="27"/>
      <c r="L888" s="28">
        <f>SUMIFS(Dump!$D:$D,Dump!$B:$B,$C888,Dump!$A:$A,$V888)</f>
        <v>0</v>
      </c>
      <c r="M888" s="28">
        <f>SUMIFS(Dump!R:R,Dump!B:B,C888,Dump!A:A,V888)</f>
        <v>0</v>
      </c>
      <c r="N888" s="29">
        <f t="shared" si="10"/>
        <v>0</v>
      </c>
      <c r="P888" s="30">
        <f>SUMIFS(Dump!E:E,Dump!B:B,C888,Dump!A:A,V888)</f>
        <v>0</v>
      </c>
      <c r="Q888" s="31">
        <f t="shared" si="11"/>
        <v>0</v>
      </c>
      <c r="S888" s="30">
        <f>SUMIFS(Dump!P:P,Dump!B:B,C888,Dump!A:A,V888)</f>
        <v>0</v>
      </c>
      <c r="T888" s="31">
        <f t="shared" si="12"/>
        <v>0</v>
      </c>
      <c r="U888" s="34"/>
      <c r="V888" s="47"/>
    </row>
    <row r="889">
      <c r="C889" s="46"/>
      <c r="G889" s="1" t="str">
        <f t="shared" si="16"/>
        <v/>
      </c>
      <c r="I889" s="33" t="str">
        <f t="shared" si="8"/>
        <v/>
      </c>
      <c r="K889" s="27"/>
      <c r="L889" s="28">
        <f>SUMIFS(Dump!$D:$D,Dump!$B:$B,$C889,Dump!$A:$A,$V889)</f>
        <v>0</v>
      </c>
      <c r="M889" s="28">
        <f>SUMIFS(Dump!R:R,Dump!B:B,C889,Dump!A:A,V889)</f>
        <v>0</v>
      </c>
      <c r="N889" s="29">
        <f t="shared" si="10"/>
        <v>0</v>
      </c>
      <c r="P889" s="30">
        <f>SUMIFS(Dump!E:E,Dump!B:B,C889,Dump!A:A,V889)</f>
        <v>0</v>
      </c>
      <c r="Q889" s="31">
        <f t="shared" si="11"/>
        <v>0</v>
      </c>
      <c r="S889" s="30">
        <f>SUMIFS(Dump!P:P,Dump!B:B,C889,Dump!A:A,V889)</f>
        <v>0</v>
      </c>
      <c r="T889" s="31">
        <f t="shared" si="12"/>
        <v>0</v>
      </c>
      <c r="U889" s="34"/>
      <c r="V889" s="47"/>
    </row>
    <row r="890">
      <c r="C890" s="46"/>
      <c r="G890" s="1" t="str">
        <f t="shared" si="16"/>
        <v/>
      </c>
      <c r="I890" s="33" t="str">
        <f t="shared" si="8"/>
        <v/>
      </c>
      <c r="K890" s="27"/>
      <c r="L890" s="28">
        <f>SUMIFS(Dump!$D:$D,Dump!$B:$B,$C890,Dump!$A:$A,$V890)</f>
        <v>0</v>
      </c>
      <c r="M890" s="28">
        <f>SUMIFS(Dump!R:R,Dump!B:B,C890,Dump!A:A,V890)</f>
        <v>0</v>
      </c>
      <c r="N890" s="29">
        <f t="shared" si="10"/>
        <v>0</v>
      </c>
      <c r="P890" s="30">
        <f>SUMIFS(Dump!E:E,Dump!B:B,C890,Dump!A:A,V890)</f>
        <v>0</v>
      </c>
      <c r="Q890" s="31">
        <f t="shared" si="11"/>
        <v>0</v>
      </c>
      <c r="S890" s="30">
        <f>SUMIFS(Dump!P:P,Dump!B:B,C890,Dump!A:A,V890)</f>
        <v>0</v>
      </c>
      <c r="T890" s="31">
        <f t="shared" si="12"/>
        <v>0</v>
      </c>
      <c r="U890" s="34"/>
      <c r="V890" s="47"/>
    </row>
    <row r="891">
      <c r="C891" s="46"/>
      <c r="G891" s="1" t="str">
        <f t="shared" si="16"/>
        <v/>
      </c>
      <c r="I891" s="33" t="str">
        <f t="shared" si="8"/>
        <v/>
      </c>
      <c r="K891" s="27"/>
      <c r="L891" s="28">
        <f>SUMIFS(Dump!$D:$D,Dump!$B:$B,$C891,Dump!$A:$A,$V891)</f>
        <v>0</v>
      </c>
      <c r="M891" s="28">
        <f>SUMIFS(Dump!R:R,Dump!B:B,C891,Dump!A:A,V891)</f>
        <v>0</v>
      </c>
      <c r="N891" s="29">
        <f t="shared" si="10"/>
        <v>0</v>
      </c>
      <c r="P891" s="30">
        <f>SUMIFS(Dump!E:E,Dump!B:B,C891,Dump!A:A,V891)</f>
        <v>0</v>
      </c>
      <c r="Q891" s="31">
        <f t="shared" si="11"/>
        <v>0</v>
      </c>
      <c r="S891" s="30">
        <f>SUMIFS(Dump!P:P,Dump!B:B,C891,Dump!A:A,V891)</f>
        <v>0</v>
      </c>
      <c r="T891" s="31">
        <f t="shared" si="12"/>
        <v>0</v>
      </c>
      <c r="U891" s="34"/>
      <c r="V891" s="47"/>
    </row>
    <row r="892">
      <c r="C892" s="46"/>
      <c r="G892" s="1" t="str">
        <f t="shared" si="16"/>
        <v/>
      </c>
      <c r="I892" s="33" t="str">
        <f t="shared" si="8"/>
        <v/>
      </c>
      <c r="K892" s="27"/>
      <c r="L892" s="28">
        <f>SUMIFS(Dump!$D:$D,Dump!$B:$B,$C892,Dump!$A:$A,$V892)</f>
        <v>0</v>
      </c>
      <c r="M892" s="28">
        <f>SUMIFS(Dump!R:R,Dump!B:B,C892,Dump!A:A,V892)</f>
        <v>0</v>
      </c>
      <c r="N892" s="29">
        <f t="shared" si="10"/>
        <v>0</v>
      </c>
      <c r="P892" s="30">
        <f>SUMIFS(Dump!E:E,Dump!B:B,C892,Dump!A:A,V892)</f>
        <v>0</v>
      </c>
      <c r="Q892" s="31">
        <f t="shared" si="11"/>
        <v>0</v>
      </c>
      <c r="S892" s="30">
        <f>SUMIFS(Dump!P:P,Dump!B:B,C892,Dump!A:A,V892)</f>
        <v>0</v>
      </c>
      <c r="T892" s="31">
        <f t="shared" si="12"/>
        <v>0</v>
      </c>
      <c r="U892" s="34"/>
      <c r="V892" s="47"/>
    </row>
    <row r="893">
      <c r="C893" s="46"/>
      <c r="G893" s="1" t="str">
        <f t="shared" si="16"/>
        <v/>
      </c>
      <c r="I893" s="33" t="str">
        <f t="shared" si="8"/>
        <v/>
      </c>
      <c r="K893" s="27"/>
      <c r="L893" s="28">
        <f>SUMIFS(Dump!$D:$D,Dump!$B:$B,$C893,Dump!$A:$A,$V893)</f>
        <v>0</v>
      </c>
      <c r="M893" s="28">
        <f>SUMIFS(Dump!R:R,Dump!B:B,C893,Dump!A:A,V893)</f>
        <v>0</v>
      </c>
      <c r="N893" s="29">
        <f t="shared" si="10"/>
        <v>0</v>
      </c>
      <c r="P893" s="30">
        <f>SUMIFS(Dump!E:E,Dump!B:B,C893,Dump!A:A,V893)</f>
        <v>0</v>
      </c>
      <c r="Q893" s="31">
        <f t="shared" si="11"/>
        <v>0</v>
      </c>
      <c r="S893" s="30">
        <f>SUMIFS(Dump!P:P,Dump!B:B,C893,Dump!A:A,V893)</f>
        <v>0</v>
      </c>
      <c r="T893" s="31">
        <f t="shared" si="12"/>
        <v>0</v>
      </c>
      <c r="U893" s="34"/>
      <c r="V893" s="47"/>
    </row>
    <row r="894">
      <c r="C894" s="46"/>
      <c r="G894" s="1" t="str">
        <f t="shared" si="16"/>
        <v/>
      </c>
      <c r="I894" s="33" t="str">
        <f t="shared" si="8"/>
        <v/>
      </c>
      <c r="K894" s="27"/>
      <c r="L894" s="28">
        <f>SUMIFS(Dump!$D:$D,Dump!$B:$B,$C894,Dump!$A:$A,$V894)</f>
        <v>0</v>
      </c>
      <c r="M894" s="28">
        <f>SUMIFS(Dump!R:R,Dump!B:B,C894,Dump!A:A,V894)</f>
        <v>0</v>
      </c>
      <c r="N894" s="29">
        <f t="shared" si="10"/>
        <v>0</v>
      </c>
      <c r="P894" s="30">
        <f>SUMIFS(Dump!E:E,Dump!B:B,C894,Dump!A:A,V894)</f>
        <v>0</v>
      </c>
      <c r="Q894" s="31">
        <f t="shared" si="11"/>
        <v>0</v>
      </c>
      <c r="S894" s="30">
        <f>SUMIFS(Dump!P:P,Dump!B:B,C894,Dump!A:A,V894)</f>
        <v>0</v>
      </c>
      <c r="T894" s="31">
        <f t="shared" si="12"/>
        <v>0</v>
      </c>
      <c r="U894" s="34"/>
      <c r="V894" s="47"/>
    </row>
    <row r="895">
      <c r="C895" s="46"/>
      <c r="G895" s="1" t="str">
        <f t="shared" si="16"/>
        <v/>
      </c>
      <c r="I895" s="33" t="str">
        <f t="shared" si="8"/>
        <v/>
      </c>
      <c r="K895" s="27"/>
      <c r="L895" s="28">
        <f>SUMIFS(Dump!$D:$D,Dump!$B:$B,$C895,Dump!$A:$A,$V895)</f>
        <v>0</v>
      </c>
      <c r="M895" s="28">
        <f>SUMIFS(Dump!R:R,Dump!B:B,C895,Dump!A:A,V895)</f>
        <v>0</v>
      </c>
      <c r="N895" s="29">
        <f t="shared" si="10"/>
        <v>0</v>
      </c>
      <c r="P895" s="30">
        <f>SUMIFS(Dump!E:E,Dump!B:B,C895,Dump!A:A,V895)</f>
        <v>0</v>
      </c>
      <c r="Q895" s="31">
        <f t="shared" si="11"/>
        <v>0</v>
      </c>
      <c r="S895" s="30">
        <f>SUMIFS(Dump!P:P,Dump!B:B,C895,Dump!A:A,V895)</f>
        <v>0</v>
      </c>
      <c r="T895" s="31">
        <f t="shared" si="12"/>
        <v>0</v>
      </c>
      <c r="U895" s="34"/>
      <c r="V895" s="47"/>
    </row>
    <row r="896">
      <c r="C896" s="46"/>
      <c r="G896" s="1" t="str">
        <f t="shared" si="16"/>
        <v/>
      </c>
      <c r="I896" s="33" t="str">
        <f t="shared" si="8"/>
        <v/>
      </c>
      <c r="K896" s="27"/>
      <c r="L896" s="28">
        <f>SUMIFS(Dump!$D:$D,Dump!$B:$B,$C896,Dump!$A:$A,$V896)</f>
        <v>0</v>
      </c>
      <c r="M896" s="28">
        <f>SUMIFS(Dump!R:R,Dump!B:B,C896,Dump!A:A,V896)</f>
        <v>0</v>
      </c>
      <c r="N896" s="29">
        <f t="shared" si="10"/>
        <v>0</v>
      </c>
      <c r="P896" s="30">
        <f>SUMIFS(Dump!E:E,Dump!B:B,C896,Dump!A:A,V896)</f>
        <v>0</v>
      </c>
      <c r="Q896" s="31">
        <f t="shared" si="11"/>
        <v>0</v>
      </c>
      <c r="S896" s="30">
        <f>SUMIFS(Dump!P:P,Dump!B:B,C896,Dump!A:A,V896)</f>
        <v>0</v>
      </c>
      <c r="T896" s="31">
        <f t="shared" si="12"/>
        <v>0</v>
      </c>
      <c r="U896" s="34"/>
      <c r="V896" s="47"/>
    </row>
    <row r="897">
      <c r="C897" s="46"/>
      <c r="G897" s="1" t="str">
        <f t="shared" si="16"/>
        <v/>
      </c>
      <c r="I897" s="33" t="str">
        <f t="shared" si="8"/>
        <v/>
      </c>
      <c r="K897" s="27"/>
      <c r="L897" s="28">
        <f>SUMIFS(Dump!$D:$D,Dump!$B:$B,$C897,Dump!$A:$A,$V897)</f>
        <v>0</v>
      </c>
      <c r="M897" s="28">
        <f>SUMIFS(Dump!R:R,Dump!B:B,C897,Dump!A:A,V897)</f>
        <v>0</v>
      </c>
      <c r="N897" s="29">
        <f t="shared" si="10"/>
        <v>0</v>
      </c>
      <c r="P897" s="30">
        <f>SUMIFS(Dump!E:E,Dump!B:B,C897,Dump!A:A,V897)</f>
        <v>0</v>
      </c>
      <c r="Q897" s="31">
        <f t="shared" si="11"/>
        <v>0</v>
      </c>
      <c r="S897" s="30">
        <f>SUMIFS(Dump!P:P,Dump!B:B,C897,Dump!A:A,V897)</f>
        <v>0</v>
      </c>
      <c r="T897" s="31">
        <f t="shared" si="12"/>
        <v>0</v>
      </c>
      <c r="U897" s="34"/>
      <c r="V897" s="47"/>
    </row>
    <row r="898">
      <c r="C898" s="46"/>
      <c r="G898" s="1" t="str">
        <f t="shared" si="16"/>
        <v/>
      </c>
      <c r="I898" s="33" t="str">
        <f t="shared" si="8"/>
        <v/>
      </c>
      <c r="K898" s="27"/>
      <c r="L898" s="28">
        <f>SUMIFS(Dump!$D:$D,Dump!$B:$B,$C898,Dump!$A:$A,$V898)</f>
        <v>0</v>
      </c>
      <c r="M898" s="28">
        <f>SUMIFS(Dump!R:R,Dump!B:B,C898,Dump!A:A,V898)</f>
        <v>0</v>
      </c>
      <c r="N898" s="29">
        <f t="shared" si="10"/>
        <v>0</v>
      </c>
      <c r="P898" s="30">
        <f>SUMIFS(Dump!E:E,Dump!B:B,C898,Dump!A:A,V898)</f>
        <v>0</v>
      </c>
      <c r="Q898" s="31">
        <f t="shared" si="11"/>
        <v>0</v>
      </c>
      <c r="S898" s="30">
        <f>SUMIFS(Dump!P:P,Dump!B:B,C898,Dump!A:A,V898)</f>
        <v>0</v>
      </c>
      <c r="T898" s="31">
        <f t="shared" si="12"/>
        <v>0</v>
      </c>
      <c r="U898" s="34"/>
      <c r="V898" s="47"/>
    </row>
    <row r="899">
      <c r="C899" s="46"/>
      <c r="G899" s="1" t="str">
        <f t="shared" si="16"/>
        <v/>
      </c>
      <c r="I899" s="33" t="str">
        <f t="shared" si="8"/>
        <v/>
      </c>
      <c r="K899" s="27"/>
      <c r="L899" s="28">
        <f>SUMIFS(Dump!$D:$D,Dump!$B:$B,$C899,Dump!$A:$A,$V899)</f>
        <v>0</v>
      </c>
      <c r="M899" s="28">
        <f>SUMIFS(Dump!R:R,Dump!B:B,C899,Dump!A:A,V899)</f>
        <v>0</v>
      </c>
      <c r="N899" s="29">
        <f t="shared" si="10"/>
        <v>0</v>
      </c>
      <c r="P899" s="30">
        <f>SUMIFS(Dump!E:E,Dump!B:B,C899,Dump!A:A,V899)</f>
        <v>0</v>
      </c>
      <c r="Q899" s="31">
        <f t="shared" si="11"/>
        <v>0</v>
      </c>
      <c r="S899" s="30">
        <f>SUMIFS(Dump!P:P,Dump!B:B,C899,Dump!A:A,V899)</f>
        <v>0</v>
      </c>
      <c r="T899" s="31">
        <f t="shared" si="12"/>
        <v>0</v>
      </c>
      <c r="U899" s="34"/>
      <c r="V899" s="47"/>
    </row>
    <row r="900">
      <c r="C900" s="46"/>
      <c r="G900" s="1" t="str">
        <f t="shared" si="16"/>
        <v/>
      </c>
      <c r="I900" s="33" t="str">
        <f t="shared" si="8"/>
        <v/>
      </c>
      <c r="K900" s="27"/>
      <c r="L900" s="28">
        <f>SUMIFS(Dump!$D:$D,Dump!$B:$B,$C900,Dump!$A:$A,$V900)</f>
        <v>0</v>
      </c>
      <c r="M900" s="28">
        <f>SUMIFS(Dump!R:R,Dump!B:B,C900,Dump!A:A,V900)</f>
        <v>0</v>
      </c>
      <c r="N900" s="29">
        <f t="shared" si="10"/>
        <v>0</v>
      </c>
      <c r="P900" s="30">
        <f>SUMIFS(Dump!E:E,Dump!B:B,C900,Dump!A:A,V900)</f>
        <v>0</v>
      </c>
      <c r="Q900" s="31">
        <f t="shared" si="11"/>
        <v>0</v>
      </c>
      <c r="S900" s="30">
        <f>SUMIFS(Dump!P:P,Dump!B:B,C900,Dump!A:A,V900)</f>
        <v>0</v>
      </c>
      <c r="T900" s="31">
        <f t="shared" si="12"/>
        <v>0</v>
      </c>
      <c r="U900" s="34"/>
      <c r="V900" s="47"/>
    </row>
    <row r="901">
      <c r="C901" s="46"/>
      <c r="G901" s="1" t="str">
        <f t="shared" si="16"/>
        <v/>
      </c>
      <c r="I901" s="33" t="str">
        <f t="shared" si="8"/>
        <v/>
      </c>
      <c r="K901" s="27"/>
      <c r="L901" s="28">
        <f>SUMIFS(Dump!$D:$D,Dump!$B:$B,$C901,Dump!$A:$A,$V901)</f>
        <v>0</v>
      </c>
      <c r="M901" s="28">
        <f>SUMIFS(Dump!R:R,Dump!B:B,C901,Dump!A:A,V901)</f>
        <v>0</v>
      </c>
      <c r="N901" s="29">
        <f t="shared" si="10"/>
        <v>0</v>
      </c>
      <c r="P901" s="30">
        <f>SUMIFS(Dump!E:E,Dump!B:B,C901,Dump!A:A,V901)</f>
        <v>0</v>
      </c>
      <c r="Q901" s="31">
        <f t="shared" si="11"/>
        <v>0</v>
      </c>
      <c r="S901" s="30">
        <f>SUMIFS(Dump!P:P,Dump!B:B,C901,Dump!A:A,V901)</f>
        <v>0</v>
      </c>
      <c r="T901" s="31">
        <f t="shared" si="12"/>
        <v>0</v>
      </c>
      <c r="U901" s="34"/>
      <c r="V901" s="47"/>
    </row>
    <row r="902">
      <c r="C902" s="46"/>
      <c r="G902" s="1" t="str">
        <f t="shared" si="16"/>
        <v/>
      </c>
      <c r="I902" s="33" t="str">
        <f t="shared" si="8"/>
        <v/>
      </c>
      <c r="K902" s="27"/>
      <c r="L902" s="28">
        <f>SUMIFS(Dump!$D:$D,Dump!$B:$B,$C902,Dump!$A:$A,$V902)</f>
        <v>0</v>
      </c>
      <c r="M902" s="28">
        <f>SUMIFS(Dump!R:R,Dump!B:B,C902,Dump!A:A,V902)</f>
        <v>0</v>
      </c>
      <c r="N902" s="29">
        <f t="shared" si="10"/>
        <v>0</v>
      </c>
      <c r="P902" s="30">
        <f>SUMIFS(Dump!E:E,Dump!B:B,C902,Dump!A:A,V902)</f>
        <v>0</v>
      </c>
      <c r="Q902" s="31">
        <f t="shared" si="11"/>
        <v>0</v>
      </c>
      <c r="S902" s="30">
        <f>SUMIFS(Dump!P:P,Dump!B:B,C902,Dump!A:A,V902)</f>
        <v>0</v>
      </c>
      <c r="T902" s="31">
        <f t="shared" si="12"/>
        <v>0</v>
      </c>
      <c r="U902" s="34"/>
      <c r="V902" s="47"/>
    </row>
    <row r="903">
      <c r="C903" s="46"/>
      <c r="G903" s="1" t="str">
        <f t="shared" si="16"/>
        <v/>
      </c>
      <c r="I903" s="33" t="str">
        <f t="shared" si="8"/>
        <v/>
      </c>
      <c r="K903" s="27"/>
      <c r="L903" s="28">
        <f>SUMIFS(Dump!$D:$D,Dump!$B:$B,$C903,Dump!$A:$A,$V903)</f>
        <v>0</v>
      </c>
      <c r="M903" s="28">
        <f>SUMIFS(Dump!R:R,Dump!B:B,C903,Dump!A:A,V903)</f>
        <v>0</v>
      </c>
      <c r="N903" s="29">
        <f t="shared" si="10"/>
        <v>0</v>
      </c>
      <c r="P903" s="30">
        <f>SUMIFS(Dump!E:E,Dump!B:B,C903,Dump!A:A,V903)</f>
        <v>0</v>
      </c>
      <c r="Q903" s="31">
        <f t="shared" si="11"/>
        <v>0</v>
      </c>
      <c r="S903" s="30">
        <f>SUMIFS(Dump!P:P,Dump!B:B,C903,Dump!A:A,V903)</f>
        <v>0</v>
      </c>
      <c r="T903" s="31">
        <f t="shared" si="12"/>
        <v>0</v>
      </c>
      <c r="U903" s="34"/>
      <c r="V903" s="47"/>
    </row>
    <row r="904">
      <c r="C904" s="46"/>
      <c r="G904" s="1" t="str">
        <f t="shared" si="16"/>
        <v/>
      </c>
      <c r="I904" s="33" t="str">
        <f t="shared" si="8"/>
        <v/>
      </c>
      <c r="K904" s="27"/>
      <c r="L904" s="28">
        <f>SUMIFS(Dump!$D:$D,Dump!$B:$B,$C904,Dump!$A:$A,$V904)</f>
        <v>0</v>
      </c>
      <c r="M904" s="28">
        <f>SUMIFS(Dump!R:R,Dump!B:B,C904,Dump!A:A,V904)</f>
        <v>0</v>
      </c>
      <c r="N904" s="29">
        <f t="shared" si="10"/>
        <v>0</v>
      </c>
      <c r="P904" s="30">
        <f>SUMIFS(Dump!E:E,Dump!B:B,C904,Dump!A:A,V904)</f>
        <v>0</v>
      </c>
      <c r="Q904" s="31">
        <f t="shared" si="11"/>
        <v>0</v>
      </c>
      <c r="S904" s="30">
        <f>SUMIFS(Dump!P:P,Dump!B:B,C904,Dump!A:A,V904)</f>
        <v>0</v>
      </c>
      <c r="T904" s="31">
        <f t="shared" si="12"/>
        <v>0</v>
      </c>
      <c r="U904" s="34"/>
      <c r="V904" s="47"/>
    </row>
    <row r="905">
      <c r="C905" s="46"/>
      <c r="G905" s="1" t="str">
        <f t="shared" si="16"/>
        <v/>
      </c>
      <c r="I905" s="33" t="str">
        <f t="shared" si="8"/>
        <v/>
      </c>
      <c r="K905" s="27"/>
      <c r="L905" s="28">
        <f>SUMIFS(Dump!$D:$D,Dump!$B:$B,$C905,Dump!$A:$A,$V905)</f>
        <v>0</v>
      </c>
      <c r="M905" s="28">
        <f>SUMIFS(Dump!R:R,Dump!B:B,C905,Dump!A:A,V905)</f>
        <v>0</v>
      </c>
      <c r="N905" s="29">
        <f t="shared" si="10"/>
        <v>0</v>
      </c>
      <c r="P905" s="30">
        <f>SUMIFS(Dump!E:E,Dump!B:B,C905,Dump!A:A,V905)</f>
        <v>0</v>
      </c>
      <c r="Q905" s="31">
        <f t="shared" si="11"/>
        <v>0</v>
      </c>
      <c r="S905" s="30">
        <f>SUMIFS(Dump!P:P,Dump!B:B,C905,Dump!A:A,V905)</f>
        <v>0</v>
      </c>
      <c r="T905" s="31">
        <f t="shared" si="12"/>
        <v>0</v>
      </c>
      <c r="U905" s="34"/>
      <c r="V905" s="47"/>
    </row>
    <row r="906">
      <c r="C906" s="46"/>
      <c r="G906" s="1" t="str">
        <f t="shared" si="16"/>
        <v/>
      </c>
      <c r="I906" s="33" t="str">
        <f t="shared" si="8"/>
        <v/>
      </c>
      <c r="K906" s="27"/>
      <c r="L906" s="28">
        <f>SUMIFS(Dump!$D:$D,Dump!$B:$B,$C906,Dump!$A:$A,$V906)</f>
        <v>0</v>
      </c>
      <c r="M906" s="28">
        <f>SUMIFS(Dump!R:R,Dump!B:B,C906,Dump!A:A,V906)</f>
        <v>0</v>
      </c>
      <c r="N906" s="29">
        <f t="shared" si="10"/>
        <v>0</v>
      </c>
      <c r="P906" s="30">
        <f>SUMIFS(Dump!E:E,Dump!B:B,C906,Dump!A:A,V906)</f>
        <v>0</v>
      </c>
      <c r="Q906" s="31">
        <f t="shared" si="11"/>
        <v>0</v>
      </c>
      <c r="S906" s="30">
        <f>SUMIFS(Dump!P:P,Dump!B:B,C906,Dump!A:A,V906)</f>
        <v>0</v>
      </c>
      <c r="T906" s="31">
        <f t="shared" si="12"/>
        <v>0</v>
      </c>
      <c r="U906" s="34"/>
      <c r="V906" s="47"/>
    </row>
    <row r="907">
      <c r="C907" s="46"/>
      <c r="G907" s="1" t="str">
        <f t="shared" si="16"/>
        <v/>
      </c>
      <c r="I907" s="33" t="str">
        <f t="shared" si="8"/>
        <v/>
      </c>
      <c r="K907" s="27"/>
      <c r="L907" s="28">
        <f>SUMIFS(Dump!$D:$D,Dump!$B:$B,$C907,Dump!$A:$A,$V907)</f>
        <v>0</v>
      </c>
      <c r="M907" s="28">
        <f>SUMIFS(Dump!R:R,Dump!B:B,C907,Dump!A:A,V907)</f>
        <v>0</v>
      </c>
      <c r="N907" s="29">
        <f t="shared" si="10"/>
        <v>0</v>
      </c>
      <c r="P907" s="30">
        <f>SUMIFS(Dump!E:E,Dump!B:B,C907,Dump!A:A,V907)</f>
        <v>0</v>
      </c>
      <c r="Q907" s="31">
        <f t="shared" si="11"/>
        <v>0</v>
      </c>
      <c r="S907" s="30">
        <f>SUMIFS(Dump!P:P,Dump!B:B,C907,Dump!A:A,V907)</f>
        <v>0</v>
      </c>
      <c r="T907" s="31">
        <f t="shared" si="12"/>
        <v>0</v>
      </c>
      <c r="U907" s="34"/>
      <c r="V907" s="47"/>
    </row>
    <row r="908">
      <c r="C908" s="46"/>
      <c r="G908" s="1" t="str">
        <f t="shared" si="16"/>
        <v/>
      </c>
      <c r="I908" s="33" t="str">
        <f t="shared" si="8"/>
        <v/>
      </c>
      <c r="K908" s="27"/>
      <c r="L908" s="28">
        <f>SUMIFS(Dump!$D:$D,Dump!$B:$B,$C908,Dump!$A:$A,$V908)</f>
        <v>0</v>
      </c>
      <c r="M908" s="28">
        <f>SUMIFS(Dump!R:R,Dump!B:B,C908,Dump!A:A,V908)</f>
        <v>0</v>
      </c>
      <c r="N908" s="29">
        <f t="shared" si="10"/>
        <v>0</v>
      </c>
      <c r="P908" s="30">
        <f>SUMIFS(Dump!E:E,Dump!B:B,C908,Dump!A:A,V908)</f>
        <v>0</v>
      </c>
      <c r="Q908" s="31">
        <f t="shared" si="11"/>
        <v>0</v>
      </c>
      <c r="S908" s="30">
        <f>SUMIFS(Dump!P:P,Dump!B:B,C908,Dump!A:A,V908)</f>
        <v>0</v>
      </c>
      <c r="T908" s="31">
        <f t="shared" si="12"/>
        <v>0</v>
      </c>
      <c r="U908" s="34"/>
      <c r="V908" s="47"/>
    </row>
    <row r="909">
      <c r="C909" s="46"/>
      <c r="G909" s="1" t="str">
        <f t="shared" si="16"/>
        <v/>
      </c>
      <c r="I909" s="33" t="str">
        <f t="shared" si="8"/>
        <v/>
      </c>
      <c r="K909" s="27"/>
      <c r="L909" s="28">
        <f>SUMIFS(Dump!$D:$D,Dump!$B:$B,$C909,Dump!$A:$A,$V909)</f>
        <v>0</v>
      </c>
      <c r="M909" s="28">
        <f>SUMIFS(Dump!R:R,Dump!B:B,C909,Dump!A:A,V909)</f>
        <v>0</v>
      </c>
      <c r="N909" s="29">
        <f t="shared" si="10"/>
        <v>0</v>
      </c>
      <c r="P909" s="30">
        <f>SUMIFS(Dump!E:E,Dump!B:B,C909,Dump!A:A,V909)</f>
        <v>0</v>
      </c>
      <c r="Q909" s="31">
        <f t="shared" si="11"/>
        <v>0</v>
      </c>
      <c r="S909" s="30">
        <f>SUMIFS(Dump!P:P,Dump!B:B,C909,Dump!A:A,V909)</f>
        <v>0</v>
      </c>
      <c r="T909" s="31">
        <f t="shared" si="12"/>
        <v>0</v>
      </c>
      <c r="U909" s="34"/>
      <c r="V909" s="47"/>
    </row>
    <row r="910">
      <c r="C910" s="46"/>
      <c r="G910" s="1" t="str">
        <f t="shared" si="16"/>
        <v/>
      </c>
      <c r="I910" s="33" t="str">
        <f t="shared" si="8"/>
        <v/>
      </c>
      <c r="K910" s="27"/>
      <c r="L910" s="28">
        <f>SUMIFS(Dump!$D:$D,Dump!$B:$B,$C910,Dump!$A:$A,$V910)</f>
        <v>0</v>
      </c>
      <c r="M910" s="28">
        <f>SUMIFS(Dump!R:R,Dump!B:B,C910,Dump!A:A,V910)</f>
        <v>0</v>
      </c>
      <c r="N910" s="29">
        <f t="shared" si="10"/>
        <v>0</v>
      </c>
      <c r="P910" s="30">
        <f>SUMIFS(Dump!E:E,Dump!B:B,C910,Dump!A:A,V910)</f>
        <v>0</v>
      </c>
      <c r="Q910" s="31">
        <f t="shared" si="11"/>
        <v>0</v>
      </c>
      <c r="S910" s="30">
        <f>SUMIFS(Dump!P:P,Dump!B:B,C910,Dump!A:A,V910)</f>
        <v>0</v>
      </c>
      <c r="T910" s="31">
        <f t="shared" si="12"/>
        <v>0</v>
      </c>
      <c r="U910" s="34"/>
      <c r="V910" s="47"/>
    </row>
    <row r="911">
      <c r="C911" s="46"/>
      <c r="G911" s="1" t="str">
        <f t="shared" si="16"/>
        <v/>
      </c>
      <c r="I911" s="33" t="str">
        <f t="shared" si="8"/>
        <v/>
      </c>
      <c r="K911" s="27"/>
      <c r="L911" s="28">
        <f>SUMIFS(Dump!$D:$D,Dump!$B:$B,$C911,Dump!$A:$A,$V911)</f>
        <v>0</v>
      </c>
      <c r="M911" s="28">
        <f>SUMIFS(Dump!R:R,Dump!B:B,C911,Dump!A:A,V911)</f>
        <v>0</v>
      </c>
      <c r="N911" s="29">
        <f t="shared" si="10"/>
        <v>0</v>
      </c>
      <c r="P911" s="30">
        <f>SUMIFS(Dump!E:E,Dump!B:B,C911,Dump!A:A,V911)</f>
        <v>0</v>
      </c>
      <c r="Q911" s="31">
        <f t="shared" si="11"/>
        <v>0</v>
      </c>
      <c r="S911" s="30">
        <f>SUMIFS(Dump!P:P,Dump!B:B,C911,Dump!A:A,V911)</f>
        <v>0</v>
      </c>
      <c r="T911" s="31">
        <f t="shared" si="12"/>
        <v>0</v>
      </c>
      <c r="U911" s="34"/>
      <c r="V911" s="47"/>
    </row>
    <row r="912">
      <c r="C912" s="46"/>
      <c r="G912" s="1" t="str">
        <f t="shared" si="16"/>
        <v/>
      </c>
      <c r="I912" s="33" t="str">
        <f t="shared" si="8"/>
        <v/>
      </c>
      <c r="K912" s="27"/>
      <c r="L912" s="28">
        <f>SUMIFS(Dump!$D:$D,Dump!$B:$B,$C912,Dump!$A:$A,$V912)</f>
        <v>0</v>
      </c>
      <c r="M912" s="28">
        <f>SUMIFS(Dump!R:R,Dump!B:B,C912,Dump!A:A,V912)</f>
        <v>0</v>
      </c>
      <c r="N912" s="29">
        <f t="shared" si="10"/>
        <v>0</v>
      </c>
      <c r="P912" s="30">
        <f>SUMIFS(Dump!E:E,Dump!B:B,C912,Dump!A:A,V912)</f>
        <v>0</v>
      </c>
      <c r="Q912" s="31">
        <f t="shared" si="11"/>
        <v>0</v>
      </c>
      <c r="S912" s="30">
        <f>SUMIFS(Dump!P:P,Dump!B:B,C912,Dump!A:A,V912)</f>
        <v>0</v>
      </c>
      <c r="T912" s="31">
        <f t="shared" si="12"/>
        <v>0</v>
      </c>
      <c r="U912" s="34"/>
      <c r="V912" s="47"/>
    </row>
    <row r="913">
      <c r="C913" s="46"/>
      <c r="G913" s="1" t="str">
        <f t="shared" si="16"/>
        <v/>
      </c>
      <c r="I913" s="33" t="str">
        <f t="shared" si="8"/>
        <v/>
      </c>
      <c r="K913" s="27"/>
      <c r="L913" s="28">
        <f>SUMIFS(Dump!$D:$D,Dump!$B:$B,$C913,Dump!$A:$A,$V913)</f>
        <v>0</v>
      </c>
      <c r="M913" s="28">
        <f>SUMIFS(Dump!R:R,Dump!B:B,C913,Dump!A:A,V913)</f>
        <v>0</v>
      </c>
      <c r="N913" s="29">
        <f t="shared" si="10"/>
        <v>0</v>
      </c>
      <c r="P913" s="30">
        <f>SUMIFS(Dump!E:E,Dump!B:B,C913,Dump!A:A,V913)</f>
        <v>0</v>
      </c>
      <c r="Q913" s="31">
        <f t="shared" si="11"/>
        <v>0</v>
      </c>
      <c r="S913" s="30">
        <f>SUMIFS(Dump!P:P,Dump!B:B,C913,Dump!A:A,V913)</f>
        <v>0</v>
      </c>
      <c r="T913" s="31">
        <f t="shared" si="12"/>
        <v>0</v>
      </c>
      <c r="U913" s="34"/>
      <c r="V913" s="47"/>
    </row>
    <row r="914">
      <c r="C914" s="46"/>
      <c r="G914" s="1" t="str">
        <f t="shared" si="16"/>
        <v/>
      </c>
      <c r="I914" s="33" t="str">
        <f t="shared" si="8"/>
        <v/>
      </c>
      <c r="K914" s="27"/>
      <c r="L914" s="28">
        <f>SUMIFS(Dump!$D:$D,Dump!$B:$B,$C914,Dump!$A:$A,$V914)</f>
        <v>0</v>
      </c>
      <c r="M914" s="28">
        <f>SUMIFS(Dump!R:R,Dump!B:B,C914,Dump!A:A,V914)</f>
        <v>0</v>
      </c>
      <c r="N914" s="29">
        <f t="shared" si="10"/>
        <v>0</v>
      </c>
      <c r="P914" s="30">
        <f>SUMIFS(Dump!E:E,Dump!B:B,C914,Dump!A:A,V914)</f>
        <v>0</v>
      </c>
      <c r="Q914" s="31">
        <f t="shared" si="11"/>
        <v>0</v>
      </c>
      <c r="S914" s="30">
        <f>SUMIFS(Dump!P:P,Dump!B:B,C914,Dump!A:A,V914)</f>
        <v>0</v>
      </c>
      <c r="T914" s="31">
        <f t="shared" si="12"/>
        <v>0</v>
      </c>
      <c r="U914" s="34"/>
      <c r="V914" s="47"/>
    </row>
    <row r="915">
      <c r="C915" s="46"/>
      <c r="G915" s="1" t="str">
        <f t="shared" si="16"/>
        <v/>
      </c>
      <c r="I915" s="33" t="str">
        <f t="shared" si="8"/>
        <v/>
      </c>
      <c r="K915" s="27"/>
      <c r="L915" s="28">
        <f>SUMIFS(Dump!$D:$D,Dump!$B:$B,$C915,Dump!$A:$A,$V915)</f>
        <v>0</v>
      </c>
      <c r="M915" s="28">
        <f>SUMIFS(Dump!R:R,Dump!B:B,C915,Dump!A:A,V915)</f>
        <v>0</v>
      </c>
      <c r="N915" s="29">
        <f t="shared" si="10"/>
        <v>0</v>
      </c>
      <c r="P915" s="30">
        <f>SUMIFS(Dump!E:E,Dump!B:B,C915,Dump!A:A,V915)</f>
        <v>0</v>
      </c>
      <c r="Q915" s="31">
        <f t="shared" si="11"/>
        <v>0</v>
      </c>
      <c r="S915" s="30">
        <f>SUMIFS(Dump!P:P,Dump!B:B,C915,Dump!A:A,V915)</f>
        <v>0</v>
      </c>
      <c r="T915" s="31">
        <f t="shared" si="12"/>
        <v>0</v>
      </c>
      <c r="U915" s="34"/>
      <c r="V915" s="47"/>
    </row>
    <row r="916">
      <c r="C916" s="46"/>
      <c r="G916" s="1" t="str">
        <f t="shared" si="16"/>
        <v/>
      </c>
      <c r="I916" s="33" t="str">
        <f t="shared" si="8"/>
        <v/>
      </c>
      <c r="K916" s="27"/>
      <c r="L916" s="28">
        <f>SUMIFS(Dump!$D:$D,Dump!$B:$B,$C916,Dump!$A:$A,$V916)</f>
        <v>0</v>
      </c>
      <c r="M916" s="28">
        <f>SUMIFS(Dump!R:R,Dump!B:B,C916,Dump!A:A,V916)</f>
        <v>0</v>
      </c>
      <c r="N916" s="29">
        <f t="shared" si="10"/>
        <v>0</v>
      </c>
      <c r="P916" s="30">
        <f>SUMIFS(Dump!E:E,Dump!B:B,C916,Dump!A:A,V916)</f>
        <v>0</v>
      </c>
      <c r="Q916" s="31">
        <f t="shared" si="11"/>
        <v>0</v>
      </c>
      <c r="S916" s="30">
        <f>SUMIFS(Dump!P:P,Dump!B:B,C916,Dump!A:A,V916)</f>
        <v>0</v>
      </c>
      <c r="T916" s="31">
        <f t="shared" si="12"/>
        <v>0</v>
      </c>
      <c r="U916" s="34"/>
      <c r="V916" s="47"/>
    </row>
    <row r="917">
      <c r="C917" s="46"/>
      <c r="G917" s="1" t="str">
        <f t="shared" si="16"/>
        <v/>
      </c>
      <c r="I917" s="33" t="str">
        <f t="shared" si="8"/>
        <v/>
      </c>
      <c r="K917" s="27"/>
      <c r="L917" s="28">
        <f>SUMIFS(Dump!$D:$D,Dump!$B:$B,$C917,Dump!$A:$A,$V917)</f>
        <v>0</v>
      </c>
      <c r="M917" s="28">
        <f>SUMIFS(Dump!R:R,Dump!B:B,C917,Dump!A:A,V917)</f>
        <v>0</v>
      </c>
      <c r="N917" s="29">
        <f t="shared" si="10"/>
        <v>0</v>
      </c>
      <c r="P917" s="30">
        <f>SUMIFS(Dump!E:E,Dump!B:B,C917,Dump!A:A,V917)</f>
        <v>0</v>
      </c>
      <c r="Q917" s="31">
        <f t="shared" si="11"/>
        <v>0</v>
      </c>
      <c r="S917" s="30">
        <f>SUMIFS(Dump!P:P,Dump!B:B,C917,Dump!A:A,V917)</f>
        <v>0</v>
      </c>
      <c r="T917" s="31">
        <f t="shared" si="12"/>
        <v>0</v>
      </c>
      <c r="U917" s="34"/>
      <c r="V917" s="47"/>
    </row>
    <row r="918">
      <c r="C918" s="46"/>
      <c r="G918" s="1" t="str">
        <f t="shared" si="16"/>
        <v/>
      </c>
      <c r="I918" s="33" t="str">
        <f t="shared" si="8"/>
        <v/>
      </c>
      <c r="K918" s="27"/>
      <c r="L918" s="28">
        <f>SUMIFS(Dump!$D:$D,Dump!$B:$B,$C918,Dump!$A:$A,$V918)</f>
        <v>0</v>
      </c>
      <c r="M918" s="28">
        <f>SUMIFS(Dump!R:R,Dump!B:B,C918,Dump!A:A,V918)</f>
        <v>0</v>
      </c>
      <c r="N918" s="29">
        <f t="shared" si="10"/>
        <v>0</v>
      </c>
      <c r="P918" s="30">
        <f>SUMIFS(Dump!E:E,Dump!B:B,C918,Dump!A:A,V918)</f>
        <v>0</v>
      </c>
      <c r="Q918" s="31">
        <f t="shared" si="11"/>
        <v>0</v>
      </c>
      <c r="S918" s="30">
        <f>SUMIFS(Dump!P:P,Dump!B:B,C918,Dump!A:A,V918)</f>
        <v>0</v>
      </c>
      <c r="T918" s="31">
        <f t="shared" si="12"/>
        <v>0</v>
      </c>
      <c r="U918" s="34"/>
      <c r="V918" s="47"/>
    </row>
    <row r="919">
      <c r="C919" s="46"/>
      <c r="G919" s="1" t="str">
        <f t="shared" si="16"/>
        <v/>
      </c>
      <c r="I919" s="33" t="str">
        <f t="shared" si="8"/>
        <v/>
      </c>
      <c r="K919" s="27"/>
      <c r="L919" s="28">
        <f>SUMIFS(Dump!$D:$D,Dump!$B:$B,$C919,Dump!$A:$A,$V919)</f>
        <v>0</v>
      </c>
      <c r="M919" s="28">
        <f>SUMIFS(Dump!R:R,Dump!B:B,C919,Dump!A:A,V919)</f>
        <v>0</v>
      </c>
      <c r="N919" s="29">
        <f t="shared" si="10"/>
        <v>0</v>
      </c>
      <c r="P919" s="30">
        <f>SUMIFS(Dump!E:E,Dump!B:B,C919,Dump!A:A,V919)</f>
        <v>0</v>
      </c>
      <c r="Q919" s="31">
        <f t="shared" si="11"/>
        <v>0</v>
      </c>
      <c r="S919" s="30">
        <f>SUMIFS(Dump!P:P,Dump!B:B,C919,Dump!A:A,V919)</f>
        <v>0</v>
      </c>
      <c r="T919" s="31">
        <f t="shared" si="12"/>
        <v>0</v>
      </c>
      <c r="U919" s="34"/>
      <c r="V919" s="47"/>
    </row>
    <row r="920">
      <c r="C920" s="46"/>
      <c r="G920" s="1" t="str">
        <f t="shared" si="16"/>
        <v/>
      </c>
      <c r="I920" s="33" t="str">
        <f t="shared" si="8"/>
        <v/>
      </c>
      <c r="K920" s="27"/>
      <c r="L920" s="28">
        <f>SUMIFS(Dump!$D:$D,Dump!$B:$B,$C920,Dump!$A:$A,$V920)</f>
        <v>0</v>
      </c>
      <c r="M920" s="28">
        <f>SUMIFS(Dump!R:R,Dump!B:B,C920,Dump!A:A,V920)</f>
        <v>0</v>
      </c>
      <c r="N920" s="29">
        <f t="shared" si="10"/>
        <v>0</v>
      </c>
      <c r="P920" s="30">
        <f>SUMIFS(Dump!E:E,Dump!B:B,C920,Dump!A:A,V920)</f>
        <v>0</v>
      </c>
      <c r="Q920" s="31">
        <f t="shared" si="11"/>
        <v>0</v>
      </c>
      <c r="S920" s="30">
        <f>SUMIFS(Dump!P:P,Dump!B:B,C920,Dump!A:A,V920)</f>
        <v>0</v>
      </c>
      <c r="T920" s="31">
        <f t="shared" si="12"/>
        <v>0</v>
      </c>
      <c r="U920" s="34"/>
      <c r="V920" s="47"/>
    </row>
    <row r="921">
      <c r="C921" s="46"/>
      <c r="G921" s="1" t="str">
        <f t="shared" si="16"/>
        <v/>
      </c>
      <c r="I921" s="33" t="str">
        <f t="shared" si="8"/>
        <v/>
      </c>
      <c r="K921" s="27"/>
      <c r="L921" s="28">
        <f>SUMIFS(Dump!$D:$D,Dump!$B:$B,$C921,Dump!$A:$A,$V921)</f>
        <v>0</v>
      </c>
      <c r="M921" s="28">
        <f>SUMIFS(Dump!R:R,Dump!B:B,C921,Dump!A:A,V921)</f>
        <v>0</v>
      </c>
      <c r="N921" s="29">
        <f t="shared" si="10"/>
        <v>0</v>
      </c>
      <c r="P921" s="30">
        <f>SUMIFS(Dump!E:E,Dump!B:B,C921,Dump!A:A,V921)</f>
        <v>0</v>
      </c>
      <c r="Q921" s="31">
        <f t="shared" si="11"/>
        <v>0</v>
      </c>
      <c r="S921" s="30">
        <f>SUMIFS(Dump!P:P,Dump!B:B,C921,Dump!A:A,V921)</f>
        <v>0</v>
      </c>
      <c r="T921" s="31">
        <f t="shared" si="12"/>
        <v>0</v>
      </c>
      <c r="U921" s="34"/>
      <c r="V921" s="47"/>
    </row>
    <row r="922">
      <c r="C922" s="46"/>
      <c r="G922" s="1" t="str">
        <f t="shared" si="16"/>
        <v/>
      </c>
      <c r="I922" s="33" t="str">
        <f t="shared" si="8"/>
        <v/>
      </c>
      <c r="K922" s="27"/>
      <c r="L922" s="28">
        <f>SUMIFS(Dump!$D:$D,Dump!$B:$B,$C922,Dump!$A:$A,$V922)</f>
        <v>0</v>
      </c>
      <c r="M922" s="28">
        <f>SUMIFS(Dump!R:R,Dump!B:B,C922,Dump!A:A,V922)</f>
        <v>0</v>
      </c>
      <c r="N922" s="29">
        <f t="shared" si="10"/>
        <v>0</v>
      </c>
      <c r="P922" s="30">
        <f>SUMIFS(Dump!E:E,Dump!B:B,C922,Dump!A:A,V922)</f>
        <v>0</v>
      </c>
      <c r="Q922" s="31">
        <f t="shared" si="11"/>
        <v>0</v>
      </c>
      <c r="S922" s="30">
        <f>SUMIFS(Dump!P:P,Dump!B:B,C922,Dump!A:A,V922)</f>
        <v>0</v>
      </c>
      <c r="T922" s="31">
        <f t="shared" si="12"/>
        <v>0</v>
      </c>
      <c r="U922" s="34"/>
      <c r="V922" s="47"/>
    </row>
    <row r="923">
      <c r="C923" s="46"/>
      <c r="G923" s="1" t="str">
        <f t="shared" si="16"/>
        <v/>
      </c>
      <c r="I923" s="33" t="str">
        <f t="shared" si="8"/>
        <v/>
      </c>
      <c r="K923" s="27"/>
      <c r="L923" s="28">
        <f>SUMIFS(Dump!$D:$D,Dump!$B:$B,$C923,Dump!$A:$A,$V923)</f>
        <v>0</v>
      </c>
      <c r="M923" s="28">
        <f>SUMIFS(Dump!R:R,Dump!B:B,C923,Dump!A:A,V923)</f>
        <v>0</v>
      </c>
      <c r="N923" s="29">
        <f t="shared" si="10"/>
        <v>0</v>
      </c>
      <c r="P923" s="30">
        <f>SUMIFS(Dump!E:E,Dump!B:B,C923,Dump!A:A,V923)</f>
        <v>0</v>
      </c>
      <c r="Q923" s="31">
        <f t="shared" si="11"/>
        <v>0</v>
      </c>
      <c r="S923" s="30">
        <f>SUMIFS(Dump!P:P,Dump!B:B,C923,Dump!A:A,V923)</f>
        <v>0</v>
      </c>
      <c r="T923" s="31">
        <f t="shared" si="12"/>
        <v>0</v>
      </c>
      <c r="U923" s="34"/>
      <c r="V923" s="47"/>
    </row>
    <row r="924">
      <c r="C924" s="46"/>
      <c r="G924" s="1" t="str">
        <f t="shared" si="16"/>
        <v/>
      </c>
      <c r="I924" s="33" t="str">
        <f t="shared" si="8"/>
        <v/>
      </c>
      <c r="K924" s="27"/>
      <c r="L924" s="28">
        <f>SUMIFS(Dump!$D:$D,Dump!$B:$B,$C924,Dump!$A:$A,$V924)</f>
        <v>0</v>
      </c>
      <c r="M924" s="28">
        <f>SUMIFS(Dump!R:R,Dump!B:B,C924,Dump!A:A,V924)</f>
        <v>0</v>
      </c>
      <c r="N924" s="29">
        <f t="shared" si="10"/>
        <v>0</v>
      </c>
      <c r="P924" s="30">
        <f>SUMIFS(Dump!E:E,Dump!B:B,C924,Dump!A:A,V924)</f>
        <v>0</v>
      </c>
      <c r="Q924" s="31">
        <f t="shared" si="11"/>
        <v>0</v>
      </c>
      <c r="S924" s="30">
        <f>SUMIFS(Dump!P:P,Dump!B:B,C924,Dump!A:A,V924)</f>
        <v>0</v>
      </c>
      <c r="T924" s="31">
        <f t="shared" si="12"/>
        <v>0</v>
      </c>
      <c r="U924" s="34"/>
      <c r="V924" s="47"/>
    </row>
    <row r="925">
      <c r="C925" s="46"/>
      <c r="G925" s="1" t="str">
        <f t="shared" si="16"/>
        <v/>
      </c>
      <c r="I925" s="33" t="str">
        <f t="shared" si="8"/>
        <v/>
      </c>
      <c r="K925" s="27"/>
      <c r="L925" s="28">
        <f>SUMIFS(Dump!$D:$D,Dump!$B:$B,$C925,Dump!$A:$A,$V925)</f>
        <v>0</v>
      </c>
      <c r="M925" s="28">
        <f>SUMIFS(Dump!R:R,Dump!B:B,C925,Dump!A:A,V925)</f>
        <v>0</v>
      </c>
      <c r="N925" s="29">
        <f t="shared" si="10"/>
        <v>0</v>
      </c>
      <c r="P925" s="30">
        <f>SUMIFS(Dump!E:E,Dump!B:B,C925,Dump!A:A,V925)</f>
        <v>0</v>
      </c>
      <c r="Q925" s="31">
        <f t="shared" si="11"/>
        <v>0</v>
      </c>
      <c r="S925" s="30">
        <f>SUMIFS(Dump!P:P,Dump!B:B,C925,Dump!A:A,V925)</f>
        <v>0</v>
      </c>
      <c r="T925" s="31">
        <f t="shared" si="12"/>
        <v>0</v>
      </c>
      <c r="U925" s="34"/>
      <c r="V925" s="47"/>
    </row>
    <row r="926">
      <c r="C926" s="46"/>
      <c r="G926" s="1" t="str">
        <f t="shared" si="16"/>
        <v/>
      </c>
      <c r="I926" s="33" t="str">
        <f t="shared" si="8"/>
        <v/>
      </c>
      <c r="K926" s="27"/>
      <c r="L926" s="28">
        <f>SUMIFS(Dump!$D:$D,Dump!$B:$B,$C926,Dump!$A:$A,$V926)</f>
        <v>0</v>
      </c>
      <c r="M926" s="28">
        <f>SUMIFS(Dump!R:R,Dump!B:B,C926,Dump!A:A,V926)</f>
        <v>0</v>
      </c>
      <c r="N926" s="29">
        <f t="shared" si="10"/>
        <v>0</v>
      </c>
      <c r="P926" s="30">
        <f>SUMIFS(Dump!E:E,Dump!B:B,C926,Dump!A:A,V926)</f>
        <v>0</v>
      </c>
      <c r="Q926" s="31">
        <f t="shared" si="11"/>
        <v>0</v>
      </c>
      <c r="S926" s="30">
        <f>SUMIFS(Dump!P:P,Dump!B:B,C926,Dump!A:A,V926)</f>
        <v>0</v>
      </c>
      <c r="T926" s="31">
        <f t="shared" si="12"/>
        <v>0</v>
      </c>
      <c r="U926" s="34"/>
      <c r="V926" s="47"/>
    </row>
    <row r="927">
      <c r="C927" s="46"/>
      <c r="G927" s="1" t="str">
        <f t="shared" si="16"/>
        <v/>
      </c>
      <c r="I927" s="33" t="str">
        <f t="shared" si="8"/>
        <v/>
      </c>
      <c r="K927" s="27"/>
      <c r="L927" s="28">
        <f>SUMIFS(Dump!$D:$D,Dump!$B:$B,$C927,Dump!$A:$A,$V927)</f>
        <v>0</v>
      </c>
      <c r="M927" s="28">
        <f>SUMIFS(Dump!R:R,Dump!B:B,C927,Dump!A:A,V927)</f>
        <v>0</v>
      </c>
      <c r="N927" s="29">
        <f t="shared" si="10"/>
        <v>0</v>
      </c>
      <c r="P927" s="30">
        <f>SUMIFS(Dump!E:E,Dump!B:B,C927,Dump!A:A,V927)</f>
        <v>0</v>
      </c>
      <c r="Q927" s="31">
        <f t="shared" si="11"/>
        <v>0</v>
      </c>
      <c r="S927" s="30">
        <f>SUMIFS(Dump!P:P,Dump!B:B,C927,Dump!A:A,V927)</f>
        <v>0</v>
      </c>
      <c r="T927" s="31">
        <f t="shared" si="12"/>
        <v>0</v>
      </c>
      <c r="U927" s="34"/>
      <c r="V927" s="47"/>
    </row>
    <row r="928">
      <c r="C928" s="46"/>
      <c r="G928" s="1" t="str">
        <f t="shared" si="16"/>
        <v/>
      </c>
      <c r="I928" s="33" t="str">
        <f t="shared" si="8"/>
        <v/>
      </c>
      <c r="K928" s="27"/>
      <c r="L928" s="28">
        <f>SUMIFS(Dump!$D:$D,Dump!$B:$B,$C928,Dump!$A:$A,$V928)</f>
        <v>0</v>
      </c>
      <c r="M928" s="28">
        <f>SUMIFS(Dump!R:R,Dump!B:B,C928,Dump!A:A,V928)</f>
        <v>0</v>
      </c>
      <c r="N928" s="29">
        <f t="shared" si="10"/>
        <v>0</v>
      </c>
      <c r="P928" s="30">
        <f>SUMIFS(Dump!E:E,Dump!B:B,C928,Dump!A:A,V928)</f>
        <v>0</v>
      </c>
      <c r="Q928" s="31">
        <f t="shared" si="11"/>
        <v>0</v>
      </c>
      <c r="S928" s="30">
        <f>SUMIFS(Dump!P:P,Dump!B:B,C928,Dump!A:A,V928)</f>
        <v>0</v>
      </c>
      <c r="T928" s="31">
        <f t="shared" si="12"/>
        <v>0</v>
      </c>
      <c r="U928" s="34"/>
      <c r="V928" s="47"/>
    </row>
    <row r="929">
      <c r="C929" s="46"/>
      <c r="G929" s="1" t="str">
        <f t="shared" si="16"/>
        <v/>
      </c>
      <c r="I929" s="33" t="str">
        <f t="shared" si="8"/>
        <v/>
      </c>
      <c r="K929" s="27"/>
      <c r="L929" s="28">
        <f>SUMIFS(Dump!$D:$D,Dump!$B:$B,$C929,Dump!$A:$A,$V929)</f>
        <v>0</v>
      </c>
      <c r="M929" s="28">
        <f>SUMIFS(Dump!R:R,Dump!B:B,C929,Dump!A:A,V929)</f>
        <v>0</v>
      </c>
      <c r="N929" s="29">
        <f t="shared" si="10"/>
        <v>0</v>
      </c>
      <c r="P929" s="30">
        <f>SUMIFS(Dump!E:E,Dump!B:B,C929,Dump!A:A,V929)</f>
        <v>0</v>
      </c>
      <c r="Q929" s="31">
        <f t="shared" si="11"/>
        <v>0</v>
      </c>
      <c r="S929" s="30">
        <f>SUMIFS(Dump!P:P,Dump!B:B,C929,Dump!A:A,V929)</f>
        <v>0</v>
      </c>
      <c r="T929" s="31">
        <f t="shared" si="12"/>
        <v>0</v>
      </c>
      <c r="U929" s="34"/>
      <c r="V929" s="47"/>
    </row>
    <row r="930">
      <c r="C930" s="46"/>
      <c r="G930" s="1" t="str">
        <f t="shared" si="16"/>
        <v/>
      </c>
      <c r="I930" s="33" t="str">
        <f t="shared" si="8"/>
        <v/>
      </c>
      <c r="K930" s="27"/>
      <c r="L930" s="28">
        <f>SUMIFS(Dump!$D:$D,Dump!$B:$B,$C930,Dump!$A:$A,$V930)</f>
        <v>0</v>
      </c>
      <c r="M930" s="28">
        <f>SUMIFS(Dump!R:R,Dump!B:B,C930,Dump!A:A,V930)</f>
        <v>0</v>
      </c>
      <c r="N930" s="29">
        <f t="shared" si="10"/>
        <v>0</v>
      </c>
      <c r="P930" s="30">
        <f>SUMIFS(Dump!E:E,Dump!B:B,C930,Dump!A:A,V930)</f>
        <v>0</v>
      </c>
      <c r="Q930" s="31">
        <f t="shared" si="11"/>
        <v>0</v>
      </c>
      <c r="S930" s="30">
        <f>SUMIFS(Dump!P:P,Dump!B:B,C930,Dump!A:A,V930)</f>
        <v>0</v>
      </c>
      <c r="T930" s="31">
        <f t="shared" si="12"/>
        <v>0</v>
      </c>
      <c r="U930" s="34"/>
      <c r="V930" s="47"/>
    </row>
    <row r="931">
      <c r="C931" s="46"/>
      <c r="G931" s="1" t="str">
        <f t="shared" si="16"/>
        <v/>
      </c>
      <c r="I931" s="33" t="str">
        <f t="shared" si="8"/>
        <v/>
      </c>
      <c r="K931" s="27"/>
      <c r="L931" s="28">
        <f>SUMIFS(Dump!$D:$D,Dump!$B:$B,$C931,Dump!$A:$A,$V931)</f>
        <v>0</v>
      </c>
      <c r="M931" s="28">
        <f>SUMIFS(Dump!R:R,Dump!B:B,C931,Dump!A:A,V931)</f>
        <v>0</v>
      </c>
      <c r="N931" s="29">
        <f t="shared" si="10"/>
        <v>0</v>
      </c>
      <c r="P931" s="30">
        <f>SUMIFS(Dump!E:E,Dump!B:B,C931,Dump!A:A,V931)</f>
        <v>0</v>
      </c>
      <c r="Q931" s="31">
        <f t="shared" si="11"/>
        <v>0</v>
      </c>
      <c r="S931" s="30">
        <f>SUMIFS(Dump!P:P,Dump!B:B,C931,Dump!A:A,V931)</f>
        <v>0</v>
      </c>
      <c r="T931" s="31">
        <f t="shared" si="12"/>
        <v>0</v>
      </c>
      <c r="U931" s="34"/>
      <c r="V931" s="47"/>
    </row>
    <row r="932">
      <c r="C932" s="46"/>
      <c r="G932" s="1" t="str">
        <f t="shared" si="16"/>
        <v/>
      </c>
      <c r="I932" s="33" t="str">
        <f t="shared" si="8"/>
        <v/>
      </c>
      <c r="K932" s="27"/>
      <c r="L932" s="28">
        <f>SUMIFS(Dump!$D:$D,Dump!$B:$B,$C932,Dump!$A:$A,$V932)</f>
        <v>0</v>
      </c>
      <c r="M932" s="28">
        <f>SUMIFS(Dump!R:R,Dump!B:B,C932,Dump!A:A,V932)</f>
        <v>0</v>
      </c>
      <c r="N932" s="29">
        <f t="shared" si="10"/>
        <v>0</v>
      </c>
      <c r="P932" s="30">
        <f>SUMIFS(Dump!E:E,Dump!B:B,C932,Dump!A:A,V932)</f>
        <v>0</v>
      </c>
      <c r="Q932" s="31">
        <f t="shared" si="11"/>
        <v>0</v>
      </c>
      <c r="S932" s="30">
        <f>SUMIFS(Dump!P:P,Dump!B:B,C932,Dump!A:A,V932)</f>
        <v>0</v>
      </c>
      <c r="T932" s="31">
        <f t="shared" si="12"/>
        <v>0</v>
      </c>
      <c r="U932" s="34"/>
      <c r="V932" s="47"/>
    </row>
    <row r="933">
      <c r="C933" s="46"/>
      <c r="G933" s="1" t="str">
        <f t="shared" si="16"/>
        <v/>
      </c>
      <c r="I933" s="33" t="str">
        <f t="shared" si="8"/>
        <v/>
      </c>
      <c r="K933" s="27"/>
      <c r="L933" s="28">
        <f>SUMIFS(Dump!$D:$D,Dump!$B:$B,$C933,Dump!$A:$A,$V933)</f>
        <v>0</v>
      </c>
      <c r="M933" s="28">
        <f>SUMIFS(Dump!R:R,Dump!B:B,C933,Dump!A:A,V933)</f>
        <v>0</v>
      </c>
      <c r="N933" s="29">
        <f t="shared" si="10"/>
        <v>0</v>
      </c>
      <c r="P933" s="30">
        <f>SUMIFS(Dump!E:E,Dump!B:B,C933,Dump!A:A,V933)</f>
        <v>0</v>
      </c>
      <c r="Q933" s="31">
        <f t="shared" si="11"/>
        <v>0</v>
      </c>
      <c r="S933" s="30">
        <f>SUMIFS(Dump!P:P,Dump!B:B,C933,Dump!A:A,V933)</f>
        <v>0</v>
      </c>
      <c r="T933" s="31">
        <f t="shared" si="12"/>
        <v>0</v>
      </c>
      <c r="U933" s="34"/>
      <c r="V933" s="47"/>
    </row>
    <row r="934">
      <c r="C934" s="46"/>
      <c r="G934" s="1" t="str">
        <f t="shared" si="16"/>
        <v/>
      </c>
      <c r="I934" s="33" t="str">
        <f t="shared" si="8"/>
        <v/>
      </c>
      <c r="K934" s="27"/>
      <c r="L934" s="28">
        <f>SUMIFS(Dump!$D:$D,Dump!$B:$B,$C934,Dump!$A:$A,$V934)</f>
        <v>0</v>
      </c>
      <c r="M934" s="28">
        <f>SUMIFS(Dump!R:R,Dump!B:B,C934,Dump!A:A,V934)</f>
        <v>0</v>
      </c>
      <c r="N934" s="29">
        <f t="shared" si="10"/>
        <v>0</v>
      </c>
      <c r="P934" s="30">
        <f>SUMIFS(Dump!E:E,Dump!B:B,C934,Dump!A:A,V934)</f>
        <v>0</v>
      </c>
      <c r="Q934" s="31">
        <f t="shared" si="11"/>
        <v>0</v>
      </c>
      <c r="S934" s="30">
        <f>SUMIFS(Dump!P:P,Dump!B:B,C934,Dump!A:A,V934)</f>
        <v>0</v>
      </c>
      <c r="T934" s="31">
        <f t="shared" si="12"/>
        <v>0</v>
      </c>
      <c r="U934" s="34"/>
      <c r="V934" s="47"/>
    </row>
    <row r="935">
      <c r="C935" s="46"/>
      <c r="G935" s="1" t="str">
        <f t="shared" si="16"/>
        <v/>
      </c>
      <c r="I935" s="33" t="str">
        <f t="shared" si="8"/>
        <v/>
      </c>
      <c r="K935" s="27"/>
      <c r="L935" s="28">
        <f>SUMIFS(Dump!$D:$D,Dump!$B:$B,$C935,Dump!$A:$A,$V935)</f>
        <v>0</v>
      </c>
      <c r="M935" s="28">
        <f>SUMIFS(Dump!R:R,Dump!B:B,C935,Dump!A:A,V935)</f>
        <v>0</v>
      </c>
      <c r="N935" s="29">
        <f t="shared" si="10"/>
        <v>0</v>
      </c>
      <c r="P935" s="30">
        <f>SUMIFS(Dump!E:E,Dump!B:B,C935,Dump!A:A,V935)</f>
        <v>0</v>
      </c>
      <c r="Q935" s="31">
        <f t="shared" si="11"/>
        <v>0</v>
      </c>
      <c r="S935" s="30">
        <f>SUMIFS(Dump!P:P,Dump!B:B,C935,Dump!A:A,V935)</f>
        <v>0</v>
      </c>
      <c r="T935" s="31">
        <f t="shared" si="12"/>
        <v>0</v>
      </c>
      <c r="U935" s="34"/>
      <c r="V935" s="47"/>
    </row>
    <row r="936">
      <c r="C936" s="46"/>
      <c r="G936" s="1" t="str">
        <f t="shared" si="16"/>
        <v/>
      </c>
      <c r="I936" s="33" t="str">
        <f t="shared" si="8"/>
        <v/>
      </c>
      <c r="K936" s="27"/>
      <c r="L936" s="28">
        <f>SUMIFS(Dump!$D:$D,Dump!$B:$B,$C936,Dump!$A:$A,$V936)</f>
        <v>0</v>
      </c>
      <c r="M936" s="28">
        <f>SUMIFS(Dump!R:R,Dump!B:B,C936,Dump!A:A,V936)</f>
        <v>0</v>
      </c>
      <c r="N936" s="29">
        <f t="shared" si="10"/>
        <v>0</v>
      </c>
      <c r="P936" s="30">
        <f>SUMIFS(Dump!E:E,Dump!B:B,C936,Dump!A:A,V936)</f>
        <v>0</v>
      </c>
      <c r="Q936" s="31">
        <f t="shared" si="11"/>
        <v>0</v>
      </c>
      <c r="S936" s="30">
        <f>SUMIFS(Dump!P:P,Dump!B:B,C936,Dump!A:A,V936)</f>
        <v>0</v>
      </c>
      <c r="T936" s="31">
        <f t="shared" si="12"/>
        <v>0</v>
      </c>
      <c r="U936" s="34"/>
      <c r="V936" s="47"/>
    </row>
    <row r="937">
      <c r="C937" s="46"/>
      <c r="G937" s="1" t="str">
        <f t="shared" si="16"/>
        <v/>
      </c>
      <c r="I937" s="33" t="str">
        <f t="shared" si="8"/>
        <v/>
      </c>
      <c r="K937" s="27"/>
      <c r="L937" s="28">
        <f>SUMIFS(Dump!$D:$D,Dump!$B:$B,$C937,Dump!$A:$A,$V937)</f>
        <v>0</v>
      </c>
      <c r="M937" s="28">
        <f>SUMIFS(Dump!R:R,Dump!B:B,C937,Dump!A:A,V937)</f>
        <v>0</v>
      </c>
      <c r="N937" s="29">
        <f t="shared" si="10"/>
        <v>0</v>
      </c>
      <c r="P937" s="30">
        <f>SUMIFS(Dump!E:E,Dump!B:B,C937,Dump!A:A,V937)</f>
        <v>0</v>
      </c>
      <c r="Q937" s="31">
        <f t="shared" si="11"/>
        <v>0</v>
      </c>
      <c r="S937" s="30">
        <f>SUMIFS(Dump!P:P,Dump!B:B,C937,Dump!A:A,V937)</f>
        <v>0</v>
      </c>
      <c r="T937" s="31">
        <f t="shared" si="12"/>
        <v>0</v>
      </c>
      <c r="U937" s="34"/>
      <c r="V937" s="47"/>
    </row>
    <row r="938">
      <c r="C938" s="46"/>
      <c r="G938" s="1" t="str">
        <f t="shared" si="16"/>
        <v/>
      </c>
      <c r="I938" s="33" t="str">
        <f t="shared" si="8"/>
        <v/>
      </c>
      <c r="K938" s="27"/>
      <c r="L938" s="28">
        <f>SUMIFS(Dump!$D:$D,Dump!$B:$B,$C938,Dump!$A:$A,$V938)</f>
        <v>0</v>
      </c>
      <c r="M938" s="28">
        <f>SUMIFS(Dump!R:R,Dump!B:B,C938,Dump!A:A,V938)</f>
        <v>0</v>
      </c>
      <c r="N938" s="29">
        <f t="shared" si="10"/>
        <v>0</v>
      </c>
      <c r="P938" s="30">
        <f>SUMIFS(Dump!E:E,Dump!B:B,C938,Dump!A:A,V938)</f>
        <v>0</v>
      </c>
      <c r="Q938" s="31">
        <f t="shared" si="11"/>
        <v>0</v>
      </c>
      <c r="S938" s="30">
        <f>SUMIFS(Dump!P:P,Dump!B:B,C938,Dump!A:A,V938)</f>
        <v>0</v>
      </c>
      <c r="T938" s="31">
        <f t="shared" si="12"/>
        <v>0</v>
      </c>
      <c r="U938" s="34"/>
      <c r="V938" s="47"/>
    </row>
    <row r="939">
      <c r="C939" s="46"/>
      <c r="G939" s="1" t="str">
        <f t="shared" si="16"/>
        <v/>
      </c>
      <c r="I939" s="33" t="str">
        <f t="shared" si="8"/>
        <v/>
      </c>
      <c r="K939" s="27"/>
      <c r="L939" s="28">
        <f>SUMIFS(Dump!$D:$D,Dump!$B:$B,$C939,Dump!$A:$A,$V939)</f>
        <v>0</v>
      </c>
      <c r="M939" s="28">
        <f>SUMIFS(Dump!R:R,Dump!B:B,C939,Dump!A:A,V939)</f>
        <v>0</v>
      </c>
      <c r="N939" s="29">
        <f t="shared" si="10"/>
        <v>0</v>
      </c>
      <c r="P939" s="30">
        <f>SUMIFS(Dump!E:E,Dump!B:B,C939,Dump!A:A,V939)</f>
        <v>0</v>
      </c>
      <c r="Q939" s="31">
        <f t="shared" si="11"/>
        <v>0</v>
      </c>
      <c r="S939" s="30">
        <f>SUMIFS(Dump!P:P,Dump!B:B,C939,Dump!A:A,V939)</f>
        <v>0</v>
      </c>
      <c r="T939" s="31">
        <f t="shared" si="12"/>
        <v>0</v>
      </c>
      <c r="U939" s="34"/>
      <c r="V939" s="47"/>
    </row>
    <row r="940">
      <c r="C940" s="46"/>
      <c r="G940" s="1" t="str">
        <f t="shared" si="16"/>
        <v/>
      </c>
      <c r="I940" s="33" t="str">
        <f t="shared" si="8"/>
        <v/>
      </c>
      <c r="K940" s="27"/>
      <c r="L940" s="28">
        <f>SUMIFS(Dump!$D:$D,Dump!$B:$B,$C940,Dump!$A:$A,$V940)</f>
        <v>0</v>
      </c>
      <c r="M940" s="28">
        <f>SUMIFS(Dump!R:R,Dump!B:B,C940,Dump!A:A,V940)</f>
        <v>0</v>
      </c>
      <c r="N940" s="29">
        <f t="shared" si="10"/>
        <v>0</v>
      </c>
      <c r="P940" s="30">
        <f>SUMIFS(Dump!E:E,Dump!B:B,C940,Dump!A:A,V940)</f>
        <v>0</v>
      </c>
      <c r="Q940" s="31">
        <f t="shared" si="11"/>
        <v>0</v>
      </c>
      <c r="S940" s="30">
        <f>SUMIFS(Dump!P:P,Dump!B:B,C940,Dump!A:A,V940)</f>
        <v>0</v>
      </c>
      <c r="T940" s="31">
        <f t="shared" si="12"/>
        <v>0</v>
      </c>
      <c r="U940" s="34"/>
      <c r="V940" s="47"/>
    </row>
    <row r="941">
      <c r="C941" s="46"/>
      <c r="G941" s="1" t="str">
        <f t="shared" si="16"/>
        <v/>
      </c>
      <c r="I941" s="33" t="str">
        <f t="shared" si="8"/>
        <v/>
      </c>
      <c r="K941" s="27"/>
      <c r="L941" s="28">
        <f>SUMIFS(Dump!$D:$D,Dump!$B:$B,$C941,Dump!$A:$A,$V941)</f>
        <v>0</v>
      </c>
      <c r="M941" s="28">
        <f>SUMIFS(Dump!R:R,Dump!B:B,C941,Dump!A:A,V941)</f>
        <v>0</v>
      </c>
      <c r="N941" s="29">
        <f t="shared" si="10"/>
        <v>0</v>
      </c>
      <c r="P941" s="30">
        <f>SUMIFS(Dump!E:E,Dump!B:B,C941,Dump!A:A,V941)</f>
        <v>0</v>
      </c>
      <c r="Q941" s="31">
        <f t="shared" si="11"/>
        <v>0</v>
      </c>
      <c r="S941" s="30">
        <f>SUMIFS(Dump!P:P,Dump!B:B,C941,Dump!A:A,V941)</f>
        <v>0</v>
      </c>
      <c r="T941" s="31">
        <f t="shared" si="12"/>
        <v>0</v>
      </c>
      <c r="U941" s="34"/>
      <c r="V941" s="47"/>
    </row>
    <row r="942">
      <c r="C942" s="46"/>
      <c r="G942" s="1" t="str">
        <f t="shared" si="16"/>
        <v/>
      </c>
      <c r="I942" s="33" t="str">
        <f t="shared" si="8"/>
        <v/>
      </c>
      <c r="K942" s="27"/>
      <c r="L942" s="28">
        <f>SUMIFS(Dump!$D:$D,Dump!$B:$B,$C942,Dump!$A:$A,$V942)</f>
        <v>0</v>
      </c>
      <c r="M942" s="28">
        <f>SUMIFS(Dump!R:R,Dump!B:B,C942,Dump!A:A,V942)</f>
        <v>0</v>
      </c>
      <c r="N942" s="29">
        <f t="shared" si="10"/>
        <v>0</v>
      </c>
      <c r="P942" s="30">
        <f>SUMIFS(Dump!E:E,Dump!B:B,C942,Dump!A:A,V942)</f>
        <v>0</v>
      </c>
      <c r="Q942" s="31">
        <f t="shared" si="11"/>
        <v>0</v>
      </c>
      <c r="S942" s="30">
        <f>SUMIFS(Dump!P:P,Dump!B:B,C942,Dump!A:A,V942)</f>
        <v>0</v>
      </c>
      <c r="T942" s="31">
        <f t="shared" si="12"/>
        <v>0</v>
      </c>
      <c r="U942" s="34"/>
      <c r="V942" s="47"/>
    </row>
    <row r="943">
      <c r="C943" s="46"/>
      <c r="G943" s="1" t="str">
        <f t="shared" si="16"/>
        <v/>
      </c>
      <c r="I943" s="33" t="str">
        <f t="shared" si="8"/>
        <v/>
      </c>
      <c r="K943" s="27"/>
      <c r="L943" s="28">
        <f>SUMIFS(Dump!$D:$D,Dump!$B:$B,$C943,Dump!$A:$A,$V943)</f>
        <v>0</v>
      </c>
      <c r="M943" s="28">
        <f>SUMIFS(Dump!R:R,Dump!B:B,C943,Dump!A:A,V943)</f>
        <v>0</v>
      </c>
      <c r="N943" s="29">
        <f t="shared" si="10"/>
        <v>0</v>
      </c>
      <c r="P943" s="30">
        <f>SUMIFS(Dump!E:E,Dump!B:B,C943,Dump!A:A,V943)</f>
        <v>0</v>
      </c>
      <c r="Q943" s="31">
        <f t="shared" si="11"/>
        <v>0</v>
      </c>
      <c r="S943" s="30">
        <f>SUMIFS(Dump!P:P,Dump!B:B,C943,Dump!A:A,V943)</f>
        <v>0</v>
      </c>
      <c r="T943" s="31">
        <f t="shared" si="12"/>
        <v>0</v>
      </c>
      <c r="U943" s="34"/>
      <c r="V943" s="47"/>
    </row>
    <row r="944">
      <c r="C944" s="46"/>
      <c r="G944" s="1" t="str">
        <f t="shared" si="16"/>
        <v/>
      </c>
      <c r="I944" s="33" t="str">
        <f t="shared" si="8"/>
        <v/>
      </c>
      <c r="K944" s="27"/>
      <c r="L944" s="28">
        <f>SUMIFS(Dump!$D:$D,Dump!$B:$B,$C944,Dump!$A:$A,$V944)</f>
        <v>0</v>
      </c>
      <c r="M944" s="28">
        <f>SUMIFS(Dump!R:R,Dump!B:B,C944,Dump!A:A,V944)</f>
        <v>0</v>
      </c>
      <c r="N944" s="29">
        <f t="shared" si="10"/>
        <v>0</v>
      </c>
      <c r="P944" s="30">
        <f>SUMIFS(Dump!E:E,Dump!B:B,C944,Dump!A:A,V944)</f>
        <v>0</v>
      </c>
      <c r="Q944" s="31">
        <f t="shared" si="11"/>
        <v>0</v>
      </c>
      <c r="S944" s="30">
        <f>SUMIFS(Dump!P:P,Dump!B:B,C944,Dump!A:A,V944)</f>
        <v>0</v>
      </c>
      <c r="T944" s="31">
        <f t="shared" si="12"/>
        <v>0</v>
      </c>
      <c r="U944" s="34"/>
      <c r="V944" s="47"/>
    </row>
    <row r="945">
      <c r="C945" s="46"/>
      <c r="G945" s="1" t="str">
        <f t="shared" si="16"/>
        <v/>
      </c>
      <c r="I945" s="33" t="str">
        <f t="shared" si="8"/>
        <v/>
      </c>
      <c r="K945" s="27"/>
      <c r="L945" s="28">
        <f>SUMIFS(Dump!$D:$D,Dump!$B:$B,$C945,Dump!$A:$A,$V945)</f>
        <v>0</v>
      </c>
      <c r="M945" s="28">
        <f>SUMIFS(Dump!R:R,Dump!B:B,C945,Dump!A:A,V945)</f>
        <v>0</v>
      </c>
      <c r="N945" s="29">
        <f t="shared" si="10"/>
        <v>0</v>
      </c>
      <c r="P945" s="30">
        <f>SUMIFS(Dump!E:E,Dump!B:B,C945,Dump!A:A,V945)</f>
        <v>0</v>
      </c>
      <c r="Q945" s="31">
        <f t="shared" si="11"/>
        <v>0</v>
      </c>
      <c r="S945" s="30">
        <f>SUMIFS(Dump!P:P,Dump!B:B,C945,Dump!A:A,V945)</f>
        <v>0</v>
      </c>
      <c r="T945" s="31">
        <f t="shared" si="12"/>
        <v>0</v>
      </c>
      <c r="U945" s="34"/>
      <c r="V945" s="47"/>
    </row>
    <row r="946">
      <c r="C946" s="46"/>
      <c r="G946" s="1" t="str">
        <f t="shared" si="16"/>
        <v/>
      </c>
      <c r="I946" s="33" t="str">
        <f t="shared" si="8"/>
        <v/>
      </c>
      <c r="K946" s="27"/>
      <c r="L946" s="28">
        <f>SUMIFS(Dump!$D:$D,Dump!$B:$B,$C946,Dump!$A:$A,$V946)</f>
        <v>0</v>
      </c>
      <c r="M946" s="28">
        <f>SUMIFS(Dump!R:R,Dump!B:B,C946,Dump!A:A,V946)</f>
        <v>0</v>
      </c>
      <c r="N946" s="29">
        <f t="shared" si="10"/>
        <v>0</v>
      </c>
      <c r="P946" s="30">
        <f>SUMIFS(Dump!E:E,Dump!B:B,C946,Dump!A:A,V946)</f>
        <v>0</v>
      </c>
      <c r="Q946" s="31">
        <f t="shared" si="11"/>
        <v>0</v>
      </c>
      <c r="S946" s="30">
        <f>SUMIFS(Dump!P:P,Dump!B:B,C946,Dump!A:A,V946)</f>
        <v>0</v>
      </c>
      <c r="T946" s="31">
        <f t="shared" si="12"/>
        <v>0</v>
      </c>
      <c r="U946" s="34"/>
      <c r="V946" s="47"/>
    </row>
    <row r="947">
      <c r="C947" s="46"/>
      <c r="G947" s="1" t="str">
        <f t="shared" si="16"/>
        <v/>
      </c>
      <c r="I947" s="33" t="str">
        <f t="shared" si="8"/>
        <v/>
      </c>
      <c r="K947" s="27"/>
      <c r="L947" s="28">
        <f>SUMIFS(Dump!$D:$D,Dump!$B:$B,$C947,Dump!$A:$A,$V947)</f>
        <v>0</v>
      </c>
      <c r="M947" s="28">
        <f>SUMIFS(Dump!R:R,Dump!B:B,C947,Dump!A:A,V947)</f>
        <v>0</v>
      </c>
      <c r="N947" s="29">
        <f t="shared" si="10"/>
        <v>0</v>
      </c>
      <c r="P947" s="30">
        <f>SUMIFS(Dump!E:E,Dump!B:B,C947,Dump!A:A,V947)</f>
        <v>0</v>
      </c>
      <c r="Q947" s="31">
        <f t="shared" si="11"/>
        <v>0</v>
      </c>
      <c r="S947" s="30">
        <f>SUMIFS(Dump!P:P,Dump!B:B,C947,Dump!A:A,V947)</f>
        <v>0</v>
      </c>
      <c r="T947" s="31">
        <f t="shared" si="12"/>
        <v>0</v>
      </c>
      <c r="U947" s="34"/>
      <c r="V947" s="47"/>
    </row>
    <row r="948">
      <c r="C948" s="46"/>
      <c r="G948" s="1" t="str">
        <f t="shared" si="16"/>
        <v/>
      </c>
      <c r="I948" s="33" t="str">
        <f t="shared" si="8"/>
        <v/>
      </c>
      <c r="K948" s="27"/>
      <c r="L948" s="28">
        <f>SUMIFS(Dump!$D:$D,Dump!$B:$B,$C948,Dump!$A:$A,$V948)</f>
        <v>0</v>
      </c>
      <c r="M948" s="28">
        <f>SUMIFS(Dump!R:R,Dump!B:B,C948,Dump!A:A,V948)</f>
        <v>0</v>
      </c>
      <c r="N948" s="29">
        <f t="shared" si="10"/>
        <v>0</v>
      </c>
      <c r="P948" s="30">
        <f>SUMIFS(Dump!E:E,Dump!B:B,C948,Dump!A:A,V948)</f>
        <v>0</v>
      </c>
      <c r="Q948" s="31">
        <f t="shared" si="11"/>
        <v>0</v>
      </c>
      <c r="S948" s="30">
        <f>SUMIFS(Dump!P:P,Dump!B:B,C948,Dump!A:A,V948)</f>
        <v>0</v>
      </c>
      <c r="T948" s="31">
        <f t="shared" si="12"/>
        <v>0</v>
      </c>
      <c r="U948" s="34"/>
      <c r="V948" s="47"/>
    </row>
    <row r="949">
      <c r="C949" s="46"/>
      <c r="G949" s="1" t="str">
        <f t="shared" si="16"/>
        <v/>
      </c>
      <c r="I949" s="33" t="str">
        <f t="shared" si="8"/>
        <v/>
      </c>
      <c r="K949" s="27"/>
      <c r="L949" s="28">
        <f>SUMIFS(Dump!$D:$D,Dump!$B:$B,$C949,Dump!$A:$A,$V949)</f>
        <v>0</v>
      </c>
      <c r="M949" s="28">
        <f>SUMIFS(Dump!R:R,Dump!B:B,C949,Dump!A:A,V949)</f>
        <v>0</v>
      </c>
      <c r="N949" s="29">
        <f t="shared" si="10"/>
        <v>0</v>
      </c>
      <c r="P949" s="30">
        <f>SUMIFS(Dump!E:E,Dump!B:B,C949,Dump!A:A,V949)</f>
        <v>0</v>
      </c>
      <c r="Q949" s="31">
        <f t="shared" si="11"/>
        <v>0</v>
      </c>
      <c r="S949" s="30">
        <f>SUMIFS(Dump!P:P,Dump!B:B,C949,Dump!A:A,V949)</f>
        <v>0</v>
      </c>
      <c r="T949" s="31">
        <f t="shared" si="12"/>
        <v>0</v>
      </c>
      <c r="U949" s="34"/>
      <c r="V949" s="47"/>
    </row>
    <row r="950">
      <c r="C950" s="46"/>
      <c r="G950" s="1" t="str">
        <f t="shared" si="16"/>
        <v/>
      </c>
      <c r="I950" s="33" t="str">
        <f t="shared" si="8"/>
        <v/>
      </c>
      <c r="K950" s="27"/>
      <c r="L950" s="28">
        <f>SUMIFS(Dump!$D:$D,Dump!$B:$B,$C950,Dump!$A:$A,$V950)</f>
        <v>0</v>
      </c>
      <c r="M950" s="28">
        <f>SUMIFS(Dump!R:R,Dump!B:B,C950,Dump!A:A,V950)</f>
        <v>0</v>
      </c>
      <c r="N950" s="29">
        <f t="shared" si="10"/>
        <v>0</v>
      </c>
      <c r="P950" s="30">
        <f>SUMIFS(Dump!E:E,Dump!B:B,C950,Dump!A:A,V950)</f>
        <v>0</v>
      </c>
      <c r="Q950" s="31">
        <f t="shared" si="11"/>
        <v>0</v>
      </c>
      <c r="S950" s="30">
        <f>SUMIFS(Dump!P:P,Dump!B:B,C950,Dump!A:A,V950)</f>
        <v>0</v>
      </c>
      <c r="T950" s="31">
        <f t="shared" si="12"/>
        <v>0</v>
      </c>
      <c r="U950" s="34"/>
      <c r="V950" s="47"/>
    </row>
    <row r="951">
      <c r="C951" s="46"/>
      <c r="G951" s="1" t="str">
        <f t="shared" si="16"/>
        <v/>
      </c>
      <c r="I951" s="33" t="str">
        <f t="shared" si="8"/>
        <v/>
      </c>
      <c r="K951" s="27"/>
      <c r="L951" s="28">
        <f>SUMIFS(Dump!$D:$D,Dump!$B:$B,$C951,Dump!$A:$A,$V951)</f>
        <v>0</v>
      </c>
      <c r="M951" s="28">
        <f>SUMIFS(Dump!R:R,Dump!B:B,C951,Dump!A:A,V951)</f>
        <v>0</v>
      </c>
      <c r="N951" s="29">
        <f t="shared" si="10"/>
        <v>0</v>
      </c>
      <c r="P951" s="30">
        <f>SUMIFS(Dump!E:E,Dump!B:B,C951,Dump!A:A,V951)</f>
        <v>0</v>
      </c>
      <c r="Q951" s="31">
        <f t="shared" si="11"/>
        <v>0</v>
      </c>
      <c r="S951" s="30">
        <f>SUMIFS(Dump!P:P,Dump!B:B,C951,Dump!A:A,V951)</f>
        <v>0</v>
      </c>
      <c r="T951" s="31">
        <f t="shared" si="12"/>
        <v>0</v>
      </c>
      <c r="U951" s="34"/>
      <c r="V951" s="47"/>
    </row>
    <row r="952">
      <c r="C952" s="46"/>
      <c r="G952" s="1" t="str">
        <f t="shared" si="16"/>
        <v/>
      </c>
      <c r="I952" s="33" t="str">
        <f t="shared" si="8"/>
        <v/>
      </c>
      <c r="K952" s="27"/>
      <c r="L952" s="28">
        <f>SUMIFS(Dump!$D:$D,Dump!$B:$B,$C952,Dump!$A:$A,$V952)</f>
        <v>0</v>
      </c>
      <c r="M952" s="28">
        <f>SUMIFS(Dump!R:R,Dump!B:B,C952,Dump!A:A,V952)</f>
        <v>0</v>
      </c>
      <c r="N952" s="29">
        <f t="shared" si="10"/>
        <v>0</v>
      </c>
      <c r="P952" s="30">
        <f>SUMIFS(Dump!E:E,Dump!B:B,C952,Dump!A:A,V952)</f>
        <v>0</v>
      </c>
      <c r="Q952" s="31">
        <f t="shared" si="11"/>
        <v>0</v>
      </c>
      <c r="S952" s="30">
        <f>SUMIFS(Dump!P:P,Dump!B:B,C952,Dump!A:A,V952)</f>
        <v>0</v>
      </c>
      <c r="T952" s="31">
        <f t="shared" si="12"/>
        <v>0</v>
      </c>
      <c r="U952" s="34"/>
      <c r="V952" s="47"/>
    </row>
    <row r="953">
      <c r="C953" s="46"/>
      <c r="G953" s="1" t="str">
        <f t="shared" si="16"/>
        <v/>
      </c>
      <c r="I953" s="33" t="str">
        <f t="shared" si="8"/>
        <v/>
      </c>
      <c r="K953" s="27"/>
      <c r="L953" s="28">
        <f>SUMIFS(Dump!$D:$D,Dump!$B:$B,$C953,Dump!$A:$A,$V953)</f>
        <v>0</v>
      </c>
      <c r="M953" s="28">
        <f>SUMIFS(Dump!R:R,Dump!B:B,C953,Dump!A:A,V953)</f>
        <v>0</v>
      </c>
      <c r="N953" s="29">
        <f t="shared" si="10"/>
        <v>0</v>
      </c>
      <c r="P953" s="30">
        <f>SUMIFS(Dump!E:E,Dump!B:B,C953,Dump!A:A,V953)</f>
        <v>0</v>
      </c>
      <c r="Q953" s="31">
        <f t="shared" si="11"/>
        <v>0</v>
      </c>
      <c r="S953" s="30">
        <f>SUMIFS(Dump!P:P,Dump!B:B,C953,Dump!A:A,V953)</f>
        <v>0</v>
      </c>
      <c r="T953" s="31">
        <f t="shared" si="12"/>
        <v>0</v>
      </c>
      <c r="U953" s="34"/>
      <c r="V953" s="47"/>
    </row>
    <row r="954">
      <c r="C954" s="46"/>
      <c r="G954" s="1" t="str">
        <f t="shared" si="16"/>
        <v/>
      </c>
      <c r="I954" s="33" t="str">
        <f t="shared" si="8"/>
        <v/>
      </c>
      <c r="K954" s="27"/>
      <c r="L954" s="28">
        <f>SUMIFS(Dump!$D:$D,Dump!$B:$B,$C954,Dump!$A:$A,$V954)</f>
        <v>0</v>
      </c>
      <c r="M954" s="28">
        <f>SUMIFS(Dump!R:R,Dump!B:B,C954,Dump!A:A,V954)</f>
        <v>0</v>
      </c>
      <c r="N954" s="29">
        <f t="shared" si="10"/>
        <v>0</v>
      </c>
      <c r="P954" s="30">
        <f>SUMIFS(Dump!E:E,Dump!B:B,C954,Dump!A:A,V954)</f>
        <v>0</v>
      </c>
      <c r="Q954" s="31">
        <f t="shared" si="11"/>
        <v>0</v>
      </c>
      <c r="S954" s="30">
        <f>SUMIFS(Dump!P:P,Dump!B:B,C954,Dump!A:A,V954)</f>
        <v>0</v>
      </c>
      <c r="T954" s="31">
        <f t="shared" si="12"/>
        <v>0</v>
      </c>
      <c r="U954" s="34"/>
      <c r="V954" s="47"/>
    </row>
    <row r="955">
      <c r="C955" s="46"/>
      <c r="G955" s="1" t="str">
        <f t="shared" si="16"/>
        <v/>
      </c>
      <c r="I955" s="33" t="str">
        <f t="shared" si="8"/>
        <v/>
      </c>
      <c r="K955" s="27"/>
      <c r="L955" s="28">
        <f>SUMIFS(Dump!$D:$D,Dump!$B:$B,$C955,Dump!$A:$A,$V955)</f>
        <v>0</v>
      </c>
      <c r="M955" s="28">
        <f>SUMIFS(Dump!R:R,Dump!B:B,C955,Dump!A:A,V955)</f>
        <v>0</v>
      </c>
      <c r="N955" s="29">
        <f t="shared" si="10"/>
        <v>0</v>
      </c>
      <c r="P955" s="30">
        <f>SUMIFS(Dump!E:E,Dump!B:B,C955,Dump!A:A,V955)</f>
        <v>0</v>
      </c>
      <c r="Q955" s="31">
        <f t="shared" si="11"/>
        <v>0</v>
      </c>
      <c r="S955" s="30">
        <f>SUMIFS(Dump!P:P,Dump!B:B,C955,Dump!A:A,V955)</f>
        <v>0</v>
      </c>
      <c r="T955" s="31">
        <f t="shared" si="12"/>
        <v>0</v>
      </c>
      <c r="U955" s="34"/>
      <c r="V955" s="47"/>
    </row>
    <row r="956">
      <c r="C956" s="46"/>
      <c r="G956" s="1" t="str">
        <f t="shared" si="16"/>
        <v/>
      </c>
      <c r="I956" s="33" t="str">
        <f t="shared" si="8"/>
        <v/>
      </c>
      <c r="K956" s="27"/>
      <c r="L956" s="28">
        <f>SUMIFS(Dump!$D:$D,Dump!$B:$B,$C956,Dump!$A:$A,$V956)</f>
        <v>0</v>
      </c>
      <c r="M956" s="28">
        <f>SUMIFS(Dump!R:R,Dump!B:B,C956,Dump!A:A,V956)</f>
        <v>0</v>
      </c>
      <c r="N956" s="29">
        <f t="shared" si="10"/>
        <v>0</v>
      </c>
      <c r="P956" s="30">
        <f>SUMIFS(Dump!E:E,Dump!B:B,C956,Dump!A:A,V956)</f>
        <v>0</v>
      </c>
      <c r="Q956" s="31">
        <f t="shared" si="11"/>
        <v>0</v>
      </c>
      <c r="S956" s="30">
        <f>SUMIFS(Dump!P:P,Dump!B:B,C956,Dump!A:A,V956)</f>
        <v>0</v>
      </c>
      <c r="T956" s="31">
        <f t="shared" si="12"/>
        <v>0</v>
      </c>
      <c r="U956" s="34"/>
      <c r="V956" s="47"/>
    </row>
    <row r="957">
      <c r="C957" s="46"/>
      <c r="G957" s="1" t="str">
        <f t="shared" si="16"/>
        <v/>
      </c>
      <c r="I957" s="33" t="str">
        <f t="shared" si="8"/>
        <v/>
      </c>
      <c r="K957" s="27"/>
      <c r="L957" s="28">
        <f>SUMIFS(Dump!$D:$D,Dump!$B:$B,$C957,Dump!$A:$A,$V957)</f>
        <v>0</v>
      </c>
      <c r="M957" s="28">
        <f>SUMIFS(Dump!R:R,Dump!B:B,C957,Dump!A:A,V957)</f>
        <v>0</v>
      </c>
      <c r="N957" s="29">
        <f t="shared" si="10"/>
        <v>0</v>
      </c>
      <c r="P957" s="30">
        <f>SUMIFS(Dump!E:E,Dump!B:B,C957,Dump!A:A,V957)</f>
        <v>0</v>
      </c>
      <c r="Q957" s="31">
        <f t="shared" si="11"/>
        <v>0</v>
      </c>
      <c r="S957" s="30">
        <f>SUMIFS(Dump!P:P,Dump!B:B,C957,Dump!A:A,V957)</f>
        <v>0</v>
      </c>
      <c r="T957" s="31">
        <f t="shared" si="12"/>
        <v>0</v>
      </c>
      <c r="U957" s="34"/>
      <c r="V957" s="47"/>
    </row>
    <row r="958">
      <c r="C958" s="46"/>
      <c r="G958" s="1" t="str">
        <f t="shared" si="16"/>
        <v/>
      </c>
      <c r="I958" s="33" t="str">
        <f t="shared" si="8"/>
        <v/>
      </c>
      <c r="K958" s="27"/>
      <c r="L958" s="28">
        <f>SUMIFS(Dump!$D:$D,Dump!$B:$B,$C958,Dump!$A:$A,$V958)</f>
        <v>0</v>
      </c>
      <c r="M958" s="28">
        <f>SUMIFS(Dump!R:R,Dump!B:B,C958,Dump!A:A,V958)</f>
        <v>0</v>
      </c>
      <c r="N958" s="29">
        <f t="shared" si="10"/>
        <v>0</v>
      </c>
      <c r="P958" s="30">
        <f>SUMIFS(Dump!E:E,Dump!B:B,C958,Dump!A:A,V958)</f>
        <v>0</v>
      </c>
      <c r="Q958" s="31">
        <f t="shared" si="11"/>
        <v>0</v>
      </c>
      <c r="S958" s="30">
        <f>SUMIFS(Dump!P:P,Dump!B:B,C958,Dump!A:A,V958)</f>
        <v>0</v>
      </c>
      <c r="T958" s="31">
        <f t="shared" si="12"/>
        <v>0</v>
      </c>
      <c r="U958" s="34"/>
      <c r="V958" s="47"/>
    </row>
    <row r="959">
      <c r="C959" s="46"/>
      <c r="G959" s="1" t="str">
        <f t="shared" si="16"/>
        <v/>
      </c>
      <c r="I959" s="33" t="str">
        <f t="shared" si="8"/>
        <v/>
      </c>
      <c r="K959" s="27"/>
      <c r="L959" s="28">
        <f>SUMIFS(Dump!$D:$D,Dump!$B:$B,$C959,Dump!$A:$A,$V959)</f>
        <v>0</v>
      </c>
      <c r="M959" s="28">
        <f>SUMIFS(Dump!R:R,Dump!B:B,C959,Dump!A:A,V959)</f>
        <v>0</v>
      </c>
      <c r="N959" s="29">
        <f t="shared" si="10"/>
        <v>0</v>
      </c>
      <c r="P959" s="30">
        <f>SUMIFS(Dump!E:E,Dump!B:B,C959,Dump!A:A,V959)</f>
        <v>0</v>
      </c>
      <c r="Q959" s="31">
        <f t="shared" si="11"/>
        <v>0</v>
      </c>
      <c r="S959" s="30">
        <f>SUMIFS(Dump!P:P,Dump!B:B,C959,Dump!A:A,V959)</f>
        <v>0</v>
      </c>
      <c r="T959" s="31">
        <f t="shared" si="12"/>
        <v>0</v>
      </c>
      <c r="U959" s="34"/>
      <c r="V959" s="47"/>
    </row>
    <row r="960">
      <c r="C960" s="46"/>
      <c r="G960" s="1" t="str">
        <f t="shared" si="16"/>
        <v/>
      </c>
      <c r="I960" s="33" t="str">
        <f t="shared" si="8"/>
        <v/>
      </c>
      <c r="K960" s="27"/>
      <c r="L960" s="28">
        <f>SUMIFS(Dump!$D:$D,Dump!$B:$B,$C960,Dump!$A:$A,$V960)</f>
        <v>0</v>
      </c>
      <c r="M960" s="28">
        <f>SUMIFS(Dump!R:R,Dump!B:B,C960,Dump!A:A,V960)</f>
        <v>0</v>
      </c>
      <c r="N960" s="29">
        <f t="shared" si="10"/>
        <v>0</v>
      </c>
      <c r="P960" s="30">
        <f>SUMIFS(Dump!E:E,Dump!B:B,C960,Dump!A:A,V960)</f>
        <v>0</v>
      </c>
      <c r="Q960" s="31">
        <f t="shared" si="11"/>
        <v>0</v>
      </c>
      <c r="S960" s="30">
        <f>SUMIFS(Dump!P:P,Dump!B:B,C960,Dump!A:A,V960)</f>
        <v>0</v>
      </c>
      <c r="T960" s="31">
        <f t="shared" si="12"/>
        <v>0</v>
      </c>
      <c r="U960" s="34"/>
      <c r="V960" s="47"/>
    </row>
    <row r="961">
      <c r="C961" s="46"/>
      <c r="G961" s="1" t="str">
        <f t="shared" si="16"/>
        <v/>
      </c>
      <c r="I961" s="33" t="str">
        <f t="shared" si="8"/>
        <v/>
      </c>
      <c r="K961" s="27"/>
      <c r="L961" s="28">
        <f>SUMIFS(Dump!$D:$D,Dump!$B:$B,$C961,Dump!$A:$A,$V961)</f>
        <v>0</v>
      </c>
      <c r="M961" s="28">
        <f>SUMIFS(Dump!R:R,Dump!B:B,C961,Dump!A:A,V961)</f>
        <v>0</v>
      </c>
      <c r="N961" s="29">
        <f t="shared" si="10"/>
        <v>0</v>
      </c>
      <c r="P961" s="30">
        <f>SUMIFS(Dump!E:E,Dump!B:B,C961,Dump!A:A,V961)</f>
        <v>0</v>
      </c>
      <c r="Q961" s="31">
        <f t="shared" si="11"/>
        <v>0</v>
      </c>
      <c r="S961" s="30">
        <f>SUMIFS(Dump!P:P,Dump!B:B,C961,Dump!A:A,V961)</f>
        <v>0</v>
      </c>
      <c r="T961" s="31">
        <f t="shared" si="12"/>
        <v>0</v>
      </c>
      <c r="U961" s="34"/>
      <c r="V961" s="47"/>
    </row>
    <row r="962">
      <c r="C962" s="46"/>
      <c r="G962" s="1" t="str">
        <f t="shared" si="16"/>
        <v/>
      </c>
      <c r="I962" s="33" t="str">
        <f t="shared" si="8"/>
        <v/>
      </c>
      <c r="K962" s="27"/>
      <c r="L962" s="28">
        <f>SUMIFS(Dump!$D:$D,Dump!$B:$B,$C962,Dump!$A:$A,$V962)</f>
        <v>0</v>
      </c>
      <c r="M962" s="28">
        <f>SUMIFS(Dump!R:R,Dump!B:B,C962,Dump!A:A,V962)</f>
        <v>0</v>
      </c>
      <c r="N962" s="29">
        <f t="shared" si="10"/>
        <v>0</v>
      </c>
      <c r="P962" s="30">
        <f>SUMIFS(Dump!E:E,Dump!B:B,C962,Dump!A:A,V962)</f>
        <v>0</v>
      </c>
      <c r="Q962" s="31">
        <f t="shared" si="11"/>
        <v>0</v>
      </c>
      <c r="S962" s="30">
        <f>SUMIFS(Dump!P:P,Dump!B:B,C962,Dump!A:A,V962)</f>
        <v>0</v>
      </c>
      <c r="T962" s="31">
        <f t="shared" si="12"/>
        <v>0</v>
      </c>
      <c r="U962" s="34"/>
      <c r="V962" s="47"/>
    </row>
    <row r="963">
      <c r="C963" s="46"/>
      <c r="G963" s="1" t="str">
        <f t="shared" si="16"/>
        <v/>
      </c>
      <c r="I963" s="33" t="str">
        <f t="shared" si="8"/>
        <v/>
      </c>
      <c r="K963" s="27"/>
      <c r="L963" s="28">
        <f>SUMIFS(Dump!$D:$D,Dump!$B:$B,$C963,Dump!$A:$A,$V963)</f>
        <v>0</v>
      </c>
      <c r="M963" s="28">
        <f>SUMIFS(Dump!R:R,Dump!B:B,C963,Dump!A:A,V963)</f>
        <v>0</v>
      </c>
      <c r="N963" s="29">
        <f t="shared" si="10"/>
        <v>0</v>
      </c>
      <c r="P963" s="30">
        <f>SUMIFS(Dump!E:E,Dump!B:B,C963,Dump!A:A,V963)</f>
        <v>0</v>
      </c>
      <c r="Q963" s="31">
        <f t="shared" si="11"/>
        <v>0</v>
      </c>
      <c r="S963" s="30">
        <f>SUMIFS(Dump!P:P,Dump!B:B,C963,Dump!A:A,V963)</f>
        <v>0</v>
      </c>
      <c r="T963" s="31">
        <f t="shared" si="12"/>
        <v>0</v>
      </c>
      <c r="U963" s="34"/>
      <c r="V963" s="47"/>
    </row>
    <row r="964">
      <c r="C964" s="46"/>
      <c r="G964" s="1" t="str">
        <f t="shared" si="16"/>
        <v/>
      </c>
      <c r="I964" s="33" t="str">
        <f t="shared" si="8"/>
        <v/>
      </c>
      <c r="K964" s="27"/>
      <c r="L964" s="28">
        <f>SUMIFS(Dump!$D:$D,Dump!$B:$B,$C964,Dump!$A:$A,$V964)</f>
        <v>0</v>
      </c>
      <c r="M964" s="28">
        <f>SUMIFS(Dump!R:R,Dump!B:B,C964,Dump!A:A,V964)</f>
        <v>0</v>
      </c>
      <c r="N964" s="29">
        <f t="shared" si="10"/>
        <v>0</v>
      </c>
      <c r="P964" s="30">
        <f>SUMIFS(Dump!E:E,Dump!B:B,C964,Dump!A:A,V964)</f>
        <v>0</v>
      </c>
      <c r="Q964" s="31">
        <f t="shared" si="11"/>
        <v>0</v>
      </c>
      <c r="S964" s="30">
        <f>SUMIFS(Dump!P:P,Dump!B:B,C964,Dump!A:A,V964)</f>
        <v>0</v>
      </c>
      <c r="T964" s="31">
        <f t="shared" si="12"/>
        <v>0</v>
      </c>
      <c r="U964" s="34"/>
      <c r="V964" s="47"/>
    </row>
    <row r="965">
      <c r="C965" s="46"/>
      <c r="G965" s="1" t="str">
        <f t="shared" si="16"/>
        <v/>
      </c>
      <c r="I965" s="33" t="str">
        <f t="shared" si="8"/>
        <v/>
      </c>
      <c r="K965" s="27"/>
      <c r="L965" s="28">
        <f>SUMIFS(Dump!$D:$D,Dump!$B:$B,$C965,Dump!$A:$A,$V965)</f>
        <v>0</v>
      </c>
      <c r="M965" s="28">
        <f>SUMIFS(Dump!R:R,Dump!B:B,C965,Dump!A:A,V965)</f>
        <v>0</v>
      </c>
      <c r="N965" s="29">
        <f t="shared" si="10"/>
        <v>0</v>
      </c>
      <c r="P965" s="30">
        <f>SUMIFS(Dump!E:E,Dump!B:B,C965,Dump!A:A,V965)</f>
        <v>0</v>
      </c>
      <c r="Q965" s="31">
        <f t="shared" si="11"/>
        <v>0</v>
      </c>
      <c r="S965" s="30">
        <f>SUMIFS(Dump!P:P,Dump!B:B,C965,Dump!A:A,V965)</f>
        <v>0</v>
      </c>
      <c r="T965" s="31">
        <f t="shared" si="12"/>
        <v>0</v>
      </c>
      <c r="U965" s="34"/>
      <c r="V965" s="47"/>
    </row>
    <row r="966">
      <c r="C966" s="46"/>
      <c r="G966" s="1" t="str">
        <f t="shared" si="16"/>
        <v/>
      </c>
      <c r="I966" s="33" t="str">
        <f t="shared" si="8"/>
        <v/>
      </c>
      <c r="K966" s="27"/>
      <c r="L966" s="28">
        <f>SUMIFS(Dump!$D:$D,Dump!$B:$B,$C966,Dump!$A:$A,$V966)</f>
        <v>0</v>
      </c>
      <c r="M966" s="28">
        <f>SUMIFS(Dump!R:R,Dump!B:B,C966,Dump!A:A,V966)</f>
        <v>0</v>
      </c>
      <c r="N966" s="29">
        <f t="shared" si="10"/>
        <v>0</v>
      </c>
      <c r="P966" s="30">
        <f>SUMIFS(Dump!E:E,Dump!B:B,C966,Dump!A:A,V966)</f>
        <v>0</v>
      </c>
      <c r="Q966" s="31">
        <f t="shared" si="11"/>
        <v>0</v>
      </c>
      <c r="S966" s="30">
        <f>SUMIFS(Dump!P:P,Dump!B:B,C966,Dump!A:A,V966)</f>
        <v>0</v>
      </c>
      <c r="T966" s="31">
        <f t="shared" si="12"/>
        <v>0</v>
      </c>
      <c r="U966" s="34"/>
      <c r="V966" s="47"/>
    </row>
    <row r="967">
      <c r="C967" s="46"/>
      <c r="G967" s="1" t="str">
        <f t="shared" si="16"/>
        <v/>
      </c>
      <c r="I967" s="33" t="str">
        <f t="shared" si="8"/>
        <v/>
      </c>
      <c r="K967" s="27"/>
      <c r="L967" s="28">
        <f>SUMIFS(Dump!$D:$D,Dump!$B:$B,$C967,Dump!$A:$A,$V967)</f>
        <v>0</v>
      </c>
      <c r="M967" s="28">
        <f>SUMIFS(Dump!R:R,Dump!B:B,C967,Dump!A:A,V967)</f>
        <v>0</v>
      </c>
      <c r="N967" s="29">
        <f t="shared" si="10"/>
        <v>0</v>
      </c>
      <c r="P967" s="30">
        <f>SUMIFS(Dump!E:E,Dump!B:B,C967,Dump!A:A,V967)</f>
        <v>0</v>
      </c>
      <c r="Q967" s="31">
        <f t="shared" si="11"/>
        <v>0</v>
      </c>
      <c r="S967" s="30">
        <f>SUMIFS(Dump!P:P,Dump!B:B,C967,Dump!A:A,V967)</f>
        <v>0</v>
      </c>
      <c r="T967" s="31">
        <f t="shared" si="12"/>
        <v>0</v>
      </c>
      <c r="U967" s="34"/>
      <c r="V967" s="47"/>
    </row>
    <row r="968">
      <c r="C968" s="46"/>
      <c r="G968" s="1" t="str">
        <f t="shared" si="16"/>
        <v/>
      </c>
      <c r="I968" s="33" t="str">
        <f t="shared" si="8"/>
        <v/>
      </c>
      <c r="K968" s="27"/>
      <c r="L968" s="28">
        <f>SUMIFS(Dump!$D:$D,Dump!$B:$B,$C968,Dump!$A:$A,$V968)</f>
        <v>0</v>
      </c>
      <c r="M968" s="28">
        <f>SUMIFS(Dump!R:R,Dump!B:B,C968,Dump!A:A,V968)</f>
        <v>0</v>
      </c>
      <c r="N968" s="29">
        <f t="shared" si="10"/>
        <v>0</v>
      </c>
      <c r="P968" s="30">
        <f>SUMIFS(Dump!E:E,Dump!B:B,C968,Dump!A:A,V968)</f>
        <v>0</v>
      </c>
      <c r="Q968" s="31">
        <f t="shared" si="11"/>
        <v>0</v>
      </c>
      <c r="S968" s="30">
        <f>SUMIFS(Dump!P:P,Dump!B:B,C968,Dump!A:A,V968)</f>
        <v>0</v>
      </c>
      <c r="T968" s="31">
        <f t="shared" si="12"/>
        <v>0</v>
      </c>
      <c r="U968" s="34"/>
      <c r="V968" s="47"/>
    </row>
    <row r="969">
      <c r="C969" s="46"/>
      <c r="G969" s="1" t="str">
        <f t="shared" si="16"/>
        <v/>
      </c>
      <c r="I969" s="33" t="str">
        <f t="shared" si="8"/>
        <v/>
      </c>
      <c r="K969" s="27"/>
      <c r="L969" s="28">
        <f>SUMIFS(Dump!$D:$D,Dump!$B:$B,$C969,Dump!$A:$A,$V969)</f>
        <v>0</v>
      </c>
      <c r="M969" s="28">
        <f>SUMIFS(Dump!R:R,Dump!B:B,C969,Dump!A:A,V969)</f>
        <v>0</v>
      </c>
      <c r="N969" s="29">
        <f t="shared" si="10"/>
        <v>0</v>
      </c>
      <c r="P969" s="30">
        <f>SUMIFS(Dump!E:E,Dump!B:B,C969,Dump!A:A,V969)</f>
        <v>0</v>
      </c>
      <c r="Q969" s="31">
        <f t="shared" si="11"/>
        <v>0</v>
      </c>
      <c r="S969" s="30">
        <f>SUMIFS(Dump!P:P,Dump!B:B,C969,Dump!A:A,V969)</f>
        <v>0</v>
      </c>
      <c r="T969" s="31">
        <f t="shared" si="12"/>
        <v>0</v>
      </c>
      <c r="U969" s="34"/>
      <c r="V969" s="47"/>
    </row>
    <row r="970">
      <c r="C970" s="46"/>
      <c r="G970" s="1" t="str">
        <f t="shared" si="16"/>
        <v/>
      </c>
      <c r="I970" s="33" t="str">
        <f t="shared" si="8"/>
        <v/>
      </c>
      <c r="K970" s="27"/>
      <c r="L970" s="28">
        <f>SUMIFS(Dump!$D:$D,Dump!$B:$B,$C970,Dump!$A:$A,$V970)</f>
        <v>0</v>
      </c>
      <c r="M970" s="28">
        <f>SUMIFS(Dump!R:R,Dump!B:B,C970,Dump!A:A,V970)</f>
        <v>0</v>
      </c>
      <c r="N970" s="29">
        <f t="shared" si="10"/>
        <v>0</v>
      </c>
      <c r="P970" s="30">
        <f>SUMIFS(Dump!E:E,Dump!B:B,C970,Dump!A:A,V970)</f>
        <v>0</v>
      </c>
      <c r="Q970" s="31">
        <f t="shared" si="11"/>
        <v>0</v>
      </c>
      <c r="S970" s="30">
        <f>SUMIFS(Dump!P:P,Dump!B:B,C970,Dump!A:A,V970)</f>
        <v>0</v>
      </c>
      <c r="T970" s="31">
        <f t="shared" si="12"/>
        <v>0</v>
      </c>
      <c r="U970" s="34"/>
      <c r="V970" s="47"/>
    </row>
    <row r="971">
      <c r="C971" s="46"/>
      <c r="G971" s="1" t="str">
        <f t="shared" si="16"/>
        <v/>
      </c>
      <c r="I971" s="33" t="str">
        <f t="shared" si="8"/>
        <v/>
      </c>
      <c r="K971" s="27"/>
      <c r="L971" s="28">
        <f>SUMIFS(Dump!$D:$D,Dump!$B:$B,$C971,Dump!$A:$A,$V971)</f>
        <v>0</v>
      </c>
      <c r="M971" s="28">
        <f>SUMIFS(Dump!R:R,Dump!B:B,C971,Dump!A:A,V971)</f>
        <v>0</v>
      </c>
      <c r="N971" s="29">
        <f t="shared" si="10"/>
        <v>0</v>
      </c>
      <c r="P971" s="30">
        <f>SUMIFS(Dump!E:E,Dump!B:B,C971,Dump!A:A,V971)</f>
        <v>0</v>
      </c>
      <c r="Q971" s="31">
        <f t="shared" si="11"/>
        <v>0</v>
      </c>
      <c r="S971" s="30">
        <f>SUMIFS(Dump!P:P,Dump!B:B,C971,Dump!A:A,V971)</f>
        <v>0</v>
      </c>
      <c r="T971" s="31">
        <f t="shared" si="12"/>
        <v>0</v>
      </c>
      <c r="U971" s="34"/>
      <c r="V971" s="47"/>
    </row>
    <row r="972">
      <c r="C972" s="46"/>
      <c r="G972" s="1" t="str">
        <f t="shared" si="16"/>
        <v/>
      </c>
      <c r="I972" s="33" t="str">
        <f t="shared" si="8"/>
        <v/>
      </c>
      <c r="K972" s="27"/>
      <c r="L972" s="28">
        <f>SUMIFS(Dump!$D:$D,Dump!$B:$B,$C972,Dump!$A:$A,$V972)</f>
        <v>0</v>
      </c>
      <c r="M972" s="28">
        <f>SUMIFS(Dump!R:R,Dump!B:B,C972,Dump!A:A,V972)</f>
        <v>0</v>
      </c>
      <c r="N972" s="29">
        <f t="shared" si="10"/>
        <v>0</v>
      </c>
      <c r="P972" s="30">
        <f>SUMIFS(Dump!E:E,Dump!B:B,C972,Dump!A:A,V972)</f>
        <v>0</v>
      </c>
      <c r="Q972" s="31">
        <f t="shared" si="11"/>
        <v>0</v>
      </c>
      <c r="S972" s="30">
        <f>SUMIFS(Dump!P:P,Dump!B:B,C972,Dump!A:A,V972)</f>
        <v>0</v>
      </c>
      <c r="T972" s="31">
        <f t="shared" si="12"/>
        <v>0</v>
      </c>
      <c r="U972" s="34"/>
      <c r="V972" s="47"/>
    </row>
    <row r="973">
      <c r="C973" s="46"/>
      <c r="G973" s="1" t="str">
        <f t="shared" si="16"/>
        <v/>
      </c>
      <c r="I973" s="33" t="str">
        <f t="shared" si="8"/>
        <v/>
      </c>
      <c r="K973" s="27"/>
      <c r="L973" s="28">
        <f>SUMIFS(Dump!$D:$D,Dump!$B:$B,$C973,Dump!$A:$A,$V973)</f>
        <v>0</v>
      </c>
      <c r="M973" s="28">
        <f>SUMIFS(Dump!R:R,Dump!B:B,C973,Dump!A:A,V973)</f>
        <v>0</v>
      </c>
      <c r="N973" s="29">
        <f t="shared" si="10"/>
        <v>0</v>
      </c>
      <c r="P973" s="30">
        <f>SUMIFS(Dump!E:E,Dump!B:B,C973,Dump!A:A,V973)</f>
        <v>0</v>
      </c>
      <c r="Q973" s="31">
        <f t="shared" si="11"/>
        <v>0</v>
      </c>
      <c r="S973" s="30">
        <f>SUMIFS(Dump!P:P,Dump!B:B,C973,Dump!A:A,V973)</f>
        <v>0</v>
      </c>
      <c r="T973" s="31">
        <f t="shared" si="12"/>
        <v>0</v>
      </c>
      <c r="U973" s="34"/>
      <c r="V973" s="47"/>
    </row>
    <row r="974">
      <c r="C974" s="46"/>
      <c r="G974" s="1" t="str">
        <f t="shared" si="16"/>
        <v/>
      </c>
      <c r="I974" s="33" t="str">
        <f t="shared" si="8"/>
        <v/>
      </c>
      <c r="K974" s="27"/>
      <c r="L974" s="28">
        <f>SUMIFS(Dump!$D:$D,Dump!$B:$B,$C974,Dump!$A:$A,$V974)</f>
        <v>0</v>
      </c>
      <c r="M974" s="28">
        <f>SUMIFS(Dump!R:R,Dump!B:B,C974,Dump!A:A,V974)</f>
        <v>0</v>
      </c>
      <c r="N974" s="29">
        <f t="shared" si="10"/>
        <v>0</v>
      </c>
      <c r="P974" s="30">
        <f>SUMIFS(Dump!E:E,Dump!B:B,C974,Dump!A:A,V974)</f>
        <v>0</v>
      </c>
      <c r="Q974" s="31">
        <f t="shared" si="11"/>
        <v>0</v>
      </c>
      <c r="S974" s="30">
        <f>SUMIFS(Dump!P:P,Dump!B:B,C974,Dump!A:A,V974)</f>
        <v>0</v>
      </c>
      <c r="T974" s="31">
        <f t="shared" si="12"/>
        <v>0</v>
      </c>
      <c r="U974" s="34"/>
      <c r="V974" s="47"/>
    </row>
    <row r="975">
      <c r="C975" s="46"/>
      <c r="G975" s="1" t="str">
        <f t="shared" si="16"/>
        <v/>
      </c>
      <c r="I975" s="33" t="str">
        <f t="shared" si="8"/>
        <v/>
      </c>
      <c r="K975" s="27"/>
      <c r="L975" s="28">
        <f>SUMIFS(Dump!$D:$D,Dump!$B:$B,$C975,Dump!$A:$A,$V975)</f>
        <v>0</v>
      </c>
      <c r="M975" s="28">
        <f>SUMIFS(Dump!R:R,Dump!B:B,C975,Dump!A:A,V975)</f>
        <v>0</v>
      </c>
      <c r="N975" s="29">
        <f t="shared" si="10"/>
        <v>0</v>
      </c>
      <c r="P975" s="30">
        <f>SUMIFS(Dump!E:E,Dump!B:B,C975,Dump!A:A,V975)</f>
        <v>0</v>
      </c>
      <c r="Q975" s="31">
        <f t="shared" si="11"/>
        <v>0</v>
      </c>
      <c r="S975" s="30">
        <f>SUMIFS(Dump!P:P,Dump!B:B,C975,Dump!A:A,V975)</f>
        <v>0</v>
      </c>
      <c r="T975" s="31">
        <f t="shared" si="12"/>
        <v>0</v>
      </c>
      <c r="U975" s="34"/>
      <c r="V975" s="47"/>
    </row>
    <row r="976">
      <c r="C976" s="46"/>
      <c r="G976" s="1" t="str">
        <f t="shared" si="16"/>
        <v/>
      </c>
      <c r="I976" s="33" t="str">
        <f t="shared" si="8"/>
        <v/>
      </c>
      <c r="K976" s="27"/>
      <c r="L976" s="28">
        <f>SUMIFS(Dump!$D:$D,Dump!$B:$B,$C976,Dump!$A:$A,$V976)</f>
        <v>0</v>
      </c>
      <c r="M976" s="28">
        <f>SUMIFS(Dump!R:R,Dump!B:B,C976,Dump!A:A,V976)</f>
        <v>0</v>
      </c>
      <c r="N976" s="29">
        <f t="shared" si="10"/>
        <v>0</v>
      </c>
      <c r="P976" s="30">
        <f>SUMIFS(Dump!E:E,Dump!B:B,C976,Dump!A:A,V976)</f>
        <v>0</v>
      </c>
      <c r="Q976" s="31">
        <f t="shared" si="11"/>
        <v>0</v>
      </c>
      <c r="S976" s="30">
        <f>SUMIFS(Dump!P:P,Dump!B:B,C976,Dump!A:A,V976)</f>
        <v>0</v>
      </c>
      <c r="T976" s="31">
        <f t="shared" si="12"/>
        <v>0</v>
      </c>
      <c r="U976" s="34"/>
      <c r="V976" s="47"/>
    </row>
    <row r="977">
      <c r="C977" s="46"/>
      <c r="G977" s="1" t="str">
        <f t="shared" si="16"/>
        <v/>
      </c>
      <c r="I977" s="33" t="str">
        <f t="shared" si="8"/>
        <v/>
      </c>
      <c r="K977" s="27"/>
      <c r="L977" s="28">
        <f>SUMIFS(Dump!$D:$D,Dump!$B:$B,$C977,Dump!$A:$A,$V977)</f>
        <v>0</v>
      </c>
      <c r="M977" s="28">
        <f>SUMIFS(Dump!R:R,Dump!B:B,C977,Dump!A:A,V977)</f>
        <v>0</v>
      </c>
      <c r="N977" s="29">
        <f t="shared" si="10"/>
        <v>0</v>
      </c>
      <c r="P977" s="30">
        <f>SUMIFS(Dump!E:E,Dump!B:B,C977,Dump!A:A,V977)</f>
        <v>0</v>
      </c>
      <c r="Q977" s="31">
        <f t="shared" si="11"/>
        <v>0</v>
      </c>
      <c r="S977" s="30">
        <f>SUMIFS(Dump!P:P,Dump!B:B,C977,Dump!A:A,V977)</f>
        <v>0</v>
      </c>
      <c r="T977" s="31">
        <f t="shared" si="12"/>
        <v>0</v>
      </c>
      <c r="U977" s="34"/>
      <c r="V977" s="47"/>
    </row>
    <row r="978">
      <c r="C978" s="46"/>
      <c r="G978" s="1" t="str">
        <f t="shared" si="16"/>
        <v/>
      </c>
      <c r="I978" s="33" t="str">
        <f t="shared" si="8"/>
        <v/>
      </c>
      <c r="K978" s="27"/>
      <c r="L978" s="28">
        <f>SUMIFS(Dump!$D:$D,Dump!$B:$B,$C978,Dump!$A:$A,$V978)</f>
        <v>0</v>
      </c>
      <c r="M978" s="28">
        <f>SUMIFS(Dump!R:R,Dump!B:B,C978,Dump!A:A,V978)</f>
        <v>0</v>
      </c>
      <c r="N978" s="29">
        <f t="shared" si="10"/>
        <v>0</v>
      </c>
      <c r="P978" s="30">
        <f>SUMIFS(Dump!E:E,Dump!B:B,C978,Dump!A:A,V978)</f>
        <v>0</v>
      </c>
      <c r="Q978" s="31">
        <f t="shared" si="11"/>
        <v>0</v>
      </c>
      <c r="S978" s="30">
        <f>SUMIFS(Dump!P:P,Dump!B:B,C978,Dump!A:A,V978)</f>
        <v>0</v>
      </c>
      <c r="T978" s="31">
        <f t="shared" si="12"/>
        <v>0</v>
      </c>
      <c r="U978" s="34"/>
      <c r="V978" s="47"/>
    </row>
    <row r="979">
      <c r="C979" s="46"/>
      <c r="G979" s="1" t="str">
        <f t="shared" si="16"/>
        <v/>
      </c>
      <c r="I979" s="33" t="str">
        <f t="shared" si="8"/>
        <v/>
      </c>
      <c r="K979" s="27"/>
      <c r="L979" s="28">
        <f>SUMIFS(Dump!$D:$D,Dump!$B:$B,$C979,Dump!$A:$A,$V979)</f>
        <v>0</v>
      </c>
      <c r="M979" s="28">
        <f>SUMIFS(Dump!R:R,Dump!B:B,C979,Dump!A:A,V979)</f>
        <v>0</v>
      </c>
      <c r="N979" s="29">
        <f t="shared" si="10"/>
        <v>0</v>
      </c>
      <c r="P979" s="30">
        <f>SUMIFS(Dump!E:E,Dump!B:B,C979,Dump!A:A,V979)</f>
        <v>0</v>
      </c>
      <c r="Q979" s="31">
        <f t="shared" si="11"/>
        <v>0</v>
      </c>
      <c r="S979" s="30">
        <f>SUMIFS(Dump!P:P,Dump!B:B,C979,Dump!A:A,V979)</f>
        <v>0</v>
      </c>
      <c r="T979" s="31">
        <f t="shared" si="12"/>
        <v>0</v>
      </c>
      <c r="U979" s="34"/>
      <c r="V979" s="47"/>
    </row>
    <row r="980">
      <c r="C980" s="46"/>
      <c r="G980" s="1" t="str">
        <f t="shared" si="16"/>
        <v/>
      </c>
      <c r="I980" s="33" t="str">
        <f t="shared" si="8"/>
        <v/>
      </c>
      <c r="K980" s="27"/>
      <c r="L980" s="28">
        <f>SUMIFS(Dump!$D:$D,Dump!$B:$B,$C980,Dump!$A:$A,$V980)</f>
        <v>0</v>
      </c>
      <c r="M980" s="28">
        <f>SUMIFS(Dump!R:R,Dump!B:B,C980,Dump!A:A,V980)</f>
        <v>0</v>
      </c>
      <c r="N980" s="29">
        <f t="shared" si="10"/>
        <v>0</v>
      </c>
      <c r="P980" s="30">
        <f>SUMIFS(Dump!E:E,Dump!B:B,C980,Dump!A:A,V980)</f>
        <v>0</v>
      </c>
      <c r="Q980" s="31">
        <f t="shared" si="11"/>
        <v>0</v>
      </c>
      <c r="S980" s="30">
        <f>SUMIFS(Dump!P:P,Dump!B:B,C980,Dump!A:A,V980)</f>
        <v>0</v>
      </c>
      <c r="T980" s="31">
        <f t="shared" si="12"/>
        <v>0</v>
      </c>
      <c r="U980" s="34"/>
      <c r="V980" s="47"/>
    </row>
    <row r="981">
      <c r="C981" s="46"/>
      <c r="G981" s="1" t="str">
        <f t="shared" si="16"/>
        <v/>
      </c>
      <c r="I981" s="33" t="str">
        <f t="shared" si="8"/>
        <v/>
      </c>
      <c r="K981" s="27"/>
      <c r="L981" s="28">
        <f>SUMIFS(Dump!$D:$D,Dump!$B:$B,$C981,Dump!$A:$A,$V981)</f>
        <v>0</v>
      </c>
      <c r="M981" s="28">
        <f>SUMIFS(Dump!R:R,Dump!B:B,C981,Dump!A:A,V981)</f>
        <v>0</v>
      </c>
      <c r="N981" s="29">
        <f t="shared" si="10"/>
        <v>0</v>
      </c>
      <c r="P981" s="30">
        <f>SUMIFS(Dump!E:E,Dump!B:B,C981,Dump!A:A,V981)</f>
        <v>0</v>
      </c>
      <c r="Q981" s="31">
        <f t="shared" si="11"/>
        <v>0</v>
      </c>
      <c r="S981" s="30">
        <f>SUMIFS(Dump!P:P,Dump!B:B,C981,Dump!A:A,V981)</f>
        <v>0</v>
      </c>
      <c r="T981" s="31">
        <f t="shared" si="12"/>
        <v>0</v>
      </c>
      <c r="U981" s="34"/>
      <c r="V981" s="47"/>
    </row>
    <row r="982">
      <c r="C982" s="46"/>
      <c r="G982" s="1" t="str">
        <f t="shared" si="16"/>
        <v/>
      </c>
      <c r="I982" s="33" t="str">
        <f t="shared" si="8"/>
        <v/>
      </c>
      <c r="K982" s="27"/>
      <c r="L982" s="28">
        <f>SUMIFS(Dump!$D:$D,Dump!$B:$B,$C982,Dump!$A:$A,$V982)</f>
        <v>0</v>
      </c>
      <c r="M982" s="28">
        <f>SUMIFS(Dump!R:R,Dump!B:B,C982,Dump!A:A,V982)</f>
        <v>0</v>
      </c>
      <c r="N982" s="29">
        <f t="shared" si="10"/>
        <v>0</v>
      </c>
      <c r="P982" s="30">
        <f>SUMIFS(Dump!E:E,Dump!B:B,C982,Dump!A:A,V982)</f>
        <v>0</v>
      </c>
      <c r="Q982" s="31">
        <f t="shared" si="11"/>
        <v>0</v>
      </c>
      <c r="S982" s="30">
        <f>SUMIFS(Dump!P:P,Dump!B:B,C982,Dump!A:A,V982)</f>
        <v>0</v>
      </c>
      <c r="T982" s="31">
        <f t="shared" si="12"/>
        <v>0</v>
      </c>
      <c r="U982" s="34"/>
      <c r="V982" s="47"/>
    </row>
    <row r="983">
      <c r="C983" s="46"/>
      <c r="G983" s="1" t="str">
        <f t="shared" si="16"/>
        <v/>
      </c>
      <c r="I983" s="33" t="str">
        <f t="shared" si="8"/>
        <v/>
      </c>
      <c r="K983" s="27"/>
      <c r="L983" s="28">
        <f>SUMIFS(Dump!$D:$D,Dump!$B:$B,$C983,Dump!$A:$A,$V983)</f>
        <v>0</v>
      </c>
      <c r="M983" s="28">
        <f>SUMIFS(Dump!R:R,Dump!B:B,C983,Dump!A:A,V983)</f>
        <v>0</v>
      </c>
      <c r="N983" s="29">
        <f t="shared" si="10"/>
        <v>0</v>
      </c>
      <c r="P983" s="30">
        <f>SUMIFS(Dump!E:E,Dump!B:B,C983,Dump!A:A,V983)</f>
        <v>0</v>
      </c>
      <c r="Q983" s="31">
        <f t="shared" si="11"/>
        <v>0</v>
      </c>
      <c r="S983" s="30">
        <f>SUMIFS(Dump!P:P,Dump!B:B,C983,Dump!A:A,V983)</f>
        <v>0</v>
      </c>
      <c r="T983" s="31">
        <f t="shared" si="12"/>
        <v>0</v>
      </c>
      <c r="U983" s="34"/>
      <c r="V983" s="47"/>
    </row>
    <row r="984">
      <c r="C984" s="46"/>
      <c r="G984" s="1" t="str">
        <f t="shared" si="16"/>
        <v/>
      </c>
      <c r="I984" s="33" t="str">
        <f t="shared" si="8"/>
        <v/>
      </c>
      <c r="K984" s="27"/>
      <c r="L984" s="28">
        <f>SUMIFS(Dump!$D:$D,Dump!$B:$B,$C984,Dump!$A:$A,$V984)</f>
        <v>0</v>
      </c>
      <c r="M984" s="28">
        <f>SUMIFS(Dump!R:R,Dump!B:B,C984,Dump!A:A,V984)</f>
        <v>0</v>
      </c>
      <c r="N984" s="29">
        <f t="shared" si="10"/>
        <v>0</v>
      </c>
      <c r="P984" s="30">
        <f>SUMIFS(Dump!E:E,Dump!B:B,C984,Dump!A:A,V984)</f>
        <v>0</v>
      </c>
      <c r="Q984" s="31">
        <f t="shared" si="11"/>
        <v>0</v>
      </c>
      <c r="S984" s="30">
        <f>SUMIFS(Dump!P:P,Dump!B:B,C984,Dump!A:A,V984)</f>
        <v>0</v>
      </c>
      <c r="T984" s="31">
        <f t="shared" si="12"/>
        <v>0</v>
      </c>
      <c r="U984" s="34"/>
      <c r="V984" s="47"/>
    </row>
    <row r="985">
      <c r="C985" s="46"/>
      <c r="G985" s="1" t="str">
        <f t="shared" si="16"/>
        <v/>
      </c>
      <c r="I985" s="33" t="str">
        <f t="shared" si="8"/>
        <v/>
      </c>
      <c r="K985" s="27"/>
      <c r="L985" s="28">
        <f>SUMIFS(Dump!$D:$D,Dump!$B:$B,$C985,Dump!$A:$A,$V985)</f>
        <v>0</v>
      </c>
      <c r="M985" s="28">
        <f>SUMIFS(Dump!R:R,Dump!B:B,C985,Dump!A:A,V985)</f>
        <v>0</v>
      </c>
      <c r="N985" s="29">
        <f t="shared" si="10"/>
        <v>0</v>
      </c>
      <c r="P985" s="30">
        <f>SUMIFS(Dump!E:E,Dump!B:B,C985,Dump!A:A,V985)</f>
        <v>0</v>
      </c>
      <c r="Q985" s="31">
        <f t="shared" si="11"/>
        <v>0</v>
      </c>
      <c r="S985" s="30">
        <f>SUMIFS(Dump!P:P,Dump!B:B,C985,Dump!A:A,V985)</f>
        <v>0</v>
      </c>
      <c r="T985" s="31">
        <f t="shared" si="12"/>
        <v>0</v>
      </c>
      <c r="U985" s="34"/>
      <c r="V985" s="47"/>
    </row>
    <row r="986">
      <c r="C986" s="46"/>
      <c r="G986" s="1" t="str">
        <f t="shared" si="16"/>
        <v/>
      </c>
      <c r="I986" s="33" t="str">
        <f t="shared" si="8"/>
        <v/>
      </c>
      <c r="K986" s="27"/>
      <c r="L986" s="28">
        <f>SUMIFS(Dump!$D:$D,Dump!$B:$B,$C986,Dump!$A:$A,$V986)</f>
        <v>0</v>
      </c>
      <c r="M986" s="28">
        <f>SUMIFS(Dump!R:R,Dump!B:B,C986,Dump!A:A,V986)</f>
        <v>0</v>
      </c>
      <c r="N986" s="29">
        <f t="shared" si="10"/>
        <v>0</v>
      </c>
      <c r="P986" s="30">
        <f>SUMIFS(Dump!E:E,Dump!B:B,C986,Dump!A:A,V986)</f>
        <v>0</v>
      </c>
      <c r="Q986" s="31">
        <f t="shared" si="11"/>
        <v>0</v>
      </c>
      <c r="S986" s="30">
        <f>SUMIFS(Dump!P:P,Dump!B:B,C986,Dump!A:A,V986)</f>
        <v>0</v>
      </c>
      <c r="T986" s="31">
        <f t="shared" si="12"/>
        <v>0</v>
      </c>
      <c r="U986" s="34"/>
      <c r="V986" s="47"/>
    </row>
    <row r="987">
      <c r="C987" s="46"/>
      <c r="G987" s="1" t="str">
        <f t="shared" si="16"/>
        <v/>
      </c>
      <c r="I987" s="33" t="str">
        <f t="shared" si="8"/>
        <v/>
      </c>
      <c r="K987" s="27"/>
      <c r="L987" s="28">
        <f>SUMIFS(Dump!$D:$D,Dump!$B:$B,$C987,Dump!$A:$A,$V987)</f>
        <v>0</v>
      </c>
      <c r="M987" s="28">
        <f>SUMIFS(Dump!R:R,Dump!B:B,C987,Dump!A:A,V987)</f>
        <v>0</v>
      </c>
      <c r="N987" s="29">
        <f t="shared" si="10"/>
        <v>0</v>
      </c>
      <c r="P987" s="30">
        <f>SUMIFS(Dump!E:E,Dump!B:B,C987,Dump!A:A,V987)</f>
        <v>0</v>
      </c>
      <c r="Q987" s="31">
        <f t="shared" si="11"/>
        <v>0</v>
      </c>
      <c r="S987" s="30">
        <f>SUMIFS(Dump!P:P,Dump!B:B,C987,Dump!A:A,V987)</f>
        <v>0</v>
      </c>
      <c r="T987" s="31">
        <f t="shared" si="12"/>
        <v>0</v>
      </c>
      <c r="U987" s="34"/>
      <c r="V987" s="47"/>
    </row>
    <row r="988">
      <c r="C988" s="46"/>
      <c r="G988" s="1" t="str">
        <f t="shared" si="16"/>
        <v/>
      </c>
      <c r="I988" s="33" t="str">
        <f t="shared" si="8"/>
        <v/>
      </c>
      <c r="K988" s="27"/>
      <c r="L988" s="28">
        <f>SUMIFS(Dump!$D:$D,Dump!$B:$B,$C988,Dump!$A:$A,$V988)</f>
        <v>0</v>
      </c>
      <c r="M988" s="28">
        <f>SUMIFS(Dump!R:R,Dump!B:B,C988,Dump!A:A,V988)</f>
        <v>0</v>
      </c>
      <c r="N988" s="29">
        <f t="shared" si="10"/>
        <v>0</v>
      </c>
      <c r="P988" s="30">
        <f>SUMIFS(Dump!E:E,Dump!B:B,C988,Dump!A:A,V988)</f>
        <v>0</v>
      </c>
      <c r="Q988" s="31">
        <f t="shared" si="11"/>
        <v>0</v>
      </c>
      <c r="S988" s="30">
        <f>SUMIFS(Dump!P:P,Dump!B:B,C988,Dump!A:A,V988)</f>
        <v>0</v>
      </c>
      <c r="T988" s="31">
        <f t="shared" si="12"/>
        <v>0</v>
      </c>
      <c r="U988" s="34"/>
      <c r="V988" s="47"/>
    </row>
    <row r="989">
      <c r="C989" s="46"/>
      <c r="G989" s="1" t="str">
        <f t="shared" si="16"/>
        <v/>
      </c>
      <c r="I989" s="33" t="str">
        <f t="shared" si="8"/>
        <v/>
      </c>
      <c r="K989" s="27"/>
      <c r="L989" s="28">
        <f>SUMIFS(Dump!$D:$D,Dump!$B:$B,$C989,Dump!$A:$A,$V989)</f>
        <v>0</v>
      </c>
      <c r="M989" s="28">
        <f>SUMIFS(Dump!R:R,Dump!B:B,C989,Dump!A:A,V989)</f>
        <v>0</v>
      </c>
      <c r="N989" s="29">
        <f t="shared" si="10"/>
        <v>0</v>
      </c>
      <c r="P989" s="30">
        <f>SUMIFS(Dump!E:E,Dump!B:B,C989,Dump!A:A,V989)</f>
        <v>0</v>
      </c>
      <c r="Q989" s="31">
        <f t="shared" si="11"/>
        <v>0</v>
      </c>
      <c r="S989" s="30">
        <f>SUMIFS(Dump!P:P,Dump!B:B,C989,Dump!A:A,V989)</f>
        <v>0</v>
      </c>
      <c r="T989" s="31">
        <f t="shared" si="12"/>
        <v>0</v>
      </c>
      <c r="U989" s="34"/>
      <c r="V989" s="47"/>
    </row>
    <row r="990">
      <c r="C990" s="46"/>
      <c r="G990" s="1" t="str">
        <f t="shared" si="16"/>
        <v/>
      </c>
      <c r="I990" s="33" t="str">
        <f t="shared" si="8"/>
        <v/>
      </c>
      <c r="K990" s="27"/>
      <c r="L990" s="28">
        <f>SUMIFS(Dump!$D:$D,Dump!$B:$B,$C990,Dump!$A:$A,$V990)</f>
        <v>0</v>
      </c>
      <c r="M990" s="28">
        <f>SUMIFS(Dump!R:R,Dump!B:B,C990,Dump!A:A,V990)</f>
        <v>0</v>
      </c>
      <c r="N990" s="29">
        <f t="shared" si="10"/>
        <v>0</v>
      </c>
      <c r="P990" s="30">
        <f>SUMIFS(Dump!E:E,Dump!B:B,C990,Dump!A:A,V990)</f>
        <v>0</v>
      </c>
      <c r="Q990" s="31">
        <f t="shared" si="11"/>
        <v>0</v>
      </c>
      <c r="S990" s="30">
        <f>SUMIFS(Dump!P:P,Dump!B:B,C990,Dump!A:A,V990)</f>
        <v>0</v>
      </c>
      <c r="T990" s="31">
        <f t="shared" si="12"/>
        <v>0</v>
      </c>
      <c r="U990" s="34"/>
      <c r="V990" s="47"/>
    </row>
    <row r="991">
      <c r="C991" s="46"/>
      <c r="G991" s="1" t="str">
        <f t="shared" si="16"/>
        <v/>
      </c>
      <c r="I991" s="33" t="str">
        <f t="shared" si="8"/>
        <v/>
      </c>
      <c r="K991" s="27"/>
      <c r="L991" s="28">
        <f>SUMIFS(Dump!$D:$D,Dump!$B:$B,$C991,Dump!$A:$A,$V991)</f>
        <v>0</v>
      </c>
      <c r="M991" s="28">
        <f>SUMIFS(Dump!R:R,Dump!B:B,C991,Dump!A:A,V991)</f>
        <v>0</v>
      </c>
      <c r="N991" s="29">
        <f t="shared" si="10"/>
        <v>0</v>
      </c>
      <c r="P991" s="30">
        <f>SUMIFS(Dump!E:E,Dump!B:B,C991,Dump!A:A,V991)</f>
        <v>0</v>
      </c>
      <c r="Q991" s="31">
        <f t="shared" si="11"/>
        <v>0</v>
      </c>
      <c r="S991" s="30">
        <f>SUMIFS(Dump!P:P,Dump!B:B,C991,Dump!A:A,V991)</f>
        <v>0</v>
      </c>
      <c r="T991" s="31">
        <f t="shared" si="12"/>
        <v>0</v>
      </c>
      <c r="U991" s="34"/>
      <c r="V991" s="47"/>
    </row>
    <row r="992">
      <c r="C992" s="46"/>
      <c r="G992" s="1" t="str">
        <f t="shared" si="16"/>
        <v/>
      </c>
      <c r="I992" s="33" t="str">
        <f t="shared" si="8"/>
        <v/>
      </c>
      <c r="K992" s="27"/>
      <c r="L992" s="28">
        <f>SUMIFS(Dump!$D:$D,Dump!$B:$B,$C992,Dump!$A:$A,$V992)</f>
        <v>0</v>
      </c>
      <c r="M992" s="28">
        <f>SUMIFS(Dump!R:R,Dump!B:B,C992,Dump!A:A,V992)</f>
        <v>0</v>
      </c>
      <c r="N992" s="29">
        <f t="shared" si="10"/>
        <v>0</v>
      </c>
      <c r="P992" s="30">
        <f>SUMIFS(Dump!E:E,Dump!B:B,C992,Dump!A:A,V992)</f>
        <v>0</v>
      </c>
      <c r="Q992" s="31">
        <f t="shared" si="11"/>
        <v>0</v>
      </c>
      <c r="S992" s="30">
        <f>SUMIFS(Dump!P:P,Dump!B:B,C992,Dump!A:A,V992)</f>
        <v>0</v>
      </c>
      <c r="T992" s="31">
        <f t="shared" si="12"/>
        <v>0</v>
      </c>
      <c r="U992" s="34"/>
      <c r="V992" s="47"/>
    </row>
    <row r="993">
      <c r="C993" s="46"/>
      <c r="G993" s="1" t="str">
        <f t="shared" si="16"/>
        <v/>
      </c>
      <c r="I993" s="33" t="str">
        <f t="shared" si="8"/>
        <v/>
      </c>
      <c r="K993" s="27"/>
      <c r="L993" s="28">
        <f>SUMIFS(Dump!$D:$D,Dump!$B:$B,$C993,Dump!$A:$A,$V993)</f>
        <v>0</v>
      </c>
      <c r="M993" s="28">
        <f>SUMIFS(Dump!R:R,Dump!B:B,C993,Dump!A:A,V993)</f>
        <v>0</v>
      </c>
      <c r="N993" s="29">
        <f t="shared" si="10"/>
        <v>0</v>
      </c>
      <c r="P993" s="30">
        <f>SUMIFS(Dump!E:E,Dump!B:B,C993,Dump!A:A,V993)</f>
        <v>0</v>
      </c>
      <c r="Q993" s="31">
        <f t="shared" si="11"/>
        <v>0</v>
      </c>
      <c r="S993" s="30">
        <f>SUMIFS(Dump!P:P,Dump!B:B,C993,Dump!A:A,V993)</f>
        <v>0</v>
      </c>
      <c r="T993" s="31">
        <f t="shared" si="12"/>
        <v>0</v>
      </c>
      <c r="U993" s="34"/>
      <c r="V993" s="47"/>
    </row>
    <row r="994">
      <c r="C994" s="46"/>
      <c r="G994" s="1" t="str">
        <f t="shared" si="16"/>
        <v/>
      </c>
      <c r="I994" s="33" t="str">
        <f t="shared" si="8"/>
        <v/>
      </c>
      <c r="K994" s="27"/>
      <c r="L994" s="28">
        <f>SUMIFS(Dump!$D:$D,Dump!$B:$B,$C994,Dump!$A:$A,$V994)</f>
        <v>0</v>
      </c>
      <c r="M994" s="28">
        <f>SUMIFS(Dump!R:R,Dump!B:B,C994,Dump!A:A,V994)</f>
        <v>0</v>
      </c>
      <c r="N994" s="29">
        <f t="shared" si="10"/>
        <v>0</v>
      </c>
      <c r="P994" s="30">
        <f>SUMIFS(Dump!E:E,Dump!B:B,C994,Dump!A:A,V994)</f>
        <v>0</v>
      </c>
      <c r="Q994" s="31">
        <f t="shared" si="11"/>
        <v>0</v>
      </c>
      <c r="S994" s="30">
        <f>SUMIFS(Dump!P:P,Dump!B:B,C994,Dump!A:A,V994)</f>
        <v>0</v>
      </c>
      <c r="T994" s="31">
        <f t="shared" si="12"/>
        <v>0</v>
      </c>
      <c r="U994" s="34"/>
      <c r="V994" s="47"/>
    </row>
  </sheetData>
  <mergeCells count="6">
    <mergeCell ref="K1:N1"/>
    <mergeCell ref="O1:Q1"/>
    <mergeCell ref="R1:T1"/>
    <mergeCell ref="K2:N2"/>
    <mergeCell ref="O2:Q2"/>
    <mergeCell ref="R2:T2"/>
  </mergeCells>
  <conditionalFormatting sqref="N3:N994">
    <cfRule type="cellIs" dxfId="0" priority="1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tr">
        <f>IFERROR(__xludf.DUMMYFUNCTION("IMPORTRANGE(""1O5ZrS1LfZUtRkCMJG2qtT5s25b1YyUxbOioc5QK37Lk"",""Master!G:AL"")"),"Period")</f>
        <v>Period</v>
      </c>
      <c r="B1" s="33" t="str">
        <f>IFERROR(__xludf.DUMMYFUNCTION("""COMPUTED_VALUE"""),"Show ID")</f>
        <v>Show ID</v>
      </c>
      <c r="C1" s="33" t="str">
        <f>IFERROR(__xludf.DUMMYFUNCTION("""COMPUTED_VALUE"""),"Show Title")</f>
        <v>Show Title</v>
      </c>
      <c r="D1" s="33" t="str">
        <f>IFERROR(__xludf.DUMMYFUNCTION("""COMPUTED_VALUE"""),"Under Review (scripts)")</f>
        <v>Under Review (scripts)</v>
      </c>
      <c r="E1" s="33" t="str">
        <f>IFERROR(__xludf.DUMMYFUNCTION("""COMPUTED_VALUE"""),"Approved (scripts)")</f>
        <v>Approved (scripts)</v>
      </c>
      <c r="F1" s="33" t="str">
        <f>IFERROR(__xludf.DUMMYFUNCTION("""COMPUTED_VALUE"""),"Issues in Raw (eps)")</f>
        <v>Issues in Raw (eps)</v>
      </c>
      <c r="G1" s="33" t="str">
        <f>IFERROR(__xludf.DUMMYFUNCTION("""COMPUTED_VALUE"""),"Issues resolved in Raw (eps)")</f>
        <v>Issues resolved in Raw (eps)</v>
      </c>
      <c r="H1" s="33" t="str">
        <f>IFERROR(__xludf.DUMMYFUNCTION("""COMPUTED_VALUE"""),"Production (eps)")</f>
        <v>Production (eps)</v>
      </c>
      <c r="I1" s="33" t="str">
        <f>IFERROR(__xludf.DUMMYFUNCTION("""COMPUTED_VALUE"""),"Ready for Master (eps)")</f>
        <v>Ready for Master (eps)</v>
      </c>
      <c r="J1" s="33" t="str">
        <f>IFERROR(__xludf.DUMMYFUNCTION("""COMPUTED_VALUE"""),"Master under review (eps)")</f>
        <v>Master under review (eps)</v>
      </c>
      <c r="K1" s="33" t="str">
        <f>IFERROR(__xludf.DUMMYFUNCTION("""COMPUTED_VALUE"""),"Issues in Master (eps)")</f>
        <v>Issues in Master (eps)</v>
      </c>
      <c r="L1" s="33" t="str">
        <f>IFERROR(__xludf.DUMMYFUNCTION("""COMPUTED_VALUE"""),"Issues resolved in Master (eps)")</f>
        <v>Issues resolved in Master (eps)</v>
      </c>
      <c r="M1" s="33" t="str">
        <f>IFERROR(__xludf.DUMMYFUNCTION("""COMPUTED_VALUE"""),"Final Master (eps)")</f>
        <v>Final Master (eps)</v>
      </c>
      <c r="N1" s="33" t="str">
        <f>IFERROR(__xludf.DUMMYFUNCTION("""COMPUTED_VALUE"""),"Master Approved (eps)")</f>
        <v>Master Approved (eps)</v>
      </c>
      <c r="O1" s="33" t="str">
        <f>IFERROR(__xludf.DUMMYFUNCTION("""COMPUTED_VALUE"""),"Scheduled (eps)")</f>
        <v>Scheduled (eps)</v>
      </c>
      <c r="P1" s="33" t="str">
        <f>IFERROR(__xludf.DUMMYFUNCTION("""COMPUTED_VALUE"""),"Released (eps)")</f>
        <v>Released (eps)</v>
      </c>
      <c r="Q1" s="33" t="str">
        <f>IFERROR(__xludf.DUMMYFUNCTION("""COMPUTED_VALUE"""),"__")</f>
        <v>__</v>
      </c>
      <c r="R1" s="33" t="str">
        <f>IFERROR(__xludf.DUMMYFUNCTION("""COMPUTED_VALUE"""),"Under Review (word count)")</f>
        <v>Under Review (word count)</v>
      </c>
      <c r="S1" s="33" t="str">
        <f>IFERROR(__xludf.DUMMYFUNCTION("""COMPUTED_VALUE"""),"Approved (word count)")</f>
        <v>Approved (word count)</v>
      </c>
      <c r="T1" s="33" t="str">
        <f>IFERROR(__xludf.DUMMYFUNCTION("""COMPUTED_VALUE"""),"Raw under review (hr)")</f>
        <v>Raw under review (hr)</v>
      </c>
      <c r="U1" s="33" t="str">
        <f>IFERROR(__xludf.DUMMYFUNCTION("""COMPUTED_VALUE"""),"Issues in Raw (hr)")</f>
        <v>Issues in Raw (hr)</v>
      </c>
      <c r="V1" s="33" t="str">
        <f>IFERROR(__xludf.DUMMYFUNCTION("""COMPUTED_VALUE"""),"Issues resolved in Raw (hr)")</f>
        <v>Issues resolved in Raw (hr)</v>
      </c>
      <c r="W1" s="33" t="str">
        <f>IFERROR(__xludf.DUMMYFUNCTION("""COMPUTED_VALUE"""),"Production (hr)")</f>
        <v>Production (hr)</v>
      </c>
      <c r="X1" s="33" t="str">
        <f>IFERROR(__xludf.DUMMYFUNCTION("""COMPUTED_VALUE"""),"Ready for Master (hr)")</f>
        <v>Ready for Master (hr)</v>
      </c>
      <c r="Y1" s="33" t="str">
        <f>IFERROR(__xludf.DUMMYFUNCTION("""COMPUTED_VALUE"""),"Master under review (hr)")</f>
        <v>Master under review (hr)</v>
      </c>
      <c r="Z1" s="33" t="str">
        <f>IFERROR(__xludf.DUMMYFUNCTION("""COMPUTED_VALUE"""),"Issues in Master (hr)")</f>
        <v>Issues in Master (hr)</v>
      </c>
      <c r="AA1" s="33" t="str">
        <f>IFERROR(__xludf.DUMMYFUNCTION("""COMPUTED_VALUE"""),"Issues resolved in Master (hr)")</f>
        <v>Issues resolved in Master (hr)</v>
      </c>
      <c r="AB1" s="33" t="str">
        <f>IFERROR(__xludf.DUMMYFUNCTION("""COMPUTED_VALUE"""),"Final Master (hr)")</f>
        <v>Final Master (hr)</v>
      </c>
      <c r="AC1" s="33" t="str">
        <f>IFERROR(__xludf.DUMMYFUNCTION("""COMPUTED_VALUE"""),"Master Approved (hr)")</f>
        <v>Master Approved (hr)</v>
      </c>
      <c r="AD1" s="33" t="str">
        <f>IFERROR(__xludf.DUMMYFUNCTION("""COMPUTED_VALUE"""),"Scheduled (hr)")</f>
        <v>Scheduled (hr)</v>
      </c>
      <c r="AE1" s="33" t="str">
        <f>IFERROR(__xludf.DUMMYFUNCTION("""COMPUTED_VALUE"""),"Released (hr)")</f>
        <v>Released (hr)</v>
      </c>
      <c r="AF1" s="33" t="str">
        <f>IFERROR(__xludf.DUMMYFUNCTION("""COMPUTED_VALUE"""),"chapters_raw_qc")</f>
        <v>chapters_raw_qc</v>
      </c>
    </row>
    <row r="2">
      <c r="A2" s="49">
        <f>IFERROR(__xludf.DUMMYFUNCTION("""COMPUTED_VALUE"""),46153.0)</f>
        <v>46153</v>
      </c>
      <c r="B2" s="33" t="str">
        <f>IFERROR(__xludf.DUMMYFUNCTION("""COMPUTED_VALUE"""),"017fddbaa7617afdd8289be5c433df09dcde1da2")</f>
        <v>017fddbaa7617afdd8289be5c433df09dcde1da2</v>
      </c>
      <c r="C2" s="33" t="str">
        <f>IFERROR(__xludf.DUMMYFUNCTION("""COMPUTED_VALUE"""),"His Secret Fortune - Production Show_id")</f>
        <v>His Secret Fortune - Production Show_id</v>
      </c>
      <c r="D2" s="33">
        <f>IFERROR(__xludf.DUMMYFUNCTION("""COMPUTED_VALUE"""),18.0)</f>
        <v>18</v>
      </c>
      <c r="E2" s="33">
        <f>IFERROR(__xludf.DUMMYFUNCTION("""COMPUTED_VALUE"""),29.0)</f>
        <v>29</v>
      </c>
      <c r="F2" s="33">
        <f>IFERROR(__xludf.DUMMYFUNCTION("""COMPUTED_VALUE"""),11.0)</f>
        <v>11</v>
      </c>
      <c r="G2" s="33">
        <f>IFERROR(__xludf.DUMMYFUNCTION("""COMPUTED_VALUE"""),6.0)</f>
        <v>6</v>
      </c>
      <c r="H2" s="33">
        <f>IFERROR(__xludf.DUMMYFUNCTION("""COMPUTED_VALUE"""),8.0)</f>
        <v>8</v>
      </c>
      <c r="I2" s="33">
        <f>IFERROR(__xludf.DUMMYFUNCTION("""COMPUTED_VALUE"""),3.0)</f>
        <v>3</v>
      </c>
      <c r="J2" s="33">
        <f>IFERROR(__xludf.DUMMYFUNCTION("""COMPUTED_VALUE"""),6.0)</f>
        <v>6</v>
      </c>
      <c r="K2" s="33">
        <f>IFERROR(__xludf.DUMMYFUNCTION("""COMPUTED_VALUE"""),3.0)</f>
        <v>3</v>
      </c>
      <c r="L2" s="33">
        <f>IFERROR(__xludf.DUMMYFUNCTION("""COMPUTED_VALUE"""),1.0)</f>
        <v>1</v>
      </c>
      <c r="M2" s="33">
        <f>IFERROR(__xludf.DUMMYFUNCTION("""COMPUTED_VALUE"""),6.0)</f>
        <v>6</v>
      </c>
      <c r="N2" s="33">
        <f>IFERROR(__xludf.DUMMYFUNCTION("""COMPUTED_VALUE"""),13.0)</f>
        <v>13</v>
      </c>
      <c r="O2" s="33">
        <f>IFERROR(__xludf.DUMMYFUNCTION("""COMPUTED_VALUE"""),3.0)</f>
        <v>3</v>
      </c>
      <c r="P2" s="33">
        <f>IFERROR(__xludf.DUMMYFUNCTION("""COMPUTED_VALUE"""),13.0)</f>
        <v>13</v>
      </c>
      <c r="Q2" s="33">
        <f>IFERROR(__xludf.DUMMYFUNCTION("""COMPUTED_VALUE"""),0.0)</f>
        <v>0</v>
      </c>
      <c r="R2" s="33">
        <f>IFERROR(__xludf.DUMMYFUNCTION("""COMPUTED_VALUE"""),42267.0)</f>
        <v>42267</v>
      </c>
      <c r="S2" s="33">
        <f>IFERROR(__xludf.DUMMYFUNCTION("""COMPUTED_VALUE"""),68750.0)</f>
        <v>68750</v>
      </c>
      <c r="T2" s="33">
        <f>IFERROR(__xludf.DUMMYFUNCTION("""COMPUTED_VALUE"""),2.56333333333333)</f>
        <v>2.563333333</v>
      </c>
      <c r="U2" s="33">
        <f>IFERROR(__xludf.DUMMYFUNCTION("""COMPUTED_VALUE"""),2.34888888888888)</f>
        <v>2.348888889</v>
      </c>
      <c r="V2" s="33">
        <f>IFERROR(__xludf.DUMMYFUNCTION("""COMPUTED_VALUE"""),1.29361111111111)</f>
        <v>1.293611111</v>
      </c>
      <c r="W2" s="33">
        <f>IFERROR(__xludf.DUMMYFUNCTION("""COMPUTED_VALUE"""),1.72888888888888)</f>
        <v>1.728888889</v>
      </c>
      <c r="X2" s="33">
        <f>IFERROR(__xludf.DUMMYFUNCTION("""COMPUTED_VALUE"""),0.661666666666666)</f>
        <v>0.6616666667</v>
      </c>
      <c r="Y2" s="33">
        <f>IFERROR(__xludf.DUMMYFUNCTION("""COMPUTED_VALUE"""),1.29611111111111)</f>
        <v>1.296111111</v>
      </c>
      <c r="Z2" s="33">
        <f>IFERROR(__xludf.DUMMYFUNCTION("""COMPUTED_VALUE"""),0.656388888888888)</f>
        <v>0.6563888889</v>
      </c>
      <c r="AA2" s="33">
        <f>IFERROR(__xludf.DUMMYFUNCTION("""COMPUTED_VALUE"""),0.221388888888888)</f>
        <v>0.2213888889</v>
      </c>
      <c r="AB2" s="33">
        <f>IFERROR(__xludf.DUMMYFUNCTION("""COMPUTED_VALUE"""),1.32861111111111)</f>
        <v>1.328611111</v>
      </c>
      <c r="AC2" s="33">
        <f>IFERROR(__xludf.DUMMYFUNCTION("""COMPUTED_VALUE"""),2.81833333333333)</f>
        <v>2.818333333</v>
      </c>
      <c r="AD2" s="33">
        <f>IFERROR(__xludf.DUMMYFUNCTION("""COMPUTED_VALUE"""),0.597499999999999)</f>
        <v>0.5975</v>
      </c>
      <c r="AE2" s="33">
        <f>IFERROR(__xludf.DUMMYFUNCTION("""COMPUTED_VALUE"""),2.81833333333333)</f>
        <v>2.818333333</v>
      </c>
      <c r="AF2" s="33">
        <f>IFERROR(__xludf.DUMMYFUNCTION("""COMPUTED_VALUE"""),12.0)</f>
        <v>12</v>
      </c>
    </row>
    <row r="3">
      <c r="A3" s="49">
        <f>IFERROR(__xludf.DUMMYFUNCTION("""COMPUTED_VALUE"""),46153.0)</f>
        <v>46153</v>
      </c>
      <c r="B3" s="33" t="str">
        <f>IFERROR(__xludf.DUMMYFUNCTION("""COMPUTED_VALUE"""),"120f01928bb6593698eaa96f46a52b5ddab649bd")</f>
        <v>120f01928bb6593698eaa96f46a52b5ddab649bd</v>
      </c>
      <c r="C3" s="33" t="str">
        <f>IFERROR(__xludf.DUMMYFUNCTION("""COMPUTED_VALUE"""),"Beggar Husband - 2")</f>
        <v>Beggar Husband - 2</v>
      </c>
      <c r="D3" s="33">
        <f>IFERROR(__xludf.DUMMYFUNCTION("""COMPUTED_VALUE"""),11.0)</f>
        <v>11</v>
      </c>
      <c r="E3" s="33">
        <f>IFERROR(__xludf.DUMMYFUNCTION("""COMPUTED_VALUE"""),9.0)</f>
        <v>9</v>
      </c>
      <c r="F3" s="33">
        <f>IFERROR(__xludf.DUMMYFUNCTION("""COMPUTED_VALUE"""),0.0)</f>
        <v>0</v>
      </c>
      <c r="G3" s="33">
        <f>IFERROR(__xludf.DUMMYFUNCTION("""COMPUTED_VALUE"""),0.0)</f>
        <v>0</v>
      </c>
      <c r="H3" s="33">
        <f>IFERROR(__xludf.DUMMYFUNCTION("""COMPUTED_VALUE"""),0.0)</f>
        <v>0</v>
      </c>
      <c r="I3" s="33">
        <f>IFERROR(__xludf.DUMMYFUNCTION("""COMPUTED_VALUE"""),0.0)</f>
        <v>0</v>
      </c>
      <c r="J3" s="33">
        <f>IFERROR(__xludf.DUMMYFUNCTION("""COMPUTED_VALUE"""),0.0)</f>
        <v>0</v>
      </c>
      <c r="K3" s="33">
        <f>IFERROR(__xludf.DUMMYFUNCTION("""COMPUTED_VALUE"""),0.0)</f>
        <v>0</v>
      </c>
      <c r="L3" s="33">
        <f>IFERROR(__xludf.DUMMYFUNCTION("""COMPUTED_VALUE"""),0.0)</f>
        <v>0</v>
      </c>
      <c r="M3" s="33">
        <f>IFERROR(__xludf.DUMMYFUNCTION("""COMPUTED_VALUE"""),7.0)</f>
        <v>7</v>
      </c>
      <c r="N3" s="33">
        <f>IFERROR(__xludf.DUMMYFUNCTION("""COMPUTED_VALUE"""),7.0)</f>
        <v>7</v>
      </c>
      <c r="O3" s="33">
        <f>IFERROR(__xludf.DUMMYFUNCTION("""COMPUTED_VALUE"""),3.0)</f>
        <v>3</v>
      </c>
      <c r="P3" s="33">
        <f>IFERROR(__xludf.DUMMYFUNCTION("""COMPUTED_VALUE"""),7.0)</f>
        <v>7</v>
      </c>
      <c r="Q3" s="33">
        <f>IFERROR(__xludf.DUMMYFUNCTION("""COMPUTED_VALUE"""),0.0)</f>
        <v>0</v>
      </c>
      <c r="R3" s="33">
        <f>IFERROR(__xludf.DUMMYFUNCTION("""COMPUTED_VALUE"""),24076.0)</f>
        <v>24076</v>
      </c>
      <c r="S3" s="33">
        <f>IFERROR(__xludf.DUMMYFUNCTION("""COMPUTED_VALUE"""),19692.0)</f>
        <v>19692</v>
      </c>
      <c r="T3" s="33">
        <f>IFERROR(__xludf.DUMMYFUNCTION("""COMPUTED_VALUE"""),0.505833333333333)</f>
        <v>0.5058333333</v>
      </c>
      <c r="U3" s="33">
        <f>IFERROR(__xludf.DUMMYFUNCTION("""COMPUTED_VALUE"""),0.0)</f>
        <v>0</v>
      </c>
      <c r="V3" s="33">
        <f>IFERROR(__xludf.DUMMYFUNCTION("""COMPUTED_VALUE"""),0.0)</f>
        <v>0</v>
      </c>
      <c r="W3" s="33">
        <f>IFERROR(__xludf.DUMMYFUNCTION("""COMPUTED_VALUE"""),0.0)</f>
        <v>0</v>
      </c>
      <c r="X3" s="33">
        <f>IFERROR(__xludf.DUMMYFUNCTION("""COMPUTED_VALUE"""),0.0)</f>
        <v>0</v>
      </c>
      <c r="Y3" s="33">
        <f>IFERROR(__xludf.DUMMYFUNCTION("""COMPUTED_VALUE"""),0.0)</f>
        <v>0</v>
      </c>
      <c r="Z3" s="33">
        <f>IFERROR(__xludf.DUMMYFUNCTION("""COMPUTED_VALUE"""),0.0)</f>
        <v>0</v>
      </c>
      <c r="AA3" s="33">
        <f>IFERROR(__xludf.DUMMYFUNCTION("""COMPUTED_VALUE"""),0.0)</f>
        <v>0</v>
      </c>
      <c r="AB3" s="33">
        <f>IFERROR(__xludf.DUMMYFUNCTION("""COMPUTED_VALUE"""),1.67333333333333)</f>
        <v>1.673333333</v>
      </c>
      <c r="AC3" s="33">
        <f>IFERROR(__xludf.DUMMYFUNCTION("""COMPUTED_VALUE"""),1.67277777777777)</f>
        <v>1.672777778</v>
      </c>
      <c r="AD3" s="33">
        <f>IFERROR(__xludf.DUMMYFUNCTION("""COMPUTED_VALUE"""),0.669444444444444)</f>
        <v>0.6694444444</v>
      </c>
      <c r="AE3" s="33">
        <f>IFERROR(__xludf.DUMMYFUNCTION("""COMPUTED_VALUE"""),1.67277777777777)</f>
        <v>1.672777778</v>
      </c>
      <c r="AF3" s="33">
        <f>IFERROR(__xludf.DUMMYFUNCTION("""COMPUTED_VALUE"""),2.0)</f>
        <v>2</v>
      </c>
    </row>
    <row r="4">
      <c r="A4" s="49">
        <f>IFERROR(__xludf.DUMMYFUNCTION("""COMPUTED_VALUE"""),46153.0)</f>
        <v>46153</v>
      </c>
      <c r="B4" s="33" t="str">
        <f>IFERROR(__xludf.DUMMYFUNCTION("""COMPUTED_VALUE"""),"37e68193f879e91ec362f75f4b46511110658e2b")</f>
        <v>37e68193f879e91ec362f75f4b46511110658e2b</v>
      </c>
      <c r="C4" s="33" t="str">
        <f>IFERROR(__xludf.DUMMYFUNCTION("""COMPUTED_VALUE"""),"Shiva : Ek Pretyodha")</f>
        <v>Shiva : Ek Pretyodha</v>
      </c>
      <c r="D4" s="33">
        <f>IFERROR(__xludf.DUMMYFUNCTION("""COMPUTED_VALUE"""),0.0)</f>
        <v>0</v>
      </c>
      <c r="E4" s="33">
        <f>IFERROR(__xludf.DUMMYFUNCTION("""COMPUTED_VALUE"""),0.0)</f>
        <v>0</v>
      </c>
      <c r="F4" s="33">
        <f>IFERROR(__xludf.DUMMYFUNCTION("""COMPUTED_VALUE"""),0.0)</f>
        <v>0</v>
      </c>
      <c r="G4" s="33">
        <f>IFERROR(__xludf.DUMMYFUNCTION("""COMPUTED_VALUE"""),0.0)</f>
        <v>0</v>
      </c>
      <c r="H4" s="33">
        <f>IFERROR(__xludf.DUMMYFUNCTION("""COMPUTED_VALUE"""),0.0)</f>
        <v>0</v>
      </c>
      <c r="I4" s="33">
        <f>IFERROR(__xludf.DUMMYFUNCTION("""COMPUTED_VALUE"""),0.0)</f>
        <v>0</v>
      </c>
      <c r="J4" s="33">
        <f>IFERROR(__xludf.DUMMYFUNCTION("""COMPUTED_VALUE"""),0.0)</f>
        <v>0</v>
      </c>
      <c r="K4" s="33">
        <f>IFERROR(__xludf.DUMMYFUNCTION("""COMPUTED_VALUE"""),0.0)</f>
        <v>0</v>
      </c>
      <c r="L4" s="33">
        <f>IFERROR(__xludf.DUMMYFUNCTION("""COMPUTED_VALUE"""),0.0)</f>
        <v>0</v>
      </c>
      <c r="M4" s="33">
        <f>IFERROR(__xludf.DUMMYFUNCTION("""COMPUTED_VALUE"""),0.0)</f>
        <v>0</v>
      </c>
      <c r="N4" s="33">
        <f>IFERROR(__xludf.DUMMYFUNCTION("""COMPUTED_VALUE"""),0.0)</f>
        <v>0</v>
      </c>
      <c r="O4" s="33">
        <f>IFERROR(__xludf.DUMMYFUNCTION("""COMPUTED_VALUE"""),8.0)</f>
        <v>8</v>
      </c>
      <c r="P4" s="33">
        <f>IFERROR(__xludf.DUMMYFUNCTION("""COMPUTED_VALUE"""),14.0)</f>
        <v>14</v>
      </c>
      <c r="Q4" s="33">
        <f>IFERROR(__xludf.DUMMYFUNCTION("""COMPUTED_VALUE"""),0.0)</f>
        <v>0</v>
      </c>
      <c r="R4" s="33">
        <f>IFERROR(__xludf.DUMMYFUNCTION("""COMPUTED_VALUE"""),0.0)</f>
        <v>0</v>
      </c>
      <c r="S4" s="33">
        <f>IFERROR(__xludf.DUMMYFUNCTION("""COMPUTED_VALUE"""),0.0)</f>
        <v>0</v>
      </c>
      <c r="T4" s="33">
        <f>IFERROR(__xludf.DUMMYFUNCTION("""COMPUTED_VALUE"""),0.0)</f>
        <v>0</v>
      </c>
      <c r="U4" s="33">
        <f>IFERROR(__xludf.DUMMYFUNCTION("""COMPUTED_VALUE"""),0.0)</f>
        <v>0</v>
      </c>
      <c r="V4" s="33">
        <f>IFERROR(__xludf.DUMMYFUNCTION("""COMPUTED_VALUE"""),0.0)</f>
        <v>0</v>
      </c>
      <c r="W4" s="33">
        <f>IFERROR(__xludf.DUMMYFUNCTION("""COMPUTED_VALUE"""),0.0)</f>
        <v>0</v>
      </c>
      <c r="X4" s="33">
        <f>IFERROR(__xludf.DUMMYFUNCTION("""COMPUTED_VALUE"""),0.0)</f>
        <v>0</v>
      </c>
      <c r="Y4" s="33">
        <f>IFERROR(__xludf.DUMMYFUNCTION("""COMPUTED_VALUE"""),0.0)</f>
        <v>0</v>
      </c>
      <c r="Z4" s="33">
        <f>IFERROR(__xludf.DUMMYFUNCTION("""COMPUTED_VALUE"""),0.0)</f>
        <v>0</v>
      </c>
      <c r="AA4" s="33">
        <f>IFERROR(__xludf.DUMMYFUNCTION("""COMPUTED_VALUE"""),0.0)</f>
        <v>0</v>
      </c>
      <c r="AB4" s="33">
        <f>IFERROR(__xludf.DUMMYFUNCTION("""COMPUTED_VALUE"""),0.0)</f>
        <v>0</v>
      </c>
      <c r="AC4" s="33">
        <f>IFERROR(__xludf.DUMMYFUNCTION("""COMPUTED_VALUE"""),0.0)</f>
        <v>0</v>
      </c>
      <c r="AD4" s="33">
        <f>IFERROR(__xludf.DUMMYFUNCTION("""COMPUTED_VALUE"""),0.732777777777777)</f>
        <v>0.7327777778</v>
      </c>
      <c r="AE4" s="33">
        <f>IFERROR(__xludf.DUMMYFUNCTION("""COMPUTED_VALUE"""),1.28138888888888)</f>
        <v>1.281388889</v>
      </c>
      <c r="AF4" s="33">
        <f>IFERROR(__xludf.DUMMYFUNCTION("""COMPUTED_VALUE"""),0.0)</f>
        <v>0</v>
      </c>
    </row>
    <row r="5">
      <c r="A5" s="49">
        <f>IFERROR(__xludf.DUMMYFUNCTION("""COMPUTED_VALUE"""),46153.0)</f>
        <v>46153</v>
      </c>
      <c r="B5" s="33" t="str">
        <f>IFERROR(__xludf.DUMMYFUNCTION("""COMPUTED_VALUE"""),"394d109f7b50d9a46fb591dbaaba2d0aac90a696")</f>
        <v>394d109f7b50d9a46fb591dbaaba2d0aac90a696</v>
      </c>
      <c r="C5" s="33" t="str">
        <f>IFERROR(__xludf.DUMMYFUNCTION("""COMPUTED_VALUE"""),"Empire of Hidden King (SRGJ) - Production Show_id")</f>
        <v>Empire of Hidden King (SRGJ) - Production Show_id</v>
      </c>
      <c r="D5" s="33">
        <f>IFERROR(__xludf.DUMMYFUNCTION("""COMPUTED_VALUE"""),0.0)</f>
        <v>0</v>
      </c>
      <c r="E5" s="33">
        <f>IFERROR(__xludf.DUMMYFUNCTION("""COMPUTED_VALUE"""),0.0)</f>
        <v>0</v>
      </c>
      <c r="F5" s="33">
        <f>IFERROR(__xludf.DUMMYFUNCTION("""COMPUTED_VALUE"""),0.0)</f>
        <v>0</v>
      </c>
      <c r="G5" s="33">
        <f>IFERROR(__xludf.DUMMYFUNCTION("""COMPUTED_VALUE"""),0.0)</f>
        <v>0</v>
      </c>
      <c r="H5" s="33">
        <f>IFERROR(__xludf.DUMMYFUNCTION("""COMPUTED_VALUE"""),0.0)</f>
        <v>0</v>
      </c>
      <c r="I5" s="33">
        <f>IFERROR(__xludf.DUMMYFUNCTION("""COMPUTED_VALUE"""),0.0)</f>
        <v>0</v>
      </c>
      <c r="J5" s="33">
        <f>IFERROR(__xludf.DUMMYFUNCTION("""COMPUTED_VALUE"""),0.0)</f>
        <v>0</v>
      </c>
      <c r="K5" s="33">
        <f>IFERROR(__xludf.DUMMYFUNCTION("""COMPUTED_VALUE"""),0.0)</f>
        <v>0</v>
      </c>
      <c r="L5" s="33">
        <f>IFERROR(__xludf.DUMMYFUNCTION("""COMPUTED_VALUE"""),0.0)</f>
        <v>0</v>
      </c>
      <c r="M5" s="33">
        <f>IFERROR(__xludf.DUMMYFUNCTION("""COMPUTED_VALUE"""),0.0)</f>
        <v>0</v>
      </c>
      <c r="N5" s="33">
        <f>IFERROR(__xludf.DUMMYFUNCTION("""COMPUTED_VALUE"""),1.0)</f>
        <v>1</v>
      </c>
      <c r="O5" s="33">
        <f>IFERROR(__xludf.DUMMYFUNCTION("""COMPUTED_VALUE"""),1.0)</f>
        <v>1</v>
      </c>
      <c r="P5" s="33">
        <f>IFERROR(__xludf.DUMMYFUNCTION("""COMPUTED_VALUE"""),1.0)</f>
        <v>1</v>
      </c>
      <c r="Q5" s="33">
        <f>IFERROR(__xludf.DUMMYFUNCTION("""COMPUTED_VALUE"""),0.0)</f>
        <v>0</v>
      </c>
      <c r="R5" s="33">
        <f>IFERROR(__xludf.DUMMYFUNCTION("""COMPUTED_VALUE"""),0.0)</f>
        <v>0</v>
      </c>
      <c r="S5" s="33">
        <f>IFERROR(__xludf.DUMMYFUNCTION("""COMPUTED_VALUE"""),0.0)</f>
        <v>0</v>
      </c>
      <c r="T5" s="33">
        <f>IFERROR(__xludf.DUMMYFUNCTION("""COMPUTED_VALUE"""),0.0)</f>
        <v>0</v>
      </c>
      <c r="U5" s="33">
        <f>IFERROR(__xludf.DUMMYFUNCTION("""COMPUTED_VALUE"""),0.0)</f>
        <v>0</v>
      </c>
      <c r="V5" s="33">
        <f>IFERROR(__xludf.DUMMYFUNCTION("""COMPUTED_VALUE"""),0.0)</f>
        <v>0</v>
      </c>
      <c r="W5" s="33">
        <f>IFERROR(__xludf.DUMMYFUNCTION("""COMPUTED_VALUE"""),0.0)</f>
        <v>0</v>
      </c>
      <c r="X5" s="33">
        <f>IFERROR(__xludf.DUMMYFUNCTION("""COMPUTED_VALUE"""),0.0)</f>
        <v>0</v>
      </c>
      <c r="Y5" s="33">
        <f>IFERROR(__xludf.DUMMYFUNCTION("""COMPUTED_VALUE"""),0.0)</f>
        <v>0</v>
      </c>
      <c r="Z5" s="33">
        <f>IFERROR(__xludf.DUMMYFUNCTION("""COMPUTED_VALUE"""),0.0)</f>
        <v>0</v>
      </c>
      <c r="AA5" s="33">
        <f>IFERROR(__xludf.DUMMYFUNCTION("""COMPUTED_VALUE"""),0.0)</f>
        <v>0</v>
      </c>
      <c r="AB5" s="33">
        <f>IFERROR(__xludf.DUMMYFUNCTION("""COMPUTED_VALUE"""),0.0)</f>
        <v>0</v>
      </c>
      <c r="AC5" s="33">
        <f>IFERROR(__xludf.DUMMYFUNCTION("""COMPUTED_VALUE"""),0.274722222222222)</f>
        <v>0.2747222222</v>
      </c>
      <c r="AD5" s="33">
        <f>IFERROR(__xludf.DUMMYFUNCTION("""COMPUTED_VALUE"""),0.272222222222222)</f>
        <v>0.2722222222</v>
      </c>
      <c r="AE5" s="33">
        <f>IFERROR(__xludf.DUMMYFUNCTION("""COMPUTED_VALUE"""),0.274722222222222)</f>
        <v>0.2747222222</v>
      </c>
      <c r="AF5" s="33">
        <f>IFERROR(__xludf.DUMMYFUNCTION("""COMPUTED_VALUE"""),0.0)</f>
        <v>0</v>
      </c>
    </row>
    <row r="6">
      <c r="A6" s="49">
        <f>IFERROR(__xludf.DUMMYFUNCTION("""COMPUTED_VALUE"""),46153.0)</f>
        <v>46153</v>
      </c>
      <c r="B6" s="33" t="str">
        <f>IFERROR(__xludf.DUMMYFUNCTION("""COMPUTED_VALUE"""),"5066c0736f9e9444f2b4da840d6860b1f7f47d11")</f>
        <v>5066c0736f9e9444f2b4da840d6860b1f7f47d11</v>
      </c>
      <c r="C6" s="33" t="str">
        <f>IFERROR(__xludf.DUMMYFUNCTION("""COMPUTED_VALUE"""),"The Warrior | Author - Dayaram Prajapati - Replica (For Production Only)")</f>
        <v>The Warrior | Author - Dayaram Prajapati - Replica (For Production Only)</v>
      </c>
      <c r="D6" s="33">
        <f>IFERROR(__xludf.DUMMYFUNCTION("""COMPUTED_VALUE"""),1.0)</f>
        <v>1</v>
      </c>
      <c r="E6" s="33">
        <f>IFERROR(__xludf.DUMMYFUNCTION("""COMPUTED_VALUE"""),17.0)</f>
        <v>17</v>
      </c>
      <c r="F6" s="33">
        <f>IFERROR(__xludf.DUMMYFUNCTION("""COMPUTED_VALUE"""),15.0)</f>
        <v>15</v>
      </c>
      <c r="G6" s="33">
        <f>IFERROR(__xludf.DUMMYFUNCTION("""COMPUTED_VALUE"""),11.0)</f>
        <v>11</v>
      </c>
      <c r="H6" s="33">
        <f>IFERROR(__xludf.DUMMYFUNCTION("""COMPUTED_VALUE"""),11.0)</f>
        <v>11</v>
      </c>
      <c r="I6" s="33">
        <f>IFERROR(__xludf.DUMMYFUNCTION("""COMPUTED_VALUE"""),0.0)</f>
        <v>0</v>
      </c>
      <c r="J6" s="33">
        <f>IFERROR(__xludf.DUMMYFUNCTION("""COMPUTED_VALUE"""),11.0)</f>
        <v>11</v>
      </c>
      <c r="K6" s="33">
        <f>IFERROR(__xludf.DUMMYFUNCTION("""COMPUTED_VALUE"""),0.0)</f>
        <v>0</v>
      </c>
      <c r="L6" s="33">
        <f>IFERROR(__xludf.DUMMYFUNCTION("""COMPUTED_VALUE"""),0.0)</f>
        <v>0</v>
      </c>
      <c r="M6" s="33">
        <f>IFERROR(__xludf.DUMMYFUNCTION("""COMPUTED_VALUE"""),7.0)</f>
        <v>7</v>
      </c>
      <c r="N6" s="33">
        <f>IFERROR(__xludf.DUMMYFUNCTION("""COMPUTED_VALUE"""),10.0)</f>
        <v>10</v>
      </c>
      <c r="O6" s="33">
        <f>IFERROR(__xludf.DUMMYFUNCTION("""COMPUTED_VALUE"""),3.0)</f>
        <v>3</v>
      </c>
      <c r="P6" s="33">
        <f>IFERROR(__xludf.DUMMYFUNCTION("""COMPUTED_VALUE"""),10.0)</f>
        <v>10</v>
      </c>
      <c r="Q6" s="33">
        <f>IFERROR(__xludf.DUMMYFUNCTION("""COMPUTED_VALUE"""),0.0)</f>
        <v>0</v>
      </c>
      <c r="R6" s="33">
        <f>IFERROR(__xludf.DUMMYFUNCTION("""COMPUTED_VALUE"""),3118.0)</f>
        <v>3118</v>
      </c>
      <c r="S6" s="33">
        <f>IFERROR(__xludf.DUMMYFUNCTION("""COMPUTED_VALUE"""),51999.0)</f>
        <v>51999</v>
      </c>
      <c r="T6" s="33">
        <f>IFERROR(__xludf.DUMMYFUNCTION("""COMPUTED_VALUE"""),4.46611111111111)</f>
        <v>4.466111111</v>
      </c>
      <c r="U6" s="33">
        <f>IFERROR(__xludf.DUMMYFUNCTION("""COMPUTED_VALUE"""),5.07111111111111)</f>
        <v>5.071111111</v>
      </c>
      <c r="V6" s="33">
        <f>IFERROR(__xludf.DUMMYFUNCTION("""COMPUTED_VALUE"""),3.66888888888888)</f>
        <v>3.668888889</v>
      </c>
      <c r="W6" s="33">
        <f>IFERROR(__xludf.DUMMYFUNCTION("""COMPUTED_VALUE"""),3.66888888888888)</f>
        <v>3.668888889</v>
      </c>
      <c r="X6" s="33">
        <f>IFERROR(__xludf.DUMMYFUNCTION("""COMPUTED_VALUE"""),0.0)</f>
        <v>0</v>
      </c>
      <c r="Y6" s="33">
        <f>IFERROR(__xludf.DUMMYFUNCTION("""COMPUTED_VALUE"""),3.65055555555555)</f>
        <v>3.650555556</v>
      </c>
      <c r="Z6" s="33">
        <f>IFERROR(__xludf.DUMMYFUNCTION("""COMPUTED_VALUE"""),0.0)</f>
        <v>0</v>
      </c>
      <c r="AA6" s="33">
        <f>IFERROR(__xludf.DUMMYFUNCTION("""COMPUTED_VALUE"""),0.0)</f>
        <v>0</v>
      </c>
      <c r="AB6" s="33">
        <f>IFERROR(__xludf.DUMMYFUNCTION("""COMPUTED_VALUE"""),2.40722222222222)</f>
        <v>2.407222222</v>
      </c>
      <c r="AC6" s="33">
        <f>IFERROR(__xludf.DUMMYFUNCTION("""COMPUTED_VALUE"""),3.31111111111111)</f>
        <v>3.311111111</v>
      </c>
      <c r="AD6" s="33">
        <f>IFERROR(__xludf.DUMMYFUNCTION("""COMPUTED_VALUE"""),0.674999999999999)</f>
        <v>0.675</v>
      </c>
      <c r="AE6" s="33">
        <f>IFERROR(__xludf.DUMMYFUNCTION("""COMPUTED_VALUE"""),3.31111111111111)</f>
        <v>3.311111111</v>
      </c>
      <c r="AF6" s="33">
        <f>IFERROR(__xludf.DUMMYFUNCTION("""COMPUTED_VALUE"""),13.0)</f>
        <v>13</v>
      </c>
    </row>
    <row r="7">
      <c r="A7" s="49">
        <f>IFERROR(__xludf.DUMMYFUNCTION("""COMPUTED_VALUE"""),46153.0)</f>
        <v>46153</v>
      </c>
      <c r="B7" s="33" t="str">
        <f>IFERROR(__xludf.DUMMYFUNCTION("""COMPUTED_VALUE"""),"54847eda0794e861da74c1034ace021b4643357b")</f>
        <v>54847eda0794e861da74c1034ace021b4643357b</v>
      </c>
      <c r="C7" s="33" t="str">
        <f>IFERROR(__xludf.DUMMYFUNCTION("""COMPUTED_VALUE"""),"Billionaire King's Love (Production)")</f>
        <v>Billionaire King's Love (Production)</v>
      </c>
      <c r="D7" s="33">
        <f>IFERROR(__xludf.DUMMYFUNCTION("""COMPUTED_VALUE"""),7.0)</f>
        <v>7</v>
      </c>
      <c r="E7" s="33">
        <f>IFERROR(__xludf.DUMMYFUNCTION("""COMPUTED_VALUE"""),5.0)</f>
        <v>5</v>
      </c>
      <c r="F7" s="33">
        <f>IFERROR(__xludf.DUMMYFUNCTION("""COMPUTED_VALUE"""),0.0)</f>
        <v>0</v>
      </c>
      <c r="G7" s="33">
        <f>IFERROR(__xludf.DUMMYFUNCTION("""COMPUTED_VALUE"""),0.0)</f>
        <v>0</v>
      </c>
      <c r="H7" s="33">
        <f>IFERROR(__xludf.DUMMYFUNCTION("""COMPUTED_VALUE"""),0.0)</f>
        <v>0</v>
      </c>
      <c r="I7" s="33">
        <f>IFERROR(__xludf.DUMMYFUNCTION("""COMPUTED_VALUE"""),0.0)</f>
        <v>0</v>
      </c>
      <c r="J7" s="33">
        <f>IFERROR(__xludf.DUMMYFUNCTION("""COMPUTED_VALUE"""),0.0)</f>
        <v>0</v>
      </c>
      <c r="K7" s="33">
        <f>IFERROR(__xludf.DUMMYFUNCTION("""COMPUTED_VALUE"""),0.0)</f>
        <v>0</v>
      </c>
      <c r="L7" s="33">
        <f>IFERROR(__xludf.DUMMYFUNCTION("""COMPUTED_VALUE"""),0.0)</f>
        <v>0</v>
      </c>
      <c r="M7" s="33">
        <f>IFERROR(__xludf.DUMMYFUNCTION("""COMPUTED_VALUE"""),0.0)</f>
        <v>0</v>
      </c>
      <c r="N7" s="33">
        <f>IFERROR(__xludf.DUMMYFUNCTION("""COMPUTED_VALUE"""),0.0)</f>
        <v>0</v>
      </c>
      <c r="O7" s="33">
        <f>IFERROR(__xludf.DUMMYFUNCTION("""COMPUTED_VALUE"""),2.0)</f>
        <v>2</v>
      </c>
      <c r="P7" s="33">
        <f>IFERROR(__xludf.DUMMYFUNCTION("""COMPUTED_VALUE"""),0.0)</f>
        <v>0</v>
      </c>
      <c r="Q7" s="33">
        <f>IFERROR(__xludf.DUMMYFUNCTION("""COMPUTED_VALUE"""),0.0)</f>
        <v>0</v>
      </c>
      <c r="R7" s="33">
        <f>IFERROR(__xludf.DUMMYFUNCTION("""COMPUTED_VALUE"""),14999.0)</f>
        <v>14999</v>
      </c>
      <c r="S7" s="33">
        <f>IFERROR(__xludf.DUMMYFUNCTION("""COMPUTED_VALUE"""),12488.0)</f>
        <v>12488</v>
      </c>
      <c r="T7" s="33">
        <f>IFERROR(__xludf.DUMMYFUNCTION("""COMPUTED_VALUE"""),0.0)</f>
        <v>0</v>
      </c>
      <c r="U7" s="33">
        <f>IFERROR(__xludf.DUMMYFUNCTION("""COMPUTED_VALUE"""),0.0)</f>
        <v>0</v>
      </c>
      <c r="V7" s="33">
        <f>IFERROR(__xludf.DUMMYFUNCTION("""COMPUTED_VALUE"""),0.0)</f>
        <v>0</v>
      </c>
      <c r="W7" s="33">
        <f>IFERROR(__xludf.DUMMYFUNCTION("""COMPUTED_VALUE"""),0.0)</f>
        <v>0</v>
      </c>
      <c r="X7" s="33">
        <f>IFERROR(__xludf.DUMMYFUNCTION("""COMPUTED_VALUE"""),0.0)</f>
        <v>0</v>
      </c>
      <c r="Y7" s="33">
        <f>IFERROR(__xludf.DUMMYFUNCTION("""COMPUTED_VALUE"""),0.0)</f>
        <v>0</v>
      </c>
      <c r="Z7" s="33">
        <f>IFERROR(__xludf.DUMMYFUNCTION("""COMPUTED_VALUE"""),0.0)</f>
        <v>0</v>
      </c>
      <c r="AA7" s="33">
        <f>IFERROR(__xludf.DUMMYFUNCTION("""COMPUTED_VALUE"""),0.0)</f>
        <v>0</v>
      </c>
      <c r="AB7" s="33">
        <f>IFERROR(__xludf.DUMMYFUNCTION("""COMPUTED_VALUE"""),0.0)</f>
        <v>0</v>
      </c>
      <c r="AC7" s="33">
        <f>IFERROR(__xludf.DUMMYFUNCTION("""COMPUTED_VALUE"""),0.0)</f>
        <v>0</v>
      </c>
      <c r="AD7" s="33">
        <f>IFERROR(__xludf.DUMMYFUNCTION("""COMPUTED_VALUE"""),0.430555555555555)</f>
        <v>0.4305555556</v>
      </c>
      <c r="AE7" s="33">
        <f>IFERROR(__xludf.DUMMYFUNCTION("""COMPUTED_VALUE"""),0.0)</f>
        <v>0</v>
      </c>
      <c r="AF7" s="33">
        <f>IFERROR(__xludf.DUMMYFUNCTION("""COMPUTED_VALUE"""),0.0)</f>
        <v>0</v>
      </c>
    </row>
    <row r="8">
      <c r="A8" s="49">
        <f>IFERROR(__xludf.DUMMYFUNCTION("""COMPUTED_VALUE"""),46153.0)</f>
        <v>46153</v>
      </c>
      <c r="B8" s="33" t="str">
        <f>IFERROR(__xludf.DUMMYFUNCTION("""COMPUTED_VALUE"""),"5a7d21f6ad9df12be70cd9439dd850c36627991d")</f>
        <v>5a7d21f6ad9df12be70cd9439dd850c36627991d</v>
      </c>
      <c r="C8" s="33" t="str">
        <f>IFERROR(__xludf.DUMMYFUNCTION("""COMPUTED_VALUE"""),"Ek Stranger Se Pyar- Production Id")</f>
        <v>Ek Stranger Se Pyar- Production Id</v>
      </c>
      <c r="D8" s="33">
        <f>IFERROR(__xludf.DUMMYFUNCTION("""COMPUTED_VALUE"""),16.0)</f>
        <v>16</v>
      </c>
      <c r="E8" s="33">
        <f>IFERROR(__xludf.DUMMYFUNCTION("""COMPUTED_VALUE"""),12.0)</f>
        <v>12</v>
      </c>
      <c r="F8" s="33">
        <f>IFERROR(__xludf.DUMMYFUNCTION("""COMPUTED_VALUE"""),3.0)</f>
        <v>3</v>
      </c>
      <c r="G8" s="33">
        <f>IFERROR(__xludf.DUMMYFUNCTION("""COMPUTED_VALUE"""),6.0)</f>
        <v>6</v>
      </c>
      <c r="H8" s="33">
        <f>IFERROR(__xludf.DUMMYFUNCTION("""COMPUTED_VALUE"""),9.0)</f>
        <v>9</v>
      </c>
      <c r="I8" s="33">
        <f>IFERROR(__xludf.DUMMYFUNCTION("""COMPUTED_VALUE"""),3.0)</f>
        <v>3</v>
      </c>
      <c r="J8" s="33">
        <f>IFERROR(__xludf.DUMMYFUNCTION("""COMPUTED_VALUE"""),7.0)</f>
        <v>7</v>
      </c>
      <c r="K8" s="33">
        <f>IFERROR(__xludf.DUMMYFUNCTION("""COMPUTED_VALUE"""),6.0)</f>
        <v>6</v>
      </c>
      <c r="L8" s="33">
        <f>IFERROR(__xludf.DUMMYFUNCTION("""COMPUTED_VALUE"""),0.0)</f>
        <v>0</v>
      </c>
      <c r="M8" s="33">
        <f>IFERROR(__xludf.DUMMYFUNCTION("""COMPUTED_VALUE"""),1.0)</f>
        <v>1</v>
      </c>
      <c r="N8" s="33">
        <f>IFERROR(__xludf.DUMMYFUNCTION("""COMPUTED_VALUE"""),0.0)</f>
        <v>0</v>
      </c>
      <c r="O8" s="33">
        <f>IFERROR(__xludf.DUMMYFUNCTION("""COMPUTED_VALUE"""),3.0)</f>
        <v>3</v>
      </c>
      <c r="P8" s="33">
        <f>IFERROR(__xludf.DUMMYFUNCTION("""COMPUTED_VALUE"""),0.0)</f>
        <v>0</v>
      </c>
      <c r="Q8" s="33">
        <f>IFERROR(__xludf.DUMMYFUNCTION("""COMPUTED_VALUE"""),0.0)</f>
        <v>0</v>
      </c>
      <c r="R8" s="33">
        <f>IFERROR(__xludf.DUMMYFUNCTION("""COMPUTED_VALUE"""),38447.0)</f>
        <v>38447</v>
      </c>
      <c r="S8" s="33">
        <f>IFERROR(__xludf.DUMMYFUNCTION("""COMPUTED_VALUE"""),28364.0)</f>
        <v>28364</v>
      </c>
      <c r="T8" s="33">
        <f>IFERROR(__xludf.DUMMYFUNCTION("""COMPUTED_VALUE"""),2.07916666666666)</f>
        <v>2.079166667</v>
      </c>
      <c r="U8" s="33">
        <f>IFERROR(__xludf.DUMMYFUNCTION("""COMPUTED_VALUE"""),0.612222222222222)</f>
        <v>0.6122222222</v>
      </c>
      <c r="V8" s="33">
        <f>IFERROR(__xludf.DUMMYFUNCTION("""COMPUTED_VALUE"""),1.3375)</f>
        <v>1.3375</v>
      </c>
      <c r="W8" s="33">
        <f>IFERROR(__xludf.DUMMYFUNCTION("""COMPUTED_VALUE"""),1.96555555555555)</f>
        <v>1.965555556</v>
      </c>
      <c r="X8" s="33">
        <f>IFERROR(__xludf.DUMMYFUNCTION("""COMPUTED_VALUE"""),0.628055555555555)</f>
        <v>0.6280555556</v>
      </c>
      <c r="Y8" s="33">
        <f>IFERROR(__xludf.DUMMYFUNCTION("""COMPUTED_VALUE"""),1.55583333333333)</f>
        <v>1.555833333</v>
      </c>
      <c r="Z8" s="33">
        <f>IFERROR(__xludf.DUMMYFUNCTION("""COMPUTED_VALUE"""),1.34305555555555)</f>
        <v>1.343055556</v>
      </c>
      <c r="AA8" s="33">
        <f>IFERROR(__xludf.DUMMYFUNCTION("""COMPUTED_VALUE"""),0.0)</f>
        <v>0</v>
      </c>
      <c r="AB8" s="33">
        <f>IFERROR(__xludf.DUMMYFUNCTION("""COMPUTED_VALUE"""),0.228611111111111)</f>
        <v>0.2286111111</v>
      </c>
      <c r="AC8" s="33">
        <f>IFERROR(__xludf.DUMMYFUNCTION("""COMPUTED_VALUE"""),0.0)</f>
        <v>0</v>
      </c>
      <c r="AD8" s="33">
        <f>IFERROR(__xludf.DUMMYFUNCTION("""COMPUTED_VALUE"""),0.708055555555555)</f>
        <v>0.7080555556</v>
      </c>
      <c r="AE8" s="33">
        <f>IFERROR(__xludf.DUMMYFUNCTION("""COMPUTED_VALUE"""),0.0)</f>
        <v>0</v>
      </c>
      <c r="AF8" s="33">
        <f>IFERROR(__xludf.DUMMYFUNCTION("""COMPUTED_VALUE"""),10.0)</f>
        <v>10</v>
      </c>
    </row>
    <row r="9">
      <c r="A9" s="49">
        <f>IFERROR(__xludf.DUMMYFUNCTION("""COMPUTED_VALUE"""),46153.0)</f>
        <v>46153</v>
      </c>
      <c r="B9" s="33" t="str">
        <f>IFERROR(__xludf.DUMMYFUNCTION("""COMPUTED_VALUE"""),"5baf4c80faf4b2d4eb9401a1d0081872e0158e89")</f>
        <v>5baf4c80faf4b2d4eb9401a1d0081872e0158e89</v>
      </c>
      <c r="C9" s="33" t="str">
        <f>IFERROR(__xludf.DUMMYFUNCTION("""COMPUTED_VALUE"""),"Brahmyodha : The Destroyer - Production showId")</f>
        <v>Brahmyodha : The Destroyer - Production showId</v>
      </c>
      <c r="D9" s="33">
        <f>IFERROR(__xludf.DUMMYFUNCTION("""COMPUTED_VALUE"""),11.0)</f>
        <v>11</v>
      </c>
      <c r="E9" s="33">
        <f>IFERROR(__xludf.DUMMYFUNCTION("""COMPUTED_VALUE"""),8.0)</f>
        <v>8</v>
      </c>
      <c r="F9" s="33">
        <f>IFERROR(__xludf.DUMMYFUNCTION("""COMPUTED_VALUE"""),11.0)</f>
        <v>11</v>
      </c>
      <c r="G9" s="33">
        <f>IFERROR(__xludf.DUMMYFUNCTION("""COMPUTED_VALUE"""),0.0)</f>
        <v>0</v>
      </c>
      <c r="H9" s="33">
        <f>IFERROR(__xludf.DUMMYFUNCTION("""COMPUTED_VALUE"""),12.0)</f>
        <v>12</v>
      </c>
      <c r="I9" s="33">
        <f>IFERROR(__xludf.DUMMYFUNCTION("""COMPUTED_VALUE"""),3.0)</f>
        <v>3</v>
      </c>
      <c r="J9" s="33">
        <f>IFERROR(__xludf.DUMMYFUNCTION("""COMPUTED_VALUE"""),10.0)</f>
        <v>10</v>
      </c>
      <c r="K9" s="33">
        <f>IFERROR(__xludf.DUMMYFUNCTION("""COMPUTED_VALUE"""),1.0)</f>
        <v>1</v>
      </c>
      <c r="L9" s="33">
        <f>IFERROR(__xludf.DUMMYFUNCTION("""COMPUTED_VALUE"""),0.0)</f>
        <v>0</v>
      </c>
      <c r="M9" s="33">
        <f>IFERROR(__xludf.DUMMYFUNCTION("""COMPUTED_VALUE"""),10.0)</f>
        <v>10</v>
      </c>
      <c r="N9" s="33">
        <f>IFERROR(__xludf.DUMMYFUNCTION("""COMPUTED_VALUE"""),10.0)</f>
        <v>10</v>
      </c>
      <c r="O9" s="33">
        <f>IFERROR(__xludf.DUMMYFUNCTION("""COMPUTED_VALUE"""),3.0)</f>
        <v>3</v>
      </c>
      <c r="P9" s="33">
        <f>IFERROR(__xludf.DUMMYFUNCTION("""COMPUTED_VALUE"""),10.0)</f>
        <v>10</v>
      </c>
      <c r="Q9" s="33">
        <f>IFERROR(__xludf.DUMMYFUNCTION("""COMPUTED_VALUE"""),0.0)</f>
        <v>0</v>
      </c>
      <c r="R9" s="33">
        <f>IFERROR(__xludf.DUMMYFUNCTION("""COMPUTED_VALUE"""),24161.0)</f>
        <v>24161</v>
      </c>
      <c r="S9" s="33">
        <f>IFERROR(__xludf.DUMMYFUNCTION("""COMPUTED_VALUE"""),19177.0)</f>
        <v>19177</v>
      </c>
      <c r="T9" s="33">
        <f>IFERROR(__xludf.DUMMYFUNCTION("""COMPUTED_VALUE"""),2.84722222222222)</f>
        <v>2.847222222</v>
      </c>
      <c r="U9" s="33">
        <f>IFERROR(__xludf.DUMMYFUNCTION("""COMPUTED_VALUE"""),2.4)</f>
        <v>2.4</v>
      </c>
      <c r="V9" s="33">
        <f>IFERROR(__xludf.DUMMYFUNCTION("""COMPUTED_VALUE"""),0.0)</f>
        <v>0</v>
      </c>
      <c r="W9" s="33">
        <f>IFERROR(__xludf.DUMMYFUNCTION("""COMPUTED_VALUE"""),2.62777777777777)</f>
        <v>2.627777778</v>
      </c>
      <c r="X9" s="33">
        <f>IFERROR(__xludf.DUMMYFUNCTION("""COMPUTED_VALUE"""),0.668333333333333)</f>
        <v>0.6683333333</v>
      </c>
      <c r="Y9" s="33">
        <f>IFERROR(__xludf.DUMMYFUNCTION("""COMPUTED_VALUE"""),2.17999999999999)</f>
        <v>2.18</v>
      </c>
      <c r="Z9" s="33">
        <f>IFERROR(__xludf.DUMMYFUNCTION("""COMPUTED_VALUE"""),0.208611111111111)</f>
        <v>0.2086111111</v>
      </c>
      <c r="AA9" s="33">
        <f>IFERROR(__xludf.DUMMYFUNCTION("""COMPUTED_VALUE"""),0.0)</f>
        <v>0</v>
      </c>
      <c r="AB9" s="33">
        <f>IFERROR(__xludf.DUMMYFUNCTION("""COMPUTED_VALUE"""),2.17333333333333)</f>
        <v>2.173333333</v>
      </c>
      <c r="AC9" s="33">
        <f>IFERROR(__xludf.DUMMYFUNCTION("""COMPUTED_VALUE"""),2.17333333333333)</f>
        <v>2.173333333</v>
      </c>
      <c r="AD9" s="33">
        <f>IFERROR(__xludf.DUMMYFUNCTION("""COMPUTED_VALUE"""),0.645277777777777)</f>
        <v>0.6452777778</v>
      </c>
      <c r="AE9" s="33">
        <f>IFERROR(__xludf.DUMMYFUNCTION("""COMPUTED_VALUE"""),2.17333333333333)</f>
        <v>2.173333333</v>
      </c>
      <c r="AF9" s="33">
        <f>IFERROR(__xludf.DUMMYFUNCTION("""COMPUTED_VALUE"""),13.0)</f>
        <v>13</v>
      </c>
    </row>
    <row r="10">
      <c r="A10" s="49">
        <f>IFERROR(__xludf.DUMMYFUNCTION("""COMPUTED_VALUE"""),46153.0)</f>
        <v>46153</v>
      </c>
      <c r="B10" s="33" t="str">
        <f>IFERROR(__xludf.DUMMYFUNCTION("""COMPUTED_VALUE"""),"641b6f77fd211e92df35a3bcbab67e6879e19a66")</f>
        <v>641b6f77fd211e92df35a3bcbab67e6879e19a66</v>
      </c>
      <c r="C10" s="33" t="str">
        <f>IFERROR(__xludf.DUMMYFUNCTION("""COMPUTED_VALUE"""),"Mahagatha | महागाथा | Author - S. Mauryavanshi")</f>
        <v>Mahagatha | महागाथा | Author - S. Mauryavanshi</v>
      </c>
      <c r="D10" s="33">
        <f>IFERROR(__xludf.DUMMYFUNCTION("""COMPUTED_VALUE"""),53.0)</f>
        <v>53</v>
      </c>
      <c r="E10" s="33">
        <f>IFERROR(__xludf.DUMMYFUNCTION("""COMPUTED_VALUE"""),53.0)</f>
        <v>53</v>
      </c>
      <c r="F10" s="33">
        <f>IFERROR(__xludf.DUMMYFUNCTION("""COMPUTED_VALUE"""),0.0)</f>
        <v>0</v>
      </c>
      <c r="G10" s="33">
        <f>IFERROR(__xludf.DUMMYFUNCTION("""COMPUTED_VALUE"""),0.0)</f>
        <v>0</v>
      </c>
      <c r="H10" s="33">
        <f>IFERROR(__xludf.DUMMYFUNCTION("""COMPUTED_VALUE"""),0.0)</f>
        <v>0</v>
      </c>
      <c r="I10" s="33">
        <f>IFERROR(__xludf.DUMMYFUNCTION("""COMPUTED_VALUE"""),0.0)</f>
        <v>0</v>
      </c>
      <c r="J10" s="33">
        <f>IFERROR(__xludf.DUMMYFUNCTION("""COMPUTED_VALUE"""),0.0)</f>
        <v>0</v>
      </c>
      <c r="K10" s="33">
        <f>IFERROR(__xludf.DUMMYFUNCTION("""COMPUTED_VALUE"""),0.0)</f>
        <v>0</v>
      </c>
      <c r="L10" s="33">
        <f>IFERROR(__xludf.DUMMYFUNCTION("""COMPUTED_VALUE"""),0.0)</f>
        <v>0</v>
      </c>
      <c r="M10" s="33">
        <f>IFERROR(__xludf.DUMMYFUNCTION("""COMPUTED_VALUE"""),0.0)</f>
        <v>0</v>
      </c>
      <c r="N10" s="33">
        <f>IFERROR(__xludf.DUMMYFUNCTION("""COMPUTED_VALUE"""),53.0)</f>
        <v>53</v>
      </c>
      <c r="O10" s="33">
        <f>IFERROR(__xludf.DUMMYFUNCTION("""COMPUTED_VALUE"""),2.0)</f>
        <v>2</v>
      </c>
      <c r="P10" s="33">
        <f>IFERROR(__xludf.DUMMYFUNCTION("""COMPUTED_VALUE"""),53.0)</f>
        <v>53</v>
      </c>
      <c r="Q10" s="33">
        <f>IFERROR(__xludf.DUMMYFUNCTION("""COMPUTED_VALUE"""),0.0)</f>
        <v>0</v>
      </c>
      <c r="R10" s="33">
        <f>IFERROR(__xludf.DUMMYFUNCTION("""COMPUTED_VALUE"""),164111.0)</f>
        <v>164111</v>
      </c>
      <c r="S10" s="33">
        <f>IFERROR(__xludf.DUMMYFUNCTION("""COMPUTED_VALUE"""),164111.0)</f>
        <v>164111</v>
      </c>
      <c r="T10" s="33">
        <f>IFERROR(__xludf.DUMMYFUNCTION("""COMPUTED_VALUE"""),0.0)</f>
        <v>0</v>
      </c>
      <c r="U10" s="33">
        <f>IFERROR(__xludf.DUMMYFUNCTION("""COMPUTED_VALUE"""),0.0)</f>
        <v>0</v>
      </c>
      <c r="V10" s="33">
        <f>IFERROR(__xludf.DUMMYFUNCTION("""COMPUTED_VALUE"""),0.0)</f>
        <v>0</v>
      </c>
      <c r="W10" s="33">
        <f>IFERROR(__xludf.DUMMYFUNCTION("""COMPUTED_VALUE"""),0.0)</f>
        <v>0</v>
      </c>
      <c r="X10" s="33">
        <f>IFERROR(__xludf.DUMMYFUNCTION("""COMPUTED_VALUE"""),0.0)</f>
        <v>0</v>
      </c>
      <c r="Y10" s="33">
        <f>IFERROR(__xludf.DUMMYFUNCTION("""COMPUTED_VALUE"""),0.0)</f>
        <v>0</v>
      </c>
      <c r="Z10" s="33">
        <f>IFERROR(__xludf.DUMMYFUNCTION("""COMPUTED_VALUE"""),0.0)</f>
        <v>0</v>
      </c>
      <c r="AA10" s="33">
        <f>IFERROR(__xludf.DUMMYFUNCTION("""COMPUTED_VALUE"""),0.0)</f>
        <v>0</v>
      </c>
      <c r="AB10" s="33">
        <f>IFERROR(__xludf.DUMMYFUNCTION("""COMPUTED_VALUE"""),0.0)</f>
        <v>0</v>
      </c>
      <c r="AC10" s="33">
        <f>IFERROR(__xludf.DUMMYFUNCTION("""COMPUTED_VALUE"""),18.5247222222222)</f>
        <v>18.52472222</v>
      </c>
      <c r="AD10" s="33">
        <f>IFERROR(__xludf.DUMMYFUNCTION("""COMPUTED_VALUE"""),0.437222222222222)</f>
        <v>0.4372222222</v>
      </c>
      <c r="AE10" s="33">
        <f>IFERROR(__xludf.DUMMYFUNCTION("""COMPUTED_VALUE"""),18.5247222222222)</f>
        <v>18.52472222</v>
      </c>
      <c r="AF10" s="33">
        <f>IFERROR(__xludf.DUMMYFUNCTION("""COMPUTED_VALUE"""),0.0)</f>
        <v>0</v>
      </c>
    </row>
    <row r="11">
      <c r="A11" s="49">
        <f>IFERROR(__xludf.DUMMYFUNCTION("""COMPUTED_VALUE"""),46153.0)</f>
        <v>46153</v>
      </c>
      <c r="B11" s="33" t="str">
        <f>IFERROR(__xludf.DUMMYFUNCTION("""COMPUTED_VALUE"""),"661dba879cabc615ad2774813367b442a8ba7a6c")</f>
        <v>661dba879cabc615ad2774813367b442a8ba7a6c</v>
      </c>
      <c r="C11" s="33" t="str">
        <f>IFERROR(__xludf.DUMMYFUNCTION("""COMPUTED_VALUE"""),"My Devil Wife -Production Id")</f>
        <v>My Devil Wife -Production Id</v>
      </c>
      <c r="D11" s="33">
        <f>IFERROR(__xludf.DUMMYFUNCTION("""COMPUTED_VALUE"""),3.0)</f>
        <v>3</v>
      </c>
      <c r="E11" s="33">
        <f>IFERROR(__xludf.DUMMYFUNCTION("""COMPUTED_VALUE"""),14.0)</f>
        <v>14</v>
      </c>
      <c r="F11" s="33">
        <f>IFERROR(__xludf.DUMMYFUNCTION("""COMPUTED_VALUE"""),0.0)</f>
        <v>0</v>
      </c>
      <c r="G11" s="33">
        <f>IFERROR(__xludf.DUMMYFUNCTION("""COMPUTED_VALUE"""),0.0)</f>
        <v>0</v>
      </c>
      <c r="H11" s="33">
        <f>IFERROR(__xludf.DUMMYFUNCTION("""COMPUTED_VALUE"""),0.0)</f>
        <v>0</v>
      </c>
      <c r="I11" s="33">
        <f>IFERROR(__xludf.DUMMYFUNCTION("""COMPUTED_VALUE"""),0.0)</f>
        <v>0</v>
      </c>
      <c r="J11" s="33">
        <f>IFERROR(__xludf.DUMMYFUNCTION("""COMPUTED_VALUE"""),0.0)</f>
        <v>0</v>
      </c>
      <c r="K11" s="33">
        <f>IFERROR(__xludf.DUMMYFUNCTION("""COMPUTED_VALUE"""),0.0)</f>
        <v>0</v>
      </c>
      <c r="L11" s="33">
        <f>IFERROR(__xludf.DUMMYFUNCTION("""COMPUTED_VALUE"""),0.0)</f>
        <v>0</v>
      </c>
      <c r="M11" s="33">
        <f>IFERROR(__xludf.DUMMYFUNCTION("""COMPUTED_VALUE"""),0.0)</f>
        <v>0</v>
      </c>
      <c r="N11" s="33">
        <f>IFERROR(__xludf.DUMMYFUNCTION("""COMPUTED_VALUE"""),0.0)</f>
        <v>0</v>
      </c>
      <c r="O11" s="33">
        <f>IFERROR(__xludf.DUMMYFUNCTION("""COMPUTED_VALUE"""),0.0)</f>
        <v>0</v>
      </c>
      <c r="P11" s="33">
        <f>IFERROR(__xludf.DUMMYFUNCTION("""COMPUTED_VALUE"""),0.0)</f>
        <v>0</v>
      </c>
      <c r="Q11" s="33">
        <f>IFERROR(__xludf.DUMMYFUNCTION("""COMPUTED_VALUE"""),0.0)</f>
        <v>0</v>
      </c>
      <c r="R11" s="33">
        <f>IFERROR(__xludf.DUMMYFUNCTION("""COMPUTED_VALUE"""),7096.0)</f>
        <v>7096</v>
      </c>
      <c r="S11" s="33">
        <f>IFERROR(__xludf.DUMMYFUNCTION("""COMPUTED_VALUE"""),29853.0)</f>
        <v>29853</v>
      </c>
      <c r="T11" s="33">
        <f>IFERROR(__xludf.DUMMYFUNCTION("""COMPUTED_VALUE"""),0.0)</f>
        <v>0</v>
      </c>
      <c r="U11" s="33">
        <f>IFERROR(__xludf.DUMMYFUNCTION("""COMPUTED_VALUE"""),0.0)</f>
        <v>0</v>
      </c>
      <c r="V11" s="33">
        <f>IFERROR(__xludf.DUMMYFUNCTION("""COMPUTED_VALUE"""),0.0)</f>
        <v>0</v>
      </c>
      <c r="W11" s="33">
        <f>IFERROR(__xludf.DUMMYFUNCTION("""COMPUTED_VALUE"""),0.0)</f>
        <v>0</v>
      </c>
      <c r="X11" s="33">
        <f>IFERROR(__xludf.DUMMYFUNCTION("""COMPUTED_VALUE"""),0.0)</f>
        <v>0</v>
      </c>
      <c r="Y11" s="33">
        <f>IFERROR(__xludf.DUMMYFUNCTION("""COMPUTED_VALUE"""),0.0)</f>
        <v>0</v>
      </c>
      <c r="Z11" s="33">
        <f>IFERROR(__xludf.DUMMYFUNCTION("""COMPUTED_VALUE"""),0.0)</f>
        <v>0</v>
      </c>
      <c r="AA11" s="33">
        <f>IFERROR(__xludf.DUMMYFUNCTION("""COMPUTED_VALUE"""),0.0)</f>
        <v>0</v>
      </c>
      <c r="AB11" s="33">
        <f>IFERROR(__xludf.DUMMYFUNCTION("""COMPUTED_VALUE"""),0.0)</f>
        <v>0</v>
      </c>
      <c r="AC11" s="33">
        <f>IFERROR(__xludf.DUMMYFUNCTION("""COMPUTED_VALUE"""),0.0)</f>
        <v>0</v>
      </c>
      <c r="AD11" s="33">
        <f>IFERROR(__xludf.DUMMYFUNCTION("""COMPUTED_VALUE"""),0.0)</f>
        <v>0</v>
      </c>
      <c r="AE11" s="33">
        <f>IFERROR(__xludf.DUMMYFUNCTION("""COMPUTED_VALUE"""),0.0)</f>
        <v>0</v>
      </c>
      <c r="AF11" s="33">
        <f>IFERROR(__xludf.DUMMYFUNCTION("""COMPUTED_VALUE"""),0.0)</f>
        <v>0</v>
      </c>
    </row>
    <row r="12">
      <c r="A12" s="49">
        <f>IFERROR(__xludf.DUMMYFUNCTION("""COMPUTED_VALUE"""),46153.0)</f>
        <v>46153</v>
      </c>
      <c r="B12" s="33" t="str">
        <f>IFERROR(__xludf.DUMMYFUNCTION("""COMPUTED_VALUE"""),"6867922e795be5da6320ef1d28567452800209ba")</f>
        <v>6867922e795be5da6320ef1d28567452800209ba</v>
      </c>
      <c r="C12" s="33" t="str">
        <f>IFERROR(__xludf.DUMMYFUNCTION("""COMPUTED_VALUE"""),"The Dimension God - Production Id")</f>
        <v>The Dimension God - Production Id</v>
      </c>
      <c r="D12" s="33">
        <f>IFERROR(__xludf.DUMMYFUNCTION("""COMPUTED_VALUE"""),30.0)</f>
        <v>30</v>
      </c>
      <c r="E12" s="33">
        <f>IFERROR(__xludf.DUMMYFUNCTION("""COMPUTED_VALUE"""),4.0)</f>
        <v>4</v>
      </c>
      <c r="F12" s="33">
        <f>IFERROR(__xludf.DUMMYFUNCTION("""COMPUTED_VALUE"""),0.0)</f>
        <v>0</v>
      </c>
      <c r="G12" s="33">
        <f>IFERROR(__xludf.DUMMYFUNCTION("""COMPUTED_VALUE"""),0.0)</f>
        <v>0</v>
      </c>
      <c r="H12" s="33">
        <f>IFERROR(__xludf.DUMMYFUNCTION("""COMPUTED_VALUE"""),0.0)</f>
        <v>0</v>
      </c>
      <c r="I12" s="33">
        <f>IFERROR(__xludf.DUMMYFUNCTION("""COMPUTED_VALUE"""),0.0)</f>
        <v>0</v>
      </c>
      <c r="J12" s="33">
        <f>IFERROR(__xludf.DUMMYFUNCTION("""COMPUTED_VALUE"""),0.0)</f>
        <v>0</v>
      </c>
      <c r="K12" s="33">
        <f>IFERROR(__xludf.DUMMYFUNCTION("""COMPUTED_VALUE"""),0.0)</f>
        <v>0</v>
      </c>
      <c r="L12" s="33">
        <f>IFERROR(__xludf.DUMMYFUNCTION("""COMPUTED_VALUE"""),0.0)</f>
        <v>0</v>
      </c>
      <c r="M12" s="33">
        <f>IFERROR(__xludf.DUMMYFUNCTION("""COMPUTED_VALUE"""),4.0)</f>
        <v>4</v>
      </c>
      <c r="N12" s="33">
        <f>IFERROR(__xludf.DUMMYFUNCTION("""COMPUTED_VALUE"""),3.0)</f>
        <v>3</v>
      </c>
      <c r="O12" s="33">
        <f>IFERROR(__xludf.DUMMYFUNCTION("""COMPUTED_VALUE"""),3.0)</f>
        <v>3</v>
      </c>
      <c r="P12" s="33">
        <f>IFERROR(__xludf.DUMMYFUNCTION("""COMPUTED_VALUE"""),3.0)</f>
        <v>3</v>
      </c>
      <c r="Q12" s="33">
        <f>IFERROR(__xludf.DUMMYFUNCTION("""COMPUTED_VALUE"""),0.0)</f>
        <v>0</v>
      </c>
      <c r="R12" s="33">
        <f>IFERROR(__xludf.DUMMYFUNCTION("""COMPUTED_VALUE"""),69830.0)</f>
        <v>69830</v>
      </c>
      <c r="S12" s="33">
        <f>IFERROR(__xludf.DUMMYFUNCTION("""COMPUTED_VALUE"""),10052.0)</f>
        <v>10052</v>
      </c>
      <c r="T12" s="33">
        <f>IFERROR(__xludf.DUMMYFUNCTION("""COMPUTED_VALUE"""),0.257222222222222)</f>
        <v>0.2572222222</v>
      </c>
      <c r="U12" s="33">
        <f>IFERROR(__xludf.DUMMYFUNCTION("""COMPUTED_VALUE"""),0.0)</f>
        <v>0</v>
      </c>
      <c r="V12" s="33">
        <f>IFERROR(__xludf.DUMMYFUNCTION("""COMPUTED_VALUE"""),0.0)</f>
        <v>0</v>
      </c>
      <c r="W12" s="33">
        <f>IFERROR(__xludf.DUMMYFUNCTION("""COMPUTED_VALUE"""),0.0)</f>
        <v>0</v>
      </c>
      <c r="X12" s="33">
        <f>IFERROR(__xludf.DUMMYFUNCTION("""COMPUTED_VALUE"""),0.0)</f>
        <v>0</v>
      </c>
      <c r="Y12" s="33">
        <f>IFERROR(__xludf.DUMMYFUNCTION("""COMPUTED_VALUE"""),0.0)</f>
        <v>0</v>
      </c>
      <c r="Z12" s="33">
        <f>IFERROR(__xludf.DUMMYFUNCTION("""COMPUTED_VALUE"""),0.0)</f>
        <v>0</v>
      </c>
      <c r="AA12" s="33">
        <f>IFERROR(__xludf.DUMMYFUNCTION("""COMPUTED_VALUE"""),0.0)</f>
        <v>0</v>
      </c>
      <c r="AB12" s="33">
        <f>IFERROR(__xludf.DUMMYFUNCTION("""COMPUTED_VALUE"""),1.01638888888888)</f>
        <v>1.016388889</v>
      </c>
      <c r="AC12" s="33">
        <f>IFERROR(__xludf.DUMMYFUNCTION("""COMPUTED_VALUE"""),0.766944444444444)</f>
        <v>0.7669444444</v>
      </c>
      <c r="AD12" s="33">
        <f>IFERROR(__xludf.DUMMYFUNCTION("""COMPUTED_VALUE"""),0.790833333333333)</f>
        <v>0.7908333333</v>
      </c>
      <c r="AE12" s="33">
        <f>IFERROR(__xludf.DUMMYFUNCTION("""COMPUTED_VALUE"""),0.766944444444444)</f>
        <v>0.7669444444</v>
      </c>
      <c r="AF12" s="33">
        <f>IFERROR(__xludf.DUMMYFUNCTION("""COMPUTED_VALUE"""),1.0)</f>
        <v>1</v>
      </c>
    </row>
    <row r="13">
      <c r="A13" s="49">
        <f>IFERROR(__xludf.DUMMYFUNCTION("""COMPUTED_VALUE"""),46153.0)</f>
        <v>46153</v>
      </c>
      <c r="B13" s="33" t="str">
        <f>IFERROR(__xludf.DUMMYFUNCTION("""COMPUTED_VALUE"""),"773d29931b435627d0ca406e1ea1425e9a1dbcb6")</f>
        <v>773d29931b435627d0ca406e1ea1425e9a1dbcb6</v>
      </c>
      <c r="C13" s="33" t="str">
        <f>IFERROR(__xludf.DUMMYFUNCTION("""COMPUTED_VALUE"""),"Mahagatha - Production")</f>
        <v>Mahagatha - Production</v>
      </c>
      <c r="D13" s="33">
        <f>IFERROR(__xludf.DUMMYFUNCTION("""COMPUTED_VALUE"""),18.0)</f>
        <v>18</v>
      </c>
      <c r="E13" s="33">
        <f>IFERROR(__xludf.DUMMYFUNCTION("""COMPUTED_VALUE"""),16.0)</f>
        <v>16</v>
      </c>
      <c r="F13" s="33">
        <f>IFERROR(__xludf.DUMMYFUNCTION("""COMPUTED_VALUE"""),0.0)</f>
        <v>0</v>
      </c>
      <c r="G13" s="33">
        <f>IFERROR(__xludf.DUMMYFUNCTION("""COMPUTED_VALUE"""),0.0)</f>
        <v>0</v>
      </c>
      <c r="H13" s="33">
        <f>IFERROR(__xludf.DUMMYFUNCTION("""COMPUTED_VALUE"""),13.0)</f>
        <v>13</v>
      </c>
      <c r="I13" s="33">
        <f>IFERROR(__xludf.DUMMYFUNCTION("""COMPUTED_VALUE"""),13.0)</f>
        <v>13</v>
      </c>
      <c r="J13" s="33">
        <f>IFERROR(__xludf.DUMMYFUNCTION("""COMPUTED_VALUE"""),17.0)</f>
        <v>17</v>
      </c>
      <c r="K13" s="33">
        <f>IFERROR(__xludf.DUMMYFUNCTION("""COMPUTED_VALUE"""),10.0)</f>
        <v>10</v>
      </c>
      <c r="L13" s="33">
        <f>IFERROR(__xludf.DUMMYFUNCTION("""COMPUTED_VALUE"""),1.0)</f>
        <v>1</v>
      </c>
      <c r="M13" s="33">
        <f>IFERROR(__xludf.DUMMYFUNCTION("""COMPUTED_VALUE"""),12.0)</f>
        <v>12</v>
      </c>
      <c r="N13" s="33">
        <f>IFERROR(__xludf.DUMMYFUNCTION("""COMPUTED_VALUE"""),9.0)</f>
        <v>9</v>
      </c>
      <c r="O13" s="33">
        <f>IFERROR(__xludf.DUMMYFUNCTION("""COMPUTED_VALUE"""),3.0)</f>
        <v>3</v>
      </c>
      <c r="P13" s="33">
        <f>IFERROR(__xludf.DUMMYFUNCTION("""COMPUTED_VALUE"""),9.0)</f>
        <v>9</v>
      </c>
      <c r="Q13" s="33">
        <f>IFERROR(__xludf.DUMMYFUNCTION("""COMPUTED_VALUE"""),0.0)</f>
        <v>0</v>
      </c>
      <c r="R13" s="33">
        <f>IFERROR(__xludf.DUMMYFUNCTION("""COMPUTED_VALUE"""),52058.0)</f>
        <v>52058</v>
      </c>
      <c r="S13" s="33">
        <f>IFERROR(__xludf.DUMMYFUNCTION("""COMPUTED_VALUE"""),43932.0)</f>
        <v>43932</v>
      </c>
      <c r="T13" s="33">
        <f>IFERROR(__xludf.DUMMYFUNCTION("""COMPUTED_VALUE"""),3.43861111111111)</f>
        <v>3.438611111</v>
      </c>
      <c r="U13" s="33">
        <f>IFERROR(__xludf.DUMMYFUNCTION("""COMPUTED_VALUE"""),0.0)</f>
        <v>0</v>
      </c>
      <c r="V13" s="33">
        <f>IFERROR(__xludf.DUMMYFUNCTION("""COMPUTED_VALUE"""),0.0)</f>
        <v>0</v>
      </c>
      <c r="W13" s="33">
        <f>IFERROR(__xludf.DUMMYFUNCTION("""COMPUTED_VALUE"""),2.97444444444444)</f>
        <v>2.974444444</v>
      </c>
      <c r="X13" s="33">
        <f>IFERROR(__xludf.DUMMYFUNCTION("""COMPUTED_VALUE"""),2.97444444444444)</f>
        <v>2.974444444</v>
      </c>
      <c r="Y13" s="33">
        <f>IFERROR(__xludf.DUMMYFUNCTION("""COMPUTED_VALUE"""),3.91694444444444)</f>
        <v>3.916944444</v>
      </c>
      <c r="Z13" s="33">
        <f>IFERROR(__xludf.DUMMYFUNCTION("""COMPUTED_VALUE"""),2.30583333333333)</f>
        <v>2.305833333</v>
      </c>
      <c r="AA13" s="33">
        <f>IFERROR(__xludf.DUMMYFUNCTION("""COMPUTED_VALUE"""),0.24)</f>
        <v>0.24</v>
      </c>
      <c r="AB13" s="33">
        <f>IFERROR(__xludf.DUMMYFUNCTION("""COMPUTED_VALUE"""),2.74833333333333)</f>
        <v>2.748333333</v>
      </c>
      <c r="AC13" s="33">
        <f>IFERROR(__xludf.DUMMYFUNCTION("""COMPUTED_VALUE"""),2.08055555555555)</f>
        <v>2.080555556</v>
      </c>
      <c r="AD13" s="33">
        <f>IFERROR(__xludf.DUMMYFUNCTION("""COMPUTED_VALUE"""),0.693611111111111)</f>
        <v>0.6936111111</v>
      </c>
      <c r="AE13" s="33">
        <f>IFERROR(__xludf.DUMMYFUNCTION("""COMPUTED_VALUE"""),2.08055555555555)</f>
        <v>2.080555556</v>
      </c>
      <c r="AF13" s="33">
        <f>IFERROR(__xludf.DUMMYFUNCTION("""COMPUTED_VALUE"""),15.0)</f>
        <v>15</v>
      </c>
    </row>
    <row r="14">
      <c r="A14" s="49">
        <f>IFERROR(__xludf.DUMMYFUNCTION("""COMPUTED_VALUE"""),46153.0)</f>
        <v>46153</v>
      </c>
      <c r="B14" s="33" t="str">
        <f>IFERROR(__xludf.DUMMYFUNCTION("""COMPUTED_VALUE"""),"7ea3277f02ef13c60cfa72336d009bf7ee6c17e8")</f>
        <v>7ea3277f02ef13c60cfa72336d009bf7ee6c17e8</v>
      </c>
      <c r="C14" s="33" t="str">
        <f>IFERROR(__xludf.DUMMYFUNCTION("""COMPUTED_VALUE"""),"Saaya the Dark Love - Production Show_id")</f>
        <v>Saaya the Dark Love - Production Show_id</v>
      </c>
      <c r="D14" s="33">
        <f>IFERROR(__xludf.DUMMYFUNCTION("""COMPUTED_VALUE"""),37.0)</f>
        <v>37</v>
      </c>
      <c r="E14" s="33">
        <f>IFERROR(__xludf.DUMMYFUNCTION("""COMPUTED_VALUE"""),5.0)</f>
        <v>5</v>
      </c>
      <c r="F14" s="33">
        <f>IFERROR(__xludf.DUMMYFUNCTION("""COMPUTED_VALUE"""),0.0)</f>
        <v>0</v>
      </c>
      <c r="G14" s="33">
        <f>IFERROR(__xludf.DUMMYFUNCTION("""COMPUTED_VALUE"""),0.0)</f>
        <v>0</v>
      </c>
      <c r="H14" s="33">
        <f>IFERROR(__xludf.DUMMYFUNCTION("""COMPUTED_VALUE"""),10.0)</f>
        <v>10</v>
      </c>
      <c r="I14" s="33">
        <f>IFERROR(__xludf.DUMMYFUNCTION("""COMPUTED_VALUE"""),10.0)</f>
        <v>10</v>
      </c>
      <c r="J14" s="33">
        <f>IFERROR(__xludf.DUMMYFUNCTION("""COMPUTED_VALUE"""),9.0)</f>
        <v>9</v>
      </c>
      <c r="K14" s="33">
        <f>IFERROR(__xludf.DUMMYFUNCTION("""COMPUTED_VALUE"""),5.0)</f>
        <v>5</v>
      </c>
      <c r="L14" s="33">
        <f>IFERROR(__xludf.DUMMYFUNCTION("""COMPUTED_VALUE"""),0.0)</f>
        <v>0</v>
      </c>
      <c r="M14" s="33">
        <f>IFERROR(__xludf.DUMMYFUNCTION("""COMPUTED_VALUE"""),2.0)</f>
        <v>2</v>
      </c>
      <c r="N14" s="33">
        <f>IFERROR(__xludf.DUMMYFUNCTION("""COMPUTED_VALUE"""),0.0)</f>
        <v>0</v>
      </c>
      <c r="O14" s="33">
        <f>IFERROR(__xludf.DUMMYFUNCTION("""COMPUTED_VALUE"""),3.0)</f>
        <v>3</v>
      </c>
      <c r="P14" s="33">
        <f>IFERROR(__xludf.DUMMYFUNCTION("""COMPUTED_VALUE"""),0.0)</f>
        <v>0</v>
      </c>
      <c r="Q14" s="33">
        <f>IFERROR(__xludf.DUMMYFUNCTION("""COMPUTED_VALUE"""),0.0)</f>
        <v>0</v>
      </c>
      <c r="R14" s="33">
        <f>IFERROR(__xludf.DUMMYFUNCTION("""COMPUTED_VALUE"""),75556.0)</f>
        <v>75556</v>
      </c>
      <c r="S14" s="33">
        <f>IFERROR(__xludf.DUMMYFUNCTION("""COMPUTED_VALUE"""),10818.0)</f>
        <v>10818</v>
      </c>
      <c r="T14" s="33">
        <f>IFERROR(__xludf.DUMMYFUNCTION("""COMPUTED_VALUE"""),0.820277777777777)</f>
        <v>0.8202777778</v>
      </c>
      <c r="U14" s="33">
        <f>IFERROR(__xludf.DUMMYFUNCTION("""COMPUTED_VALUE"""),0.0)</f>
        <v>0</v>
      </c>
      <c r="V14" s="33">
        <f>IFERROR(__xludf.DUMMYFUNCTION("""COMPUTED_VALUE"""),0.0)</f>
        <v>0</v>
      </c>
      <c r="W14" s="33">
        <f>IFERROR(__xludf.DUMMYFUNCTION("""COMPUTED_VALUE"""),2.0825)</f>
        <v>2.0825</v>
      </c>
      <c r="X14" s="33">
        <f>IFERROR(__xludf.DUMMYFUNCTION("""COMPUTED_VALUE"""),2.0825)</f>
        <v>2.0825</v>
      </c>
      <c r="Y14" s="33">
        <f>IFERROR(__xludf.DUMMYFUNCTION("""COMPUTED_VALUE"""),1.88055555555555)</f>
        <v>1.880555556</v>
      </c>
      <c r="Z14" s="33">
        <f>IFERROR(__xludf.DUMMYFUNCTION("""COMPUTED_VALUE"""),1.0625)</f>
        <v>1.0625</v>
      </c>
      <c r="AA14" s="33">
        <f>IFERROR(__xludf.DUMMYFUNCTION("""COMPUTED_VALUE"""),0.0)</f>
        <v>0</v>
      </c>
      <c r="AB14" s="33">
        <f>IFERROR(__xludf.DUMMYFUNCTION("""COMPUTED_VALUE"""),0.385277777777777)</f>
        <v>0.3852777778</v>
      </c>
      <c r="AC14" s="33">
        <f>IFERROR(__xludf.DUMMYFUNCTION("""COMPUTED_VALUE"""),0.0)</f>
        <v>0</v>
      </c>
      <c r="AD14" s="33">
        <f>IFERROR(__xludf.DUMMYFUNCTION("""COMPUTED_VALUE"""),0.718888888888888)</f>
        <v>0.7188888889</v>
      </c>
      <c r="AE14" s="33">
        <f>IFERROR(__xludf.DUMMYFUNCTION("""COMPUTED_VALUE"""),0.0)</f>
        <v>0</v>
      </c>
      <c r="AF14" s="33">
        <f>IFERROR(__xludf.DUMMYFUNCTION("""COMPUTED_VALUE"""),4.0)</f>
        <v>4</v>
      </c>
    </row>
    <row r="15">
      <c r="A15" s="49">
        <f>IFERROR(__xludf.DUMMYFUNCTION("""COMPUTED_VALUE"""),46153.0)</f>
        <v>46153</v>
      </c>
      <c r="B15" s="33" t="str">
        <f>IFERROR(__xludf.DUMMYFUNCTION("""COMPUTED_VALUE"""),"859785ba4869b28dddcfcb0e75295d1e1ad9b5a9")</f>
        <v>859785ba4869b28dddcfcb0e75295d1e1ad9b5a9</v>
      </c>
      <c r="C15" s="33" t="str">
        <f>IFERROR(__xludf.DUMMYFUNCTION("""COMPUTED_VALUE"""),"King of Dragon | किंग ऑफ ड्रैगन | Author - Nitesh")</f>
        <v>King of Dragon | किंग ऑफ ड्रैगन | Author - Nitesh</v>
      </c>
      <c r="D15" s="33">
        <f>IFERROR(__xludf.DUMMYFUNCTION("""COMPUTED_VALUE"""),0.0)</f>
        <v>0</v>
      </c>
      <c r="E15" s="33">
        <f>IFERROR(__xludf.DUMMYFUNCTION("""COMPUTED_VALUE"""),0.0)</f>
        <v>0</v>
      </c>
      <c r="F15" s="33">
        <f>IFERROR(__xludf.DUMMYFUNCTION("""COMPUTED_VALUE"""),0.0)</f>
        <v>0</v>
      </c>
      <c r="G15" s="33">
        <f>IFERROR(__xludf.DUMMYFUNCTION("""COMPUTED_VALUE"""),0.0)</f>
        <v>0</v>
      </c>
      <c r="H15" s="33">
        <f>IFERROR(__xludf.DUMMYFUNCTION("""COMPUTED_VALUE"""),0.0)</f>
        <v>0</v>
      </c>
      <c r="I15" s="33">
        <f>IFERROR(__xludf.DUMMYFUNCTION("""COMPUTED_VALUE"""),0.0)</f>
        <v>0</v>
      </c>
      <c r="J15" s="33">
        <f>IFERROR(__xludf.DUMMYFUNCTION("""COMPUTED_VALUE"""),0.0)</f>
        <v>0</v>
      </c>
      <c r="K15" s="33">
        <f>IFERROR(__xludf.DUMMYFUNCTION("""COMPUTED_VALUE"""),0.0)</f>
        <v>0</v>
      </c>
      <c r="L15" s="33">
        <f>IFERROR(__xludf.DUMMYFUNCTION("""COMPUTED_VALUE"""),0.0)</f>
        <v>0</v>
      </c>
      <c r="M15" s="33">
        <f>IFERROR(__xludf.DUMMYFUNCTION("""COMPUTED_VALUE"""),0.0)</f>
        <v>0</v>
      </c>
      <c r="N15" s="33">
        <f>IFERROR(__xludf.DUMMYFUNCTION("""COMPUTED_VALUE"""),0.0)</f>
        <v>0</v>
      </c>
      <c r="O15" s="33">
        <f>IFERROR(__xludf.DUMMYFUNCTION("""COMPUTED_VALUE"""),0.0)</f>
        <v>0</v>
      </c>
      <c r="P15" s="33">
        <f>IFERROR(__xludf.DUMMYFUNCTION("""COMPUTED_VALUE"""),6.0)</f>
        <v>6</v>
      </c>
      <c r="Q15" s="33">
        <f>IFERROR(__xludf.DUMMYFUNCTION("""COMPUTED_VALUE"""),0.0)</f>
        <v>0</v>
      </c>
      <c r="R15" s="33">
        <f>IFERROR(__xludf.DUMMYFUNCTION("""COMPUTED_VALUE"""),0.0)</f>
        <v>0</v>
      </c>
      <c r="S15" s="33">
        <f>IFERROR(__xludf.DUMMYFUNCTION("""COMPUTED_VALUE"""),0.0)</f>
        <v>0</v>
      </c>
      <c r="T15" s="33">
        <f>IFERROR(__xludf.DUMMYFUNCTION("""COMPUTED_VALUE"""),0.0)</f>
        <v>0</v>
      </c>
      <c r="U15" s="33">
        <f>IFERROR(__xludf.DUMMYFUNCTION("""COMPUTED_VALUE"""),0.0)</f>
        <v>0</v>
      </c>
      <c r="V15" s="33">
        <f>IFERROR(__xludf.DUMMYFUNCTION("""COMPUTED_VALUE"""),0.0)</f>
        <v>0</v>
      </c>
      <c r="W15" s="33">
        <f>IFERROR(__xludf.DUMMYFUNCTION("""COMPUTED_VALUE"""),0.0)</f>
        <v>0</v>
      </c>
      <c r="X15" s="33">
        <f>IFERROR(__xludf.DUMMYFUNCTION("""COMPUTED_VALUE"""),0.0)</f>
        <v>0</v>
      </c>
      <c r="Y15" s="33">
        <f>IFERROR(__xludf.DUMMYFUNCTION("""COMPUTED_VALUE"""),0.0)</f>
        <v>0</v>
      </c>
      <c r="Z15" s="33">
        <f>IFERROR(__xludf.DUMMYFUNCTION("""COMPUTED_VALUE"""),0.0)</f>
        <v>0</v>
      </c>
      <c r="AA15" s="33">
        <f>IFERROR(__xludf.DUMMYFUNCTION("""COMPUTED_VALUE"""),0.0)</f>
        <v>0</v>
      </c>
      <c r="AB15" s="33">
        <f>IFERROR(__xludf.DUMMYFUNCTION("""COMPUTED_VALUE"""),0.0)</f>
        <v>0</v>
      </c>
      <c r="AC15" s="33">
        <f>IFERROR(__xludf.DUMMYFUNCTION("""COMPUTED_VALUE"""),0.0)</f>
        <v>0</v>
      </c>
      <c r="AD15" s="33">
        <f>IFERROR(__xludf.DUMMYFUNCTION("""COMPUTED_VALUE"""),0.0)</f>
        <v>0</v>
      </c>
      <c r="AE15" s="33">
        <f>IFERROR(__xludf.DUMMYFUNCTION("""COMPUTED_VALUE"""),1.62027777777777)</f>
        <v>1.620277778</v>
      </c>
      <c r="AF15" s="33">
        <f>IFERROR(__xludf.DUMMYFUNCTION("""COMPUTED_VALUE"""),0.0)</f>
        <v>0</v>
      </c>
    </row>
    <row r="16">
      <c r="A16" s="49">
        <f>IFERROR(__xludf.DUMMYFUNCTION("""COMPUTED_VALUE"""),46153.0)</f>
        <v>46153</v>
      </c>
      <c r="B16" s="33" t="str">
        <f>IFERROR(__xludf.DUMMYFUNCTION("""COMPUTED_VALUE"""),"96f1f89e4494e06fb7f9e3c4645563fa62ef9320")</f>
        <v>96f1f89e4494e06fb7f9e3c4645563fa62ef9320</v>
      </c>
      <c r="C16" s="33" t="str">
        <f>IFERROR(__xludf.DUMMYFUNCTION("""COMPUTED_VALUE"""),"King of Dragon - Production Show_id")</f>
        <v>King of Dragon - Production Show_id</v>
      </c>
      <c r="D16" s="33">
        <f>IFERROR(__xludf.DUMMYFUNCTION("""COMPUTED_VALUE"""),10.0)</f>
        <v>10</v>
      </c>
      <c r="E16" s="33">
        <f>IFERROR(__xludf.DUMMYFUNCTION("""COMPUTED_VALUE"""),8.0)</f>
        <v>8</v>
      </c>
      <c r="F16" s="33">
        <f>IFERROR(__xludf.DUMMYFUNCTION("""COMPUTED_VALUE"""),8.0)</f>
        <v>8</v>
      </c>
      <c r="G16" s="33">
        <f>IFERROR(__xludf.DUMMYFUNCTION("""COMPUTED_VALUE"""),10.0)</f>
        <v>10</v>
      </c>
      <c r="H16" s="33">
        <f>IFERROR(__xludf.DUMMYFUNCTION("""COMPUTED_VALUE"""),10.0)</f>
        <v>10</v>
      </c>
      <c r="I16" s="33">
        <f>IFERROR(__xludf.DUMMYFUNCTION("""COMPUTED_VALUE"""),0.0)</f>
        <v>0</v>
      </c>
      <c r="J16" s="33">
        <f>IFERROR(__xludf.DUMMYFUNCTION("""COMPUTED_VALUE"""),10.0)</f>
        <v>10</v>
      </c>
      <c r="K16" s="33">
        <f>IFERROR(__xludf.DUMMYFUNCTION("""COMPUTED_VALUE"""),2.0)</f>
        <v>2</v>
      </c>
      <c r="L16" s="33">
        <f>IFERROR(__xludf.DUMMYFUNCTION("""COMPUTED_VALUE"""),1.0)</f>
        <v>1</v>
      </c>
      <c r="M16" s="33">
        <f>IFERROR(__xludf.DUMMYFUNCTION("""COMPUTED_VALUE"""),10.0)</f>
        <v>10</v>
      </c>
      <c r="N16" s="33">
        <f>IFERROR(__xludf.DUMMYFUNCTION("""COMPUTED_VALUE"""),4.0)</f>
        <v>4</v>
      </c>
      <c r="O16" s="33">
        <f>IFERROR(__xludf.DUMMYFUNCTION("""COMPUTED_VALUE"""),3.0)</f>
        <v>3</v>
      </c>
      <c r="P16" s="33">
        <f>IFERROR(__xludf.DUMMYFUNCTION("""COMPUTED_VALUE"""),4.0)</f>
        <v>4</v>
      </c>
      <c r="Q16" s="33">
        <f>IFERROR(__xludf.DUMMYFUNCTION("""COMPUTED_VALUE"""),0.0)</f>
        <v>0</v>
      </c>
      <c r="R16" s="33">
        <f>IFERROR(__xludf.DUMMYFUNCTION("""COMPUTED_VALUE"""),24505.0)</f>
        <v>24505</v>
      </c>
      <c r="S16" s="33">
        <f>IFERROR(__xludf.DUMMYFUNCTION("""COMPUTED_VALUE"""),19251.0)</f>
        <v>19251</v>
      </c>
      <c r="T16" s="33">
        <f>IFERROR(__xludf.DUMMYFUNCTION("""COMPUTED_VALUE"""),2.56805555555555)</f>
        <v>2.568055556</v>
      </c>
      <c r="U16" s="33">
        <f>IFERROR(__xludf.DUMMYFUNCTION("""COMPUTED_VALUE"""),2.12944444444444)</f>
        <v>2.129444444</v>
      </c>
      <c r="V16" s="33">
        <f>IFERROR(__xludf.DUMMYFUNCTION("""COMPUTED_VALUE"""),2.62416666666666)</f>
        <v>2.624166667</v>
      </c>
      <c r="W16" s="33">
        <f>IFERROR(__xludf.DUMMYFUNCTION("""COMPUTED_VALUE"""),2.62416666666666)</f>
        <v>2.624166667</v>
      </c>
      <c r="X16" s="33">
        <f>IFERROR(__xludf.DUMMYFUNCTION("""COMPUTED_VALUE"""),0.0)</f>
        <v>0</v>
      </c>
      <c r="Y16" s="33">
        <f>IFERROR(__xludf.DUMMYFUNCTION("""COMPUTED_VALUE"""),2.62416666666666)</f>
        <v>2.624166667</v>
      </c>
      <c r="Z16" s="33">
        <f>IFERROR(__xludf.DUMMYFUNCTION("""COMPUTED_VALUE"""),0.486666666666666)</f>
        <v>0.4866666667</v>
      </c>
      <c r="AA16" s="33">
        <f>IFERROR(__xludf.DUMMYFUNCTION("""COMPUTED_VALUE"""),0.246666666666666)</f>
        <v>0.2466666667</v>
      </c>
      <c r="AB16" s="33">
        <f>IFERROR(__xludf.DUMMYFUNCTION("""COMPUTED_VALUE"""),2.62416666666666)</f>
        <v>2.624166667</v>
      </c>
      <c r="AC16" s="33">
        <f>IFERROR(__xludf.DUMMYFUNCTION("""COMPUTED_VALUE"""),1.04388888888888)</f>
        <v>1.043888889</v>
      </c>
      <c r="AD16" s="33">
        <f>IFERROR(__xludf.DUMMYFUNCTION("""COMPUTED_VALUE"""),0.911944444444444)</f>
        <v>0.9119444444</v>
      </c>
      <c r="AE16" s="33">
        <f>IFERROR(__xludf.DUMMYFUNCTION("""COMPUTED_VALUE"""),1.04388888888888)</f>
        <v>1.043888889</v>
      </c>
      <c r="AF16" s="33">
        <f>IFERROR(__xludf.DUMMYFUNCTION("""COMPUTED_VALUE"""),10.0)</f>
        <v>10</v>
      </c>
    </row>
    <row r="17">
      <c r="A17" s="49">
        <f>IFERROR(__xludf.DUMMYFUNCTION("""COMPUTED_VALUE"""),46153.0)</f>
        <v>46153</v>
      </c>
      <c r="B17" s="33" t="str">
        <f>IFERROR(__xludf.DUMMYFUNCTION("""COMPUTED_VALUE"""),"9afaea00813dcb4fc57a46df70a2e3e1066af919")</f>
        <v>9afaea00813dcb4fc57a46df70a2e3e1066af919</v>
      </c>
      <c r="C17" s="33" t="str">
        <f>IFERROR(__xludf.DUMMYFUNCTION("""COMPUTED_VALUE"""),"My Millionaire System")</f>
        <v>My Millionaire System</v>
      </c>
      <c r="D17" s="33">
        <f>IFERROR(__xludf.DUMMYFUNCTION("""COMPUTED_VALUE"""),15.0)</f>
        <v>15</v>
      </c>
      <c r="E17" s="33">
        <f>IFERROR(__xludf.DUMMYFUNCTION("""COMPUTED_VALUE"""),9.0)</f>
        <v>9</v>
      </c>
      <c r="F17" s="33">
        <f>IFERROR(__xludf.DUMMYFUNCTION("""COMPUTED_VALUE"""),8.0)</f>
        <v>8</v>
      </c>
      <c r="G17" s="33">
        <f>IFERROR(__xludf.DUMMYFUNCTION("""COMPUTED_VALUE"""),3.0)</f>
        <v>3</v>
      </c>
      <c r="H17" s="33">
        <f>IFERROR(__xludf.DUMMYFUNCTION("""COMPUTED_VALUE"""),11.0)</f>
        <v>11</v>
      </c>
      <c r="I17" s="33">
        <f>IFERROR(__xludf.DUMMYFUNCTION("""COMPUTED_VALUE"""),8.0)</f>
        <v>8</v>
      </c>
      <c r="J17" s="33">
        <f>IFERROR(__xludf.DUMMYFUNCTION("""COMPUTED_VALUE"""),11.0)</f>
        <v>11</v>
      </c>
      <c r="K17" s="33">
        <f>IFERROR(__xludf.DUMMYFUNCTION("""COMPUTED_VALUE"""),3.0)</f>
        <v>3</v>
      </c>
      <c r="L17" s="33">
        <f>IFERROR(__xludf.DUMMYFUNCTION("""COMPUTED_VALUE"""),1.0)</f>
        <v>1</v>
      </c>
      <c r="M17" s="33">
        <f>IFERROR(__xludf.DUMMYFUNCTION("""COMPUTED_VALUE"""),14.0)</f>
        <v>14</v>
      </c>
      <c r="N17" s="33">
        <f>IFERROR(__xludf.DUMMYFUNCTION("""COMPUTED_VALUE"""),7.0)</f>
        <v>7</v>
      </c>
      <c r="O17" s="33">
        <f>IFERROR(__xludf.DUMMYFUNCTION("""COMPUTED_VALUE"""),3.0)</f>
        <v>3</v>
      </c>
      <c r="P17" s="33">
        <f>IFERROR(__xludf.DUMMYFUNCTION("""COMPUTED_VALUE"""),7.0)</f>
        <v>7</v>
      </c>
      <c r="Q17" s="33">
        <f>IFERROR(__xludf.DUMMYFUNCTION("""COMPUTED_VALUE"""),0.0)</f>
        <v>0</v>
      </c>
      <c r="R17" s="33">
        <f>IFERROR(__xludf.DUMMYFUNCTION("""COMPUTED_VALUE"""),24918.0)</f>
        <v>24918</v>
      </c>
      <c r="S17" s="33">
        <f>IFERROR(__xludf.DUMMYFUNCTION("""COMPUTED_VALUE"""),18176.0)</f>
        <v>18176</v>
      </c>
      <c r="T17" s="33">
        <f>IFERROR(__xludf.DUMMYFUNCTION("""COMPUTED_VALUE"""),1.94694444444444)</f>
        <v>1.946944444</v>
      </c>
      <c r="U17" s="33">
        <f>IFERROR(__xludf.DUMMYFUNCTION("""COMPUTED_VALUE"""),1.78416666666666)</f>
        <v>1.784166667</v>
      </c>
      <c r="V17" s="33">
        <f>IFERROR(__xludf.DUMMYFUNCTION("""COMPUTED_VALUE"""),0.725277777777777)</f>
        <v>0.7252777778</v>
      </c>
      <c r="W17" s="33">
        <f>IFERROR(__xludf.DUMMYFUNCTION("""COMPUTED_VALUE"""),2.46111111111111)</f>
        <v>2.461111111</v>
      </c>
      <c r="X17" s="33">
        <f>IFERROR(__xludf.DUMMYFUNCTION("""COMPUTED_VALUE"""),1.73583333333333)</f>
        <v>1.735833333</v>
      </c>
      <c r="Y17" s="33">
        <f>IFERROR(__xludf.DUMMYFUNCTION("""COMPUTED_VALUE"""),2.53)</f>
        <v>2.53</v>
      </c>
      <c r="Z17" s="33">
        <f>IFERROR(__xludf.DUMMYFUNCTION("""COMPUTED_VALUE"""),0.714166666666666)</f>
        <v>0.7141666667</v>
      </c>
      <c r="AA17" s="33">
        <f>IFERROR(__xludf.DUMMYFUNCTION("""COMPUTED_VALUE"""),0.249444444444444)</f>
        <v>0.2494444444</v>
      </c>
      <c r="AB17" s="33">
        <f>IFERROR(__xludf.DUMMYFUNCTION("""COMPUTED_VALUE"""),3.20833333333333)</f>
        <v>3.208333333</v>
      </c>
      <c r="AC17" s="33">
        <f>IFERROR(__xludf.DUMMYFUNCTION("""COMPUTED_VALUE"""),1.68527777777777)</f>
        <v>1.685277778</v>
      </c>
      <c r="AD17" s="33">
        <f>IFERROR(__xludf.DUMMYFUNCTION("""COMPUTED_VALUE"""),0.590833333333333)</f>
        <v>0.5908333333</v>
      </c>
      <c r="AE17" s="33">
        <f>IFERROR(__xludf.DUMMYFUNCTION("""COMPUTED_VALUE"""),1.68527777777777)</f>
        <v>1.685277778</v>
      </c>
      <c r="AF17" s="33">
        <f>IFERROR(__xludf.DUMMYFUNCTION("""COMPUTED_VALUE"""),10.0)</f>
        <v>10</v>
      </c>
    </row>
    <row r="18">
      <c r="A18" s="49">
        <f>IFERROR(__xludf.DUMMYFUNCTION("""COMPUTED_VALUE"""),46153.0)</f>
        <v>46153</v>
      </c>
      <c r="B18" s="33" t="str">
        <f>IFERROR(__xludf.DUMMYFUNCTION("""COMPUTED_VALUE"""),"a3ba65aa427077188e1ad7dbcbcafae266683ca9")</f>
        <v>a3ba65aa427077188e1ad7dbcbcafae266683ca9</v>
      </c>
      <c r="C18" s="33" t="str">
        <f>IFERROR(__xludf.DUMMYFUNCTION("""COMPUTED_VALUE"""),"The Warrior | Author - Dayaram Prajapati")</f>
        <v>The Warrior | Author - Dayaram Prajapati</v>
      </c>
      <c r="D18" s="33">
        <f>IFERROR(__xludf.DUMMYFUNCTION("""COMPUTED_VALUE"""),23.0)</f>
        <v>23</v>
      </c>
      <c r="E18" s="33">
        <f>IFERROR(__xludf.DUMMYFUNCTION("""COMPUTED_VALUE"""),18.0)</f>
        <v>18</v>
      </c>
      <c r="F18" s="33">
        <f>IFERROR(__xludf.DUMMYFUNCTION("""COMPUTED_VALUE"""),0.0)</f>
        <v>0</v>
      </c>
      <c r="G18" s="33">
        <f>IFERROR(__xludf.DUMMYFUNCTION("""COMPUTED_VALUE"""),0.0)</f>
        <v>0</v>
      </c>
      <c r="H18" s="33">
        <f>IFERROR(__xludf.DUMMYFUNCTION("""COMPUTED_VALUE"""),0.0)</f>
        <v>0</v>
      </c>
      <c r="I18" s="33">
        <f>IFERROR(__xludf.DUMMYFUNCTION("""COMPUTED_VALUE"""),0.0)</f>
        <v>0</v>
      </c>
      <c r="J18" s="33">
        <f>IFERROR(__xludf.DUMMYFUNCTION("""COMPUTED_VALUE"""),0.0)</f>
        <v>0</v>
      </c>
      <c r="K18" s="33">
        <f>IFERROR(__xludf.DUMMYFUNCTION("""COMPUTED_VALUE"""),0.0)</f>
        <v>0</v>
      </c>
      <c r="L18" s="33">
        <f>IFERROR(__xludf.DUMMYFUNCTION("""COMPUTED_VALUE"""),0.0)</f>
        <v>0</v>
      </c>
      <c r="M18" s="33">
        <f>IFERROR(__xludf.DUMMYFUNCTION("""COMPUTED_VALUE"""),23.0)</f>
        <v>23</v>
      </c>
      <c r="N18" s="33">
        <f>IFERROR(__xludf.DUMMYFUNCTION("""COMPUTED_VALUE"""),18.0)</f>
        <v>18</v>
      </c>
      <c r="O18" s="33">
        <f>IFERROR(__xludf.DUMMYFUNCTION("""COMPUTED_VALUE"""),3.0)</f>
        <v>3</v>
      </c>
      <c r="P18" s="33">
        <f>IFERROR(__xludf.DUMMYFUNCTION("""COMPUTED_VALUE"""),18.0)</f>
        <v>18</v>
      </c>
      <c r="Q18" s="33">
        <f>IFERROR(__xludf.DUMMYFUNCTION("""COMPUTED_VALUE"""),0.0)</f>
        <v>0</v>
      </c>
      <c r="R18" s="33">
        <f>IFERROR(__xludf.DUMMYFUNCTION("""COMPUTED_VALUE"""),60262.0)</f>
        <v>60262</v>
      </c>
      <c r="S18" s="33">
        <f>IFERROR(__xludf.DUMMYFUNCTION("""COMPUTED_VALUE"""),47369.0)</f>
        <v>47369</v>
      </c>
      <c r="T18" s="33">
        <f>IFERROR(__xludf.DUMMYFUNCTION("""COMPUTED_VALUE"""),0.0)</f>
        <v>0</v>
      </c>
      <c r="U18" s="33">
        <f>IFERROR(__xludf.DUMMYFUNCTION("""COMPUTED_VALUE"""),0.0)</f>
        <v>0</v>
      </c>
      <c r="V18" s="33">
        <f>IFERROR(__xludf.DUMMYFUNCTION("""COMPUTED_VALUE"""),0.0)</f>
        <v>0</v>
      </c>
      <c r="W18" s="33">
        <f>IFERROR(__xludf.DUMMYFUNCTION("""COMPUTED_VALUE"""),0.0)</f>
        <v>0</v>
      </c>
      <c r="X18" s="33">
        <f>IFERROR(__xludf.DUMMYFUNCTION("""COMPUTED_VALUE"""),0.0)</f>
        <v>0</v>
      </c>
      <c r="Y18" s="33">
        <f>IFERROR(__xludf.DUMMYFUNCTION("""COMPUTED_VALUE"""),0.0)</f>
        <v>0</v>
      </c>
      <c r="Z18" s="33">
        <f>IFERROR(__xludf.DUMMYFUNCTION("""COMPUTED_VALUE"""),0.0)</f>
        <v>0</v>
      </c>
      <c r="AA18" s="33">
        <f>IFERROR(__xludf.DUMMYFUNCTION("""COMPUTED_VALUE"""),0.0)</f>
        <v>0</v>
      </c>
      <c r="AB18" s="33">
        <f>IFERROR(__xludf.DUMMYFUNCTION("""COMPUTED_VALUE"""),6.25861111111111)</f>
        <v>6.258611111</v>
      </c>
      <c r="AC18" s="33">
        <f>IFERROR(__xludf.DUMMYFUNCTION("""COMPUTED_VALUE"""),4.87027777777777)</f>
        <v>4.870277778</v>
      </c>
      <c r="AD18" s="33">
        <f>IFERROR(__xludf.DUMMYFUNCTION("""COMPUTED_VALUE"""),0.756666666666666)</f>
        <v>0.7566666667</v>
      </c>
      <c r="AE18" s="33">
        <f>IFERROR(__xludf.DUMMYFUNCTION("""COMPUTED_VALUE"""),4.87027777777777)</f>
        <v>4.870277778</v>
      </c>
      <c r="AF18" s="33">
        <f>IFERROR(__xludf.DUMMYFUNCTION("""COMPUTED_VALUE"""),0.0)</f>
        <v>0</v>
      </c>
    </row>
    <row r="19">
      <c r="A19" s="49">
        <f>IFERROR(__xludf.DUMMYFUNCTION("""COMPUTED_VALUE"""),46153.0)</f>
        <v>46153</v>
      </c>
      <c r="B19" s="33" t="str">
        <f>IFERROR(__xludf.DUMMYFUNCTION("""COMPUTED_VALUE"""),"aa81f1feb820ed6f22bd7b22b55890db740929cb")</f>
        <v>aa81f1feb820ed6f22bd7b22b55890db740929cb</v>
      </c>
      <c r="C19" s="33" t="str">
        <f>IFERROR(__xludf.DUMMYFUNCTION("""COMPUTED_VALUE"""),"Shunya Samrat")</f>
        <v>Shunya Samrat</v>
      </c>
      <c r="D19" s="33">
        <f>IFERROR(__xludf.DUMMYFUNCTION("""COMPUTED_VALUE"""),0.0)</f>
        <v>0</v>
      </c>
      <c r="E19" s="33">
        <f>IFERROR(__xludf.DUMMYFUNCTION("""COMPUTED_VALUE"""),0.0)</f>
        <v>0</v>
      </c>
      <c r="F19" s="33">
        <f>IFERROR(__xludf.DUMMYFUNCTION("""COMPUTED_VALUE"""),0.0)</f>
        <v>0</v>
      </c>
      <c r="G19" s="33">
        <f>IFERROR(__xludf.DUMMYFUNCTION("""COMPUTED_VALUE"""),0.0)</f>
        <v>0</v>
      </c>
      <c r="H19" s="33">
        <f>IFERROR(__xludf.DUMMYFUNCTION("""COMPUTED_VALUE"""),0.0)</f>
        <v>0</v>
      </c>
      <c r="I19" s="33">
        <f>IFERROR(__xludf.DUMMYFUNCTION("""COMPUTED_VALUE"""),0.0)</f>
        <v>0</v>
      </c>
      <c r="J19" s="33">
        <f>IFERROR(__xludf.DUMMYFUNCTION("""COMPUTED_VALUE"""),0.0)</f>
        <v>0</v>
      </c>
      <c r="K19" s="33">
        <f>IFERROR(__xludf.DUMMYFUNCTION("""COMPUTED_VALUE"""),0.0)</f>
        <v>0</v>
      </c>
      <c r="L19" s="33">
        <f>IFERROR(__xludf.DUMMYFUNCTION("""COMPUTED_VALUE"""),0.0)</f>
        <v>0</v>
      </c>
      <c r="M19" s="33">
        <f>IFERROR(__xludf.DUMMYFUNCTION("""COMPUTED_VALUE"""),0.0)</f>
        <v>0</v>
      </c>
      <c r="N19" s="33">
        <f>IFERROR(__xludf.DUMMYFUNCTION("""COMPUTED_VALUE"""),30.0)</f>
        <v>30</v>
      </c>
      <c r="O19" s="33">
        <f>IFERROR(__xludf.DUMMYFUNCTION("""COMPUTED_VALUE"""),3.0)</f>
        <v>3</v>
      </c>
      <c r="P19" s="33">
        <f>IFERROR(__xludf.DUMMYFUNCTION("""COMPUTED_VALUE"""),30.0)</f>
        <v>30</v>
      </c>
      <c r="Q19" s="33">
        <f>IFERROR(__xludf.DUMMYFUNCTION("""COMPUTED_VALUE"""),0.0)</f>
        <v>0</v>
      </c>
      <c r="R19" s="33">
        <f>IFERROR(__xludf.DUMMYFUNCTION("""COMPUTED_VALUE"""),0.0)</f>
        <v>0</v>
      </c>
      <c r="S19" s="33">
        <f>IFERROR(__xludf.DUMMYFUNCTION("""COMPUTED_VALUE"""),0.0)</f>
        <v>0</v>
      </c>
      <c r="T19" s="33">
        <f>IFERROR(__xludf.DUMMYFUNCTION("""COMPUTED_VALUE"""),0.0)</f>
        <v>0</v>
      </c>
      <c r="U19" s="33">
        <f>IFERROR(__xludf.DUMMYFUNCTION("""COMPUTED_VALUE"""),0.0)</f>
        <v>0</v>
      </c>
      <c r="V19" s="33">
        <f>IFERROR(__xludf.DUMMYFUNCTION("""COMPUTED_VALUE"""),0.0)</f>
        <v>0</v>
      </c>
      <c r="W19" s="33">
        <f>IFERROR(__xludf.DUMMYFUNCTION("""COMPUTED_VALUE"""),0.0)</f>
        <v>0</v>
      </c>
      <c r="X19" s="33">
        <f>IFERROR(__xludf.DUMMYFUNCTION("""COMPUTED_VALUE"""),0.0)</f>
        <v>0</v>
      </c>
      <c r="Y19" s="33">
        <f>IFERROR(__xludf.DUMMYFUNCTION("""COMPUTED_VALUE"""),0.0)</f>
        <v>0</v>
      </c>
      <c r="Z19" s="33">
        <f>IFERROR(__xludf.DUMMYFUNCTION("""COMPUTED_VALUE"""),0.0)</f>
        <v>0</v>
      </c>
      <c r="AA19" s="33">
        <f>IFERROR(__xludf.DUMMYFUNCTION("""COMPUTED_VALUE"""),0.0)</f>
        <v>0</v>
      </c>
      <c r="AB19" s="33">
        <f>IFERROR(__xludf.DUMMYFUNCTION("""COMPUTED_VALUE"""),0.0)</f>
        <v>0</v>
      </c>
      <c r="AC19" s="33">
        <f>IFERROR(__xludf.DUMMYFUNCTION("""COMPUTED_VALUE"""),12.1919444444444)</f>
        <v>12.19194444</v>
      </c>
      <c r="AD19" s="33">
        <f>IFERROR(__xludf.DUMMYFUNCTION("""COMPUTED_VALUE"""),0.610555555555555)</f>
        <v>0.6105555556</v>
      </c>
      <c r="AE19" s="33">
        <f>IFERROR(__xludf.DUMMYFUNCTION("""COMPUTED_VALUE"""),12.1919444444444)</f>
        <v>12.19194444</v>
      </c>
      <c r="AF19" s="33">
        <f>IFERROR(__xludf.DUMMYFUNCTION("""COMPUTED_VALUE"""),0.0)</f>
        <v>0</v>
      </c>
    </row>
    <row r="20">
      <c r="A20" s="49">
        <f>IFERROR(__xludf.DUMMYFUNCTION("""COMPUTED_VALUE"""),46153.0)</f>
        <v>46153</v>
      </c>
      <c r="B20" s="33" t="str">
        <f>IFERROR(__xludf.DUMMYFUNCTION("""COMPUTED_VALUE"""),"aab7b2fa6301b585dcebf9ec60cf4371307ad469")</f>
        <v>aab7b2fa6301b585dcebf9ec60cf4371307ad469</v>
      </c>
      <c r="C20" s="33" t="str">
        <f>IFERROR(__xludf.DUMMYFUNCTION("""COMPUTED_VALUE"""),"Tere Ishq Mein (OBH)  - Production Show_id")</f>
        <v>Tere Ishq Mein (OBH)  - Production Show_id</v>
      </c>
      <c r="D20" s="33">
        <f>IFERROR(__xludf.DUMMYFUNCTION("""COMPUTED_VALUE"""),23.0)</f>
        <v>23</v>
      </c>
      <c r="E20" s="33">
        <f>IFERROR(__xludf.DUMMYFUNCTION("""COMPUTED_VALUE"""),28.0)</f>
        <v>28</v>
      </c>
      <c r="F20" s="33">
        <f>IFERROR(__xludf.DUMMYFUNCTION("""COMPUTED_VALUE"""),14.0)</f>
        <v>14</v>
      </c>
      <c r="G20" s="33">
        <f>IFERROR(__xludf.DUMMYFUNCTION("""COMPUTED_VALUE"""),11.0)</f>
        <v>11</v>
      </c>
      <c r="H20" s="33">
        <f>IFERROR(__xludf.DUMMYFUNCTION("""COMPUTED_VALUE"""),11.0)</f>
        <v>11</v>
      </c>
      <c r="I20" s="33">
        <f>IFERROR(__xludf.DUMMYFUNCTION("""COMPUTED_VALUE"""),0.0)</f>
        <v>0</v>
      </c>
      <c r="J20" s="33">
        <f>IFERROR(__xludf.DUMMYFUNCTION("""COMPUTED_VALUE"""),11.0)</f>
        <v>11</v>
      </c>
      <c r="K20" s="33">
        <f>IFERROR(__xludf.DUMMYFUNCTION("""COMPUTED_VALUE"""),1.0)</f>
        <v>1</v>
      </c>
      <c r="L20" s="33">
        <f>IFERROR(__xludf.DUMMYFUNCTION("""COMPUTED_VALUE"""),0.0)</f>
        <v>0</v>
      </c>
      <c r="M20" s="33">
        <f>IFERROR(__xludf.DUMMYFUNCTION("""COMPUTED_VALUE"""),9.0)</f>
        <v>9</v>
      </c>
      <c r="N20" s="33">
        <f>IFERROR(__xludf.DUMMYFUNCTION("""COMPUTED_VALUE"""),15.0)</f>
        <v>15</v>
      </c>
      <c r="O20" s="33">
        <f>IFERROR(__xludf.DUMMYFUNCTION("""COMPUTED_VALUE"""),3.0)</f>
        <v>3</v>
      </c>
      <c r="P20" s="33">
        <f>IFERROR(__xludf.DUMMYFUNCTION("""COMPUTED_VALUE"""),15.0)</f>
        <v>15</v>
      </c>
      <c r="Q20" s="33">
        <f>IFERROR(__xludf.DUMMYFUNCTION("""COMPUTED_VALUE"""),0.0)</f>
        <v>0</v>
      </c>
      <c r="R20" s="33">
        <f>IFERROR(__xludf.DUMMYFUNCTION("""COMPUTED_VALUE"""),47833.0)</f>
        <v>47833</v>
      </c>
      <c r="S20" s="33">
        <f>IFERROR(__xludf.DUMMYFUNCTION("""COMPUTED_VALUE"""),61321.0)</f>
        <v>61321</v>
      </c>
      <c r="T20" s="33">
        <f>IFERROR(__xludf.DUMMYFUNCTION("""COMPUTED_VALUE"""),4.61861111111111)</f>
        <v>4.618611111</v>
      </c>
      <c r="U20" s="33">
        <f>IFERROR(__xludf.DUMMYFUNCTION("""COMPUTED_VALUE"""),3.46277777777777)</f>
        <v>3.462777778</v>
      </c>
      <c r="V20" s="33">
        <f>IFERROR(__xludf.DUMMYFUNCTION("""COMPUTED_VALUE"""),2.70333333333333)</f>
        <v>2.703333333</v>
      </c>
      <c r="W20" s="33">
        <f>IFERROR(__xludf.DUMMYFUNCTION("""COMPUTED_VALUE"""),2.70333333333333)</f>
        <v>2.703333333</v>
      </c>
      <c r="X20" s="33">
        <f>IFERROR(__xludf.DUMMYFUNCTION("""COMPUTED_VALUE"""),0.0)</f>
        <v>0</v>
      </c>
      <c r="Y20" s="33">
        <f>IFERROR(__xludf.DUMMYFUNCTION("""COMPUTED_VALUE"""),2.70333333333333)</f>
        <v>2.703333333</v>
      </c>
      <c r="Z20" s="33">
        <f>IFERROR(__xludf.DUMMYFUNCTION("""COMPUTED_VALUE"""),0.238611111111111)</f>
        <v>0.2386111111</v>
      </c>
      <c r="AA20" s="33">
        <f>IFERROR(__xludf.DUMMYFUNCTION("""COMPUTED_VALUE"""),0.0)</f>
        <v>0</v>
      </c>
      <c r="AB20" s="33">
        <f>IFERROR(__xludf.DUMMYFUNCTION("""COMPUTED_VALUE"""),2.26694444444444)</f>
        <v>2.266944444</v>
      </c>
      <c r="AC20" s="33">
        <f>IFERROR(__xludf.DUMMYFUNCTION("""COMPUTED_VALUE"""),3.68555555555555)</f>
        <v>3.685555556</v>
      </c>
      <c r="AD20" s="33">
        <f>IFERROR(__xludf.DUMMYFUNCTION("""COMPUTED_VALUE"""),0.686111111111111)</f>
        <v>0.6861111111</v>
      </c>
      <c r="AE20" s="33">
        <f>IFERROR(__xludf.DUMMYFUNCTION("""COMPUTED_VALUE"""),3.68555555555555)</f>
        <v>3.685555556</v>
      </c>
      <c r="AF20" s="33">
        <f>IFERROR(__xludf.DUMMYFUNCTION("""COMPUTED_VALUE"""),18.0)</f>
        <v>18</v>
      </c>
    </row>
    <row r="21">
      <c r="A21" s="49">
        <f>IFERROR(__xludf.DUMMYFUNCTION("""COMPUTED_VALUE"""),46153.0)</f>
        <v>46153</v>
      </c>
      <c r="B21" s="33" t="str">
        <f>IFERROR(__xludf.DUMMYFUNCTION("""COMPUTED_VALUE"""),"b9727274f880f47671ad54caad4904a491fad9c7")</f>
        <v>b9727274f880f47671ad54caad4904a491fad9c7</v>
      </c>
      <c r="C21" s="33" t="str">
        <f>IFERROR(__xludf.DUMMYFUNCTION("""COMPUTED_VALUE"""),"Brahmand Ka Rakshak - Production Show")</f>
        <v>Brahmand Ka Rakshak - Production Show</v>
      </c>
      <c r="D21" s="33">
        <f>IFERROR(__xludf.DUMMYFUNCTION("""COMPUTED_VALUE"""),11.0)</f>
        <v>11</v>
      </c>
      <c r="E21" s="33">
        <f>IFERROR(__xludf.DUMMYFUNCTION("""COMPUTED_VALUE"""),32.0)</f>
        <v>32</v>
      </c>
      <c r="F21" s="33">
        <f>IFERROR(__xludf.DUMMYFUNCTION("""COMPUTED_VALUE"""),16.0)</f>
        <v>16</v>
      </c>
      <c r="G21" s="33">
        <f>IFERROR(__xludf.DUMMYFUNCTION("""COMPUTED_VALUE"""),10.0)</f>
        <v>10</v>
      </c>
      <c r="H21" s="33">
        <f>IFERROR(__xludf.DUMMYFUNCTION("""COMPUTED_VALUE"""),13.0)</f>
        <v>13</v>
      </c>
      <c r="I21" s="33">
        <f>IFERROR(__xludf.DUMMYFUNCTION("""COMPUTED_VALUE"""),3.0)</f>
        <v>3</v>
      </c>
      <c r="J21" s="33">
        <f>IFERROR(__xludf.DUMMYFUNCTION("""COMPUTED_VALUE"""),11.0)</f>
        <v>11</v>
      </c>
      <c r="K21" s="33">
        <f>IFERROR(__xludf.DUMMYFUNCTION("""COMPUTED_VALUE"""),2.0)</f>
        <v>2</v>
      </c>
      <c r="L21" s="33">
        <f>IFERROR(__xludf.DUMMYFUNCTION("""COMPUTED_VALUE"""),0.0)</f>
        <v>0</v>
      </c>
      <c r="M21" s="33">
        <f>IFERROR(__xludf.DUMMYFUNCTION("""COMPUTED_VALUE"""),10.0)</f>
        <v>10</v>
      </c>
      <c r="N21" s="33">
        <f>IFERROR(__xludf.DUMMYFUNCTION("""COMPUTED_VALUE"""),3.0)</f>
        <v>3</v>
      </c>
      <c r="O21" s="33">
        <f>IFERROR(__xludf.DUMMYFUNCTION("""COMPUTED_VALUE"""),3.0)</f>
        <v>3</v>
      </c>
      <c r="P21" s="33">
        <f>IFERROR(__xludf.DUMMYFUNCTION("""COMPUTED_VALUE"""),3.0)</f>
        <v>3</v>
      </c>
      <c r="Q21" s="33">
        <f>IFERROR(__xludf.DUMMYFUNCTION("""COMPUTED_VALUE"""),0.0)</f>
        <v>0</v>
      </c>
      <c r="R21" s="33">
        <f>IFERROR(__xludf.DUMMYFUNCTION("""COMPUTED_VALUE"""),26730.0)</f>
        <v>26730</v>
      </c>
      <c r="S21" s="33">
        <f>IFERROR(__xludf.DUMMYFUNCTION("""COMPUTED_VALUE"""),68514.0)</f>
        <v>68514</v>
      </c>
      <c r="T21" s="33">
        <f>IFERROR(__xludf.DUMMYFUNCTION("""COMPUTED_VALUE"""),4.02666666666666)</f>
        <v>4.026666667</v>
      </c>
      <c r="U21" s="33">
        <f>IFERROR(__xludf.DUMMYFUNCTION("""COMPUTED_VALUE"""),2.78222222222222)</f>
        <v>2.782222222</v>
      </c>
      <c r="V21" s="33">
        <f>IFERROR(__xludf.DUMMYFUNCTION("""COMPUTED_VALUE"""),1.78472222222222)</f>
        <v>1.784722222</v>
      </c>
      <c r="W21" s="33">
        <f>IFERROR(__xludf.DUMMYFUNCTION("""COMPUTED_VALUE"""),2.34111111111111)</f>
        <v>2.341111111</v>
      </c>
      <c r="X21" s="33">
        <f>IFERROR(__xludf.DUMMYFUNCTION("""COMPUTED_VALUE"""),0.556388888888888)</f>
        <v>0.5563888889</v>
      </c>
      <c r="Y21" s="33">
        <f>IFERROR(__xludf.DUMMYFUNCTION("""COMPUTED_VALUE"""),1.95583333333333)</f>
        <v>1.955833333</v>
      </c>
      <c r="Z21" s="33">
        <f>IFERROR(__xludf.DUMMYFUNCTION("""COMPUTED_VALUE"""),0.347777777777777)</f>
        <v>0.3477777778</v>
      </c>
      <c r="AA21" s="33">
        <f>IFERROR(__xludf.DUMMYFUNCTION("""COMPUTED_VALUE"""),0.0)</f>
        <v>0</v>
      </c>
      <c r="AB21" s="33">
        <f>IFERROR(__xludf.DUMMYFUNCTION("""COMPUTED_VALUE"""),1.78305555555555)</f>
        <v>1.783055556</v>
      </c>
      <c r="AC21" s="33">
        <f>IFERROR(__xludf.DUMMYFUNCTION("""COMPUTED_VALUE"""),0.626111111111111)</f>
        <v>0.6261111111</v>
      </c>
      <c r="AD21" s="33">
        <f>IFERROR(__xludf.DUMMYFUNCTION("""COMPUTED_VALUE"""),0.564166666666666)</f>
        <v>0.5641666667</v>
      </c>
      <c r="AE21" s="33">
        <f>IFERROR(__xludf.DUMMYFUNCTION("""COMPUTED_VALUE"""),0.626111111111111)</f>
        <v>0.6261111111</v>
      </c>
      <c r="AF21" s="33">
        <f>IFERROR(__xludf.DUMMYFUNCTION("""COMPUTED_VALUE"""),23.0)</f>
        <v>23</v>
      </c>
    </row>
    <row r="22">
      <c r="A22" s="49">
        <f>IFERROR(__xludf.DUMMYFUNCTION("""COMPUTED_VALUE"""),46153.0)</f>
        <v>46153</v>
      </c>
      <c r="B22" s="33" t="str">
        <f>IFERROR(__xludf.DUMMYFUNCTION("""COMPUTED_VALUE"""),"bb6f447c782519839d8793fda0d35f90bad4421a")</f>
        <v>bb6f447c782519839d8793fda0d35f90bad4421a</v>
      </c>
      <c r="C22" s="33" t="str">
        <f>IFERROR(__xludf.DUMMYFUNCTION("""COMPUTED_VALUE"""),"Ruthless")</f>
        <v>Ruthless</v>
      </c>
      <c r="D22" s="33">
        <f>IFERROR(__xludf.DUMMYFUNCTION("""COMPUTED_VALUE"""),0.0)</f>
        <v>0</v>
      </c>
      <c r="E22" s="33">
        <f>IFERROR(__xludf.DUMMYFUNCTION("""COMPUTED_VALUE"""),1.0)</f>
        <v>1</v>
      </c>
      <c r="F22" s="33">
        <f>IFERROR(__xludf.DUMMYFUNCTION("""COMPUTED_VALUE"""),0.0)</f>
        <v>0</v>
      </c>
      <c r="G22" s="33">
        <f>IFERROR(__xludf.DUMMYFUNCTION("""COMPUTED_VALUE"""),0.0)</f>
        <v>0</v>
      </c>
      <c r="H22" s="33">
        <f>IFERROR(__xludf.DUMMYFUNCTION("""COMPUTED_VALUE"""),5.0)</f>
        <v>5</v>
      </c>
      <c r="I22" s="33">
        <f>IFERROR(__xludf.DUMMYFUNCTION("""COMPUTED_VALUE"""),5.0)</f>
        <v>5</v>
      </c>
      <c r="J22" s="33">
        <f>IFERROR(__xludf.DUMMYFUNCTION("""COMPUTED_VALUE"""),5.0)</f>
        <v>5</v>
      </c>
      <c r="K22" s="33">
        <f>IFERROR(__xludf.DUMMYFUNCTION("""COMPUTED_VALUE"""),1.0)</f>
        <v>1</v>
      </c>
      <c r="L22" s="33">
        <f>IFERROR(__xludf.DUMMYFUNCTION("""COMPUTED_VALUE"""),0.0)</f>
        <v>0</v>
      </c>
      <c r="M22" s="33">
        <f>IFERROR(__xludf.DUMMYFUNCTION("""COMPUTED_VALUE"""),4.0)</f>
        <v>4</v>
      </c>
      <c r="N22" s="33">
        <f>IFERROR(__xludf.DUMMYFUNCTION("""COMPUTED_VALUE"""),3.0)</f>
        <v>3</v>
      </c>
      <c r="O22" s="33">
        <f>IFERROR(__xludf.DUMMYFUNCTION("""COMPUTED_VALUE"""),3.0)</f>
        <v>3</v>
      </c>
      <c r="P22" s="33">
        <f>IFERROR(__xludf.DUMMYFUNCTION("""COMPUTED_VALUE"""),3.0)</f>
        <v>3</v>
      </c>
      <c r="Q22" s="33">
        <f>IFERROR(__xludf.DUMMYFUNCTION("""COMPUTED_VALUE"""),0.0)</f>
        <v>0</v>
      </c>
      <c r="R22" s="33">
        <f>IFERROR(__xludf.DUMMYFUNCTION("""COMPUTED_VALUE"""),0.0)</f>
        <v>0</v>
      </c>
      <c r="S22" s="33">
        <f>IFERROR(__xludf.DUMMYFUNCTION("""COMPUTED_VALUE"""),1964.0)</f>
        <v>1964</v>
      </c>
      <c r="T22" s="33">
        <f>IFERROR(__xludf.DUMMYFUNCTION("""COMPUTED_VALUE"""),1.54527777777777)</f>
        <v>1.545277778</v>
      </c>
      <c r="U22" s="33">
        <f>IFERROR(__xludf.DUMMYFUNCTION("""COMPUTED_VALUE"""),0.0)</f>
        <v>0</v>
      </c>
      <c r="V22" s="33">
        <f>IFERROR(__xludf.DUMMYFUNCTION("""COMPUTED_VALUE"""),0.0)</f>
        <v>0</v>
      </c>
      <c r="W22" s="33">
        <f>IFERROR(__xludf.DUMMYFUNCTION("""COMPUTED_VALUE"""),0.956111111111111)</f>
        <v>0.9561111111</v>
      </c>
      <c r="X22" s="33">
        <f>IFERROR(__xludf.DUMMYFUNCTION("""COMPUTED_VALUE"""),0.956111111111111)</f>
        <v>0.9561111111</v>
      </c>
      <c r="Y22" s="33">
        <f>IFERROR(__xludf.DUMMYFUNCTION("""COMPUTED_VALUE"""),0.977777777777777)</f>
        <v>0.9777777778</v>
      </c>
      <c r="Z22" s="33">
        <f>IFERROR(__xludf.DUMMYFUNCTION("""COMPUTED_VALUE"""),0.201388888888888)</f>
        <v>0.2013888889</v>
      </c>
      <c r="AA22" s="33">
        <f>IFERROR(__xludf.DUMMYFUNCTION("""COMPUTED_VALUE"""),0.0)</f>
        <v>0</v>
      </c>
      <c r="AB22" s="33">
        <f>IFERROR(__xludf.DUMMYFUNCTION("""COMPUTED_VALUE"""),0.817222222222222)</f>
        <v>0.8172222222</v>
      </c>
      <c r="AC22" s="33">
        <f>IFERROR(__xludf.DUMMYFUNCTION("""COMPUTED_VALUE"""),0.632777777777777)</f>
        <v>0.6327777778</v>
      </c>
      <c r="AD22" s="33">
        <f>IFERROR(__xludf.DUMMYFUNCTION("""COMPUTED_VALUE"""),0.656666666666666)</f>
        <v>0.6566666667</v>
      </c>
      <c r="AE22" s="33">
        <f>IFERROR(__xludf.DUMMYFUNCTION("""COMPUTED_VALUE"""),0.632777777777777)</f>
        <v>0.6327777778</v>
      </c>
      <c r="AF22" s="33">
        <f>IFERROR(__xludf.DUMMYFUNCTION("""COMPUTED_VALUE"""),8.0)</f>
        <v>8</v>
      </c>
    </row>
    <row r="23">
      <c r="A23" s="49">
        <f>IFERROR(__xludf.DUMMYFUNCTION("""COMPUTED_VALUE"""),46153.0)</f>
        <v>46153</v>
      </c>
      <c r="B23" s="33" t="str">
        <f>IFERROR(__xludf.DUMMYFUNCTION("""COMPUTED_VALUE"""),"c6ddafe0c1c28e76700ec68e65063945a05ee155")</f>
        <v>c6ddafe0c1c28e76700ec68e65063945a05ee155</v>
      </c>
      <c r="C23" s="33" t="str">
        <f>IFERROR(__xludf.DUMMYFUNCTION("""COMPUTED_VALUE"""),"Reborn to Rule Production Show_id")</f>
        <v>Reborn to Rule Production Show_id</v>
      </c>
      <c r="D23" s="33">
        <f>IFERROR(__xludf.DUMMYFUNCTION("""COMPUTED_VALUE"""),6.0)</f>
        <v>6</v>
      </c>
      <c r="E23" s="33">
        <f>IFERROR(__xludf.DUMMYFUNCTION("""COMPUTED_VALUE"""),3.0)</f>
        <v>3</v>
      </c>
      <c r="F23" s="33">
        <f>IFERROR(__xludf.DUMMYFUNCTION("""COMPUTED_VALUE"""),0.0)</f>
        <v>0</v>
      </c>
      <c r="G23" s="33">
        <f>IFERROR(__xludf.DUMMYFUNCTION("""COMPUTED_VALUE"""),0.0)</f>
        <v>0</v>
      </c>
      <c r="H23" s="33">
        <f>IFERROR(__xludf.DUMMYFUNCTION("""COMPUTED_VALUE"""),0.0)</f>
        <v>0</v>
      </c>
      <c r="I23" s="33">
        <f>IFERROR(__xludf.DUMMYFUNCTION("""COMPUTED_VALUE"""),0.0)</f>
        <v>0</v>
      </c>
      <c r="J23" s="33">
        <f>IFERROR(__xludf.DUMMYFUNCTION("""COMPUTED_VALUE"""),0.0)</f>
        <v>0</v>
      </c>
      <c r="K23" s="33">
        <f>IFERROR(__xludf.DUMMYFUNCTION("""COMPUTED_VALUE"""),0.0)</f>
        <v>0</v>
      </c>
      <c r="L23" s="33">
        <f>IFERROR(__xludf.DUMMYFUNCTION("""COMPUTED_VALUE"""),0.0)</f>
        <v>0</v>
      </c>
      <c r="M23" s="33">
        <f>IFERROR(__xludf.DUMMYFUNCTION("""COMPUTED_VALUE"""),3.0)</f>
        <v>3</v>
      </c>
      <c r="N23" s="33">
        <f>IFERROR(__xludf.DUMMYFUNCTION("""COMPUTED_VALUE"""),0.0)</f>
        <v>0</v>
      </c>
      <c r="O23" s="33">
        <f>IFERROR(__xludf.DUMMYFUNCTION("""COMPUTED_VALUE"""),2.0)</f>
        <v>2</v>
      </c>
      <c r="P23" s="33">
        <f>IFERROR(__xludf.DUMMYFUNCTION("""COMPUTED_VALUE"""),0.0)</f>
        <v>0</v>
      </c>
      <c r="Q23" s="33">
        <f>IFERROR(__xludf.DUMMYFUNCTION("""COMPUTED_VALUE"""),0.0)</f>
        <v>0</v>
      </c>
      <c r="R23" s="33">
        <f>IFERROR(__xludf.DUMMYFUNCTION("""COMPUTED_VALUE"""),13415.0)</f>
        <v>13415</v>
      </c>
      <c r="S23" s="33">
        <f>IFERROR(__xludf.DUMMYFUNCTION("""COMPUTED_VALUE"""),7056.0)</f>
        <v>7056</v>
      </c>
      <c r="T23" s="33">
        <f>IFERROR(__xludf.DUMMYFUNCTION("""COMPUTED_VALUE"""),0.834166666666666)</f>
        <v>0.8341666667</v>
      </c>
      <c r="U23" s="33">
        <f>IFERROR(__xludf.DUMMYFUNCTION("""COMPUTED_VALUE"""),0.0)</f>
        <v>0</v>
      </c>
      <c r="V23" s="33">
        <f>IFERROR(__xludf.DUMMYFUNCTION("""COMPUTED_VALUE"""),0.0)</f>
        <v>0</v>
      </c>
      <c r="W23" s="33">
        <f>IFERROR(__xludf.DUMMYFUNCTION("""COMPUTED_VALUE"""),0.0)</f>
        <v>0</v>
      </c>
      <c r="X23" s="33">
        <f>IFERROR(__xludf.DUMMYFUNCTION("""COMPUTED_VALUE"""),0.0)</f>
        <v>0</v>
      </c>
      <c r="Y23" s="33">
        <f>IFERROR(__xludf.DUMMYFUNCTION("""COMPUTED_VALUE"""),0.0)</f>
        <v>0</v>
      </c>
      <c r="Z23" s="33">
        <f>IFERROR(__xludf.DUMMYFUNCTION("""COMPUTED_VALUE"""),0.0)</f>
        <v>0</v>
      </c>
      <c r="AA23" s="33">
        <f>IFERROR(__xludf.DUMMYFUNCTION("""COMPUTED_VALUE"""),0.0)</f>
        <v>0</v>
      </c>
      <c r="AB23" s="33">
        <f>IFERROR(__xludf.DUMMYFUNCTION("""COMPUTED_VALUE"""),0.831944444444444)</f>
        <v>0.8319444444</v>
      </c>
      <c r="AC23" s="33">
        <f>IFERROR(__xludf.DUMMYFUNCTION("""COMPUTED_VALUE"""),0.0)</f>
        <v>0</v>
      </c>
      <c r="AD23" s="33">
        <f>IFERROR(__xludf.DUMMYFUNCTION("""COMPUTED_VALUE"""),0.454444444444444)</f>
        <v>0.4544444444</v>
      </c>
      <c r="AE23" s="33">
        <f>IFERROR(__xludf.DUMMYFUNCTION("""COMPUTED_VALUE"""),0.0)</f>
        <v>0</v>
      </c>
      <c r="AF23" s="33">
        <f>IFERROR(__xludf.DUMMYFUNCTION("""COMPUTED_VALUE"""),3.0)</f>
        <v>3</v>
      </c>
    </row>
    <row r="24">
      <c r="A24" s="49">
        <f>IFERROR(__xludf.DUMMYFUNCTION("""COMPUTED_VALUE"""),46153.0)</f>
        <v>46153</v>
      </c>
      <c r="B24" s="33" t="str">
        <f>IFERROR(__xludf.DUMMYFUNCTION("""COMPUTED_VALUE"""),"dbbc7f35e9eb33b7562f0fd82896e827101bf13c")</f>
        <v>dbbc7f35e9eb33b7562f0fd82896e827101bf13c</v>
      </c>
      <c r="C24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4" s="33">
        <f>IFERROR(__xludf.DUMMYFUNCTION("""COMPUTED_VALUE"""),0.0)</f>
        <v>0</v>
      </c>
      <c r="E24" s="33">
        <f>IFERROR(__xludf.DUMMYFUNCTION("""COMPUTED_VALUE"""),0.0)</f>
        <v>0</v>
      </c>
      <c r="F24" s="33">
        <f>IFERROR(__xludf.DUMMYFUNCTION("""COMPUTED_VALUE"""),0.0)</f>
        <v>0</v>
      </c>
      <c r="G24" s="33">
        <f>IFERROR(__xludf.DUMMYFUNCTION("""COMPUTED_VALUE"""),0.0)</f>
        <v>0</v>
      </c>
      <c r="H24" s="33">
        <f>IFERROR(__xludf.DUMMYFUNCTION("""COMPUTED_VALUE"""),0.0)</f>
        <v>0</v>
      </c>
      <c r="I24" s="33">
        <f>IFERROR(__xludf.DUMMYFUNCTION("""COMPUTED_VALUE"""),0.0)</f>
        <v>0</v>
      </c>
      <c r="J24" s="33">
        <f>IFERROR(__xludf.DUMMYFUNCTION("""COMPUTED_VALUE"""),0.0)</f>
        <v>0</v>
      </c>
      <c r="K24" s="33">
        <f>IFERROR(__xludf.DUMMYFUNCTION("""COMPUTED_VALUE"""),0.0)</f>
        <v>0</v>
      </c>
      <c r="L24" s="33">
        <f>IFERROR(__xludf.DUMMYFUNCTION("""COMPUTED_VALUE"""),0.0)</f>
        <v>0</v>
      </c>
      <c r="M24" s="33">
        <f>IFERROR(__xludf.DUMMYFUNCTION("""COMPUTED_VALUE"""),0.0)</f>
        <v>0</v>
      </c>
      <c r="N24" s="33">
        <f>IFERROR(__xludf.DUMMYFUNCTION("""COMPUTED_VALUE"""),0.0)</f>
        <v>0</v>
      </c>
      <c r="O24" s="33">
        <f>IFERROR(__xludf.DUMMYFUNCTION("""COMPUTED_VALUE"""),3.0)</f>
        <v>3</v>
      </c>
      <c r="P24" s="33">
        <f>IFERROR(__xludf.DUMMYFUNCTION("""COMPUTED_VALUE"""),12.0)</f>
        <v>12</v>
      </c>
      <c r="Q24" s="33">
        <f>IFERROR(__xludf.DUMMYFUNCTION("""COMPUTED_VALUE"""),0.0)</f>
        <v>0</v>
      </c>
      <c r="R24" s="33">
        <f>IFERROR(__xludf.DUMMYFUNCTION("""COMPUTED_VALUE"""),0.0)</f>
        <v>0</v>
      </c>
      <c r="S24" s="33">
        <f>IFERROR(__xludf.DUMMYFUNCTION("""COMPUTED_VALUE"""),0.0)</f>
        <v>0</v>
      </c>
      <c r="T24" s="33">
        <f>IFERROR(__xludf.DUMMYFUNCTION("""COMPUTED_VALUE"""),0.0)</f>
        <v>0</v>
      </c>
      <c r="U24" s="33">
        <f>IFERROR(__xludf.DUMMYFUNCTION("""COMPUTED_VALUE"""),0.0)</f>
        <v>0</v>
      </c>
      <c r="V24" s="33">
        <f>IFERROR(__xludf.DUMMYFUNCTION("""COMPUTED_VALUE"""),0.0)</f>
        <v>0</v>
      </c>
      <c r="W24" s="33">
        <f>IFERROR(__xludf.DUMMYFUNCTION("""COMPUTED_VALUE"""),0.0)</f>
        <v>0</v>
      </c>
      <c r="X24" s="33">
        <f>IFERROR(__xludf.DUMMYFUNCTION("""COMPUTED_VALUE"""),0.0)</f>
        <v>0</v>
      </c>
      <c r="Y24" s="33">
        <f>IFERROR(__xludf.DUMMYFUNCTION("""COMPUTED_VALUE"""),0.0)</f>
        <v>0</v>
      </c>
      <c r="Z24" s="33">
        <f>IFERROR(__xludf.DUMMYFUNCTION("""COMPUTED_VALUE"""),0.0)</f>
        <v>0</v>
      </c>
      <c r="AA24" s="33">
        <f>IFERROR(__xludf.DUMMYFUNCTION("""COMPUTED_VALUE"""),0.0)</f>
        <v>0</v>
      </c>
      <c r="AB24" s="33">
        <f>IFERROR(__xludf.DUMMYFUNCTION("""COMPUTED_VALUE"""),0.0)</f>
        <v>0</v>
      </c>
      <c r="AC24" s="33">
        <f>IFERROR(__xludf.DUMMYFUNCTION("""COMPUTED_VALUE"""),0.0)</f>
        <v>0</v>
      </c>
      <c r="AD24" s="33">
        <f>IFERROR(__xludf.DUMMYFUNCTION("""COMPUTED_VALUE"""),0.545)</f>
        <v>0.545</v>
      </c>
      <c r="AE24" s="33">
        <f>IFERROR(__xludf.DUMMYFUNCTION("""COMPUTED_VALUE"""),2.91138888888888)</f>
        <v>2.911388889</v>
      </c>
      <c r="AF24" s="33">
        <f>IFERROR(__xludf.DUMMYFUNCTION("""COMPUTED_VALUE"""),0.0)</f>
        <v>0</v>
      </c>
    </row>
    <row r="25">
      <c r="A25" s="49">
        <f>IFERROR(__xludf.DUMMYFUNCTION("""COMPUTED_VALUE"""),46153.0)</f>
        <v>46153</v>
      </c>
      <c r="B25" s="33" t="str">
        <f>IFERROR(__xludf.DUMMYFUNCTION("""COMPUTED_VALUE"""),"e493cee863483a057af12de782cd20043a19ed05")</f>
        <v>e493cee863483a057af12de782cd20043a19ed05</v>
      </c>
      <c r="C25" s="33" t="str">
        <f>IFERROR(__xludf.DUMMYFUNCTION("""COMPUTED_VALUE"""),"Malang")</f>
        <v>Malang</v>
      </c>
      <c r="D25" s="33">
        <f>IFERROR(__xludf.DUMMYFUNCTION("""COMPUTED_VALUE"""),0.0)</f>
        <v>0</v>
      </c>
      <c r="E25" s="33">
        <f>IFERROR(__xludf.DUMMYFUNCTION("""COMPUTED_VALUE"""),30.0)</f>
        <v>30</v>
      </c>
      <c r="F25" s="33">
        <f>IFERROR(__xludf.DUMMYFUNCTION("""COMPUTED_VALUE"""),0.0)</f>
        <v>0</v>
      </c>
      <c r="G25" s="33">
        <f>IFERROR(__xludf.DUMMYFUNCTION("""COMPUTED_VALUE"""),0.0)</f>
        <v>0</v>
      </c>
      <c r="H25" s="33">
        <f>IFERROR(__xludf.DUMMYFUNCTION("""COMPUTED_VALUE"""),0.0)</f>
        <v>0</v>
      </c>
      <c r="I25" s="33">
        <f>IFERROR(__xludf.DUMMYFUNCTION("""COMPUTED_VALUE"""),0.0)</f>
        <v>0</v>
      </c>
      <c r="J25" s="33">
        <f>IFERROR(__xludf.DUMMYFUNCTION("""COMPUTED_VALUE"""),0.0)</f>
        <v>0</v>
      </c>
      <c r="K25" s="33">
        <f>IFERROR(__xludf.DUMMYFUNCTION("""COMPUTED_VALUE"""),0.0)</f>
        <v>0</v>
      </c>
      <c r="L25" s="33">
        <f>IFERROR(__xludf.DUMMYFUNCTION("""COMPUTED_VALUE"""),0.0)</f>
        <v>0</v>
      </c>
      <c r="M25" s="33">
        <f>IFERROR(__xludf.DUMMYFUNCTION("""COMPUTED_VALUE"""),0.0)</f>
        <v>0</v>
      </c>
      <c r="N25" s="33">
        <f>IFERROR(__xludf.DUMMYFUNCTION("""COMPUTED_VALUE"""),30.0)</f>
        <v>30</v>
      </c>
      <c r="O25" s="33">
        <f>IFERROR(__xludf.DUMMYFUNCTION("""COMPUTED_VALUE"""),3.0)</f>
        <v>3</v>
      </c>
      <c r="P25" s="33">
        <f>IFERROR(__xludf.DUMMYFUNCTION("""COMPUTED_VALUE"""),30.0)</f>
        <v>30</v>
      </c>
      <c r="Q25" s="33">
        <f>IFERROR(__xludf.DUMMYFUNCTION("""COMPUTED_VALUE"""),0.0)</f>
        <v>0</v>
      </c>
      <c r="R25" s="33">
        <f>IFERROR(__xludf.DUMMYFUNCTION("""COMPUTED_VALUE"""),0.0)</f>
        <v>0</v>
      </c>
      <c r="S25" s="33">
        <f>IFERROR(__xludf.DUMMYFUNCTION("""COMPUTED_VALUE"""),77689.0)</f>
        <v>77689</v>
      </c>
      <c r="T25" s="33">
        <f>IFERROR(__xludf.DUMMYFUNCTION("""COMPUTED_VALUE"""),0.0)</f>
        <v>0</v>
      </c>
      <c r="U25" s="33">
        <f>IFERROR(__xludf.DUMMYFUNCTION("""COMPUTED_VALUE"""),0.0)</f>
        <v>0</v>
      </c>
      <c r="V25" s="33">
        <f>IFERROR(__xludf.DUMMYFUNCTION("""COMPUTED_VALUE"""),0.0)</f>
        <v>0</v>
      </c>
      <c r="W25" s="33">
        <f>IFERROR(__xludf.DUMMYFUNCTION("""COMPUTED_VALUE"""),0.0)</f>
        <v>0</v>
      </c>
      <c r="X25" s="33">
        <f>IFERROR(__xludf.DUMMYFUNCTION("""COMPUTED_VALUE"""),0.0)</f>
        <v>0</v>
      </c>
      <c r="Y25" s="33">
        <f>IFERROR(__xludf.DUMMYFUNCTION("""COMPUTED_VALUE"""),0.0)</f>
        <v>0</v>
      </c>
      <c r="Z25" s="33">
        <f>IFERROR(__xludf.DUMMYFUNCTION("""COMPUTED_VALUE"""),0.0)</f>
        <v>0</v>
      </c>
      <c r="AA25" s="33">
        <f>IFERROR(__xludf.DUMMYFUNCTION("""COMPUTED_VALUE"""),0.0)</f>
        <v>0</v>
      </c>
      <c r="AB25" s="33">
        <f>IFERROR(__xludf.DUMMYFUNCTION("""COMPUTED_VALUE"""),0.0)</f>
        <v>0</v>
      </c>
      <c r="AC25" s="33">
        <f>IFERROR(__xludf.DUMMYFUNCTION("""COMPUTED_VALUE"""),7.02611111111111)</f>
        <v>7.026111111</v>
      </c>
      <c r="AD25" s="33">
        <f>IFERROR(__xludf.DUMMYFUNCTION("""COMPUTED_VALUE"""),0.601111111111111)</f>
        <v>0.6011111111</v>
      </c>
      <c r="AE25" s="33">
        <f>IFERROR(__xludf.DUMMYFUNCTION("""COMPUTED_VALUE"""),7.02611111111111)</f>
        <v>7.026111111</v>
      </c>
      <c r="AF25" s="33">
        <f>IFERROR(__xludf.DUMMYFUNCTION("""COMPUTED_VALUE"""),0.0)</f>
        <v>0</v>
      </c>
    </row>
    <row r="26">
      <c r="A26" s="49">
        <f>IFERROR(__xludf.DUMMYFUNCTION("""COMPUTED_VALUE"""),46153.0)</f>
        <v>46153</v>
      </c>
      <c r="B26" s="33" t="str">
        <f>IFERROR(__xludf.DUMMYFUNCTION("""COMPUTED_VALUE"""),"f43f4253dc3c596ff8f2e3cc9f3b677981a70310")</f>
        <v>f43f4253dc3c596ff8f2e3cc9f3b677981a70310</v>
      </c>
      <c r="C26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6" s="33">
        <f>IFERROR(__xludf.DUMMYFUNCTION("""COMPUTED_VALUE"""),4.0)</f>
        <v>4</v>
      </c>
      <c r="E26" s="33">
        <f>IFERROR(__xludf.DUMMYFUNCTION("""COMPUTED_VALUE"""),4.0)</f>
        <v>4</v>
      </c>
      <c r="F26" s="33">
        <f>IFERROR(__xludf.DUMMYFUNCTION("""COMPUTED_VALUE"""),0.0)</f>
        <v>0</v>
      </c>
      <c r="G26" s="33">
        <f>IFERROR(__xludf.DUMMYFUNCTION("""COMPUTED_VALUE"""),0.0)</f>
        <v>0</v>
      </c>
      <c r="H26" s="33">
        <f>IFERROR(__xludf.DUMMYFUNCTION("""COMPUTED_VALUE"""),0.0)</f>
        <v>0</v>
      </c>
      <c r="I26" s="33">
        <f>IFERROR(__xludf.DUMMYFUNCTION("""COMPUTED_VALUE"""),0.0)</f>
        <v>0</v>
      </c>
      <c r="J26" s="33">
        <f>IFERROR(__xludf.DUMMYFUNCTION("""COMPUTED_VALUE"""),0.0)</f>
        <v>0</v>
      </c>
      <c r="K26" s="33">
        <f>IFERROR(__xludf.DUMMYFUNCTION("""COMPUTED_VALUE"""),0.0)</f>
        <v>0</v>
      </c>
      <c r="L26" s="33">
        <f>IFERROR(__xludf.DUMMYFUNCTION("""COMPUTED_VALUE"""),0.0)</f>
        <v>0</v>
      </c>
      <c r="M26" s="33">
        <f>IFERROR(__xludf.DUMMYFUNCTION("""COMPUTED_VALUE"""),0.0)</f>
        <v>0</v>
      </c>
      <c r="N26" s="33">
        <f>IFERROR(__xludf.DUMMYFUNCTION("""COMPUTED_VALUE"""),4.0)</f>
        <v>4</v>
      </c>
      <c r="O26" s="33">
        <f>IFERROR(__xludf.DUMMYFUNCTION("""COMPUTED_VALUE"""),2.0)</f>
        <v>2</v>
      </c>
      <c r="P26" s="33">
        <f>IFERROR(__xludf.DUMMYFUNCTION("""COMPUTED_VALUE"""),4.0)</f>
        <v>4</v>
      </c>
      <c r="Q26" s="33">
        <f>IFERROR(__xludf.DUMMYFUNCTION("""COMPUTED_VALUE"""),0.0)</f>
        <v>0</v>
      </c>
      <c r="R26" s="33">
        <f>IFERROR(__xludf.DUMMYFUNCTION("""COMPUTED_VALUE"""),10512.0)</f>
        <v>10512</v>
      </c>
      <c r="S26" s="33">
        <f>IFERROR(__xludf.DUMMYFUNCTION("""COMPUTED_VALUE"""),10512.0)</f>
        <v>10512</v>
      </c>
      <c r="T26" s="33">
        <f>IFERROR(__xludf.DUMMYFUNCTION("""COMPUTED_VALUE"""),0.0)</f>
        <v>0</v>
      </c>
      <c r="U26" s="33">
        <f>IFERROR(__xludf.DUMMYFUNCTION("""COMPUTED_VALUE"""),0.0)</f>
        <v>0</v>
      </c>
      <c r="V26" s="33">
        <f>IFERROR(__xludf.DUMMYFUNCTION("""COMPUTED_VALUE"""),0.0)</f>
        <v>0</v>
      </c>
      <c r="W26" s="33">
        <f>IFERROR(__xludf.DUMMYFUNCTION("""COMPUTED_VALUE"""),0.0)</f>
        <v>0</v>
      </c>
      <c r="X26" s="33">
        <f>IFERROR(__xludf.DUMMYFUNCTION("""COMPUTED_VALUE"""),0.0)</f>
        <v>0</v>
      </c>
      <c r="Y26" s="33">
        <f>IFERROR(__xludf.DUMMYFUNCTION("""COMPUTED_VALUE"""),0.0)</f>
        <v>0</v>
      </c>
      <c r="Z26" s="33">
        <f>IFERROR(__xludf.DUMMYFUNCTION("""COMPUTED_VALUE"""),0.0)</f>
        <v>0</v>
      </c>
      <c r="AA26" s="33">
        <f>IFERROR(__xludf.DUMMYFUNCTION("""COMPUTED_VALUE"""),0.0)</f>
        <v>0</v>
      </c>
      <c r="AB26" s="33">
        <f>IFERROR(__xludf.DUMMYFUNCTION("""COMPUTED_VALUE"""),0.0)</f>
        <v>0</v>
      </c>
      <c r="AC26" s="33">
        <f>IFERROR(__xludf.DUMMYFUNCTION("""COMPUTED_VALUE"""),0.0)</f>
        <v>0</v>
      </c>
      <c r="AD26" s="33">
        <f>IFERROR(__xludf.DUMMYFUNCTION("""COMPUTED_VALUE"""),0.501388888888888)</f>
        <v>0.5013888889</v>
      </c>
      <c r="AE26" s="33">
        <f>IFERROR(__xludf.DUMMYFUNCTION("""COMPUTED_VALUE"""),1.05388888888888)</f>
        <v>1.053888889</v>
      </c>
      <c r="AF26" s="33">
        <f>IFERROR(__xludf.DUMMYFUNCTION("""COMPUTED_VALUE"""),0.0)</f>
        <v>0</v>
      </c>
    </row>
    <row r="27">
      <c r="A27" s="49">
        <f>IFERROR(__xludf.DUMMYFUNCTION("""COMPUTED_VALUE"""),46153.0)</f>
        <v>46153</v>
      </c>
      <c r="B27" s="33" t="str">
        <f>IFERROR(__xludf.DUMMYFUNCTION("""COMPUTED_VALUE"""),"f8fbcb9a13d17d5888164fffc1bbb7cd5c6608b2")</f>
        <v>f8fbcb9a13d17d5888164fffc1bbb7cd5c6608b2</v>
      </c>
      <c r="C27" s="33" t="str">
        <f>IFERROR(__xludf.DUMMYFUNCTION("""COMPUTED_VALUE"""),"Empire of Hidden King | Author - Nitesh")</f>
        <v>Empire of Hidden King | Author - Nitesh</v>
      </c>
      <c r="D27" s="33">
        <f>IFERROR(__xludf.DUMMYFUNCTION("""COMPUTED_VALUE"""),0.0)</f>
        <v>0</v>
      </c>
      <c r="E27" s="33">
        <f>IFERROR(__xludf.DUMMYFUNCTION("""COMPUTED_VALUE"""),0.0)</f>
        <v>0</v>
      </c>
      <c r="F27" s="33">
        <f>IFERROR(__xludf.DUMMYFUNCTION("""COMPUTED_VALUE"""),0.0)</f>
        <v>0</v>
      </c>
      <c r="G27" s="33">
        <f>IFERROR(__xludf.DUMMYFUNCTION("""COMPUTED_VALUE"""),0.0)</f>
        <v>0</v>
      </c>
      <c r="H27" s="33">
        <f>IFERROR(__xludf.DUMMYFUNCTION("""COMPUTED_VALUE"""),0.0)</f>
        <v>0</v>
      </c>
      <c r="I27" s="33">
        <f>IFERROR(__xludf.DUMMYFUNCTION("""COMPUTED_VALUE"""),0.0)</f>
        <v>0</v>
      </c>
      <c r="J27" s="33">
        <f>IFERROR(__xludf.DUMMYFUNCTION("""COMPUTED_VALUE"""),0.0)</f>
        <v>0</v>
      </c>
      <c r="K27" s="33">
        <f>IFERROR(__xludf.DUMMYFUNCTION("""COMPUTED_VALUE"""),0.0)</f>
        <v>0</v>
      </c>
      <c r="L27" s="33">
        <f>IFERROR(__xludf.DUMMYFUNCTION("""COMPUTED_VALUE"""),0.0)</f>
        <v>0</v>
      </c>
      <c r="M27" s="33">
        <f>IFERROR(__xludf.DUMMYFUNCTION("""COMPUTED_VALUE"""),0.0)</f>
        <v>0</v>
      </c>
      <c r="N27" s="33">
        <f>IFERROR(__xludf.DUMMYFUNCTION("""COMPUTED_VALUE"""),7.0)</f>
        <v>7</v>
      </c>
      <c r="O27" s="33">
        <f>IFERROR(__xludf.DUMMYFUNCTION("""COMPUTED_VALUE"""),0.0)</f>
        <v>0</v>
      </c>
      <c r="P27" s="33">
        <f>IFERROR(__xludf.DUMMYFUNCTION("""COMPUTED_VALUE"""),7.0)</f>
        <v>7</v>
      </c>
      <c r="Q27" s="33">
        <f>IFERROR(__xludf.DUMMYFUNCTION("""COMPUTED_VALUE"""),0.0)</f>
        <v>0</v>
      </c>
      <c r="R27" s="33">
        <f>IFERROR(__xludf.DUMMYFUNCTION("""COMPUTED_VALUE"""),0.0)</f>
        <v>0</v>
      </c>
      <c r="S27" s="33">
        <f>IFERROR(__xludf.DUMMYFUNCTION("""COMPUTED_VALUE"""),0.0)</f>
        <v>0</v>
      </c>
      <c r="T27" s="33">
        <f>IFERROR(__xludf.DUMMYFUNCTION("""COMPUTED_VALUE"""),0.0)</f>
        <v>0</v>
      </c>
      <c r="U27" s="33">
        <f>IFERROR(__xludf.DUMMYFUNCTION("""COMPUTED_VALUE"""),0.0)</f>
        <v>0</v>
      </c>
      <c r="V27" s="33">
        <f>IFERROR(__xludf.DUMMYFUNCTION("""COMPUTED_VALUE"""),0.0)</f>
        <v>0</v>
      </c>
      <c r="W27" s="33">
        <f>IFERROR(__xludf.DUMMYFUNCTION("""COMPUTED_VALUE"""),0.0)</f>
        <v>0</v>
      </c>
      <c r="X27" s="33">
        <f>IFERROR(__xludf.DUMMYFUNCTION("""COMPUTED_VALUE"""),0.0)</f>
        <v>0</v>
      </c>
      <c r="Y27" s="33">
        <f>IFERROR(__xludf.DUMMYFUNCTION("""COMPUTED_VALUE"""),0.0)</f>
        <v>0</v>
      </c>
      <c r="Z27" s="33">
        <f>IFERROR(__xludf.DUMMYFUNCTION("""COMPUTED_VALUE"""),0.0)</f>
        <v>0</v>
      </c>
      <c r="AA27" s="33">
        <f>IFERROR(__xludf.DUMMYFUNCTION("""COMPUTED_VALUE"""),0.0)</f>
        <v>0</v>
      </c>
      <c r="AB27" s="33">
        <f>IFERROR(__xludf.DUMMYFUNCTION("""COMPUTED_VALUE"""),0.0)</f>
        <v>0</v>
      </c>
      <c r="AC27" s="33">
        <f>IFERROR(__xludf.DUMMYFUNCTION("""COMPUTED_VALUE"""),1.99777777777777)</f>
        <v>1.997777778</v>
      </c>
      <c r="AD27" s="33">
        <f>IFERROR(__xludf.DUMMYFUNCTION("""COMPUTED_VALUE"""),0.0)</f>
        <v>0</v>
      </c>
      <c r="AE27" s="33">
        <f>IFERROR(__xludf.DUMMYFUNCTION("""COMPUTED_VALUE"""),1.99777777777777)</f>
        <v>1.997777778</v>
      </c>
      <c r="AF27" s="33">
        <f>IFERROR(__xludf.DUMMYFUNCTION("""COMPUTED_VALUE"""),0.0)</f>
        <v>0</v>
      </c>
    </row>
    <row r="28">
      <c r="A28" s="49">
        <f>IFERROR(__xludf.DUMMYFUNCTION("""COMPUTED_VALUE"""),46146.0)</f>
        <v>46146</v>
      </c>
      <c r="B28" s="33" t="str">
        <f>IFERROR(__xludf.DUMMYFUNCTION("""COMPUTED_VALUE"""),"017fddbaa7617afdd8289be5c433df09dcde1da2")</f>
        <v>017fddbaa7617afdd8289be5c433df09dcde1da2</v>
      </c>
      <c r="C28" s="33" t="str">
        <f>IFERROR(__xludf.DUMMYFUNCTION("""COMPUTED_VALUE"""),"His Secret Fortune - Production Show_id")</f>
        <v>His Secret Fortune - Production Show_id</v>
      </c>
      <c r="D28" s="33">
        <f>IFERROR(__xludf.DUMMYFUNCTION("""COMPUTED_VALUE"""),23.0)</f>
        <v>23</v>
      </c>
      <c r="E28" s="33">
        <f>IFERROR(__xludf.DUMMYFUNCTION("""COMPUTED_VALUE"""),14.0)</f>
        <v>14</v>
      </c>
      <c r="F28" s="33">
        <f>IFERROR(__xludf.DUMMYFUNCTION("""COMPUTED_VALUE"""),24.0)</f>
        <v>24</v>
      </c>
      <c r="G28" s="33">
        <f>IFERROR(__xludf.DUMMYFUNCTION("""COMPUTED_VALUE"""),22.0)</f>
        <v>22</v>
      </c>
      <c r="H28" s="33">
        <f>IFERROR(__xludf.DUMMYFUNCTION("""COMPUTED_VALUE"""),25.0)</f>
        <v>25</v>
      </c>
      <c r="I28" s="33">
        <f>IFERROR(__xludf.DUMMYFUNCTION("""COMPUTED_VALUE"""),3.0)</f>
        <v>3</v>
      </c>
      <c r="J28" s="33">
        <f>IFERROR(__xludf.DUMMYFUNCTION("""COMPUTED_VALUE"""),25.0)</f>
        <v>25</v>
      </c>
      <c r="K28" s="33">
        <f>IFERROR(__xludf.DUMMYFUNCTION("""COMPUTED_VALUE"""),20.0)</f>
        <v>20</v>
      </c>
      <c r="L28" s="33">
        <f>IFERROR(__xludf.DUMMYFUNCTION("""COMPUTED_VALUE"""),8.0)</f>
        <v>8</v>
      </c>
      <c r="M28" s="33">
        <f>IFERROR(__xludf.DUMMYFUNCTION("""COMPUTED_VALUE"""),31.0)</f>
        <v>31</v>
      </c>
      <c r="N28" s="33">
        <f>IFERROR(__xludf.DUMMYFUNCTION("""COMPUTED_VALUE"""),24.0)</f>
        <v>24</v>
      </c>
      <c r="O28" s="33">
        <f>IFERROR(__xludf.DUMMYFUNCTION("""COMPUTED_VALUE"""),7.0)</f>
        <v>7</v>
      </c>
      <c r="P28" s="33">
        <f>IFERROR(__xludf.DUMMYFUNCTION("""COMPUTED_VALUE"""),24.0)</f>
        <v>24</v>
      </c>
      <c r="Q28" s="33">
        <f>IFERROR(__xludf.DUMMYFUNCTION("""COMPUTED_VALUE"""),0.0)</f>
        <v>0</v>
      </c>
      <c r="R28" s="33">
        <f>IFERROR(__xludf.DUMMYFUNCTION("""COMPUTED_VALUE"""),56248.0)</f>
        <v>56248</v>
      </c>
      <c r="S28" s="33">
        <f>IFERROR(__xludf.DUMMYFUNCTION("""COMPUTED_VALUE"""),34813.0)</f>
        <v>34813</v>
      </c>
      <c r="T28" s="33">
        <f>IFERROR(__xludf.DUMMYFUNCTION("""COMPUTED_VALUE"""),3.86444444444444)</f>
        <v>3.864444444</v>
      </c>
      <c r="U28" s="33">
        <f>IFERROR(__xludf.DUMMYFUNCTION("""COMPUTED_VALUE"""),5.08833333333333)</f>
        <v>5.088333333</v>
      </c>
      <c r="V28" s="33">
        <f>IFERROR(__xludf.DUMMYFUNCTION("""COMPUTED_VALUE"""),4.6725)</f>
        <v>4.6725</v>
      </c>
      <c r="W28" s="33">
        <f>IFERROR(__xludf.DUMMYFUNCTION("""COMPUTED_VALUE"""),5.31361111111111)</f>
        <v>5.313611111</v>
      </c>
      <c r="X28" s="33">
        <f>IFERROR(__xludf.DUMMYFUNCTION("""COMPUTED_VALUE"""),0.641111111111111)</f>
        <v>0.6411111111</v>
      </c>
      <c r="Y28" s="33">
        <f>IFERROR(__xludf.DUMMYFUNCTION("""COMPUTED_VALUE"""),5.31194444444444)</f>
        <v>5.311944444</v>
      </c>
      <c r="Z28" s="33">
        <f>IFERROR(__xludf.DUMMYFUNCTION("""COMPUTED_VALUE"""),4.155)</f>
        <v>4.155</v>
      </c>
      <c r="AA28" s="33">
        <f>IFERROR(__xludf.DUMMYFUNCTION("""COMPUTED_VALUE"""),1.62444444444444)</f>
        <v>1.624444444</v>
      </c>
      <c r="AB28" s="33">
        <f>IFERROR(__xludf.DUMMYFUNCTION("""COMPUTED_VALUE"""),6.43833333333333)</f>
        <v>6.438333333</v>
      </c>
      <c r="AC28" s="33">
        <f>IFERROR(__xludf.DUMMYFUNCTION("""COMPUTED_VALUE"""),4.91111111111111)</f>
        <v>4.911111111</v>
      </c>
      <c r="AD28" s="33">
        <f>IFERROR(__xludf.DUMMYFUNCTION("""COMPUTED_VALUE"""),1.47444444444444)</f>
        <v>1.474444444</v>
      </c>
      <c r="AE28" s="33">
        <f>IFERROR(__xludf.DUMMYFUNCTION("""COMPUTED_VALUE"""),4.91111111111111)</f>
        <v>4.911111111</v>
      </c>
      <c r="AF28" s="33">
        <f>IFERROR(__xludf.DUMMYFUNCTION("""COMPUTED_VALUE"""),18.0)</f>
        <v>18</v>
      </c>
    </row>
    <row r="29">
      <c r="A29" s="49">
        <f>IFERROR(__xludf.DUMMYFUNCTION("""COMPUTED_VALUE"""),46146.0)</f>
        <v>46146</v>
      </c>
      <c r="B29" s="33" t="str">
        <f>IFERROR(__xludf.DUMMYFUNCTION("""COMPUTED_VALUE"""),"120f01928bb6593698eaa96f46a52b5ddab649bd")</f>
        <v>120f01928bb6593698eaa96f46a52b5ddab649bd</v>
      </c>
      <c r="C29" s="33" t="str">
        <f>IFERROR(__xludf.DUMMYFUNCTION("""COMPUTED_VALUE"""),"Beggar Husband - 2")</f>
        <v>Beggar Husband - 2</v>
      </c>
      <c r="D29" s="33">
        <f>IFERROR(__xludf.DUMMYFUNCTION("""COMPUTED_VALUE"""),15.0)</f>
        <v>15</v>
      </c>
      <c r="E29" s="33">
        <f>IFERROR(__xludf.DUMMYFUNCTION("""COMPUTED_VALUE"""),19.0)</f>
        <v>19</v>
      </c>
      <c r="F29" s="33">
        <f>IFERROR(__xludf.DUMMYFUNCTION("""COMPUTED_VALUE"""),0.0)</f>
        <v>0</v>
      </c>
      <c r="G29" s="33">
        <f>IFERROR(__xludf.DUMMYFUNCTION("""COMPUTED_VALUE"""),0.0)</f>
        <v>0</v>
      </c>
      <c r="H29" s="33">
        <f>IFERROR(__xludf.DUMMYFUNCTION("""COMPUTED_VALUE"""),8.0)</f>
        <v>8</v>
      </c>
      <c r="I29" s="33">
        <f>IFERROR(__xludf.DUMMYFUNCTION("""COMPUTED_VALUE"""),0.0)</f>
        <v>0</v>
      </c>
      <c r="J29" s="33">
        <f>IFERROR(__xludf.DUMMYFUNCTION("""COMPUTED_VALUE"""),8.0)</f>
        <v>8</v>
      </c>
      <c r="K29" s="33">
        <f>IFERROR(__xludf.DUMMYFUNCTION("""COMPUTED_VALUE"""),0.0)</f>
        <v>0</v>
      </c>
      <c r="L29" s="33">
        <f>IFERROR(__xludf.DUMMYFUNCTION("""COMPUTED_VALUE"""),0.0)</f>
        <v>0</v>
      </c>
      <c r="M29" s="33">
        <f>IFERROR(__xludf.DUMMYFUNCTION("""COMPUTED_VALUE"""),12.0)</f>
        <v>12</v>
      </c>
      <c r="N29" s="33">
        <f>IFERROR(__xludf.DUMMYFUNCTION("""COMPUTED_VALUE"""),21.0)</f>
        <v>21</v>
      </c>
      <c r="O29" s="33">
        <f>IFERROR(__xludf.DUMMYFUNCTION("""COMPUTED_VALUE"""),7.0)</f>
        <v>7</v>
      </c>
      <c r="P29" s="33">
        <f>IFERROR(__xludf.DUMMYFUNCTION("""COMPUTED_VALUE"""),21.0)</f>
        <v>21</v>
      </c>
      <c r="Q29" s="33">
        <f>IFERROR(__xludf.DUMMYFUNCTION("""COMPUTED_VALUE"""),0.0)</f>
        <v>0</v>
      </c>
      <c r="R29" s="33">
        <f>IFERROR(__xludf.DUMMYFUNCTION("""COMPUTED_VALUE"""),33622.0)</f>
        <v>33622</v>
      </c>
      <c r="S29" s="33">
        <f>IFERROR(__xludf.DUMMYFUNCTION("""COMPUTED_VALUE"""),42500.0)</f>
        <v>42500</v>
      </c>
      <c r="T29" s="33">
        <f>IFERROR(__xludf.DUMMYFUNCTION("""COMPUTED_VALUE"""),2.68194444444444)</f>
        <v>2.681944444</v>
      </c>
      <c r="U29" s="33">
        <f>IFERROR(__xludf.DUMMYFUNCTION("""COMPUTED_VALUE"""),0.0)</f>
        <v>0</v>
      </c>
      <c r="V29" s="33">
        <f>IFERROR(__xludf.DUMMYFUNCTION("""COMPUTED_VALUE"""),0.0)</f>
        <v>0</v>
      </c>
      <c r="W29" s="33">
        <f>IFERROR(__xludf.DUMMYFUNCTION("""COMPUTED_VALUE"""),1.81666666666666)</f>
        <v>1.816666667</v>
      </c>
      <c r="X29" s="33">
        <f>IFERROR(__xludf.DUMMYFUNCTION("""COMPUTED_VALUE"""),0.0)</f>
        <v>0</v>
      </c>
      <c r="Y29" s="33">
        <f>IFERROR(__xludf.DUMMYFUNCTION("""COMPUTED_VALUE"""),1.81666666666666)</f>
        <v>1.816666667</v>
      </c>
      <c r="Z29" s="33">
        <f>IFERROR(__xludf.DUMMYFUNCTION("""COMPUTED_VALUE"""),0.0)</f>
        <v>0</v>
      </c>
      <c r="AA29" s="33">
        <f>IFERROR(__xludf.DUMMYFUNCTION("""COMPUTED_VALUE"""),0.0)</f>
        <v>0</v>
      </c>
      <c r="AB29" s="33">
        <f>IFERROR(__xludf.DUMMYFUNCTION("""COMPUTED_VALUE"""),2.62611111111111)</f>
        <v>2.626111111</v>
      </c>
      <c r="AC29" s="33">
        <f>IFERROR(__xludf.DUMMYFUNCTION("""COMPUTED_VALUE"""),4.675)</f>
        <v>4.675</v>
      </c>
      <c r="AD29" s="33">
        <f>IFERROR(__xludf.DUMMYFUNCTION("""COMPUTED_VALUE"""),1.53833333333333)</f>
        <v>1.538333333</v>
      </c>
      <c r="AE29" s="33">
        <f>IFERROR(__xludf.DUMMYFUNCTION("""COMPUTED_VALUE"""),4.675)</f>
        <v>4.675</v>
      </c>
      <c r="AF29" s="33">
        <f>IFERROR(__xludf.DUMMYFUNCTION("""COMPUTED_VALUE"""),12.0)</f>
        <v>12</v>
      </c>
    </row>
    <row r="30">
      <c r="A30" s="49">
        <f>IFERROR(__xludf.DUMMYFUNCTION("""COMPUTED_VALUE"""),46146.0)</f>
        <v>46146</v>
      </c>
      <c r="B30" s="33" t="str">
        <f>IFERROR(__xludf.DUMMYFUNCTION("""COMPUTED_VALUE"""),"2549f1505a3739b3e90a0b63921ad55271440d40")</f>
        <v>2549f1505a3739b3e90a0b63921ad55271440d40</v>
      </c>
      <c r="C30" s="33" t="str">
        <f>IFERROR(__xludf.DUMMYFUNCTION("""COMPUTED_VALUE"""),"Reborn in Martial World ")</f>
        <v>Reborn in Martial World </v>
      </c>
      <c r="D30" s="33">
        <f>IFERROR(__xludf.DUMMYFUNCTION("""COMPUTED_VALUE"""),0.0)</f>
        <v>0</v>
      </c>
      <c r="E30" s="33">
        <f>IFERROR(__xludf.DUMMYFUNCTION("""COMPUTED_VALUE"""),90.0)</f>
        <v>90</v>
      </c>
      <c r="F30" s="33">
        <f>IFERROR(__xludf.DUMMYFUNCTION("""COMPUTED_VALUE"""),0.0)</f>
        <v>0</v>
      </c>
      <c r="G30" s="33">
        <f>IFERROR(__xludf.DUMMYFUNCTION("""COMPUTED_VALUE"""),0.0)</f>
        <v>0</v>
      </c>
      <c r="H30" s="33">
        <f>IFERROR(__xludf.DUMMYFUNCTION("""COMPUTED_VALUE"""),0.0)</f>
        <v>0</v>
      </c>
      <c r="I30" s="33">
        <f>IFERROR(__xludf.DUMMYFUNCTION("""COMPUTED_VALUE"""),0.0)</f>
        <v>0</v>
      </c>
      <c r="J30" s="33">
        <f>IFERROR(__xludf.DUMMYFUNCTION("""COMPUTED_VALUE"""),0.0)</f>
        <v>0</v>
      </c>
      <c r="K30" s="33">
        <f>IFERROR(__xludf.DUMMYFUNCTION("""COMPUTED_VALUE"""),0.0)</f>
        <v>0</v>
      </c>
      <c r="L30" s="33">
        <f>IFERROR(__xludf.DUMMYFUNCTION("""COMPUTED_VALUE"""),0.0)</f>
        <v>0</v>
      </c>
      <c r="M30" s="33">
        <f>IFERROR(__xludf.DUMMYFUNCTION("""COMPUTED_VALUE"""),50.0)</f>
        <v>50</v>
      </c>
      <c r="N30" s="33">
        <f>IFERROR(__xludf.DUMMYFUNCTION("""COMPUTED_VALUE"""),90.0)</f>
        <v>90</v>
      </c>
      <c r="O30" s="33">
        <f>IFERROR(__xludf.DUMMYFUNCTION("""COMPUTED_VALUE"""),4.0)</f>
        <v>4</v>
      </c>
      <c r="P30" s="33">
        <f>IFERROR(__xludf.DUMMYFUNCTION("""COMPUTED_VALUE"""),90.0)</f>
        <v>90</v>
      </c>
      <c r="Q30" s="33">
        <f>IFERROR(__xludf.DUMMYFUNCTION("""COMPUTED_VALUE"""),0.0)</f>
        <v>0</v>
      </c>
      <c r="R30" s="33">
        <f>IFERROR(__xludf.DUMMYFUNCTION("""COMPUTED_VALUE"""),0.0)</f>
        <v>0</v>
      </c>
      <c r="S30" s="33">
        <f>IFERROR(__xludf.DUMMYFUNCTION("""COMPUTED_VALUE"""),190340.0)</f>
        <v>190340</v>
      </c>
      <c r="T30" s="33">
        <f>IFERROR(__xludf.DUMMYFUNCTION("""COMPUTED_VALUE"""),0.0)</f>
        <v>0</v>
      </c>
      <c r="U30" s="33">
        <f>IFERROR(__xludf.DUMMYFUNCTION("""COMPUTED_VALUE"""),0.0)</f>
        <v>0</v>
      </c>
      <c r="V30" s="33">
        <f>IFERROR(__xludf.DUMMYFUNCTION("""COMPUTED_VALUE"""),0.0)</f>
        <v>0</v>
      </c>
      <c r="W30" s="33">
        <f>IFERROR(__xludf.DUMMYFUNCTION("""COMPUTED_VALUE"""),0.0)</f>
        <v>0</v>
      </c>
      <c r="X30" s="33">
        <f>IFERROR(__xludf.DUMMYFUNCTION("""COMPUTED_VALUE"""),0.0)</f>
        <v>0</v>
      </c>
      <c r="Y30" s="33">
        <f>IFERROR(__xludf.DUMMYFUNCTION("""COMPUTED_VALUE"""),0.0)</f>
        <v>0</v>
      </c>
      <c r="Z30" s="33">
        <f>IFERROR(__xludf.DUMMYFUNCTION("""COMPUTED_VALUE"""),0.0)</f>
        <v>0</v>
      </c>
      <c r="AA30" s="33">
        <f>IFERROR(__xludf.DUMMYFUNCTION("""COMPUTED_VALUE"""),0.0)</f>
        <v>0</v>
      </c>
      <c r="AB30" s="33">
        <f>IFERROR(__xludf.DUMMYFUNCTION("""COMPUTED_VALUE"""),13.4366666666666)</f>
        <v>13.43666667</v>
      </c>
      <c r="AC30" s="33">
        <f>IFERROR(__xludf.DUMMYFUNCTION("""COMPUTED_VALUE"""),24.4563888888888)</f>
        <v>24.45638889</v>
      </c>
      <c r="AD30" s="33">
        <f>IFERROR(__xludf.DUMMYFUNCTION("""COMPUTED_VALUE"""),0.807777777777777)</f>
        <v>0.8077777778</v>
      </c>
      <c r="AE30" s="33">
        <f>IFERROR(__xludf.DUMMYFUNCTION("""COMPUTED_VALUE"""),24.4563888888888)</f>
        <v>24.45638889</v>
      </c>
      <c r="AF30" s="33">
        <f>IFERROR(__xludf.DUMMYFUNCTION("""COMPUTED_VALUE"""),0.0)</f>
        <v>0</v>
      </c>
    </row>
    <row r="31">
      <c r="A31" s="49">
        <f>IFERROR(__xludf.DUMMYFUNCTION("""COMPUTED_VALUE"""),46146.0)</f>
        <v>46146</v>
      </c>
      <c r="B31" s="33" t="str">
        <f>IFERROR(__xludf.DUMMYFUNCTION("""COMPUTED_VALUE"""),"37e68193f879e91ec362f75f4b46511110658e2b")</f>
        <v>37e68193f879e91ec362f75f4b46511110658e2b</v>
      </c>
      <c r="C31" s="33" t="str">
        <f>IFERROR(__xludf.DUMMYFUNCTION("""COMPUTED_VALUE"""),"Shiva : Ek Pretyodha")</f>
        <v>Shiva : Ek Pretyodha</v>
      </c>
      <c r="D31" s="33">
        <f>IFERROR(__xludf.DUMMYFUNCTION("""COMPUTED_VALUE"""),0.0)</f>
        <v>0</v>
      </c>
      <c r="E31" s="33">
        <f>IFERROR(__xludf.DUMMYFUNCTION("""COMPUTED_VALUE"""),0.0)</f>
        <v>0</v>
      </c>
      <c r="F31" s="33">
        <f>IFERROR(__xludf.DUMMYFUNCTION("""COMPUTED_VALUE"""),0.0)</f>
        <v>0</v>
      </c>
      <c r="G31" s="33">
        <f>IFERROR(__xludf.DUMMYFUNCTION("""COMPUTED_VALUE"""),0.0)</f>
        <v>0</v>
      </c>
      <c r="H31" s="33">
        <f>IFERROR(__xludf.DUMMYFUNCTION("""COMPUTED_VALUE"""),0.0)</f>
        <v>0</v>
      </c>
      <c r="I31" s="33">
        <f>IFERROR(__xludf.DUMMYFUNCTION("""COMPUTED_VALUE"""),0.0)</f>
        <v>0</v>
      </c>
      <c r="J31" s="33">
        <f>IFERROR(__xludf.DUMMYFUNCTION("""COMPUTED_VALUE"""),0.0)</f>
        <v>0</v>
      </c>
      <c r="K31" s="33">
        <f>IFERROR(__xludf.DUMMYFUNCTION("""COMPUTED_VALUE"""),0.0)</f>
        <v>0</v>
      </c>
      <c r="L31" s="33">
        <f>IFERROR(__xludf.DUMMYFUNCTION("""COMPUTED_VALUE"""),0.0)</f>
        <v>0</v>
      </c>
      <c r="M31" s="33">
        <f>IFERROR(__xludf.DUMMYFUNCTION("""COMPUTED_VALUE"""),0.0)</f>
        <v>0</v>
      </c>
      <c r="N31" s="33">
        <f>IFERROR(__xludf.DUMMYFUNCTION("""COMPUTED_VALUE"""),0.0)</f>
        <v>0</v>
      </c>
      <c r="O31" s="33">
        <f>IFERROR(__xludf.DUMMYFUNCTION("""COMPUTED_VALUE"""),33.0)</f>
        <v>33</v>
      </c>
      <c r="P31" s="33">
        <f>IFERROR(__xludf.DUMMYFUNCTION("""COMPUTED_VALUE"""),31.0)</f>
        <v>31</v>
      </c>
      <c r="Q31" s="33">
        <f>IFERROR(__xludf.DUMMYFUNCTION("""COMPUTED_VALUE"""),0.0)</f>
        <v>0</v>
      </c>
      <c r="R31" s="33">
        <f>IFERROR(__xludf.DUMMYFUNCTION("""COMPUTED_VALUE"""),0.0)</f>
        <v>0</v>
      </c>
      <c r="S31" s="33">
        <f>IFERROR(__xludf.DUMMYFUNCTION("""COMPUTED_VALUE"""),0.0)</f>
        <v>0</v>
      </c>
      <c r="T31" s="33">
        <f>IFERROR(__xludf.DUMMYFUNCTION("""COMPUTED_VALUE"""),0.0)</f>
        <v>0</v>
      </c>
      <c r="U31" s="33">
        <f>IFERROR(__xludf.DUMMYFUNCTION("""COMPUTED_VALUE"""),0.0)</f>
        <v>0</v>
      </c>
      <c r="V31" s="33">
        <f>IFERROR(__xludf.DUMMYFUNCTION("""COMPUTED_VALUE"""),0.0)</f>
        <v>0</v>
      </c>
      <c r="W31" s="33">
        <f>IFERROR(__xludf.DUMMYFUNCTION("""COMPUTED_VALUE"""),0.0)</f>
        <v>0</v>
      </c>
      <c r="X31" s="33">
        <f>IFERROR(__xludf.DUMMYFUNCTION("""COMPUTED_VALUE"""),0.0)</f>
        <v>0</v>
      </c>
      <c r="Y31" s="33">
        <f>IFERROR(__xludf.DUMMYFUNCTION("""COMPUTED_VALUE"""),0.0)</f>
        <v>0</v>
      </c>
      <c r="Z31" s="33">
        <f>IFERROR(__xludf.DUMMYFUNCTION("""COMPUTED_VALUE"""),0.0)</f>
        <v>0</v>
      </c>
      <c r="AA31" s="33">
        <f>IFERROR(__xludf.DUMMYFUNCTION("""COMPUTED_VALUE"""),0.0)</f>
        <v>0</v>
      </c>
      <c r="AB31" s="33">
        <f>IFERROR(__xludf.DUMMYFUNCTION("""COMPUTED_VALUE"""),0.0)</f>
        <v>0</v>
      </c>
      <c r="AC31" s="33">
        <f>IFERROR(__xludf.DUMMYFUNCTION("""COMPUTED_VALUE"""),0.0)</f>
        <v>0</v>
      </c>
      <c r="AD31" s="33">
        <f>IFERROR(__xludf.DUMMYFUNCTION("""COMPUTED_VALUE"""),3.05916666666666)</f>
        <v>3.059166667</v>
      </c>
      <c r="AE31" s="33">
        <f>IFERROR(__xludf.DUMMYFUNCTION("""COMPUTED_VALUE"""),2.86972222222222)</f>
        <v>2.869722222</v>
      </c>
      <c r="AF31" s="33">
        <f>IFERROR(__xludf.DUMMYFUNCTION("""COMPUTED_VALUE"""),0.0)</f>
        <v>0</v>
      </c>
    </row>
    <row r="32">
      <c r="A32" s="49">
        <f>IFERROR(__xludf.DUMMYFUNCTION("""COMPUTED_VALUE"""),46146.0)</f>
        <v>46146</v>
      </c>
      <c r="B32" s="33" t="str">
        <f>IFERROR(__xludf.DUMMYFUNCTION("""COMPUTED_VALUE"""),"394d109f7b50d9a46fb591dbaaba2d0aac90a696")</f>
        <v>394d109f7b50d9a46fb591dbaaba2d0aac90a696</v>
      </c>
      <c r="C32" s="33" t="str">
        <f>IFERROR(__xludf.DUMMYFUNCTION("""COMPUTED_VALUE"""),"Empire of Hidden King (SRGJ) - Production Show_id")</f>
        <v>Empire of Hidden King (SRGJ) - Production Show_id</v>
      </c>
      <c r="D32" s="33">
        <f>IFERROR(__xludf.DUMMYFUNCTION("""COMPUTED_VALUE"""),1.0)</f>
        <v>1</v>
      </c>
      <c r="E32" s="33">
        <f>IFERROR(__xludf.DUMMYFUNCTION("""COMPUTED_VALUE"""),1.0)</f>
        <v>1</v>
      </c>
      <c r="F32" s="33">
        <f>IFERROR(__xludf.DUMMYFUNCTION("""COMPUTED_VALUE"""),1.0)</f>
        <v>1</v>
      </c>
      <c r="G32" s="33">
        <f>IFERROR(__xludf.DUMMYFUNCTION("""COMPUTED_VALUE"""),4.0)</f>
        <v>4</v>
      </c>
      <c r="H32" s="33">
        <f>IFERROR(__xludf.DUMMYFUNCTION("""COMPUTED_VALUE"""),4.0)</f>
        <v>4</v>
      </c>
      <c r="I32" s="33">
        <f>IFERROR(__xludf.DUMMYFUNCTION("""COMPUTED_VALUE"""),0.0)</f>
        <v>0</v>
      </c>
      <c r="J32" s="33">
        <f>IFERROR(__xludf.DUMMYFUNCTION("""COMPUTED_VALUE"""),4.0)</f>
        <v>4</v>
      </c>
      <c r="K32" s="33">
        <f>IFERROR(__xludf.DUMMYFUNCTION("""COMPUTED_VALUE"""),1.0)</f>
        <v>1</v>
      </c>
      <c r="L32" s="33">
        <f>IFERROR(__xludf.DUMMYFUNCTION("""COMPUTED_VALUE"""),0.0)</f>
        <v>0</v>
      </c>
      <c r="M32" s="33">
        <f>IFERROR(__xludf.DUMMYFUNCTION("""COMPUTED_VALUE"""),4.0)</f>
        <v>4</v>
      </c>
      <c r="N32" s="33">
        <f>IFERROR(__xludf.DUMMYFUNCTION("""COMPUTED_VALUE"""),3.0)</f>
        <v>3</v>
      </c>
      <c r="O32" s="33">
        <f>IFERROR(__xludf.DUMMYFUNCTION("""COMPUTED_VALUE"""),6.0)</f>
        <v>6</v>
      </c>
      <c r="P32" s="33">
        <f>IFERROR(__xludf.DUMMYFUNCTION("""COMPUTED_VALUE"""),3.0)</f>
        <v>3</v>
      </c>
      <c r="Q32" s="33">
        <f>IFERROR(__xludf.DUMMYFUNCTION("""COMPUTED_VALUE"""),0.0)</f>
        <v>0</v>
      </c>
      <c r="R32" s="33">
        <f>IFERROR(__xludf.DUMMYFUNCTION("""COMPUTED_VALUE"""),2732.0)</f>
        <v>2732</v>
      </c>
      <c r="S32" s="33">
        <f>IFERROR(__xludf.DUMMYFUNCTION("""COMPUTED_VALUE"""),2732.0)</f>
        <v>2732</v>
      </c>
      <c r="T32" s="33">
        <f>IFERROR(__xludf.DUMMYFUNCTION("""COMPUTED_VALUE"""),0.274444444444444)</f>
        <v>0.2744444444</v>
      </c>
      <c r="U32" s="33">
        <f>IFERROR(__xludf.DUMMYFUNCTION("""COMPUTED_VALUE"""),0.274444444444444)</f>
        <v>0.2744444444</v>
      </c>
      <c r="V32" s="33">
        <f>IFERROR(__xludf.DUMMYFUNCTION("""COMPUTED_VALUE"""),0.960277777777777)</f>
        <v>0.9602777778</v>
      </c>
      <c r="W32" s="33">
        <f>IFERROR(__xludf.DUMMYFUNCTION("""COMPUTED_VALUE"""),0.960277777777777)</f>
        <v>0.9602777778</v>
      </c>
      <c r="X32" s="33">
        <f>IFERROR(__xludf.DUMMYFUNCTION("""COMPUTED_VALUE"""),0.0)</f>
        <v>0</v>
      </c>
      <c r="Y32" s="33">
        <f>IFERROR(__xludf.DUMMYFUNCTION("""COMPUTED_VALUE"""),0.960277777777777)</f>
        <v>0.9602777778</v>
      </c>
      <c r="Z32" s="33">
        <f>IFERROR(__xludf.DUMMYFUNCTION("""COMPUTED_VALUE"""),0.274722222222222)</f>
        <v>0.2747222222</v>
      </c>
      <c r="AA32" s="33">
        <f>IFERROR(__xludf.DUMMYFUNCTION("""COMPUTED_VALUE"""),0.0)</f>
        <v>0</v>
      </c>
      <c r="AB32" s="33">
        <f>IFERROR(__xludf.DUMMYFUNCTION("""COMPUTED_VALUE"""),0.960277777777777)</f>
        <v>0.9602777778</v>
      </c>
      <c r="AC32" s="33">
        <f>IFERROR(__xludf.DUMMYFUNCTION("""COMPUTED_VALUE"""),0.685555555555555)</f>
        <v>0.6855555556</v>
      </c>
      <c r="AD32" s="33">
        <f>IFERROR(__xludf.DUMMYFUNCTION("""COMPUTED_VALUE"""),1.67083333333333)</f>
        <v>1.670833333</v>
      </c>
      <c r="AE32" s="33">
        <f>IFERROR(__xludf.DUMMYFUNCTION("""COMPUTED_VALUE"""),0.685555555555555)</f>
        <v>0.6855555556</v>
      </c>
      <c r="AF32" s="33">
        <f>IFERROR(__xludf.DUMMYFUNCTION("""COMPUTED_VALUE"""),1.0)</f>
        <v>1</v>
      </c>
    </row>
    <row r="33">
      <c r="A33" s="49">
        <f>IFERROR(__xludf.DUMMYFUNCTION("""COMPUTED_VALUE"""),46146.0)</f>
        <v>46146</v>
      </c>
      <c r="B33" s="33" t="str">
        <f>IFERROR(__xludf.DUMMYFUNCTION("""COMPUTED_VALUE"""),"5066c0736f9e9444f2b4da840d6860b1f7f47d11")</f>
        <v>5066c0736f9e9444f2b4da840d6860b1f7f47d11</v>
      </c>
      <c r="C33" s="33" t="str">
        <f>IFERROR(__xludf.DUMMYFUNCTION("""COMPUTED_VALUE"""),"The Warrior | Author - Dayaram Prajapati - Replica (For Production Only)")</f>
        <v>The Warrior | Author - Dayaram Prajapati - Replica (For Production Only)</v>
      </c>
      <c r="D33" s="33">
        <f>IFERROR(__xludf.DUMMYFUNCTION("""COMPUTED_VALUE"""),354.0)</f>
        <v>354</v>
      </c>
      <c r="E33" s="33">
        <f>IFERROR(__xludf.DUMMYFUNCTION("""COMPUTED_VALUE"""),25.0)</f>
        <v>25</v>
      </c>
      <c r="F33" s="33">
        <f>IFERROR(__xludf.DUMMYFUNCTION("""COMPUTED_VALUE"""),20.0)</f>
        <v>20</v>
      </c>
      <c r="G33" s="33">
        <f>IFERROR(__xludf.DUMMYFUNCTION("""COMPUTED_VALUE"""),18.0)</f>
        <v>18</v>
      </c>
      <c r="H33" s="33">
        <f>IFERROR(__xludf.DUMMYFUNCTION("""COMPUTED_VALUE"""),18.0)</f>
        <v>18</v>
      </c>
      <c r="I33" s="33">
        <f>IFERROR(__xludf.DUMMYFUNCTION("""COMPUTED_VALUE"""),0.0)</f>
        <v>0</v>
      </c>
      <c r="J33" s="33">
        <f>IFERROR(__xludf.DUMMYFUNCTION("""COMPUTED_VALUE"""),17.0)</f>
        <v>17</v>
      </c>
      <c r="K33" s="33">
        <f>IFERROR(__xludf.DUMMYFUNCTION("""COMPUTED_VALUE"""),5.0)</f>
        <v>5</v>
      </c>
      <c r="L33" s="33">
        <f>IFERROR(__xludf.DUMMYFUNCTION("""COMPUTED_VALUE"""),4.0)</f>
        <v>4</v>
      </c>
      <c r="M33" s="33">
        <f>IFERROR(__xludf.DUMMYFUNCTION("""COMPUTED_VALUE"""),20.0)</f>
        <v>20</v>
      </c>
      <c r="N33" s="33">
        <f>IFERROR(__xludf.DUMMYFUNCTION("""COMPUTED_VALUE"""),20.0)</f>
        <v>20</v>
      </c>
      <c r="O33" s="33">
        <f>IFERROR(__xludf.DUMMYFUNCTION("""COMPUTED_VALUE"""),7.0)</f>
        <v>7</v>
      </c>
      <c r="P33" s="33">
        <f>IFERROR(__xludf.DUMMYFUNCTION("""COMPUTED_VALUE"""),20.0)</f>
        <v>20</v>
      </c>
      <c r="Q33" s="33">
        <f>IFERROR(__xludf.DUMMYFUNCTION("""COMPUTED_VALUE"""),0.0)</f>
        <v>0</v>
      </c>
      <c r="R33" s="33">
        <f>IFERROR(__xludf.DUMMYFUNCTION("""COMPUTED_VALUE"""),882175.0)</f>
        <v>882175</v>
      </c>
      <c r="S33" s="33">
        <f>IFERROR(__xludf.DUMMYFUNCTION("""COMPUTED_VALUE"""),80398.0)</f>
        <v>80398</v>
      </c>
      <c r="T33" s="33">
        <f>IFERROR(__xludf.DUMMYFUNCTION("""COMPUTED_VALUE"""),6.6575)</f>
        <v>6.6575</v>
      </c>
      <c r="U33" s="33">
        <f>IFERROR(__xludf.DUMMYFUNCTION("""COMPUTED_VALUE"""),6.0525)</f>
        <v>6.0525</v>
      </c>
      <c r="V33" s="33">
        <f>IFERROR(__xludf.DUMMYFUNCTION("""COMPUTED_VALUE"""),5.37361111111111)</f>
        <v>5.373611111</v>
      </c>
      <c r="W33" s="33">
        <f>IFERROR(__xludf.DUMMYFUNCTION("""COMPUTED_VALUE"""),5.37361111111111)</f>
        <v>5.373611111</v>
      </c>
      <c r="X33" s="33">
        <f>IFERROR(__xludf.DUMMYFUNCTION("""COMPUTED_VALUE"""),0.0)</f>
        <v>0</v>
      </c>
      <c r="Y33" s="33">
        <f>IFERROR(__xludf.DUMMYFUNCTION("""COMPUTED_VALUE"""),5.10027777777777)</f>
        <v>5.100277778</v>
      </c>
      <c r="Z33" s="33">
        <f>IFERROR(__xludf.DUMMYFUNCTION("""COMPUTED_VALUE"""),1.41166666666666)</f>
        <v>1.411666667</v>
      </c>
      <c r="AA33" s="33">
        <f>IFERROR(__xludf.DUMMYFUNCTION("""COMPUTED_VALUE"""),1.14527777777777)</f>
        <v>1.145277778</v>
      </c>
      <c r="AB33" s="33">
        <f>IFERROR(__xludf.DUMMYFUNCTION("""COMPUTED_VALUE"""),6.13055555555555)</f>
        <v>6.130555556</v>
      </c>
      <c r="AC33" s="33">
        <f>IFERROR(__xludf.DUMMYFUNCTION("""COMPUTED_VALUE"""),6.13055555555555)</f>
        <v>6.130555556</v>
      </c>
      <c r="AD33" s="33">
        <f>IFERROR(__xludf.DUMMYFUNCTION("""COMPUTED_VALUE"""),1.605)</f>
        <v>1.605</v>
      </c>
      <c r="AE33" s="33">
        <f>IFERROR(__xludf.DUMMYFUNCTION("""COMPUTED_VALUE"""),6.13055555555555)</f>
        <v>6.130555556</v>
      </c>
      <c r="AF33" s="33">
        <f>IFERROR(__xludf.DUMMYFUNCTION("""COMPUTED_VALUE"""),22.0)</f>
        <v>22</v>
      </c>
    </row>
    <row r="34">
      <c r="A34" s="49">
        <f>IFERROR(__xludf.DUMMYFUNCTION("""COMPUTED_VALUE"""),46146.0)</f>
        <v>46146</v>
      </c>
      <c r="B34" s="33" t="str">
        <f>IFERROR(__xludf.DUMMYFUNCTION("""COMPUTED_VALUE"""),"5a7d21f6ad9df12be70cd9439dd850c36627991d")</f>
        <v>5a7d21f6ad9df12be70cd9439dd850c36627991d</v>
      </c>
      <c r="C34" s="33" t="str">
        <f>IFERROR(__xludf.DUMMYFUNCTION("""COMPUTED_VALUE"""),"Ek Stranger Se Pyar- Production Id")</f>
        <v>Ek Stranger Se Pyar- Production Id</v>
      </c>
      <c r="D34" s="33">
        <f>IFERROR(__xludf.DUMMYFUNCTION("""COMPUTED_VALUE"""),29.0)</f>
        <v>29</v>
      </c>
      <c r="E34" s="33">
        <f>IFERROR(__xludf.DUMMYFUNCTION("""COMPUTED_VALUE"""),11.0)</f>
        <v>11</v>
      </c>
      <c r="F34" s="33">
        <f>IFERROR(__xludf.DUMMYFUNCTION("""COMPUTED_VALUE"""),14.0)</f>
        <v>14</v>
      </c>
      <c r="G34" s="33">
        <f>IFERROR(__xludf.DUMMYFUNCTION("""COMPUTED_VALUE"""),14.0)</f>
        <v>14</v>
      </c>
      <c r="H34" s="33">
        <f>IFERROR(__xludf.DUMMYFUNCTION("""COMPUTED_VALUE"""),18.0)</f>
        <v>18</v>
      </c>
      <c r="I34" s="33">
        <f>IFERROR(__xludf.DUMMYFUNCTION("""COMPUTED_VALUE"""),4.0)</f>
        <v>4</v>
      </c>
      <c r="J34" s="33">
        <f>IFERROR(__xludf.DUMMYFUNCTION("""COMPUTED_VALUE"""),18.0)</f>
        <v>18</v>
      </c>
      <c r="K34" s="33">
        <f>IFERROR(__xludf.DUMMYFUNCTION("""COMPUTED_VALUE"""),9.0)</f>
        <v>9</v>
      </c>
      <c r="L34" s="33">
        <f>IFERROR(__xludf.DUMMYFUNCTION("""COMPUTED_VALUE"""),5.0)</f>
        <v>5</v>
      </c>
      <c r="M34" s="33">
        <f>IFERROR(__xludf.DUMMYFUNCTION("""COMPUTED_VALUE"""),19.0)</f>
        <v>19</v>
      </c>
      <c r="N34" s="33">
        <f>IFERROR(__xludf.DUMMYFUNCTION("""COMPUTED_VALUE"""),19.0)</f>
        <v>19</v>
      </c>
      <c r="O34" s="33">
        <f>IFERROR(__xludf.DUMMYFUNCTION("""COMPUTED_VALUE"""),5.0)</f>
        <v>5</v>
      </c>
      <c r="P34" s="33">
        <f>IFERROR(__xludf.DUMMYFUNCTION("""COMPUTED_VALUE"""),19.0)</f>
        <v>19</v>
      </c>
      <c r="Q34" s="33">
        <f>IFERROR(__xludf.DUMMYFUNCTION("""COMPUTED_VALUE"""),0.0)</f>
        <v>0</v>
      </c>
      <c r="R34" s="33">
        <f>IFERROR(__xludf.DUMMYFUNCTION("""COMPUTED_VALUE"""),69012.0)</f>
        <v>69012</v>
      </c>
      <c r="S34" s="33">
        <f>IFERROR(__xludf.DUMMYFUNCTION("""COMPUTED_VALUE"""),26657.0)</f>
        <v>26657</v>
      </c>
      <c r="T34" s="33">
        <f>IFERROR(__xludf.DUMMYFUNCTION("""COMPUTED_VALUE"""),2.215)</f>
        <v>2.215</v>
      </c>
      <c r="U34" s="33">
        <f>IFERROR(__xludf.DUMMYFUNCTION("""COMPUTED_VALUE"""),3.135)</f>
        <v>3.135</v>
      </c>
      <c r="V34" s="33">
        <f>IFERROR(__xludf.DUMMYFUNCTION("""COMPUTED_VALUE"""),3.20166666666666)</f>
        <v>3.201666667</v>
      </c>
      <c r="W34" s="33">
        <f>IFERROR(__xludf.DUMMYFUNCTION("""COMPUTED_VALUE"""),4.05944444444444)</f>
        <v>4.059444444</v>
      </c>
      <c r="X34" s="33">
        <f>IFERROR(__xludf.DUMMYFUNCTION("""COMPUTED_VALUE"""),0.857777777777777)</f>
        <v>0.8577777778</v>
      </c>
      <c r="Y34" s="33">
        <f>IFERROR(__xludf.DUMMYFUNCTION("""COMPUTED_VALUE"""),4.085)</f>
        <v>4.085</v>
      </c>
      <c r="Z34" s="33">
        <f>IFERROR(__xludf.DUMMYFUNCTION("""COMPUTED_VALUE"""),2.05499999999999)</f>
        <v>2.055</v>
      </c>
      <c r="AA34" s="33">
        <f>IFERROR(__xludf.DUMMYFUNCTION("""COMPUTED_VALUE"""),1.13611111111111)</f>
        <v>1.136111111</v>
      </c>
      <c r="AB34" s="33">
        <f>IFERROR(__xludf.DUMMYFUNCTION("""COMPUTED_VALUE"""),4.32277777777777)</f>
        <v>4.322777778</v>
      </c>
      <c r="AC34" s="33">
        <f>IFERROR(__xludf.DUMMYFUNCTION("""COMPUTED_VALUE"""),4.32277777777777)</f>
        <v>4.322777778</v>
      </c>
      <c r="AD34" s="33">
        <f>IFERROR(__xludf.DUMMYFUNCTION("""COMPUTED_VALUE"""),1.18388888888888)</f>
        <v>1.183888889</v>
      </c>
      <c r="AE34" s="33">
        <f>IFERROR(__xludf.DUMMYFUNCTION("""COMPUTED_VALUE"""),4.32277777777777)</f>
        <v>4.322777778</v>
      </c>
      <c r="AF34" s="33">
        <f>IFERROR(__xludf.DUMMYFUNCTION("""COMPUTED_VALUE"""),10.0)</f>
        <v>10</v>
      </c>
    </row>
    <row r="35">
      <c r="A35" s="49">
        <f>IFERROR(__xludf.DUMMYFUNCTION("""COMPUTED_VALUE"""),46146.0)</f>
        <v>46146</v>
      </c>
      <c r="B35" s="33" t="str">
        <f>IFERROR(__xludf.DUMMYFUNCTION("""COMPUTED_VALUE"""),"5baf4c80faf4b2d4eb9401a1d0081872e0158e89")</f>
        <v>5baf4c80faf4b2d4eb9401a1d0081872e0158e89</v>
      </c>
      <c r="C35" s="33" t="str">
        <f>IFERROR(__xludf.DUMMYFUNCTION("""COMPUTED_VALUE"""),"Brahmyodha : The Destroyer - Production showId")</f>
        <v>Brahmyodha : The Destroyer - Production showId</v>
      </c>
      <c r="D35" s="33">
        <f>IFERROR(__xludf.DUMMYFUNCTION("""COMPUTED_VALUE"""),15.0)</f>
        <v>15</v>
      </c>
      <c r="E35" s="33">
        <f>IFERROR(__xludf.DUMMYFUNCTION("""COMPUTED_VALUE"""),20.0)</f>
        <v>20</v>
      </c>
      <c r="F35" s="33">
        <f>IFERROR(__xludf.DUMMYFUNCTION("""COMPUTED_VALUE"""),17.0)</f>
        <v>17</v>
      </c>
      <c r="G35" s="33">
        <f>IFERROR(__xludf.DUMMYFUNCTION("""COMPUTED_VALUE"""),0.0)</f>
        <v>0</v>
      </c>
      <c r="H35" s="33">
        <f>IFERROR(__xludf.DUMMYFUNCTION("""COMPUTED_VALUE"""),23.0)</f>
        <v>23</v>
      </c>
      <c r="I35" s="33">
        <f>IFERROR(__xludf.DUMMYFUNCTION("""COMPUTED_VALUE"""),6.0)</f>
        <v>6</v>
      </c>
      <c r="J35" s="33">
        <f>IFERROR(__xludf.DUMMYFUNCTION("""COMPUTED_VALUE"""),24.0)</f>
        <v>24</v>
      </c>
      <c r="K35" s="33">
        <f>IFERROR(__xludf.DUMMYFUNCTION("""COMPUTED_VALUE"""),1.0)</f>
        <v>1</v>
      </c>
      <c r="L35" s="33">
        <f>IFERROR(__xludf.DUMMYFUNCTION("""COMPUTED_VALUE"""),0.0)</f>
        <v>0</v>
      </c>
      <c r="M35" s="33">
        <f>IFERROR(__xludf.DUMMYFUNCTION("""COMPUTED_VALUE"""),24.0)</f>
        <v>24</v>
      </c>
      <c r="N35" s="33">
        <f>IFERROR(__xludf.DUMMYFUNCTION("""COMPUTED_VALUE"""),24.0)</f>
        <v>24</v>
      </c>
      <c r="O35" s="33">
        <f>IFERROR(__xludf.DUMMYFUNCTION("""COMPUTED_VALUE"""),5.0)</f>
        <v>5</v>
      </c>
      <c r="P35" s="33">
        <f>IFERROR(__xludf.DUMMYFUNCTION("""COMPUTED_VALUE"""),24.0)</f>
        <v>24</v>
      </c>
      <c r="Q35" s="33">
        <f>IFERROR(__xludf.DUMMYFUNCTION("""COMPUTED_VALUE"""),0.0)</f>
        <v>0</v>
      </c>
      <c r="R35" s="33">
        <f>IFERROR(__xludf.DUMMYFUNCTION("""COMPUTED_VALUE"""),35976.0)</f>
        <v>35976</v>
      </c>
      <c r="S35" s="33">
        <f>IFERROR(__xludf.DUMMYFUNCTION("""COMPUTED_VALUE"""),47528.0)</f>
        <v>47528</v>
      </c>
      <c r="T35" s="33">
        <f>IFERROR(__xludf.DUMMYFUNCTION("""COMPUTED_VALUE"""),4.05111111111111)</f>
        <v>4.051111111</v>
      </c>
      <c r="U35" s="33">
        <f>IFERROR(__xludf.DUMMYFUNCTION("""COMPUTED_VALUE"""),3.83583333333333)</f>
        <v>3.835833333</v>
      </c>
      <c r="V35" s="33">
        <f>IFERROR(__xludf.DUMMYFUNCTION("""COMPUTED_VALUE"""),0.0)</f>
        <v>0</v>
      </c>
      <c r="W35" s="33">
        <f>IFERROR(__xludf.DUMMYFUNCTION("""COMPUTED_VALUE"""),5.18527777777777)</f>
        <v>5.185277778</v>
      </c>
      <c r="X35" s="33">
        <f>IFERROR(__xludf.DUMMYFUNCTION("""COMPUTED_VALUE"""),1.33027777777777)</f>
        <v>1.330277778</v>
      </c>
      <c r="Y35" s="33">
        <f>IFERROR(__xludf.DUMMYFUNCTION("""COMPUTED_VALUE"""),5.42222222222222)</f>
        <v>5.422222222</v>
      </c>
      <c r="Z35" s="33">
        <f>IFERROR(__xludf.DUMMYFUNCTION("""COMPUTED_VALUE"""),0.242777777777777)</f>
        <v>0.2427777778</v>
      </c>
      <c r="AA35" s="33">
        <f>IFERROR(__xludf.DUMMYFUNCTION("""COMPUTED_VALUE"""),0.0)</f>
        <v>0</v>
      </c>
      <c r="AB35" s="33">
        <f>IFERROR(__xludf.DUMMYFUNCTION("""COMPUTED_VALUE"""),5.42222222222222)</f>
        <v>5.422222222</v>
      </c>
      <c r="AC35" s="33">
        <f>IFERROR(__xludf.DUMMYFUNCTION("""COMPUTED_VALUE"""),5.42222222222222)</f>
        <v>5.422222222</v>
      </c>
      <c r="AD35" s="33">
        <f>IFERROR(__xludf.DUMMYFUNCTION("""COMPUTED_VALUE"""),1.08777777777777)</f>
        <v>1.087777778</v>
      </c>
      <c r="AE35" s="33">
        <f>IFERROR(__xludf.DUMMYFUNCTION("""COMPUTED_VALUE"""),5.42222222222222)</f>
        <v>5.422222222</v>
      </c>
      <c r="AF35" s="33">
        <f>IFERROR(__xludf.DUMMYFUNCTION("""COMPUTED_VALUE"""),18.0)</f>
        <v>18</v>
      </c>
    </row>
    <row r="36">
      <c r="A36" s="49">
        <f>IFERROR(__xludf.DUMMYFUNCTION("""COMPUTED_VALUE"""),46146.0)</f>
        <v>46146</v>
      </c>
      <c r="B36" s="33" t="str">
        <f>IFERROR(__xludf.DUMMYFUNCTION("""COMPUTED_VALUE"""),"641b6f77fd211e92df35a3bcbab67e6879e19a66")</f>
        <v>641b6f77fd211e92df35a3bcbab67e6879e19a66</v>
      </c>
      <c r="C36" s="33" t="str">
        <f>IFERROR(__xludf.DUMMYFUNCTION("""COMPUTED_VALUE"""),"Mahagatha | महागाथा | Author - S. Mauryavanshi")</f>
        <v>Mahagatha | महागाथा | Author - S. Mauryavanshi</v>
      </c>
      <c r="D36" s="33">
        <f>IFERROR(__xludf.DUMMYFUNCTION("""COMPUTED_VALUE"""),91.0)</f>
        <v>91</v>
      </c>
      <c r="E36" s="33">
        <f>IFERROR(__xludf.DUMMYFUNCTION("""COMPUTED_VALUE"""),91.0)</f>
        <v>91</v>
      </c>
      <c r="F36" s="33">
        <f>IFERROR(__xludf.DUMMYFUNCTION("""COMPUTED_VALUE"""),0.0)</f>
        <v>0</v>
      </c>
      <c r="G36" s="33">
        <f>IFERROR(__xludf.DUMMYFUNCTION("""COMPUTED_VALUE"""),0.0)</f>
        <v>0</v>
      </c>
      <c r="H36" s="33">
        <f>IFERROR(__xludf.DUMMYFUNCTION("""COMPUTED_VALUE"""),0.0)</f>
        <v>0</v>
      </c>
      <c r="I36" s="33">
        <f>IFERROR(__xludf.DUMMYFUNCTION("""COMPUTED_VALUE"""),0.0)</f>
        <v>0</v>
      </c>
      <c r="J36" s="33">
        <f>IFERROR(__xludf.DUMMYFUNCTION("""COMPUTED_VALUE"""),0.0)</f>
        <v>0</v>
      </c>
      <c r="K36" s="33">
        <f>IFERROR(__xludf.DUMMYFUNCTION("""COMPUTED_VALUE"""),0.0)</f>
        <v>0</v>
      </c>
      <c r="L36" s="33">
        <f>IFERROR(__xludf.DUMMYFUNCTION("""COMPUTED_VALUE"""),0.0)</f>
        <v>0</v>
      </c>
      <c r="M36" s="33">
        <f>IFERROR(__xludf.DUMMYFUNCTION("""COMPUTED_VALUE"""),0.0)</f>
        <v>0</v>
      </c>
      <c r="N36" s="33">
        <f>IFERROR(__xludf.DUMMYFUNCTION("""COMPUTED_VALUE"""),91.0)</f>
        <v>91</v>
      </c>
      <c r="O36" s="33">
        <f>IFERROR(__xludf.DUMMYFUNCTION("""COMPUTED_VALUE"""),6.0)</f>
        <v>6</v>
      </c>
      <c r="P36" s="33">
        <f>IFERROR(__xludf.DUMMYFUNCTION("""COMPUTED_VALUE"""),91.0)</f>
        <v>91</v>
      </c>
      <c r="Q36" s="33">
        <f>IFERROR(__xludf.DUMMYFUNCTION("""COMPUTED_VALUE"""),0.0)</f>
        <v>0</v>
      </c>
      <c r="R36" s="33">
        <f>IFERROR(__xludf.DUMMYFUNCTION("""COMPUTED_VALUE"""),285802.0)</f>
        <v>285802</v>
      </c>
      <c r="S36" s="33">
        <f>IFERROR(__xludf.DUMMYFUNCTION("""COMPUTED_VALUE"""),285802.0)</f>
        <v>285802</v>
      </c>
      <c r="T36" s="33">
        <f>IFERROR(__xludf.DUMMYFUNCTION("""COMPUTED_VALUE"""),0.0)</f>
        <v>0</v>
      </c>
      <c r="U36" s="33">
        <f>IFERROR(__xludf.DUMMYFUNCTION("""COMPUTED_VALUE"""),0.0)</f>
        <v>0</v>
      </c>
      <c r="V36" s="33">
        <f>IFERROR(__xludf.DUMMYFUNCTION("""COMPUTED_VALUE"""),0.0)</f>
        <v>0</v>
      </c>
      <c r="W36" s="33">
        <f>IFERROR(__xludf.DUMMYFUNCTION("""COMPUTED_VALUE"""),0.0)</f>
        <v>0</v>
      </c>
      <c r="X36" s="33">
        <f>IFERROR(__xludf.DUMMYFUNCTION("""COMPUTED_VALUE"""),0.0)</f>
        <v>0</v>
      </c>
      <c r="Y36" s="33">
        <f>IFERROR(__xludf.DUMMYFUNCTION("""COMPUTED_VALUE"""),0.0)</f>
        <v>0</v>
      </c>
      <c r="Z36" s="33">
        <f>IFERROR(__xludf.DUMMYFUNCTION("""COMPUTED_VALUE"""),0.0)</f>
        <v>0</v>
      </c>
      <c r="AA36" s="33">
        <f>IFERROR(__xludf.DUMMYFUNCTION("""COMPUTED_VALUE"""),0.0)</f>
        <v>0</v>
      </c>
      <c r="AB36" s="33">
        <f>IFERROR(__xludf.DUMMYFUNCTION("""COMPUTED_VALUE"""),0.0)</f>
        <v>0</v>
      </c>
      <c r="AC36" s="33">
        <f>IFERROR(__xludf.DUMMYFUNCTION("""COMPUTED_VALUE"""),32.4522222222222)</f>
        <v>32.45222222</v>
      </c>
      <c r="AD36" s="33">
        <f>IFERROR(__xludf.DUMMYFUNCTION("""COMPUTED_VALUE"""),1.39416666666666)</f>
        <v>1.394166667</v>
      </c>
      <c r="AE36" s="33">
        <f>IFERROR(__xludf.DUMMYFUNCTION("""COMPUTED_VALUE"""),32.4522222222222)</f>
        <v>32.45222222</v>
      </c>
      <c r="AF36" s="33">
        <f>IFERROR(__xludf.DUMMYFUNCTION("""COMPUTED_VALUE"""),0.0)</f>
        <v>0</v>
      </c>
    </row>
    <row r="37">
      <c r="A37" s="49">
        <f>IFERROR(__xludf.DUMMYFUNCTION("""COMPUTED_VALUE"""),46146.0)</f>
        <v>46146</v>
      </c>
      <c r="B37" s="33" t="str">
        <f>IFERROR(__xludf.DUMMYFUNCTION("""COMPUTED_VALUE"""),"661dba879cabc615ad2774813367b442a8ba7a6c")</f>
        <v>661dba879cabc615ad2774813367b442a8ba7a6c</v>
      </c>
      <c r="C37" s="33" t="str">
        <f>IFERROR(__xludf.DUMMYFUNCTION("""COMPUTED_VALUE"""),"My Devil Wife -Production Id")</f>
        <v>My Devil Wife -Production Id</v>
      </c>
      <c r="D37" s="33">
        <f>IFERROR(__xludf.DUMMYFUNCTION("""COMPUTED_VALUE"""),13.0)</f>
        <v>13</v>
      </c>
      <c r="E37" s="33">
        <f>IFERROR(__xludf.DUMMYFUNCTION("""COMPUTED_VALUE"""),0.0)</f>
        <v>0</v>
      </c>
      <c r="F37" s="33">
        <f>IFERROR(__xludf.DUMMYFUNCTION("""COMPUTED_VALUE"""),0.0)</f>
        <v>0</v>
      </c>
      <c r="G37" s="33">
        <f>IFERROR(__xludf.DUMMYFUNCTION("""COMPUTED_VALUE"""),0.0)</f>
        <v>0</v>
      </c>
      <c r="H37" s="33">
        <f>IFERROR(__xludf.DUMMYFUNCTION("""COMPUTED_VALUE"""),0.0)</f>
        <v>0</v>
      </c>
      <c r="I37" s="33">
        <f>IFERROR(__xludf.DUMMYFUNCTION("""COMPUTED_VALUE"""),0.0)</f>
        <v>0</v>
      </c>
      <c r="J37" s="33">
        <f>IFERROR(__xludf.DUMMYFUNCTION("""COMPUTED_VALUE"""),0.0)</f>
        <v>0</v>
      </c>
      <c r="K37" s="33">
        <f>IFERROR(__xludf.DUMMYFUNCTION("""COMPUTED_VALUE"""),0.0)</f>
        <v>0</v>
      </c>
      <c r="L37" s="33">
        <f>IFERROR(__xludf.DUMMYFUNCTION("""COMPUTED_VALUE"""),0.0)</f>
        <v>0</v>
      </c>
      <c r="M37" s="33">
        <f>IFERROR(__xludf.DUMMYFUNCTION("""COMPUTED_VALUE"""),0.0)</f>
        <v>0</v>
      </c>
      <c r="N37" s="33">
        <f>IFERROR(__xludf.DUMMYFUNCTION("""COMPUTED_VALUE"""),0.0)</f>
        <v>0</v>
      </c>
      <c r="O37" s="33">
        <f>IFERROR(__xludf.DUMMYFUNCTION("""COMPUTED_VALUE"""),0.0)</f>
        <v>0</v>
      </c>
      <c r="P37" s="33">
        <f>IFERROR(__xludf.DUMMYFUNCTION("""COMPUTED_VALUE"""),0.0)</f>
        <v>0</v>
      </c>
      <c r="Q37" s="33">
        <f>IFERROR(__xludf.DUMMYFUNCTION("""COMPUTED_VALUE"""),0.0)</f>
        <v>0</v>
      </c>
      <c r="R37" s="33">
        <f>IFERROR(__xludf.DUMMYFUNCTION("""COMPUTED_VALUE"""),30909.0)</f>
        <v>30909</v>
      </c>
      <c r="S37" s="33">
        <f>IFERROR(__xludf.DUMMYFUNCTION("""COMPUTED_VALUE"""),0.0)</f>
        <v>0</v>
      </c>
      <c r="T37" s="33">
        <f>IFERROR(__xludf.DUMMYFUNCTION("""COMPUTED_VALUE"""),0.0)</f>
        <v>0</v>
      </c>
      <c r="U37" s="33">
        <f>IFERROR(__xludf.DUMMYFUNCTION("""COMPUTED_VALUE"""),0.0)</f>
        <v>0</v>
      </c>
      <c r="V37" s="33">
        <f>IFERROR(__xludf.DUMMYFUNCTION("""COMPUTED_VALUE"""),0.0)</f>
        <v>0</v>
      </c>
      <c r="W37" s="33">
        <f>IFERROR(__xludf.DUMMYFUNCTION("""COMPUTED_VALUE"""),0.0)</f>
        <v>0</v>
      </c>
      <c r="X37" s="33">
        <f>IFERROR(__xludf.DUMMYFUNCTION("""COMPUTED_VALUE"""),0.0)</f>
        <v>0</v>
      </c>
      <c r="Y37" s="33">
        <f>IFERROR(__xludf.DUMMYFUNCTION("""COMPUTED_VALUE"""),0.0)</f>
        <v>0</v>
      </c>
      <c r="Z37" s="33">
        <f>IFERROR(__xludf.DUMMYFUNCTION("""COMPUTED_VALUE"""),0.0)</f>
        <v>0</v>
      </c>
      <c r="AA37" s="33">
        <f>IFERROR(__xludf.DUMMYFUNCTION("""COMPUTED_VALUE"""),0.0)</f>
        <v>0</v>
      </c>
      <c r="AB37" s="33">
        <f>IFERROR(__xludf.DUMMYFUNCTION("""COMPUTED_VALUE"""),0.0)</f>
        <v>0</v>
      </c>
      <c r="AC37" s="33">
        <f>IFERROR(__xludf.DUMMYFUNCTION("""COMPUTED_VALUE"""),0.0)</f>
        <v>0</v>
      </c>
      <c r="AD37" s="33">
        <f>IFERROR(__xludf.DUMMYFUNCTION("""COMPUTED_VALUE"""),0.0)</f>
        <v>0</v>
      </c>
      <c r="AE37" s="33">
        <f>IFERROR(__xludf.DUMMYFUNCTION("""COMPUTED_VALUE"""),0.0)</f>
        <v>0</v>
      </c>
      <c r="AF37" s="33">
        <f>IFERROR(__xludf.DUMMYFUNCTION("""COMPUTED_VALUE"""),0.0)</f>
        <v>0</v>
      </c>
    </row>
    <row r="38">
      <c r="A38" s="49">
        <f>IFERROR(__xludf.DUMMYFUNCTION("""COMPUTED_VALUE"""),46146.0)</f>
        <v>46146</v>
      </c>
      <c r="B38" s="33" t="str">
        <f>IFERROR(__xludf.DUMMYFUNCTION("""COMPUTED_VALUE"""),"6867922e795be5da6320ef1d28567452800209ba")</f>
        <v>6867922e795be5da6320ef1d28567452800209ba</v>
      </c>
      <c r="C38" s="33" t="str">
        <f>IFERROR(__xludf.DUMMYFUNCTION("""COMPUTED_VALUE"""),"The Dimension God - Production Id")</f>
        <v>The Dimension God - Production Id</v>
      </c>
      <c r="D38" s="33">
        <f>IFERROR(__xludf.DUMMYFUNCTION("""COMPUTED_VALUE"""),30.0)</f>
        <v>30</v>
      </c>
      <c r="E38" s="33">
        <f>IFERROR(__xludf.DUMMYFUNCTION("""COMPUTED_VALUE"""),5.0)</f>
        <v>5</v>
      </c>
      <c r="F38" s="33">
        <f>IFERROR(__xludf.DUMMYFUNCTION("""COMPUTED_VALUE"""),0.0)</f>
        <v>0</v>
      </c>
      <c r="G38" s="33">
        <f>IFERROR(__xludf.DUMMYFUNCTION("""COMPUTED_VALUE"""),0.0)</f>
        <v>0</v>
      </c>
      <c r="H38" s="33">
        <f>IFERROR(__xludf.DUMMYFUNCTION("""COMPUTED_VALUE"""),0.0)</f>
        <v>0</v>
      </c>
      <c r="I38" s="33">
        <f>IFERROR(__xludf.DUMMYFUNCTION("""COMPUTED_VALUE"""),0.0)</f>
        <v>0</v>
      </c>
      <c r="J38" s="33">
        <f>IFERROR(__xludf.DUMMYFUNCTION("""COMPUTED_VALUE"""),0.0)</f>
        <v>0</v>
      </c>
      <c r="K38" s="33">
        <f>IFERROR(__xludf.DUMMYFUNCTION("""COMPUTED_VALUE"""),0.0)</f>
        <v>0</v>
      </c>
      <c r="L38" s="33">
        <f>IFERROR(__xludf.DUMMYFUNCTION("""COMPUTED_VALUE"""),0.0)</f>
        <v>0</v>
      </c>
      <c r="M38" s="33">
        <f>IFERROR(__xludf.DUMMYFUNCTION("""COMPUTED_VALUE"""),5.0)</f>
        <v>5</v>
      </c>
      <c r="N38" s="33">
        <f>IFERROR(__xludf.DUMMYFUNCTION("""COMPUTED_VALUE"""),5.0)</f>
        <v>5</v>
      </c>
      <c r="O38" s="33">
        <f>IFERROR(__xludf.DUMMYFUNCTION("""COMPUTED_VALUE"""),3.0)</f>
        <v>3</v>
      </c>
      <c r="P38" s="33">
        <f>IFERROR(__xludf.DUMMYFUNCTION("""COMPUTED_VALUE"""),5.0)</f>
        <v>5</v>
      </c>
      <c r="Q38" s="33">
        <f>IFERROR(__xludf.DUMMYFUNCTION("""COMPUTED_VALUE"""),0.0)</f>
        <v>0</v>
      </c>
      <c r="R38" s="33">
        <f>IFERROR(__xludf.DUMMYFUNCTION("""COMPUTED_VALUE"""),72191.0)</f>
        <v>72191</v>
      </c>
      <c r="S38" s="33">
        <f>IFERROR(__xludf.DUMMYFUNCTION("""COMPUTED_VALUE"""),12432.0)</f>
        <v>12432</v>
      </c>
      <c r="T38" s="33">
        <f>IFERROR(__xludf.DUMMYFUNCTION("""COMPUTED_VALUE"""),0.275277777777777)</f>
        <v>0.2752777778</v>
      </c>
      <c r="U38" s="33">
        <f>IFERROR(__xludf.DUMMYFUNCTION("""COMPUTED_VALUE"""),0.0)</f>
        <v>0</v>
      </c>
      <c r="V38" s="33">
        <f>IFERROR(__xludf.DUMMYFUNCTION("""COMPUTED_VALUE"""),0.0)</f>
        <v>0</v>
      </c>
      <c r="W38" s="33">
        <f>IFERROR(__xludf.DUMMYFUNCTION("""COMPUTED_VALUE"""),0.0)</f>
        <v>0</v>
      </c>
      <c r="X38" s="33">
        <f>IFERROR(__xludf.DUMMYFUNCTION("""COMPUTED_VALUE"""),0.0)</f>
        <v>0</v>
      </c>
      <c r="Y38" s="33">
        <f>IFERROR(__xludf.DUMMYFUNCTION("""COMPUTED_VALUE"""),0.0)</f>
        <v>0</v>
      </c>
      <c r="Z38" s="33">
        <f>IFERROR(__xludf.DUMMYFUNCTION("""COMPUTED_VALUE"""),0.0)</f>
        <v>0</v>
      </c>
      <c r="AA38" s="33">
        <f>IFERROR(__xludf.DUMMYFUNCTION("""COMPUTED_VALUE"""),0.0)</f>
        <v>0</v>
      </c>
      <c r="AB38" s="33">
        <f>IFERROR(__xludf.DUMMYFUNCTION("""COMPUTED_VALUE"""),1.29)</f>
        <v>1.29</v>
      </c>
      <c r="AC38" s="33">
        <f>IFERROR(__xludf.DUMMYFUNCTION("""COMPUTED_VALUE"""),1.29)</f>
        <v>1.29</v>
      </c>
      <c r="AD38" s="33">
        <f>IFERROR(__xludf.DUMMYFUNCTION("""COMPUTED_VALUE"""),0.777222222222222)</f>
        <v>0.7772222222</v>
      </c>
      <c r="AE38" s="33">
        <f>IFERROR(__xludf.DUMMYFUNCTION("""COMPUTED_VALUE"""),1.29)</f>
        <v>1.29</v>
      </c>
      <c r="AF38" s="33">
        <f>IFERROR(__xludf.DUMMYFUNCTION("""COMPUTED_VALUE"""),1.0)</f>
        <v>1</v>
      </c>
    </row>
    <row r="39">
      <c r="A39" s="49">
        <f>IFERROR(__xludf.DUMMYFUNCTION("""COMPUTED_VALUE"""),46146.0)</f>
        <v>46146</v>
      </c>
      <c r="B39" s="33" t="str">
        <f>IFERROR(__xludf.DUMMYFUNCTION("""COMPUTED_VALUE"""),"6b246320a4c5853ce55127d5e00ee8805a97659a")</f>
        <v>6b246320a4c5853ce55127d5e00ee8805a97659a</v>
      </c>
      <c r="C39" s="33" t="str">
        <f>IFERROR(__xludf.DUMMYFUNCTION("""COMPUTED_VALUE"""),"Mystic Fate System - Production Show_id")</f>
        <v>Mystic Fate System - Production Show_id</v>
      </c>
      <c r="D39" s="33">
        <f>IFERROR(__xludf.DUMMYFUNCTION("""COMPUTED_VALUE"""),0.0)</f>
        <v>0</v>
      </c>
      <c r="E39" s="33">
        <f>IFERROR(__xludf.DUMMYFUNCTION("""COMPUTED_VALUE"""),0.0)</f>
        <v>0</v>
      </c>
      <c r="F39" s="33">
        <f>IFERROR(__xludf.DUMMYFUNCTION("""COMPUTED_VALUE"""),0.0)</f>
        <v>0</v>
      </c>
      <c r="G39" s="33">
        <f>IFERROR(__xludf.DUMMYFUNCTION("""COMPUTED_VALUE"""),0.0)</f>
        <v>0</v>
      </c>
      <c r="H39" s="33">
        <f>IFERROR(__xludf.DUMMYFUNCTION("""COMPUTED_VALUE"""),0.0)</f>
        <v>0</v>
      </c>
      <c r="I39" s="33">
        <f>IFERROR(__xludf.DUMMYFUNCTION("""COMPUTED_VALUE"""),0.0)</f>
        <v>0</v>
      </c>
      <c r="J39" s="33">
        <f>IFERROR(__xludf.DUMMYFUNCTION("""COMPUTED_VALUE"""),1.0)</f>
        <v>1</v>
      </c>
      <c r="K39" s="33">
        <f>IFERROR(__xludf.DUMMYFUNCTION("""COMPUTED_VALUE"""),0.0)</f>
        <v>0</v>
      </c>
      <c r="L39" s="33">
        <f>IFERROR(__xludf.DUMMYFUNCTION("""COMPUTED_VALUE"""),0.0)</f>
        <v>0</v>
      </c>
      <c r="M39" s="33">
        <f>IFERROR(__xludf.DUMMYFUNCTION("""COMPUTED_VALUE"""),1.0)</f>
        <v>1</v>
      </c>
      <c r="N39" s="33">
        <f>IFERROR(__xludf.DUMMYFUNCTION("""COMPUTED_VALUE"""),1.0)</f>
        <v>1</v>
      </c>
      <c r="O39" s="33">
        <f>IFERROR(__xludf.DUMMYFUNCTION("""COMPUTED_VALUE"""),1.0)</f>
        <v>1</v>
      </c>
      <c r="P39" s="33">
        <f>IFERROR(__xludf.DUMMYFUNCTION("""COMPUTED_VALUE"""),1.0)</f>
        <v>1</v>
      </c>
      <c r="Q39" s="33">
        <f>IFERROR(__xludf.DUMMYFUNCTION("""COMPUTED_VALUE"""),0.0)</f>
        <v>0</v>
      </c>
      <c r="R39" s="33">
        <f>IFERROR(__xludf.DUMMYFUNCTION("""COMPUTED_VALUE"""),0.0)</f>
        <v>0</v>
      </c>
      <c r="S39" s="33">
        <f>IFERROR(__xludf.DUMMYFUNCTION("""COMPUTED_VALUE"""),0.0)</f>
        <v>0</v>
      </c>
      <c r="T39" s="33">
        <f>IFERROR(__xludf.DUMMYFUNCTION("""COMPUTED_VALUE"""),0.0)</f>
        <v>0</v>
      </c>
      <c r="U39" s="33">
        <f>IFERROR(__xludf.DUMMYFUNCTION("""COMPUTED_VALUE"""),0.0)</f>
        <v>0</v>
      </c>
      <c r="V39" s="33">
        <f>IFERROR(__xludf.DUMMYFUNCTION("""COMPUTED_VALUE"""),0.0)</f>
        <v>0</v>
      </c>
      <c r="W39" s="33">
        <f>IFERROR(__xludf.DUMMYFUNCTION("""COMPUTED_VALUE"""),0.0)</f>
        <v>0</v>
      </c>
      <c r="X39" s="33">
        <f>IFERROR(__xludf.DUMMYFUNCTION("""COMPUTED_VALUE"""),0.0)</f>
        <v>0</v>
      </c>
      <c r="Y39" s="33">
        <f>IFERROR(__xludf.DUMMYFUNCTION("""COMPUTED_VALUE"""),0.245833333333333)</f>
        <v>0.2458333333</v>
      </c>
      <c r="Z39" s="33">
        <f>IFERROR(__xludf.DUMMYFUNCTION("""COMPUTED_VALUE"""),0.0)</f>
        <v>0</v>
      </c>
      <c r="AA39" s="33">
        <f>IFERROR(__xludf.DUMMYFUNCTION("""COMPUTED_VALUE"""),0.0)</f>
        <v>0</v>
      </c>
      <c r="AB39" s="33">
        <f>IFERROR(__xludf.DUMMYFUNCTION("""COMPUTED_VALUE"""),0.245833333333333)</f>
        <v>0.2458333333</v>
      </c>
      <c r="AC39" s="33">
        <f>IFERROR(__xludf.DUMMYFUNCTION("""COMPUTED_VALUE"""),0.245833333333333)</f>
        <v>0.2458333333</v>
      </c>
      <c r="AD39" s="33">
        <f>IFERROR(__xludf.DUMMYFUNCTION("""COMPUTED_VALUE"""),0.243888888888888)</f>
        <v>0.2438888889</v>
      </c>
      <c r="AE39" s="33">
        <f>IFERROR(__xludf.DUMMYFUNCTION("""COMPUTED_VALUE"""),0.245833333333333)</f>
        <v>0.2458333333</v>
      </c>
      <c r="AF39" s="33">
        <f>IFERROR(__xludf.DUMMYFUNCTION("""COMPUTED_VALUE"""),0.0)</f>
        <v>0</v>
      </c>
    </row>
    <row r="40">
      <c r="A40" s="49">
        <f>IFERROR(__xludf.DUMMYFUNCTION("""COMPUTED_VALUE"""),46146.0)</f>
        <v>46146</v>
      </c>
      <c r="B40" s="33" t="str">
        <f>IFERROR(__xludf.DUMMYFUNCTION("""COMPUTED_VALUE"""),"773d29931b435627d0ca406e1ea1425e9a1dbcb6")</f>
        <v>773d29931b435627d0ca406e1ea1425e9a1dbcb6</v>
      </c>
      <c r="C40" s="33" t="str">
        <f>IFERROR(__xludf.DUMMYFUNCTION("""COMPUTED_VALUE"""),"Mahagatha - Production")</f>
        <v>Mahagatha - Production</v>
      </c>
      <c r="D40" s="33">
        <f>IFERROR(__xludf.DUMMYFUNCTION("""COMPUTED_VALUE"""),18.0)</f>
        <v>18</v>
      </c>
      <c r="E40" s="33">
        <f>IFERROR(__xludf.DUMMYFUNCTION("""COMPUTED_VALUE"""),22.0)</f>
        <v>22</v>
      </c>
      <c r="F40" s="33">
        <f>IFERROR(__xludf.DUMMYFUNCTION("""COMPUTED_VALUE"""),0.0)</f>
        <v>0</v>
      </c>
      <c r="G40" s="33">
        <f>IFERROR(__xludf.DUMMYFUNCTION("""COMPUTED_VALUE"""),0.0)</f>
        <v>0</v>
      </c>
      <c r="H40" s="33">
        <f>IFERROR(__xludf.DUMMYFUNCTION("""COMPUTED_VALUE"""),19.0)</f>
        <v>19</v>
      </c>
      <c r="I40" s="33">
        <f>IFERROR(__xludf.DUMMYFUNCTION("""COMPUTED_VALUE"""),19.0)</f>
        <v>19</v>
      </c>
      <c r="J40" s="33">
        <f>IFERROR(__xludf.DUMMYFUNCTION("""COMPUTED_VALUE"""),16.0)</f>
        <v>16</v>
      </c>
      <c r="K40" s="33">
        <f>IFERROR(__xludf.DUMMYFUNCTION("""COMPUTED_VALUE"""),11.0)</f>
        <v>11</v>
      </c>
      <c r="L40" s="33">
        <f>IFERROR(__xludf.DUMMYFUNCTION("""COMPUTED_VALUE"""),1.0)</f>
        <v>1</v>
      </c>
      <c r="M40" s="33">
        <f>IFERROR(__xludf.DUMMYFUNCTION("""COMPUTED_VALUE"""),15.0)</f>
        <v>15</v>
      </c>
      <c r="N40" s="33">
        <f>IFERROR(__xludf.DUMMYFUNCTION("""COMPUTED_VALUE"""),15.0)</f>
        <v>15</v>
      </c>
      <c r="O40" s="33">
        <f>IFERROR(__xludf.DUMMYFUNCTION("""COMPUTED_VALUE"""),6.0)</f>
        <v>6</v>
      </c>
      <c r="P40" s="33">
        <f>IFERROR(__xludf.DUMMYFUNCTION("""COMPUTED_VALUE"""),15.0)</f>
        <v>15</v>
      </c>
      <c r="Q40" s="33">
        <f>IFERROR(__xludf.DUMMYFUNCTION("""COMPUTED_VALUE"""),0.0)</f>
        <v>0</v>
      </c>
      <c r="R40" s="33">
        <f>IFERROR(__xludf.DUMMYFUNCTION("""COMPUTED_VALUE"""),45583.0)</f>
        <v>45583</v>
      </c>
      <c r="S40" s="33">
        <f>IFERROR(__xludf.DUMMYFUNCTION("""COMPUTED_VALUE"""),50868.0)</f>
        <v>50868</v>
      </c>
      <c r="T40" s="33">
        <f>IFERROR(__xludf.DUMMYFUNCTION("""COMPUTED_VALUE"""),3.70777777777777)</f>
        <v>3.707777778</v>
      </c>
      <c r="U40" s="33">
        <f>IFERROR(__xludf.DUMMYFUNCTION("""COMPUTED_VALUE"""),0.0)</f>
        <v>0</v>
      </c>
      <c r="V40" s="33">
        <f>IFERROR(__xludf.DUMMYFUNCTION("""COMPUTED_VALUE"""),0.0)</f>
        <v>0</v>
      </c>
      <c r="W40" s="33">
        <f>IFERROR(__xludf.DUMMYFUNCTION("""COMPUTED_VALUE"""),4.40944444444444)</f>
        <v>4.409444444</v>
      </c>
      <c r="X40" s="33">
        <f>IFERROR(__xludf.DUMMYFUNCTION("""COMPUTED_VALUE"""),4.40944444444444)</f>
        <v>4.409444444</v>
      </c>
      <c r="Y40" s="33">
        <f>IFERROR(__xludf.DUMMYFUNCTION("""COMPUTED_VALUE"""),3.6675)</f>
        <v>3.6675</v>
      </c>
      <c r="Z40" s="33">
        <f>IFERROR(__xludf.DUMMYFUNCTION("""COMPUTED_VALUE"""),2.54361111111111)</f>
        <v>2.543611111</v>
      </c>
      <c r="AA40" s="33">
        <f>IFERROR(__xludf.DUMMYFUNCTION("""COMPUTED_VALUE"""),0.241388888888888)</f>
        <v>0.2413888889</v>
      </c>
      <c r="AB40" s="33">
        <f>IFERROR(__xludf.DUMMYFUNCTION("""COMPUTED_VALUE"""),3.43888888888888)</f>
        <v>3.438888889</v>
      </c>
      <c r="AC40" s="33">
        <f>IFERROR(__xludf.DUMMYFUNCTION("""COMPUTED_VALUE"""),3.43888888888888)</f>
        <v>3.438888889</v>
      </c>
      <c r="AD40" s="33">
        <f>IFERROR(__xludf.DUMMYFUNCTION("""COMPUTED_VALUE"""),1.35694444444444)</f>
        <v>1.356944444</v>
      </c>
      <c r="AE40" s="33">
        <f>IFERROR(__xludf.DUMMYFUNCTION("""COMPUTED_VALUE"""),3.43888888888888)</f>
        <v>3.438888889</v>
      </c>
      <c r="AF40" s="33">
        <f>IFERROR(__xludf.DUMMYFUNCTION("""COMPUTED_VALUE"""),16.0)</f>
        <v>16</v>
      </c>
    </row>
    <row r="41">
      <c r="A41" s="49">
        <f>IFERROR(__xludf.DUMMYFUNCTION("""COMPUTED_VALUE"""),46146.0)</f>
        <v>46146</v>
      </c>
      <c r="B41" s="33" t="str">
        <f>IFERROR(__xludf.DUMMYFUNCTION("""COMPUTED_VALUE"""),"7ea3277f02ef13c60cfa72336d009bf7ee6c17e8")</f>
        <v>7ea3277f02ef13c60cfa72336d009bf7ee6c17e8</v>
      </c>
      <c r="C41" s="33" t="str">
        <f>IFERROR(__xludf.DUMMYFUNCTION("""COMPUTED_VALUE"""),"Saaya the Dark Love - Production Show_id")</f>
        <v>Saaya the Dark Love - Production Show_id</v>
      </c>
      <c r="D41" s="33">
        <f>IFERROR(__xludf.DUMMYFUNCTION("""COMPUTED_VALUE"""),12.0)</f>
        <v>12</v>
      </c>
      <c r="E41" s="33">
        <f>IFERROR(__xludf.DUMMYFUNCTION("""COMPUTED_VALUE"""),13.0)</f>
        <v>13</v>
      </c>
      <c r="F41" s="33">
        <f>IFERROR(__xludf.DUMMYFUNCTION("""COMPUTED_VALUE"""),0.0)</f>
        <v>0</v>
      </c>
      <c r="G41" s="33">
        <f>IFERROR(__xludf.DUMMYFUNCTION("""COMPUTED_VALUE"""),0.0)</f>
        <v>0</v>
      </c>
      <c r="H41" s="33">
        <f>IFERROR(__xludf.DUMMYFUNCTION("""COMPUTED_VALUE"""),10.0)</f>
        <v>10</v>
      </c>
      <c r="I41" s="33">
        <f>IFERROR(__xludf.DUMMYFUNCTION("""COMPUTED_VALUE"""),7.0)</f>
        <v>7</v>
      </c>
      <c r="J41" s="33">
        <f>IFERROR(__xludf.DUMMYFUNCTION("""COMPUTED_VALUE"""),10.0)</f>
        <v>10</v>
      </c>
      <c r="K41" s="33">
        <f>IFERROR(__xludf.DUMMYFUNCTION("""COMPUTED_VALUE"""),8.0)</f>
        <v>8</v>
      </c>
      <c r="L41" s="33">
        <f>IFERROR(__xludf.DUMMYFUNCTION("""COMPUTED_VALUE"""),3.0)</f>
        <v>3</v>
      </c>
      <c r="M41" s="33">
        <f>IFERROR(__xludf.DUMMYFUNCTION("""COMPUTED_VALUE"""),11.0)</f>
        <v>11</v>
      </c>
      <c r="N41" s="33">
        <f>IFERROR(__xludf.DUMMYFUNCTION("""COMPUTED_VALUE"""),11.0)</f>
        <v>11</v>
      </c>
      <c r="O41" s="33">
        <f>IFERROR(__xludf.DUMMYFUNCTION("""COMPUTED_VALUE"""),6.0)</f>
        <v>6</v>
      </c>
      <c r="P41" s="33">
        <f>IFERROR(__xludf.DUMMYFUNCTION("""COMPUTED_VALUE"""),11.0)</f>
        <v>11</v>
      </c>
      <c r="Q41" s="33">
        <f>IFERROR(__xludf.DUMMYFUNCTION("""COMPUTED_VALUE"""),0.0)</f>
        <v>0</v>
      </c>
      <c r="R41" s="33">
        <f>IFERROR(__xludf.DUMMYFUNCTION("""COMPUTED_VALUE"""),24413.0)</f>
        <v>24413</v>
      </c>
      <c r="S41" s="33">
        <f>IFERROR(__xludf.DUMMYFUNCTION("""COMPUTED_VALUE"""),25922.0)</f>
        <v>25922</v>
      </c>
      <c r="T41" s="33">
        <f>IFERROR(__xludf.DUMMYFUNCTION("""COMPUTED_VALUE"""),1.94305555555555)</f>
        <v>1.943055556</v>
      </c>
      <c r="U41" s="33">
        <f>IFERROR(__xludf.DUMMYFUNCTION("""COMPUTED_VALUE"""),0.0)</f>
        <v>0</v>
      </c>
      <c r="V41" s="33">
        <f>IFERROR(__xludf.DUMMYFUNCTION("""COMPUTED_VALUE"""),0.0)</f>
        <v>0</v>
      </c>
      <c r="W41" s="33">
        <f>IFERROR(__xludf.DUMMYFUNCTION("""COMPUTED_VALUE"""),2.34861111111111)</f>
        <v>2.348611111</v>
      </c>
      <c r="X41" s="33">
        <f>IFERROR(__xludf.DUMMYFUNCTION("""COMPUTED_VALUE"""),1.59361111111111)</f>
        <v>1.593611111</v>
      </c>
      <c r="Y41" s="33">
        <f>IFERROR(__xludf.DUMMYFUNCTION("""COMPUTED_VALUE"""),2.35555555555555)</f>
        <v>2.355555556</v>
      </c>
      <c r="Z41" s="33">
        <f>IFERROR(__xludf.DUMMYFUNCTION("""COMPUTED_VALUE"""),1.84638888888888)</f>
        <v>1.846388889</v>
      </c>
      <c r="AA41" s="33">
        <f>IFERROR(__xludf.DUMMYFUNCTION("""COMPUTED_VALUE"""),0.775833333333333)</f>
        <v>0.7758333333</v>
      </c>
      <c r="AB41" s="33">
        <f>IFERROR(__xludf.DUMMYFUNCTION("""COMPUTED_VALUE"""),2.5875)</f>
        <v>2.5875</v>
      </c>
      <c r="AC41" s="33">
        <f>IFERROR(__xludf.DUMMYFUNCTION("""COMPUTED_VALUE"""),2.5875)</f>
        <v>2.5875</v>
      </c>
      <c r="AD41" s="33">
        <f>IFERROR(__xludf.DUMMYFUNCTION("""COMPUTED_VALUE"""),1.30416666666666)</f>
        <v>1.304166667</v>
      </c>
      <c r="AE41" s="33">
        <f>IFERROR(__xludf.DUMMYFUNCTION("""COMPUTED_VALUE"""),2.5875)</f>
        <v>2.5875</v>
      </c>
      <c r="AF41" s="33">
        <f>IFERROR(__xludf.DUMMYFUNCTION("""COMPUTED_VALUE"""),9.0)</f>
        <v>9</v>
      </c>
    </row>
    <row r="42">
      <c r="A42" s="49">
        <f>IFERROR(__xludf.DUMMYFUNCTION("""COMPUTED_VALUE"""),46146.0)</f>
        <v>46146</v>
      </c>
      <c r="B42" s="33" t="str">
        <f>IFERROR(__xludf.DUMMYFUNCTION("""COMPUTED_VALUE"""),"859785ba4869b28dddcfcb0e75295d1e1ad9b5a9")</f>
        <v>859785ba4869b28dddcfcb0e75295d1e1ad9b5a9</v>
      </c>
      <c r="C42" s="33" t="str">
        <f>IFERROR(__xludf.DUMMYFUNCTION("""COMPUTED_VALUE"""),"King of Dragon | किंग ऑफ ड्रैगन | Author - Nitesh")</f>
        <v>King of Dragon | किंग ऑफ ड्रैगन | Author - Nitesh</v>
      </c>
      <c r="D42" s="33">
        <f>IFERROR(__xludf.DUMMYFUNCTION("""COMPUTED_VALUE"""),0.0)</f>
        <v>0</v>
      </c>
      <c r="E42" s="33">
        <f>IFERROR(__xludf.DUMMYFUNCTION("""COMPUTED_VALUE"""),0.0)</f>
        <v>0</v>
      </c>
      <c r="F42" s="33">
        <f>IFERROR(__xludf.DUMMYFUNCTION("""COMPUTED_VALUE"""),0.0)</f>
        <v>0</v>
      </c>
      <c r="G42" s="33">
        <f>IFERROR(__xludf.DUMMYFUNCTION("""COMPUTED_VALUE"""),0.0)</f>
        <v>0</v>
      </c>
      <c r="H42" s="33">
        <f>IFERROR(__xludf.DUMMYFUNCTION("""COMPUTED_VALUE"""),0.0)</f>
        <v>0</v>
      </c>
      <c r="I42" s="33">
        <f>IFERROR(__xludf.DUMMYFUNCTION("""COMPUTED_VALUE"""),0.0)</f>
        <v>0</v>
      </c>
      <c r="J42" s="33">
        <f>IFERROR(__xludf.DUMMYFUNCTION("""COMPUTED_VALUE"""),0.0)</f>
        <v>0</v>
      </c>
      <c r="K42" s="33">
        <f>IFERROR(__xludf.DUMMYFUNCTION("""COMPUTED_VALUE"""),0.0)</f>
        <v>0</v>
      </c>
      <c r="L42" s="33">
        <f>IFERROR(__xludf.DUMMYFUNCTION("""COMPUTED_VALUE"""),0.0)</f>
        <v>0</v>
      </c>
      <c r="M42" s="33">
        <f>IFERROR(__xludf.DUMMYFUNCTION("""COMPUTED_VALUE"""),0.0)</f>
        <v>0</v>
      </c>
      <c r="N42" s="33">
        <f>IFERROR(__xludf.DUMMYFUNCTION("""COMPUTED_VALUE"""),0.0)</f>
        <v>0</v>
      </c>
      <c r="O42" s="33">
        <f>IFERROR(__xludf.DUMMYFUNCTION("""COMPUTED_VALUE"""),0.0)</f>
        <v>0</v>
      </c>
      <c r="P42" s="33">
        <f>IFERROR(__xludf.DUMMYFUNCTION("""COMPUTED_VALUE"""),6.0)</f>
        <v>6</v>
      </c>
      <c r="Q42" s="33">
        <f>IFERROR(__xludf.DUMMYFUNCTION("""COMPUTED_VALUE"""),0.0)</f>
        <v>0</v>
      </c>
      <c r="R42" s="33">
        <f>IFERROR(__xludf.DUMMYFUNCTION("""COMPUTED_VALUE"""),0.0)</f>
        <v>0</v>
      </c>
      <c r="S42" s="33">
        <f>IFERROR(__xludf.DUMMYFUNCTION("""COMPUTED_VALUE"""),0.0)</f>
        <v>0</v>
      </c>
      <c r="T42" s="33">
        <f>IFERROR(__xludf.DUMMYFUNCTION("""COMPUTED_VALUE"""),0.0)</f>
        <v>0</v>
      </c>
      <c r="U42" s="33">
        <f>IFERROR(__xludf.DUMMYFUNCTION("""COMPUTED_VALUE"""),0.0)</f>
        <v>0</v>
      </c>
      <c r="V42" s="33">
        <f>IFERROR(__xludf.DUMMYFUNCTION("""COMPUTED_VALUE"""),0.0)</f>
        <v>0</v>
      </c>
      <c r="W42" s="33">
        <f>IFERROR(__xludf.DUMMYFUNCTION("""COMPUTED_VALUE"""),0.0)</f>
        <v>0</v>
      </c>
      <c r="X42" s="33">
        <f>IFERROR(__xludf.DUMMYFUNCTION("""COMPUTED_VALUE"""),0.0)</f>
        <v>0</v>
      </c>
      <c r="Y42" s="33">
        <f>IFERROR(__xludf.DUMMYFUNCTION("""COMPUTED_VALUE"""),0.0)</f>
        <v>0</v>
      </c>
      <c r="Z42" s="33">
        <f>IFERROR(__xludf.DUMMYFUNCTION("""COMPUTED_VALUE"""),0.0)</f>
        <v>0</v>
      </c>
      <c r="AA42" s="33">
        <f>IFERROR(__xludf.DUMMYFUNCTION("""COMPUTED_VALUE"""),0.0)</f>
        <v>0</v>
      </c>
      <c r="AB42" s="33">
        <f>IFERROR(__xludf.DUMMYFUNCTION("""COMPUTED_VALUE"""),0.0)</f>
        <v>0</v>
      </c>
      <c r="AC42" s="33">
        <f>IFERROR(__xludf.DUMMYFUNCTION("""COMPUTED_VALUE"""),0.0)</f>
        <v>0</v>
      </c>
      <c r="AD42" s="33">
        <f>IFERROR(__xludf.DUMMYFUNCTION("""COMPUTED_VALUE"""),0.0)</f>
        <v>0</v>
      </c>
      <c r="AE42" s="33">
        <f>IFERROR(__xludf.DUMMYFUNCTION("""COMPUTED_VALUE"""),1.60194444444444)</f>
        <v>1.601944444</v>
      </c>
      <c r="AF42" s="33">
        <f>IFERROR(__xludf.DUMMYFUNCTION("""COMPUTED_VALUE"""),0.0)</f>
        <v>0</v>
      </c>
    </row>
    <row r="43">
      <c r="A43" s="49">
        <f>IFERROR(__xludf.DUMMYFUNCTION("""COMPUTED_VALUE"""),46146.0)</f>
        <v>46146</v>
      </c>
      <c r="B43" s="33" t="str">
        <f>IFERROR(__xludf.DUMMYFUNCTION("""COMPUTED_VALUE"""),"96f1f89e4494e06fb7f9e3c4645563fa62ef9320")</f>
        <v>96f1f89e4494e06fb7f9e3c4645563fa62ef9320</v>
      </c>
      <c r="C43" s="33" t="str">
        <f>IFERROR(__xludf.DUMMYFUNCTION("""COMPUTED_VALUE"""),"King of Dragon - Production Show_id")</f>
        <v>King of Dragon - Production Show_id</v>
      </c>
      <c r="D43" s="33">
        <f>IFERROR(__xludf.DUMMYFUNCTION("""COMPUTED_VALUE"""),12.0)</f>
        <v>12</v>
      </c>
      <c r="E43" s="33">
        <f>IFERROR(__xludf.DUMMYFUNCTION("""COMPUTED_VALUE"""),13.0)</f>
        <v>13</v>
      </c>
      <c r="F43" s="33">
        <f>IFERROR(__xludf.DUMMYFUNCTION("""COMPUTED_VALUE"""),21.0)</f>
        <v>21</v>
      </c>
      <c r="G43" s="33">
        <f>IFERROR(__xludf.DUMMYFUNCTION("""COMPUTED_VALUE"""),16.0)</f>
        <v>16</v>
      </c>
      <c r="H43" s="33">
        <f>IFERROR(__xludf.DUMMYFUNCTION("""COMPUTED_VALUE"""),17.0)</f>
        <v>17</v>
      </c>
      <c r="I43" s="33">
        <f>IFERROR(__xludf.DUMMYFUNCTION("""COMPUTED_VALUE"""),2.0)</f>
        <v>2</v>
      </c>
      <c r="J43" s="33">
        <f>IFERROR(__xludf.DUMMYFUNCTION("""COMPUTED_VALUE"""),17.0)</f>
        <v>17</v>
      </c>
      <c r="K43" s="33">
        <f>IFERROR(__xludf.DUMMYFUNCTION("""COMPUTED_VALUE"""),15.0)</f>
        <v>15</v>
      </c>
      <c r="L43" s="33">
        <f>IFERROR(__xludf.DUMMYFUNCTION("""COMPUTED_VALUE"""),0.0)</f>
        <v>0</v>
      </c>
      <c r="M43" s="33">
        <f>IFERROR(__xludf.DUMMYFUNCTION("""COMPUTED_VALUE"""),17.0)</f>
        <v>17</v>
      </c>
      <c r="N43" s="33">
        <f>IFERROR(__xludf.DUMMYFUNCTION("""COMPUTED_VALUE"""),17.0)</f>
        <v>17</v>
      </c>
      <c r="O43" s="33">
        <f>IFERROR(__xludf.DUMMYFUNCTION("""COMPUTED_VALUE"""),5.0)</f>
        <v>5</v>
      </c>
      <c r="P43" s="33">
        <f>IFERROR(__xludf.DUMMYFUNCTION("""COMPUTED_VALUE"""),17.0)</f>
        <v>17</v>
      </c>
      <c r="Q43" s="33">
        <f>IFERROR(__xludf.DUMMYFUNCTION("""COMPUTED_VALUE"""),0.0)</f>
        <v>0</v>
      </c>
      <c r="R43" s="33">
        <f>IFERROR(__xludf.DUMMYFUNCTION("""COMPUTED_VALUE"""),28878.0)</f>
        <v>28878</v>
      </c>
      <c r="S43" s="33">
        <f>IFERROR(__xludf.DUMMYFUNCTION("""COMPUTED_VALUE"""),30978.0)</f>
        <v>30978</v>
      </c>
      <c r="T43" s="33">
        <f>IFERROR(__xludf.DUMMYFUNCTION("""COMPUTED_VALUE"""),4.18111111111111)</f>
        <v>4.181111111</v>
      </c>
      <c r="U43" s="33">
        <f>IFERROR(__xludf.DUMMYFUNCTION("""COMPUTED_VALUE"""),5.48527777777777)</f>
        <v>5.485277778</v>
      </c>
      <c r="V43" s="33">
        <f>IFERROR(__xludf.DUMMYFUNCTION("""COMPUTED_VALUE"""),4.18833333333333)</f>
        <v>4.188333333</v>
      </c>
      <c r="W43" s="33">
        <f>IFERROR(__xludf.DUMMYFUNCTION("""COMPUTED_VALUE"""),4.47388888888888)</f>
        <v>4.473888889</v>
      </c>
      <c r="X43" s="33">
        <f>IFERROR(__xludf.DUMMYFUNCTION("""COMPUTED_VALUE"""),0.568055555555555)</f>
        <v>0.5680555556</v>
      </c>
      <c r="Y43" s="33">
        <f>IFERROR(__xludf.DUMMYFUNCTION("""COMPUTED_VALUE"""),4.47444444444444)</f>
        <v>4.474444444</v>
      </c>
      <c r="Z43" s="33">
        <f>IFERROR(__xludf.DUMMYFUNCTION("""COMPUTED_VALUE"""),3.92638888888889)</f>
        <v>3.926388889</v>
      </c>
      <c r="AA43" s="33">
        <f>IFERROR(__xludf.DUMMYFUNCTION("""COMPUTED_VALUE"""),0.0)</f>
        <v>0</v>
      </c>
      <c r="AB43" s="33">
        <f>IFERROR(__xludf.DUMMYFUNCTION("""COMPUTED_VALUE"""),4.47444444444444)</f>
        <v>4.474444444</v>
      </c>
      <c r="AC43" s="33">
        <f>IFERROR(__xludf.DUMMYFUNCTION("""COMPUTED_VALUE"""),4.47444444444444)</f>
        <v>4.474444444</v>
      </c>
      <c r="AD43" s="33">
        <f>IFERROR(__xludf.DUMMYFUNCTION("""COMPUTED_VALUE"""),1.41972222222222)</f>
        <v>1.419722222</v>
      </c>
      <c r="AE43" s="33">
        <f>IFERROR(__xludf.DUMMYFUNCTION("""COMPUTED_VALUE"""),4.47444444444444)</f>
        <v>4.474444444</v>
      </c>
      <c r="AF43" s="33">
        <f>IFERROR(__xludf.DUMMYFUNCTION("""COMPUTED_VALUE"""),16.0)</f>
        <v>16</v>
      </c>
    </row>
    <row r="44">
      <c r="A44" s="49">
        <f>IFERROR(__xludf.DUMMYFUNCTION("""COMPUTED_VALUE"""),46146.0)</f>
        <v>46146</v>
      </c>
      <c r="B44" s="33" t="str">
        <f>IFERROR(__xludf.DUMMYFUNCTION("""COMPUTED_VALUE"""),"9afaea00813dcb4fc57a46df70a2e3e1066af919")</f>
        <v>9afaea00813dcb4fc57a46df70a2e3e1066af919</v>
      </c>
      <c r="C44" s="33" t="str">
        <f>IFERROR(__xludf.DUMMYFUNCTION("""COMPUTED_VALUE"""),"My Millionaire System")</f>
        <v>My Millionaire System</v>
      </c>
      <c r="D44" s="33">
        <f>IFERROR(__xludf.DUMMYFUNCTION("""COMPUTED_VALUE"""),20.0)</f>
        <v>20</v>
      </c>
      <c r="E44" s="33">
        <f>IFERROR(__xludf.DUMMYFUNCTION("""COMPUTED_VALUE"""),12.0)</f>
        <v>12</v>
      </c>
      <c r="F44" s="33">
        <f>IFERROR(__xludf.DUMMYFUNCTION("""COMPUTED_VALUE"""),12.0)</f>
        <v>12</v>
      </c>
      <c r="G44" s="33">
        <f>IFERROR(__xludf.DUMMYFUNCTION("""COMPUTED_VALUE"""),12.0)</f>
        <v>12</v>
      </c>
      <c r="H44" s="33">
        <f>IFERROR(__xludf.DUMMYFUNCTION("""COMPUTED_VALUE"""),15.0)</f>
        <v>15</v>
      </c>
      <c r="I44" s="33">
        <f>IFERROR(__xludf.DUMMYFUNCTION("""COMPUTED_VALUE"""),1.0)</f>
        <v>1</v>
      </c>
      <c r="J44" s="33">
        <f>IFERROR(__xludf.DUMMYFUNCTION("""COMPUTED_VALUE"""),17.0)</f>
        <v>17</v>
      </c>
      <c r="K44" s="33">
        <f>IFERROR(__xludf.DUMMYFUNCTION("""COMPUTED_VALUE"""),8.0)</f>
        <v>8</v>
      </c>
      <c r="L44" s="33">
        <f>IFERROR(__xludf.DUMMYFUNCTION("""COMPUTED_VALUE"""),1.0)</f>
        <v>1</v>
      </c>
      <c r="M44" s="33">
        <f>IFERROR(__xludf.DUMMYFUNCTION("""COMPUTED_VALUE"""),14.0)</f>
        <v>14</v>
      </c>
      <c r="N44" s="33">
        <f>IFERROR(__xludf.DUMMYFUNCTION("""COMPUTED_VALUE"""),14.0)</f>
        <v>14</v>
      </c>
      <c r="O44" s="33">
        <f>IFERROR(__xludf.DUMMYFUNCTION("""COMPUTED_VALUE"""),3.0)</f>
        <v>3</v>
      </c>
      <c r="P44" s="33">
        <f>IFERROR(__xludf.DUMMYFUNCTION("""COMPUTED_VALUE"""),14.0)</f>
        <v>14</v>
      </c>
      <c r="Q44" s="33">
        <f>IFERROR(__xludf.DUMMYFUNCTION("""COMPUTED_VALUE"""),0.0)</f>
        <v>0</v>
      </c>
      <c r="R44" s="33">
        <f>IFERROR(__xludf.DUMMYFUNCTION("""COMPUTED_VALUE"""),43065.0)</f>
        <v>43065</v>
      </c>
      <c r="S44" s="33">
        <f>IFERROR(__xludf.DUMMYFUNCTION("""COMPUTED_VALUE"""),27495.0)</f>
        <v>27495</v>
      </c>
      <c r="T44" s="33">
        <f>IFERROR(__xludf.DUMMYFUNCTION("""COMPUTED_VALUE"""),2.27444444444444)</f>
        <v>2.274444444</v>
      </c>
      <c r="U44" s="33">
        <f>IFERROR(__xludf.DUMMYFUNCTION("""COMPUTED_VALUE"""),2.30638888888888)</f>
        <v>2.306388889</v>
      </c>
      <c r="V44" s="33">
        <f>IFERROR(__xludf.DUMMYFUNCTION("""COMPUTED_VALUE"""),2.37)</f>
        <v>2.37</v>
      </c>
      <c r="W44" s="33">
        <f>IFERROR(__xludf.DUMMYFUNCTION("""COMPUTED_VALUE"""),2.99833333333333)</f>
        <v>2.998333333</v>
      </c>
      <c r="X44" s="33">
        <f>IFERROR(__xludf.DUMMYFUNCTION("""COMPUTED_VALUE"""),0.2225)</f>
        <v>0.2225</v>
      </c>
      <c r="Y44" s="33">
        <f>IFERROR(__xludf.DUMMYFUNCTION("""COMPUTED_VALUE"""),3.48305555555555)</f>
        <v>3.483055556</v>
      </c>
      <c r="Z44" s="33">
        <f>IFERROR(__xludf.DUMMYFUNCTION("""COMPUTED_VALUE"""),1.76805555555555)</f>
        <v>1.768055556</v>
      </c>
      <c r="AA44" s="33">
        <f>IFERROR(__xludf.DUMMYFUNCTION("""COMPUTED_VALUE"""),0.222777777777777)</f>
        <v>0.2227777778</v>
      </c>
      <c r="AB44" s="33">
        <f>IFERROR(__xludf.DUMMYFUNCTION("""COMPUTED_VALUE"""),2.77416666666666)</f>
        <v>2.774166667</v>
      </c>
      <c r="AC44" s="33">
        <f>IFERROR(__xludf.DUMMYFUNCTION("""COMPUTED_VALUE"""),2.77416666666666)</f>
        <v>2.774166667</v>
      </c>
      <c r="AD44" s="33">
        <f>IFERROR(__xludf.DUMMYFUNCTION("""COMPUTED_VALUE"""),0.679444444444444)</f>
        <v>0.6794444444</v>
      </c>
      <c r="AE44" s="33">
        <f>IFERROR(__xludf.DUMMYFUNCTION("""COMPUTED_VALUE"""),2.77416666666666)</f>
        <v>2.774166667</v>
      </c>
      <c r="AF44" s="33">
        <f>IFERROR(__xludf.DUMMYFUNCTION("""COMPUTED_VALUE"""),10.0)</f>
        <v>10</v>
      </c>
    </row>
    <row r="45">
      <c r="A45" s="49">
        <f>IFERROR(__xludf.DUMMYFUNCTION("""COMPUTED_VALUE"""),46146.0)</f>
        <v>46146</v>
      </c>
      <c r="B45" s="33" t="str">
        <f>IFERROR(__xludf.DUMMYFUNCTION("""COMPUTED_VALUE"""),"a3ba65aa427077188e1ad7dbcbcafae266683ca9")</f>
        <v>a3ba65aa427077188e1ad7dbcbcafae266683ca9</v>
      </c>
      <c r="C45" s="33" t="str">
        <f>IFERROR(__xludf.DUMMYFUNCTION("""COMPUTED_VALUE"""),"The Warrior | Author - Dayaram Prajapati")</f>
        <v>The Warrior | Author - Dayaram Prajapati</v>
      </c>
      <c r="D45" s="33">
        <f>IFERROR(__xludf.DUMMYFUNCTION("""COMPUTED_VALUE"""),30.0)</f>
        <v>30</v>
      </c>
      <c r="E45" s="33">
        <f>IFERROR(__xludf.DUMMYFUNCTION("""COMPUTED_VALUE"""),30.0)</f>
        <v>30</v>
      </c>
      <c r="F45" s="33">
        <f>IFERROR(__xludf.DUMMYFUNCTION("""COMPUTED_VALUE"""),0.0)</f>
        <v>0</v>
      </c>
      <c r="G45" s="33">
        <f>IFERROR(__xludf.DUMMYFUNCTION("""COMPUTED_VALUE"""),0.0)</f>
        <v>0</v>
      </c>
      <c r="H45" s="33">
        <f>IFERROR(__xludf.DUMMYFUNCTION("""COMPUTED_VALUE"""),0.0)</f>
        <v>0</v>
      </c>
      <c r="I45" s="33">
        <f>IFERROR(__xludf.DUMMYFUNCTION("""COMPUTED_VALUE"""),0.0)</f>
        <v>0</v>
      </c>
      <c r="J45" s="33">
        <f>IFERROR(__xludf.DUMMYFUNCTION("""COMPUTED_VALUE"""),0.0)</f>
        <v>0</v>
      </c>
      <c r="K45" s="33">
        <f>IFERROR(__xludf.DUMMYFUNCTION("""COMPUTED_VALUE"""),0.0)</f>
        <v>0</v>
      </c>
      <c r="L45" s="33">
        <f>IFERROR(__xludf.DUMMYFUNCTION("""COMPUTED_VALUE"""),0.0)</f>
        <v>0</v>
      </c>
      <c r="M45" s="33">
        <f>IFERROR(__xludf.DUMMYFUNCTION("""COMPUTED_VALUE"""),30.0)</f>
        <v>30</v>
      </c>
      <c r="N45" s="33">
        <f>IFERROR(__xludf.DUMMYFUNCTION("""COMPUTED_VALUE"""),30.0)</f>
        <v>30</v>
      </c>
      <c r="O45" s="33">
        <f>IFERROR(__xludf.DUMMYFUNCTION("""COMPUTED_VALUE"""),5.0)</f>
        <v>5</v>
      </c>
      <c r="P45" s="33">
        <f>IFERROR(__xludf.DUMMYFUNCTION("""COMPUTED_VALUE"""),30.0)</f>
        <v>30</v>
      </c>
      <c r="Q45" s="33">
        <f>IFERROR(__xludf.DUMMYFUNCTION("""COMPUTED_VALUE"""),0.0)</f>
        <v>0</v>
      </c>
      <c r="R45" s="33">
        <f>IFERROR(__xludf.DUMMYFUNCTION("""COMPUTED_VALUE"""),78873.0)</f>
        <v>78873</v>
      </c>
      <c r="S45" s="33">
        <f>IFERROR(__xludf.DUMMYFUNCTION("""COMPUTED_VALUE"""),77906.0)</f>
        <v>77906</v>
      </c>
      <c r="T45" s="33">
        <f>IFERROR(__xludf.DUMMYFUNCTION("""COMPUTED_VALUE"""),0.0)</f>
        <v>0</v>
      </c>
      <c r="U45" s="33">
        <f>IFERROR(__xludf.DUMMYFUNCTION("""COMPUTED_VALUE"""),0.0)</f>
        <v>0</v>
      </c>
      <c r="V45" s="33">
        <f>IFERROR(__xludf.DUMMYFUNCTION("""COMPUTED_VALUE"""),0.0)</f>
        <v>0</v>
      </c>
      <c r="W45" s="33">
        <f>IFERROR(__xludf.DUMMYFUNCTION("""COMPUTED_VALUE"""),0.0)</f>
        <v>0</v>
      </c>
      <c r="X45" s="33">
        <f>IFERROR(__xludf.DUMMYFUNCTION("""COMPUTED_VALUE"""),0.0)</f>
        <v>0</v>
      </c>
      <c r="Y45" s="33">
        <f>IFERROR(__xludf.DUMMYFUNCTION("""COMPUTED_VALUE"""),0.0)</f>
        <v>0</v>
      </c>
      <c r="Z45" s="33">
        <f>IFERROR(__xludf.DUMMYFUNCTION("""COMPUTED_VALUE"""),0.0)</f>
        <v>0</v>
      </c>
      <c r="AA45" s="33">
        <f>IFERROR(__xludf.DUMMYFUNCTION("""COMPUTED_VALUE"""),0.0)</f>
        <v>0</v>
      </c>
      <c r="AB45" s="33">
        <f>IFERROR(__xludf.DUMMYFUNCTION("""COMPUTED_VALUE"""),8.03055555555555)</f>
        <v>8.030555556</v>
      </c>
      <c r="AC45" s="33">
        <f>IFERROR(__xludf.DUMMYFUNCTION("""COMPUTED_VALUE"""),7.98305555555555)</f>
        <v>7.983055556</v>
      </c>
      <c r="AD45" s="33">
        <f>IFERROR(__xludf.DUMMYFUNCTION("""COMPUTED_VALUE"""),1.19916666666666)</f>
        <v>1.199166667</v>
      </c>
      <c r="AE45" s="33">
        <f>IFERROR(__xludf.DUMMYFUNCTION("""COMPUTED_VALUE"""),7.98305555555555)</f>
        <v>7.983055556</v>
      </c>
      <c r="AF45" s="33">
        <f>IFERROR(__xludf.DUMMYFUNCTION("""COMPUTED_VALUE"""),0.0)</f>
        <v>0</v>
      </c>
    </row>
    <row r="46">
      <c r="A46" s="49">
        <f>IFERROR(__xludf.DUMMYFUNCTION("""COMPUTED_VALUE"""),46146.0)</f>
        <v>46146</v>
      </c>
      <c r="B46" s="33" t="str">
        <f>IFERROR(__xludf.DUMMYFUNCTION("""COMPUTED_VALUE"""),"aa81f1feb820ed6f22bd7b22b55890db740929cb")</f>
        <v>aa81f1feb820ed6f22bd7b22b55890db740929cb</v>
      </c>
      <c r="C46" s="33" t="str">
        <f>IFERROR(__xludf.DUMMYFUNCTION("""COMPUTED_VALUE"""),"Shunya Samrat")</f>
        <v>Shunya Samrat</v>
      </c>
      <c r="D46" s="33">
        <f>IFERROR(__xludf.DUMMYFUNCTION("""COMPUTED_VALUE"""),0.0)</f>
        <v>0</v>
      </c>
      <c r="E46" s="33">
        <f>IFERROR(__xludf.DUMMYFUNCTION("""COMPUTED_VALUE"""),0.0)</f>
        <v>0</v>
      </c>
      <c r="F46" s="33">
        <f>IFERROR(__xludf.DUMMYFUNCTION("""COMPUTED_VALUE"""),0.0)</f>
        <v>0</v>
      </c>
      <c r="G46" s="33">
        <f>IFERROR(__xludf.DUMMYFUNCTION("""COMPUTED_VALUE"""),0.0)</f>
        <v>0</v>
      </c>
      <c r="H46" s="33">
        <f>IFERROR(__xludf.DUMMYFUNCTION("""COMPUTED_VALUE"""),0.0)</f>
        <v>0</v>
      </c>
      <c r="I46" s="33">
        <f>IFERROR(__xludf.DUMMYFUNCTION("""COMPUTED_VALUE"""),0.0)</f>
        <v>0</v>
      </c>
      <c r="J46" s="33">
        <f>IFERROR(__xludf.DUMMYFUNCTION("""COMPUTED_VALUE"""),0.0)</f>
        <v>0</v>
      </c>
      <c r="K46" s="33">
        <f>IFERROR(__xludf.DUMMYFUNCTION("""COMPUTED_VALUE"""),0.0)</f>
        <v>0</v>
      </c>
      <c r="L46" s="33">
        <f>IFERROR(__xludf.DUMMYFUNCTION("""COMPUTED_VALUE"""),0.0)</f>
        <v>0</v>
      </c>
      <c r="M46" s="33">
        <f>IFERROR(__xludf.DUMMYFUNCTION("""COMPUTED_VALUE"""),0.0)</f>
        <v>0</v>
      </c>
      <c r="N46" s="33">
        <f>IFERROR(__xludf.DUMMYFUNCTION("""COMPUTED_VALUE"""),50.0)</f>
        <v>50</v>
      </c>
      <c r="O46" s="33">
        <f>IFERROR(__xludf.DUMMYFUNCTION("""COMPUTED_VALUE"""),5.0)</f>
        <v>5</v>
      </c>
      <c r="P46" s="33">
        <f>IFERROR(__xludf.DUMMYFUNCTION("""COMPUTED_VALUE"""),50.0)</f>
        <v>50</v>
      </c>
      <c r="Q46" s="33">
        <f>IFERROR(__xludf.DUMMYFUNCTION("""COMPUTED_VALUE"""),0.0)</f>
        <v>0</v>
      </c>
      <c r="R46" s="33">
        <f>IFERROR(__xludf.DUMMYFUNCTION("""COMPUTED_VALUE"""),0.0)</f>
        <v>0</v>
      </c>
      <c r="S46" s="33">
        <f>IFERROR(__xludf.DUMMYFUNCTION("""COMPUTED_VALUE"""),0.0)</f>
        <v>0</v>
      </c>
      <c r="T46" s="33">
        <f>IFERROR(__xludf.DUMMYFUNCTION("""COMPUTED_VALUE"""),0.0)</f>
        <v>0</v>
      </c>
      <c r="U46" s="33">
        <f>IFERROR(__xludf.DUMMYFUNCTION("""COMPUTED_VALUE"""),0.0)</f>
        <v>0</v>
      </c>
      <c r="V46" s="33">
        <f>IFERROR(__xludf.DUMMYFUNCTION("""COMPUTED_VALUE"""),0.0)</f>
        <v>0</v>
      </c>
      <c r="W46" s="33">
        <f>IFERROR(__xludf.DUMMYFUNCTION("""COMPUTED_VALUE"""),0.0)</f>
        <v>0</v>
      </c>
      <c r="X46" s="33">
        <f>IFERROR(__xludf.DUMMYFUNCTION("""COMPUTED_VALUE"""),0.0)</f>
        <v>0</v>
      </c>
      <c r="Y46" s="33">
        <f>IFERROR(__xludf.DUMMYFUNCTION("""COMPUTED_VALUE"""),0.0)</f>
        <v>0</v>
      </c>
      <c r="Z46" s="33">
        <f>IFERROR(__xludf.DUMMYFUNCTION("""COMPUTED_VALUE"""),0.0)</f>
        <v>0</v>
      </c>
      <c r="AA46" s="33">
        <f>IFERROR(__xludf.DUMMYFUNCTION("""COMPUTED_VALUE"""),0.0)</f>
        <v>0</v>
      </c>
      <c r="AB46" s="33">
        <f>IFERROR(__xludf.DUMMYFUNCTION("""COMPUTED_VALUE"""),0.0)</f>
        <v>0</v>
      </c>
      <c r="AC46" s="33">
        <f>IFERROR(__xludf.DUMMYFUNCTION("""COMPUTED_VALUE"""),19.86)</f>
        <v>19.86</v>
      </c>
      <c r="AD46" s="33">
        <f>IFERROR(__xludf.DUMMYFUNCTION("""COMPUTED_VALUE"""),1.01083333333333)</f>
        <v>1.010833333</v>
      </c>
      <c r="AE46" s="33">
        <f>IFERROR(__xludf.DUMMYFUNCTION("""COMPUTED_VALUE"""),19.86)</f>
        <v>19.86</v>
      </c>
      <c r="AF46" s="33">
        <f>IFERROR(__xludf.DUMMYFUNCTION("""COMPUTED_VALUE"""),0.0)</f>
        <v>0</v>
      </c>
    </row>
    <row r="47">
      <c r="A47" s="49">
        <f>IFERROR(__xludf.DUMMYFUNCTION("""COMPUTED_VALUE"""),46146.0)</f>
        <v>46146</v>
      </c>
      <c r="B47" s="33" t="str">
        <f>IFERROR(__xludf.DUMMYFUNCTION("""COMPUTED_VALUE"""),"aab7b2fa6301b585dcebf9ec60cf4371307ad469")</f>
        <v>aab7b2fa6301b585dcebf9ec60cf4371307ad469</v>
      </c>
      <c r="C47" s="33" t="str">
        <f>IFERROR(__xludf.DUMMYFUNCTION("""COMPUTED_VALUE"""),"Tere Ishq Mein (OBH)  - Production Show_id")</f>
        <v>Tere Ishq Mein (OBH)  - Production Show_id</v>
      </c>
      <c r="D47" s="33">
        <f>IFERROR(__xludf.DUMMYFUNCTION("""COMPUTED_VALUE"""),30.0)</f>
        <v>30</v>
      </c>
      <c r="E47" s="33">
        <f>IFERROR(__xludf.DUMMYFUNCTION("""COMPUTED_VALUE"""),34.0)</f>
        <v>34</v>
      </c>
      <c r="F47" s="33">
        <f>IFERROR(__xludf.DUMMYFUNCTION("""COMPUTED_VALUE"""),32.0)</f>
        <v>32</v>
      </c>
      <c r="G47" s="33">
        <f>IFERROR(__xludf.DUMMYFUNCTION("""COMPUTED_VALUE"""),36.0)</f>
        <v>36</v>
      </c>
      <c r="H47" s="33">
        <f>IFERROR(__xludf.DUMMYFUNCTION("""COMPUTED_VALUE"""),36.0)</f>
        <v>36</v>
      </c>
      <c r="I47" s="33">
        <f>IFERROR(__xludf.DUMMYFUNCTION("""COMPUTED_VALUE"""),0.0)</f>
        <v>0</v>
      </c>
      <c r="J47" s="33">
        <f>IFERROR(__xludf.DUMMYFUNCTION("""COMPUTED_VALUE"""),36.0)</f>
        <v>36</v>
      </c>
      <c r="K47" s="33">
        <f>IFERROR(__xludf.DUMMYFUNCTION("""COMPUTED_VALUE"""),3.0)</f>
        <v>3</v>
      </c>
      <c r="L47" s="33">
        <f>IFERROR(__xludf.DUMMYFUNCTION("""COMPUTED_VALUE"""),1.0)</f>
        <v>1</v>
      </c>
      <c r="M47" s="33">
        <f>IFERROR(__xludf.DUMMYFUNCTION("""COMPUTED_VALUE"""),25.0)</f>
        <v>25</v>
      </c>
      <c r="N47" s="33">
        <f>IFERROR(__xludf.DUMMYFUNCTION("""COMPUTED_VALUE"""),32.0)</f>
        <v>32</v>
      </c>
      <c r="O47" s="33">
        <f>IFERROR(__xludf.DUMMYFUNCTION("""COMPUTED_VALUE"""),6.0)</f>
        <v>6</v>
      </c>
      <c r="P47" s="33">
        <f>IFERROR(__xludf.DUMMYFUNCTION("""COMPUTED_VALUE"""),32.0)</f>
        <v>32</v>
      </c>
      <c r="Q47" s="33">
        <f>IFERROR(__xludf.DUMMYFUNCTION("""COMPUTED_VALUE"""),0.0)</f>
        <v>0</v>
      </c>
      <c r="R47" s="33">
        <f>IFERROR(__xludf.DUMMYFUNCTION("""COMPUTED_VALUE"""),65086.0)</f>
        <v>65086</v>
      </c>
      <c r="S47" s="33">
        <f>IFERROR(__xludf.DUMMYFUNCTION("""COMPUTED_VALUE"""),74141.0)</f>
        <v>74141</v>
      </c>
      <c r="T47" s="33">
        <f>IFERROR(__xludf.DUMMYFUNCTION("""COMPUTED_VALUE"""),6.58416666666666)</f>
        <v>6.584166667</v>
      </c>
      <c r="U47" s="33">
        <f>IFERROR(__xludf.DUMMYFUNCTION("""COMPUTED_VALUE"""),7.67944444444444)</f>
        <v>7.679444444</v>
      </c>
      <c r="V47" s="33">
        <f>IFERROR(__xludf.DUMMYFUNCTION("""COMPUTED_VALUE"""),8.67777777777777)</f>
        <v>8.677777778</v>
      </c>
      <c r="W47" s="33">
        <f>IFERROR(__xludf.DUMMYFUNCTION("""COMPUTED_VALUE"""),8.67777777777777)</f>
        <v>8.677777778</v>
      </c>
      <c r="X47" s="33">
        <f>IFERROR(__xludf.DUMMYFUNCTION("""COMPUTED_VALUE"""),0.0)</f>
        <v>0</v>
      </c>
      <c r="Y47" s="33">
        <f>IFERROR(__xludf.DUMMYFUNCTION("""COMPUTED_VALUE"""),8.67777777777777)</f>
        <v>8.677777778</v>
      </c>
      <c r="Z47" s="33">
        <f>IFERROR(__xludf.DUMMYFUNCTION("""COMPUTED_VALUE"""),0.768611111111111)</f>
        <v>0.7686111111</v>
      </c>
      <c r="AA47" s="33">
        <f>IFERROR(__xludf.DUMMYFUNCTION("""COMPUTED_VALUE"""),0.233888888888888)</f>
        <v>0.2338888889</v>
      </c>
      <c r="AB47" s="33">
        <f>IFERROR(__xludf.DUMMYFUNCTION("""COMPUTED_VALUE"""),5.97555555555555)</f>
        <v>5.975555556</v>
      </c>
      <c r="AC47" s="33">
        <f>IFERROR(__xludf.DUMMYFUNCTION("""COMPUTED_VALUE"""),7.69555555555555)</f>
        <v>7.695555556</v>
      </c>
      <c r="AD47" s="33">
        <f>IFERROR(__xludf.DUMMYFUNCTION("""COMPUTED_VALUE"""),1.35083333333333)</f>
        <v>1.350833333</v>
      </c>
      <c r="AE47" s="33">
        <f>IFERROR(__xludf.DUMMYFUNCTION("""COMPUTED_VALUE"""),7.69555555555555)</f>
        <v>7.695555556</v>
      </c>
      <c r="AF47" s="33">
        <f>IFERROR(__xludf.DUMMYFUNCTION("""COMPUTED_VALUE"""),27.0)</f>
        <v>27</v>
      </c>
    </row>
    <row r="48">
      <c r="A48" s="49">
        <f>IFERROR(__xludf.DUMMYFUNCTION("""COMPUTED_VALUE"""),46146.0)</f>
        <v>46146</v>
      </c>
      <c r="B48" s="33" t="str">
        <f>IFERROR(__xludf.DUMMYFUNCTION("""COMPUTED_VALUE"""),"b9727274f880f47671ad54caad4904a491fad9c7")</f>
        <v>b9727274f880f47671ad54caad4904a491fad9c7</v>
      </c>
      <c r="C48" s="33" t="str">
        <f>IFERROR(__xludf.DUMMYFUNCTION("""COMPUTED_VALUE"""),"Brahmand Ka Rakshak - Production Show")</f>
        <v>Brahmand Ka Rakshak - Production Show</v>
      </c>
      <c r="D48" s="33">
        <f>IFERROR(__xludf.DUMMYFUNCTION("""COMPUTED_VALUE"""),18.0)</f>
        <v>18</v>
      </c>
      <c r="E48" s="33">
        <f>IFERROR(__xludf.DUMMYFUNCTION("""COMPUTED_VALUE"""),28.0)</f>
        <v>28</v>
      </c>
      <c r="F48" s="33">
        <f>IFERROR(__xludf.DUMMYFUNCTION("""COMPUTED_VALUE"""),17.0)</f>
        <v>17</v>
      </c>
      <c r="G48" s="33">
        <f>IFERROR(__xludf.DUMMYFUNCTION("""COMPUTED_VALUE"""),20.0)</f>
        <v>20</v>
      </c>
      <c r="H48" s="33">
        <f>IFERROR(__xludf.DUMMYFUNCTION("""COMPUTED_VALUE"""),32.0)</f>
        <v>32</v>
      </c>
      <c r="I48" s="33">
        <f>IFERROR(__xludf.DUMMYFUNCTION("""COMPUTED_VALUE"""),12.0)</f>
        <v>12</v>
      </c>
      <c r="J48" s="33">
        <f>IFERROR(__xludf.DUMMYFUNCTION("""COMPUTED_VALUE"""),36.0)</f>
        <v>36</v>
      </c>
      <c r="K48" s="33">
        <f>IFERROR(__xludf.DUMMYFUNCTION("""COMPUTED_VALUE"""),8.0)</f>
        <v>8</v>
      </c>
      <c r="L48" s="33">
        <f>IFERROR(__xludf.DUMMYFUNCTION("""COMPUTED_VALUE"""),2.0)</f>
        <v>2</v>
      </c>
      <c r="M48" s="33">
        <f>IFERROR(__xludf.DUMMYFUNCTION("""COMPUTED_VALUE"""),38.0)</f>
        <v>38</v>
      </c>
      <c r="N48" s="33">
        <f>IFERROR(__xludf.DUMMYFUNCTION("""COMPUTED_VALUE"""),36.0)</f>
        <v>36</v>
      </c>
      <c r="O48" s="33">
        <f>IFERROR(__xludf.DUMMYFUNCTION("""COMPUTED_VALUE"""),5.0)</f>
        <v>5</v>
      </c>
      <c r="P48" s="33">
        <f>IFERROR(__xludf.DUMMYFUNCTION("""COMPUTED_VALUE"""),36.0)</f>
        <v>36</v>
      </c>
      <c r="Q48" s="33">
        <f>IFERROR(__xludf.DUMMYFUNCTION("""COMPUTED_VALUE"""),0.0)</f>
        <v>0</v>
      </c>
      <c r="R48" s="33">
        <f>IFERROR(__xludf.DUMMYFUNCTION("""COMPUTED_VALUE"""),41129.0)</f>
        <v>41129</v>
      </c>
      <c r="S48" s="33">
        <f>IFERROR(__xludf.DUMMYFUNCTION("""COMPUTED_VALUE"""),58890.0)</f>
        <v>58890</v>
      </c>
      <c r="T48" s="33">
        <f>IFERROR(__xludf.DUMMYFUNCTION("""COMPUTED_VALUE"""),5.63972222222222)</f>
        <v>5.639722222</v>
      </c>
      <c r="U48" s="33">
        <f>IFERROR(__xludf.DUMMYFUNCTION("""COMPUTED_VALUE"""),3.21138888888888)</f>
        <v>3.211388889</v>
      </c>
      <c r="V48" s="33">
        <f>IFERROR(__xludf.DUMMYFUNCTION("""COMPUTED_VALUE"""),3.71416666666666)</f>
        <v>3.714166667</v>
      </c>
      <c r="W48" s="33">
        <f>IFERROR(__xludf.DUMMYFUNCTION("""COMPUTED_VALUE"""),6.1425)</f>
        <v>6.1425</v>
      </c>
      <c r="X48" s="33">
        <f>IFERROR(__xludf.DUMMYFUNCTION("""COMPUTED_VALUE"""),2.42833333333333)</f>
        <v>2.428333333</v>
      </c>
      <c r="Y48" s="33">
        <f>IFERROR(__xludf.DUMMYFUNCTION("""COMPUTED_VALUE"""),6.8375)</f>
        <v>6.8375</v>
      </c>
      <c r="Z48" s="33">
        <f>IFERROR(__xludf.DUMMYFUNCTION("""COMPUTED_VALUE"""),1.44777777777777)</f>
        <v>1.447777778</v>
      </c>
      <c r="AA48" s="33">
        <f>IFERROR(__xludf.DUMMYFUNCTION("""COMPUTED_VALUE"""),0.334722222222222)</f>
        <v>0.3347222222</v>
      </c>
      <c r="AB48" s="33">
        <f>IFERROR(__xludf.DUMMYFUNCTION("""COMPUTED_VALUE"""),7.19083333333333)</f>
        <v>7.190833333</v>
      </c>
      <c r="AC48" s="33">
        <f>IFERROR(__xludf.DUMMYFUNCTION("""COMPUTED_VALUE"""),6.77527777777777)</f>
        <v>6.775277778</v>
      </c>
      <c r="AD48" s="33">
        <f>IFERROR(__xludf.DUMMYFUNCTION("""COMPUTED_VALUE"""),0.988333333333333)</f>
        <v>0.9883333333</v>
      </c>
      <c r="AE48" s="33">
        <f>IFERROR(__xludf.DUMMYFUNCTION("""COMPUTED_VALUE"""),6.77527777777777)</f>
        <v>6.775277778</v>
      </c>
      <c r="AF48" s="33">
        <f>IFERROR(__xludf.DUMMYFUNCTION("""COMPUTED_VALUE"""),29.0)</f>
        <v>29</v>
      </c>
    </row>
    <row r="49">
      <c r="A49" s="49">
        <f>IFERROR(__xludf.DUMMYFUNCTION("""COMPUTED_VALUE"""),46146.0)</f>
        <v>46146</v>
      </c>
      <c r="B49" s="33" t="str">
        <f>IFERROR(__xludf.DUMMYFUNCTION("""COMPUTED_VALUE"""),"bb6f447c782519839d8793fda0d35f90bad4421a")</f>
        <v>bb6f447c782519839d8793fda0d35f90bad4421a</v>
      </c>
      <c r="C49" s="33" t="str">
        <f>IFERROR(__xludf.DUMMYFUNCTION("""COMPUTED_VALUE"""),"Ruthless")</f>
        <v>Ruthless</v>
      </c>
      <c r="D49" s="33">
        <f>IFERROR(__xludf.DUMMYFUNCTION("""COMPUTED_VALUE"""),0.0)</f>
        <v>0</v>
      </c>
      <c r="E49" s="33">
        <f>IFERROR(__xludf.DUMMYFUNCTION("""COMPUTED_VALUE"""),0.0)</f>
        <v>0</v>
      </c>
      <c r="F49" s="33">
        <f>IFERROR(__xludf.DUMMYFUNCTION("""COMPUTED_VALUE"""),0.0)</f>
        <v>0</v>
      </c>
      <c r="G49" s="33">
        <f>IFERROR(__xludf.DUMMYFUNCTION("""COMPUTED_VALUE"""),0.0)</f>
        <v>0</v>
      </c>
      <c r="H49" s="33">
        <f>IFERROR(__xludf.DUMMYFUNCTION("""COMPUTED_VALUE"""),12.0)</f>
        <v>12</v>
      </c>
      <c r="I49" s="33">
        <f>IFERROR(__xludf.DUMMYFUNCTION("""COMPUTED_VALUE"""),12.0)</f>
        <v>12</v>
      </c>
      <c r="J49" s="33">
        <f>IFERROR(__xludf.DUMMYFUNCTION("""COMPUTED_VALUE"""),12.0)</f>
        <v>12</v>
      </c>
      <c r="K49" s="33">
        <f>IFERROR(__xludf.DUMMYFUNCTION("""COMPUTED_VALUE"""),5.0)</f>
        <v>5</v>
      </c>
      <c r="L49" s="33">
        <f>IFERROR(__xludf.DUMMYFUNCTION("""COMPUTED_VALUE"""),0.0)</f>
        <v>0</v>
      </c>
      <c r="M49" s="33">
        <f>IFERROR(__xludf.DUMMYFUNCTION("""COMPUTED_VALUE"""),10.0)</f>
        <v>10</v>
      </c>
      <c r="N49" s="33">
        <f>IFERROR(__xludf.DUMMYFUNCTION("""COMPUTED_VALUE"""),8.0)</f>
        <v>8</v>
      </c>
      <c r="O49" s="33">
        <f>IFERROR(__xludf.DUMMYFUNCTION("""COMPUTED_VALUE"""),5.0)</f>
        <v>5</v>
      </c>
      <c r="P49" s="33">
        <f>IFERROR(__xludf.DUMMYFUNCTION("""COMPUTED_VALUE"""),8.0)</f>
        <v>8</v>
      </c>
      <c r="Q49" s="33">
        <f>IFERROR(__xludf.DUMMYFUNCTION("""COMPUTED_VALUE"""),0.0)</f>
        <v>0</v>
      </c>
      <c r="R49" s="33">
        <f>IFERROR(__xludf.DUMMYFUNCTION("""COMPUTED_VALUE"""),0.0)</f>
        <v>0</v>
      </c>
      <c r="S49" s="33">
        <f>IFERROR(__xludf.DUMMYFUNCTION("""COMPUTED_VALUE"""),0.0)</f>
        <v>0</v>
      </c>
      <c r="T49" s="33">
        <f>IFERROR(__xludf.DUMMYFUNCTION("""COMPUTED_VALUE"""),2.50361111111111)</f>
        <v>2.503611111</v>
      </c>
      <c r="U49" s="33">
        <f>IFERROR(__xludf.DUMMYFUNCTION("""COMPUTED_VALUE"""),0.0)</f>
        <v>0</v>
      </c>
      <c r="V49" s="33">
        <f>IFERROR(__xludf.DUMMYFUNCTION("""COMPUTED_VALUE"""),0.0)</f>
        <v>0</v>
      </c>
      <c r="W49" s="33">
        <f>IFERROR(__xludf.DUMMYFUNCTION("""COMPUTED_VALUE"""),2.50361111111111)</f>
        <v>2.503611111</v>
      </c>
      <c r="X49" s="33">
        <f>IFERROR(__xludf.DUMMYFUNCTION("""COMPUTED_VALUE"""),2.50361111111111)</f>
        <v>2.503611111</v>
      </c>
      <c r="Y49" s="33">
        <f>IFERROR(__xludf.DUMMYFUNCTION("""COMPUTED_VALUE"""),2.62305555555555)</f>
        <v>2.623055556</v>
      </c>
      <c r="Z49" s="33">
        <f>IFERROR(__xludf.DUMMYFUNCTION("""COMPUTED_VALUE"""),1.14333333333333)</f>
        <v>1.143333333</v>
      </c>
      <c r="AA49" s="33">
        <f>IFERROR(__xludf.DUMMYFUNCTION("""COMPUTED_VALUE"""),0.0)</f>
        <v>0</v>
      </c>
      <c r="AB49" s="33">
        <f>IFERROR(__xludf.DUMMYFUNCTION("""COMPUTED_VALUE"""),2.13888888888888)</f>
        <v>2.138888889</v>
      </c>
      <c r="AC49" s="33">
        <f>IFERROR(__xludf.DUMMYFUNCTION("""COMPUTED_VALUE"""),1.73361111111111)</f>
        <v>1.733611111</v>
      </c>
      <c r="AD49" s="33">
        <f>IFERROR(__xludf.DUMMYFUNCTION("""COMPUTED_VALUE"""),0.949722222222222)</f>
        <v>0.9497222222</v>
      </c>
      <c r="AE49" s="33">
        <f>IFERROR(__xludf.DUMMYFUNCTION("""COMPUTED_VALUE"""),1.73361111111111)</f>
        <v>1.733611111</v>
      </c>
      <c r="AF49" s="33">
        <f>IFERROR(__xludf.DUMMYFUNCTION("""COMPUTED_VALUE"""),12.0)</f>
        <v>12</v>
      </c>
    </row>
    <row r="50">
      <c r="A50" s="49">
        <f>IFERROR(__xludf.DUMMYFUNCTION("""COMPUTED_VALUE"""),46146.0)</f>
        <v>46146</v>
      </c>
      <c r="B50" s="33" t="str">
        <f>IFERROR(__xludf.DUMMYFUNCTION("""COMPUTED_VALUE"""),"c6ddafe0c1c28e76700ec68e65063945a05ee155")</f>
        <v>c6ddafe0c1c28e76700ec68e65063945a05ee155</v>
      </c>
      <c r="C50" s="33" t="str">
        <f>IFERROR(__xludf.DUMMYFUNCTION("""COMPUTED_VALUE"""),"Reborn to Rule Production Show_id")</f>
        <v>Reborn to Rule Production Show_id</v>
      </c>
      <c r="D50" s="33">
        <f>IFERROR(__xludf.DUMMYFUNCTION("""COMPUTED_VALUE"""),19.0)</f>
        <v>19</v>
      </c>
      <c r="E50" s="33">
        <f>IFERROR(__xludf.DUMMYFUNCTION("""COMPUTED_VALUE"""),0.0)</f>
        <v>0</v>
      </c>
      <c r="F50" s="33">
        <f>IFERROR(__xludf.DUMMYFUNCTION("""COMPUTED_VALUE"""),0.0)</f>
        <v>0</v>
      </c>
      <c r="G50" s="33">
        <f>IFERROR(__xludf.DUMMYFUNCTION("""COMPUTED_VALUE"""),0.0)</f>
        <v>0</v>
      </c>
      <c r="H50" s="33">
        <f>IFERROR(__xludf.DUMMYFUNCTION("""COMPUTED_VALUE"""),0.0)</f>
        <v>0</v>
      </c>
      <c r="I50" s="33">
        <f>IFERROR(__xludf.DUMMYFUNCTION("""COMPUTED_VALUE"""),0.0)</f>
        <v>0</v>
      </c>
      <c r="J50" s="33">
        <f>IFERROR(__xludf.DUMMYFUNCTION("""COMPUTED_VALUE"""),0.0)</f>
        <v>0</v>
      </c>
      <c r="K50" s="33">
        <f>IFERROR(__xludf.DUMMYFUNCTION("""COMPUTED_VALUE"""),0.0)</f>
        <v>0</v>
      </c>
      <c r="L50" s="33">
        <f>IFERROR(__xludf.DUMMYFUNCTION("""COMPUTED_VALUE"""),0.0)</f>
        <v>0</v>
      </c>
      <c r="M50" s="33">
        <f>IFERROR(__xludf.DUMMYFUNCTION("""COMPUTED_VALUE"""),0.0)</f>
        <v>0</v>
      </c>
      <c r="N50" s="33">
        <f>IFERROR(__xludf.DUMMYFUNCTION("""COMPUTED_VALUE"""),0.0)</f>
        <v>0</v>
      </c>
      <c r="O50" s="33">
        <f>IFERROR(__xludf.DUMMYFUNCTION("""COMPUTED_VALUE"""),1.0)</f>
        <v>1</v>
      </c>
      <c r="P50" s="33">
        <f>IFERROR(__xludf.DUMMYFUNCTION("""COMPUTED_VALUE"""),0.0)</f>
        <v>0</v>
      </c>
      <c r="Q50" s="33">
        <f>IFERROR(__xludf.DUMMYFUNCTION("""COMPUTED_VALUE"""),0.0)</f>
        <v>0</v>
      </c>
      <c r="R50" s="33">
        <f>IFERROR(__xludf.DUMMYFUNCTION("""COMPUTED_VALUE"""),41346.0)</f>
        <v>41346</v>
      </c>
      <c r="S50" s="33">
        <f>IFERROR(__xludf.DUMMYFUNCTION("""COMPUTED_VALUE"""),0.0)</f>
        <v>0</v>
      </c>
      <c r="T50" s="33">
        <f>IFERROR(__xludf.DUMMYFUNCTION("""COMPUTED_VALUE"""),0.0)</f>
        <v>0</v>
      </c>
      <c r="U50" s="33">
        <f>IFERROR(__xludf.DUMMYFUNCTION("""COMPUTED_VALUE"""),0.0)</f>
        <v>0</v>
      </c>
      <c r="V50" s="33">
        <f>IFERROR(__xludf.DUMMYFUNCTION("""COMPUTED_VALUE"""),0.0)</f>
        <v>0</v>
      </c>
      <c r="W50" s="33">
        <f>IFERROR(__xludf.DUMMYFUNCTION("""COMPUTED_VALUE"""),0.0)</f>
        <v>0</v>
      </c>
      <c r="X50" s="33">
        <f>IFERROR(__xludf.DUMMYFUNCTION("""COMPUTED_VALUE"""),0.0)</f>
        <v>0</v>
      </c>
      <c r="Y50" s="33">
        <f>IFERROR(__xludf.DUMMYFUNCTION("""COMPUTED_VALUE"""),0.0)</f>
        <v>0</v>
      </c>
      <c r="Z50" s="33">
        <f>IFERROR(__xludf.DUMMYFUNCTION("""COMPUTED_VALUE"""),0.0)</f>
        <v>0</v>
      </c>
      <c r="AA50" s="33">
        <f>IFERROR(__xludf.DUMMYFUNCTION("""COMPUTED_VALUE"""),0.0)</f>
        <v>0</v>
      </c>
      <c r="AB50" s="33">
        <f>IFERROR(__xludf.DUMMYFUNCTION("""COMPUTED_VALUE"""),0.0)</f>
        <v>0</v>
      </c>
      <c r="AC50" s="33">
        <f>IFERROR(__xludf.DUMMYFUNCTION("""COMPUTED_VALUE"""),0.0)</f>
        <v>0</v>
      </c>
      <c r="AD50" s="33">
        <f>IFERROR(__xludf.DUMMYFUNCTION("""COMPUTED_VALUE"""),0.1975)</f>
        <v>0.1975</v>
      </c>
      <c r="AE50" s="33">
        <f>IFERROR(__xludf.DUMMYFUNCTION("""COMPUTED_VALUE"""),0.0)</f>
        <v>0</v>
      </c>
      <c r="AF50" s="33">
        <f>IFERROR(__xludf.DUMMYFUNCTION("""COMPUTED_VALUE"""),0.0)</f>
        <v>0</v>
      </c>
    </row>
    <row r="51">
      <c r="A51" s="49">
        <f>IFERROR(__xludf.DUMMYFUNCTION("""COMPUTED_VALUE"""),46146.0)</f>
        <v>46146</v>
      </c>
      <c r="B51" s="33" t="str">
        <f>IFERROR(__xludf.DUMMYFUNCTION("""COMPUTED_VALUE"""),"dbbc7f35e9eb33b7562f0fd82896e827101bf13c")</f>
        <v>dbbc7f35e9eb33b7562f0fd82896e827101bf13c</v>
      </c>
      <c r="C51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51" s="33">
        <f>IFERROR(__xludf.DUMMYFUNCTION("""COMPUTED_VALUE"""),0.0)</f>
        <v>0</v>
      </c>
      <c r="E51" s="33">
        <f>IFERROR(__xludf.DUMMYFUNCTION("""COMPUTED_VALUE"""),0.0)</f>
        <v>0</v>
      </c>
      <c r="F51" s="33">
        <f>IFERROR(__xludf.DUMMYFUNCTION("""COMPUTED_VALUE"""),0.0)</f>
        <v>0</v>
      </c>
      <c r="G51" s="33">
        <f>IFERROR(__xludf.DUMMYFUNCTION("""COMPUTED_VALUE"""),0.0)</f>
        <v>0</v>
      </c>
      <c r="H51" s="33">
        <f>IFERROR(__xludf.DUMMYFUNCTION("""COMPUTED_VALUE"""),0.0)</f>
        <v>0</v>
      </c>
      <c r="I51" s="33">
        <f>IFERROR(__xludf.DUMMYFUNCTION("""COMPUTED_VALUE"""),0.0)</f>
        <v>0</v>
      </c>
      <c r="J51" s="33">
        <f>IFERROR(__xludf.DUMMYFUNCTION("""COMPUTED_VALUE"""),0.0)</f>
        <v>0</v>
      </c>
      <c r="K51" s="33">
        <f>IFERROR(__xludf.DUMMYFUNCTION("""COMPUTED_VALUE"""),0.0)</f>
        <v>0</v>
      </c>
      <c r="L51" s="33">
        <f>IFERROR(__xludf.DUMMYFUNCTION("""COMPUTED_VALUE"""),0.0)</f>
        <v>0</v>
      </c>
      <c r="M51" s="33">
        <f>IFERROR(__xludf.DUMMYFUNCTION("""COMPUTED_VALUE"""),0.0)</f>
        <v>0</v>
      </c>
      <c r="N51" s="33">
        <f>IFERROR(__xludf.DUMMYFUNCTION("""COMPUTED_VALUE"""),0.0)</f>
        <v>0</v>
      </c>
      <c r="O51" s="33">
        <f>IFERROR(__xludf.DUMMYFUNCTION("""COMPUTED_VALUE"""),5.0)</f>
        <v>5</v>
      </c>
      <c r="P51" s="33">
        <f>IFERROR(__xludf.DUMMYFUNCTION("""COMPUTED_VALUE"""),20.0)</f>
        <v>20</v>
      </c>
      <c r="Q51" s="33">
        <f>IFERROR(__xludf.DUMMYFUNCTION("""COMPUTED_VALUE"""),0.0)</f>
        <v>0</v>
      </c>
      <c r="R51" s="33">
        <f>IFERROR(__xludf.DUMMYFUNCTION("""COMPUTED_VALUE"""),0.0)</f>
        <v>0</v>
      </c>
      <c r="S51" s="33">
        <f>IFERROR(__xludf.DUMMYFUNCTION("""COMPUTED_VALUE"""),0.0)</f>
        <v>0</v>
      </c>
      <c r="T51" s="33">
        <f>IFERROR(__xludf.DUMMYFUNCTION("""COMPUTED_VALUE"""),0.0)</f>
        <v>0</v>
      </c>
      <c r="U51" s="33">
        <f>IFERROR(__xludf.DUMMYFUNCTION("""COMPUTED_VALUE"""),0.0)</f>
        <v>0</v>
      </c>
      <c r="V51" s="33">
        <f>IFERROR(__xludf.DUMMYFUNCTION("""COMPUTED_VALUE"""),0.0)</f>
        <v>0</v>
      </c>
      <c r="W51" s="33">
        <f>IFERROR(__xludf.DUMMYFUNCTION("""COMPUTED_VALUE"""),0.0)</f>
        <v>0</v>
      </c>
      <c r="X51" s="33">
        <f>IFERROR(__xludf.DUMMYFUNCTION("""COMPUTED_VALUE"""),0.0)</f>
        <v>0</v>
      </c>
      <c r="Y51" s="33">
        <f>IFERROR(__xludf.DUMMYFUNCTION("""COMPUTED_VALUE"""),0.0)</f>
        <v>0</v>
      </c>
      <c r="Z51" s="33">
        <f>IFERROR(__xludf.DUMMYFUNCTION("""COMPUTED_VALUE"""),0.0)</f>
        <v>0</v>
      </c>
      <c r="AA51" s="33">
        <f>IFERROR(__xludf.DUMMYFUNCTION("""COMPUTED_VALUE"""),0.0)</f>
        <v>0</v>
      </c>
      <c r="AB51" s="33">
        <f>IFERROR(__xludf.DUMMYFUNCTION("""COMPUTED_VALUE"""),0.0)</f>
        <v>0</v>
      </c>
      <c r="AC51" s="33">
        <f>IFERROR(__xludf.DUMMYFUNCTION("""COMPUTED_VALUE"""),0.0)</f>
        <v>0</v>
      </c>
      <c r="AD51" s="33">
        <f>IFERROR(__xludf.DUMMYFUNCTION("""COMPUTED_VALUE"""),0.985277777777777)</f>
        <v>0.9852777778</v>
      </c>
      <c r="AE51" s="33">
        <f>IFERROR(__xludf.DUMMYFUNCTION("""COMPUTED_VALUE"""),4.69833333333333)</f>
        <v>4.698333333</v>
      </c>
      <c r="AF51" s="33">
        <f>IFERROR(__xludf.DUMMYFUNCTION("""COMPUTED_VALUE"""),0.0)</f>
        <v>0</v>
      </c>
    </row>
    <row r="52">
      <c r="A52" s="49">
        <f>IFERROR(__xludf.DUMMYFUNCTION("""COMPUTED_VALUE"""),46146.0)</f>
        <v>46146</v>
      </c>
      <c r="B52" s="33" t="str">
        <f>IFERROR(__xludf.DUMMYFUNCTION("""COMPUTED_VALUE"""),"e493cee863483a057af12de782cd20043a19ed05")</f>
        <v>e493cee863483a057af12de782cd20043a19ed05</v>
      </c>
      <c r="C52" s="33" t="str">
        <f>IFERROR(__xludf.DUMMYFUNCTION("""COMPUTED_VALUE"""),"Malang")</f>
        <v>Malang</v>
      </c>
      <c r="D52" s="33">
        <f>IFERROR(__xludf.DUMMYFUNCTION("""COMPUTED_VALUE"""),48.0)</f>
        <v>48</v>
      </c>
      <c r="E52" s="33">
        <f>IFERROR(__xludf.DUMMYFUNCTION("""COMPUTED_VALUE"""),48.0)</f>
        <v>48</v>
      </c>
      <c r="F52" s="33">
        <f>IFERROR(__xludf.DUMMYFUNCTION("""COMPUTED_VALUE"""),0.0)</f>
        <v>0</v>
      </c>
      <c r="G52" s="33">
        <f>IFERROR(__xludf.DUMMYFUNCTION("""COMPUTED_VALUE"""),0.0)</f>
        <v>0</v>
      </c>
      <c r="H52" s="33">
        <f>IFERROR(__xludf.DUMMYFUNCTION("""COMPUTED_VALUE"""),0.0)</f>
        <v>0</v>
      </c>
      <c r="I52" s="33">
        <f>IFERROR(__xludf.DUMMYFUNCTION("""COMPUTED_VALUE"""),0.0)</f>
        <v>0</v>
      </c>
      <c r="J52" s="33">
        <f>IFERROR(__xludf.DUMMYFUNCTION("""COMPUTED_VALUE"""),0.0)</f>
        <v>0</v>
      </c>
      <c r="K52" s="33">
        <f>IFERROR(__xludf.DUMMYFUNCTION("""COMPUTED_VALUE"""),0.0)</f>
        <v>0</v>
      </c>
      <c r="L52" s="33">
        <f>IFERROR(__xludf.DUMMYFUNCTION("""COMPUTED_VALUE"""),0.0)</f>
        <v>0</v>
      </c>
      <c r="M52" s="33">
        <f>IFERROR(__xludf.DUMMYFUNCTION("""COMPUTED_VALUE"""),48.0)</f>
        <v>48</v>
      </c>
      <c r="N52" s="33">
        <f>IFERROR(__xludf.DUMMYFUNCTION("""COMPUTED_VALUE"""),48.0)</f>
        <v>48</v>
      </c>
      <c r="O52" s="33">
        <f>IFERROR(__xludf.DUMMYFUNCTION("""COMPUTED_VALUE"""),4.0)</f>
        <v>4</v>
      </c>
      <c r="P52" s="33">
        <f>IFERROR(__xludf.DUMMYFUNCTION("""COMPUTED_VALUE"""),48.0)</f>
        <v>48</v>
      </c>
      <c r="Q52" s="33">
        <f>IFERROR(__xludf.DUMMYFUNCTION("""COMPUTED_VALUE"""),0.0)</f>
        <v>0</v>
      </c>
      <c r="R52" s="33">
        <f>IFERROR(__xludf.DUMMYFUNCTION("""COMPUTED_VALUE"""),126959.0)</f>
        <v>126959</v>
      </c>
      <c r="S52" s="33">
        <f>IFERROR(__xludf.DUMMYFUNCTION("""COMPUTED_VALUE"""),133260.0)</f>
        <v>133260</v>
      </c>
      <c r="T52" s="33">
        <f>IFERROR(__xludf.DUMMYFUNCTION("""COMPUTED_VALUE"""),0.0)</f>
        <v>0</v>
      </c>
      <c r="U52" s="33">
        <f>IFERROR(__xludf.DUMMYFUNCTION("""COMPUTED_VALUE"""),0.0)</f>
        <v>0</v>
      </c>
      <c r="V52" s="33">
        <f>IFERROR(__xludf.DUMMYFUNCTION("""COMPUTED_VALUE"""),0.0)</f>
        <v>0</v>
      </c>
      <c r="W52" s="33">
        <f>IFERROR(__xludf.DUMMYFUNCTION("""COMPUTED_VALUE"""),0.0)</f>
        <v>0</v>
      </c>
      <c r="X52" s="33">
        <f>IFERROR(__xludf.DUMMYFUNCTION("""COMPUTED_VALUE"""),0.0)</f>
        <v>0</v>
      </c>
      <c r="Y52" s="33">
        <f>IFERROR(__xludf.DUMMYFUNCTION("""COMPUTED_VALUE"""),0.0)</f>
        <v>0</v>
      </c>
      <c r="Z52" s="33">
        <f>IFERROR(__xludf.DUMMYFUNCTION("""COMPUTED_VALUE"""),0.0)</f>
        <v>0</v>
      </c>
      <c r="AA52" s="33">
        <f>IFERROR(__xludf.DUMMYFUNCTION("""COMPUTED_VALUE"""),0.0)</f>
        <v>0</v>
      </c>
      <c r="AB52" s="33">
        <f>IFERROR(__xludf.DUMMYFUNCTION("""COMPUTED_VALUE"""),11.4802777777777)</f>
        <v>11.48027778</v>
      </c>
      <c r="AC52" s="33">
        <f>IFERROR(__xludf.DUMMYFUNCTION("""COMPUTED_VALUE"""),11.7466666666666)</f>
        <v>11.74666667</v>
      </c>
      <c r="AD52" s="33">
        <f>IFERROR(__xludf.DUMMYFUNCTION("""COMPUTED_VALUE"""),0.760555555555555)</f>
        <v>0.7605555556</v>
      </c>
      <c r="AE52" s="33">
        <f>IFERROR(__xludf.DUMMYFUNCTION("""COMPUTED_VALUE"""),11.7466666666666)</f>
        <v>11.74666667</v>
      </c>
      <c r="AF52" s="33">
        <f>IFERROR(__xludf.DUMMYFUNCTION("""COMPUTED_VALUE"""),0.0)</f>
        <v>0</v>
      </c>
    </row>
    <row r="53">
      <c r="A53" s="49">
        <f>IFERROR(__xludf.DUMMYFUNCTION("""COMPUTED_VALUE"""),46146.0)</f>
        <v>46146</v>
      </c>
      <c r="B53" s="33" t="str">
        <f>IFERROR(__xludf.DUMMYFUNCTION("""COMPUTED_VALUE"""),"f43f4253dc3c596ff8f2e3cc9f3b677981a70310")</f>
        <v>f43f4253dc3c596ff8f2e3cc9f3b677981a70310</v>
      </c>
      <c r="C53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53" s="33">
        <f>IFERROR(__xludf.DUMMYFUNCTION("""COMPUTED_VALUE"""),6.0)</f>
        <v>6</v>
      </c>
      <c r="E53" s="33">
        <f>IFERROR(__xludf.DUMMYFUNCTION("""COMPUTED_VALUE"""),6.0)</f>
        <v>6</v>
      </c>
      <c r="F53" s="33">
        <f>IFERROR(__xludf.DUMMYFUNCTION("""COMPUTED_VALUE"""),0.0)</f>
        <v>0</v>
      </c>
      <c r="G53" s="33">
        <f>IFERROR(__xludf.DUMMYFUNCTION("""COMPUTED_VALUE"""),0.0)</f>
        <v>0</v>
      </c>
      <c r="H53" s="33">
        <f>IFERROR(__xludf.DUMMYFUNCTION("""COMPUTED_VALUE"""),0.0)</f>
        <v>0</v>
      </c>
      <c r="I53" s="33">
        <f>IFERROR(__xludf.DUMMYFUNCTION("""COMPUTED_VALUE"""),0.0)</f>
        <v>0</v>
      </c>
      <c r="J53" s="33">
        <f>IFERROR(__xludf.DUMMYFUNCTION("""COMPUTED_VALUE"""),0.0)</f>
        <v>0</v>
      </c>
      <c r="K53" s="33">
        <f>IFERROR(__xludf.DUMMYFUNCTION("""COMPUTED_VALUE"""),0.0)</f>
        <v>0</v>
      </c>
      <c r="L53" s="33">
        <f>IFERROR(__xludf.DUMMYFUNCTION("""COMPUTED_VALUE"""),0.0)</f>
        <v>0</v>
      </c>
      <c r="M53" s="33">
        <f>IFERROR(__xludf.DUMMYFUNCTION("""COMPUTED_VALUE"""),0.0)</f>
        <v>0</v>
      </c>
      <c r="N53" s="33">
        <f>IFERROR(__xludf.DUMMYFUNCTION("""COMPUTED_VALUE"""),6.0)</f>
        <v>6</v>
      </c>
      <c r="O53" s="33">
        <f>IFERROR(__xludf.DUMMYFUNCTION("""COMPUTED_VALUE"""),4.0)</f>
        <v>4</v>
      </c>
      <c r="P53" s="33">
        <f>IFERROR(__xludf.DUMMYFUNCTION("""COMPUTED_VALUE"""),6.0)</f>
        <v>6</v>
      </c>
      <c r="Q53" s="33">
        <f>IFERROR(__xludf.DUMMYFUNCTION("""COMPUTED_VALUE"""),0.0)</f>
        <v>0</v>
      </c>
      <c r="R53" s="33">
        <f>IFERROR(__xludf.DUMMYFUNCTION("""COMPUTED_VALUE"""),16018.0)</f>
        <v>16018</v>
      </c>
      <c r="S53" s="33">
        <f>IFERROR(__xludf.DUMMYFUNCTION("""COMPUTED_VALUE"""),16018.0)</f>
        <v>16018</v>
      </c>
      <c r="T53" s="33">
        <f>IFERROR(__xludf.DUMMYFUNCTION("""COMPUTED_VALUE"""),0.0)</f>
        <v>0</v>
      </c>
      <c r="U53" s="33">
        <f>IFERROR(__xludf.DUMMYFUNCTION("""COMPUTED_VALUE"""),0.0)</f>
        <v>0</v>
      </c>
      <c r="V53" s="33">
        <f>IFERROR(__xludf.DUMMYFUNCTION("""COMPUTED_VALUE"""),0.0)</f>
        <v>0</v>
      </c>
      <c r="W53" s="33">
        <f>IFERROR(__xludf.DUMMYFUNCTION("""COMPUTED_VALUE"""),0.0)</f>
        <v>0</v>
      </c>
      <c r="X53" s="33">
        <f>IFERROR(__xludf.DUMMYFUNCTION("""COMPUTED_VALUE"""),0.0)</f>
        <v>0</v>
      </c>
      <c r="Y53" s="33">
        <f>IFERROR(__xludf.DUMMYFUNCTION("""COMPUTED_VALUE"""),0.0)</f>
        <v>0</v>
      </c>
      <c r="Z53" s="33">
        <f>IFERROR(__xludf.DUMMYFUNCTION("""COMPUTED_VALUE"""),0.0)</f>
        <v>0</v>
      </c>
      <c r="AA53" s="33">
        <f>IFERROR(__xludf.DUMMYFUNCTION("""COMPUTED_VALUE"""),0.0)</f>
        <v>0</v>
      </c>
      <c r="AB53" s="33">
        <f>IFERROR(__xludf.DUMMYFUNCTION("""COMPUTED_VALUE"""),0.0)</f>
        <v>0</v>
      </c>
      <c r="AC53" s="33">
        <f>IFERROR(__xludf.DUMMYFUNCTION("""COMPUTED_VALUE"""),0.0)</f>
        <v>0</v>
      </c>
      <c r="AD53" s="33">
        <f>IFERROR(__xludf.DUMMYFUNCTION("""COMPUTED_VALUE"""),1.01055555555555)</f>
        <v>1.010555556</v>
      </c>
      <c r="AE53" s="33">
        <f>IFERROR(__xludf.DUMMYFUNCTION("""COMPUTED_VALUE"""),1.59499999999999)</f>
        <v>1.595</v>
      </c>
      <c r="AF53" s="33">
        <f>IFERROR(__xludf.DUMMYFUNCTION("""COMPUTED_VALUE"""),0.0)</f>
        <v>0</v>
      </c>
    </row>
    <row r="54">
      <c r="A54" s="49">
        <f>IFERROR(__xludf.DUMMYFUNCTION("""COMPUTED_VALUE"""),46146.0)</f>
        <v>46146</v>
      </c>
      <c r="B54" s="33" t="str">
        <f>IFERROR(__xludf.DUMMYFUNCTION("""COMPUTED_VALUE"""),"f8fbcb9a13d17d5888164fffc1bbb7cd5c6608b2")</f>
        <v>f8fbcb9a13d17d5888164fffc1bbb7cd5c6608b2</v>
      </c>
      <c r="C54" s="33" t="str">
        <f>IFERROR(__xludf.DUMMYFUNCTION("""COMPUTED_VALUE"""),"Empire of Hidden King | Author - Nitesh")</f>
        <v>Empire of Hidden King | Author - Nitesh</v>
      </c>
      <c r="D54" s="33">
        <f>IFERROR(__xludf.DUMMYFUNCTION("""COMPUTED_VALUE"""),0.0)</f>
        <v>0</v>
      </c>
      <c r="E54" s="33">
        <f>IFERROR(__xludf.DUMMYFUNCTION("""COMPUTED_VALUE"""),0.0)</f>
        <v>0</v>
      </c>
      <c r="F54" s="33">
        <f>IFERROR(__xludf.DUMMYFUNCTION("""COMPUTED_VALUE"""),0.0)</f>
        <v>0</v>
      </c>
      <c r="G54" s="33">
        <f>IFERROR(__xludf.DUMMYFUNCTION("""COMPUTED_VALUE"""),0.0)</f>
        <v>0</v>
      </c>
      <c r="H54" s="33">
        <f>IFERROR(__xludf.DUMMYFUNCTION("""COMPUTED_VALUE"""),0.0)</f>
        <v>0</v>
      </c>
      <c r="I54" s="33">
        <f>IFERROR(__xludf.DUMMYFUNCTION("""COMPUTED_VALUE"""),0.0)</f>
        <v>0</v>
      </c>
      <c r="J54" s="33">
        <f>IFERROR(__xludf.DUMMYFUNCTION("""COMPUTED_VALUE"""),0.0)</f>
        <v>0</v>
      </c>
      <c r="K54" s="33">
        <f>IFERROR(__xludf.DUMMYFUNCTION("""COMPUTED_VALUE"""),0.0)</f>
        <v>0</v>
      </c>
      <c r="L54" s="33">
        <f>IFERROR(__xludf.DUMMYFUNCTION("""COMPUTED_VALUE"""),0.0)</f>
        <v>0</v>
      </c>
      <c r="M54" s="33">
        <f>IFERROR(__xludf.DUMMYFUNCTION("""COMPUTED_VALUE"""),0.0)</f>
        <v>0</v>
      </c>
      <c r="N54" s="33">
        <f>IFERROR(__xludf.DUMMYFUNCTION("""COMPUTED_VALUE"""),11.0)</f>
        <v>11</v>
      </c>
      <c r="O54" s="33">
        <f>IFERROR(__xludf.DUMMYFUNCTION("""COMPUTED_VALUE"""),0.0)</f>
        <v>0</v>
      </c>
      <c r="P54" s="33">
        <f>IFERROR(__xludf.DUMMYFUNCTION("""COMPUTED_VALUE"""),11.0)</f>
        <v>11</v>
      </c>
      <c r="Q54" s="33">
        <f>IFERROR(__xludf.DUMMYFUNCTION("""COMPUTED_VALUE"""),0.0)</f>
        <v>0</v>
      </c>
      <c r="R54" s="33">
        <f>IFERROR(__xludf.DUMMYFUNCTION("""COMPUTED_VALUE"""),0.0)</f>
        <v>0</v>
      </c>
      <c r="S54" s="33">
        <f>IFERROR(__xludf.DUMMYFUNCTION("""COMPUTED_VALUE"""),0.0)</f>
        <v>0</v>
      </c>
      <c r="T54" s="33">
        <f>IFERROR(__xludf.DUMMYFUNCTION("""COMPUTED_VALUE"""),0.0)</f>
        <v>0</v>
      </c>
      <c r="U54" s="33">
        <f>IFERROR(__xludf.DUMMYFUNCTION("""COMPUTED_VALUE"""),0.0)</f>
        <v>0</v>
      </c>
      <c r="V54" s="33">
        <f>IFERROR(__xludf.DUMMYFUNCTION("""COMPUTED_VALUE"""),0.0)</f>
        <v>0</v>
      </c>
      <c r="W54" s="33">
        <f>IFERROR(__xludf.DUMMYFUNCTION("""COMPUTED_VALUE"""),0.0)</f>
        <v>0</v>
      </c>
      <c r="X54" s="33">
        <f>IFERROR(__xludf.DUMMYFUNCTION("""COMPUTED_VALUE"""),0.0)</f>
        <v>0</v>
      </c>
      <c r="Y54" s="33">
        <f>IFERROR(__xludf.DUMMYFUNCTION("""COMPUTED_VALUE"""),0.0)</f>
        <v>0</v>
      </c>
      <c r="Z54" s="33">
        <f>IFERROR(__xludf.DUMMYFUNCTION("""COMPUTED_VALUE"""),0.0)</f>
        <v>0</v>
      </c>
      <c r="AA54" s="33">
        <f>IFERROR(__xludf.DUMMYFUNCTION("""COMPUTED_VALUE"""),0.0)</f>
        <v>0</v>
      </c>
      <c r="AB54" s="33">
        <f>IFERROR(__xludf.DUMMYFUNCTION("""COMPUTED_VALUE"""),0.0)</f>
        <v>0</v>
      </c>
      <c r="AC54" s="33">
        <f>IFERROR(__xludf.DUMMYFUNCTION("""COMPUTED_VALUE"""),2.98)</f>
        <v>2.98</v>
      </c>
      <c r="AD54" s="33">
        <f>IFERROR(__xludf.DUMMYFUNCTION("""COMPUTED_VALUE"""),0.0)</f>
        <v>0</v>
      </c>
      <c r="AE54" s="33">
        <f>IFERROR(__xludf.DUMMYFUNCTION("""COMPUTED_VALUE"""),2.98)</f>
        <v>2.98</v>
      </c>
      <c r="AF54" s="33">
        <f>IFERROR(__xludf.DUMMYFUNCTION("""COMPUTED_VALUE"""),0.0)</f>
        <v>0</v>
      </c>
    </row>
    <row r="55">
      <c r="A55" s="49">
        <f>IFERROR(__xludf.DUMMYFUNCTION("""COMPUTED_VALUE"""),46139.0)</f>
        <v>46139</v>
      </c>
      <c r="B55" s="33" t="str">
        <f>IFERROR(__xludf.DUMMYFUNCTION("""COMPUTED_VALUE"""),"017fddbaa7617afdd8289be5c433df09dcde1da2")</f>
        <v>017fddbaa7617afdd8289be5c433df09dcde1da2</v>
      </c>
      <c r="C55" s="33" t="str">
        <f>IFERROR(__xludf.DUMMYFUNCTION("""COMPUTED_VALUE"""),"His Secret Fortune - Production Show_id")</f>
        <v>His Secret Fortune - Production Show_id</v>
      </c>
      <c r="D55" s="33">
        <f>IFERROR(__xludf.DUMMYFUNCTION("""COMPUTED_VALUE"""),19.0)</f>
        <v>19</v>
      </c>
      <c r="E55" s="33">
        <f>IFERROR(__xludf.DUMMYFUNCTION("""COMPUTED_VALUE"""),23.0)</f>
        <v>23</v>
      </c>
      <c r="F55" s="33">
        <f>IFERROR(__xludf.DUMMYFUNCTION("""COMPUTED_VALUE"""),19.0)</f>
        <v>19</v>
      </c>
      <c r="G55" s="33">
        <f>IFERROR(__xludf.DUMMYFUNCTION("""COMPUTED_VALUE"""),19.0)</f>
        <v>19</v>
      </c>
      <c r="H55" s="33">
        <f>IFERROR(__xludf.DUMMYFUNCTION("""COMPUTED_VALUE"""),20.0)</f>
        <v>20</v>
      </c>
      <c r="I55" s="33">
        <f>IFERROR(__xludf.DUMMYFUNCTION("""COMPUTED_VALUE"""),2.0)</f>
        <v>2</v>
      </c>
      <c r="J55" s="33">
        <f>IFERROR(__xludf.DUMMYFUNCTION("""COMPUTED_VALUE"""),20.0)</f>
        <v>20</v>
      </c>
      <c r="K55" s="33">
        <f>IFERROR(__xludf.DUMMYFUNCTION("""COMPUTED_VALUE"""),2.0)</f>
        <v>2</v>
      </c>
      <c r="L55" s="33">
        <f>IFERROR(__xludf.DUMMYFUNCTION("""COMPUTED_VALUE"""),1.0)</f>
        <v>1</v>
      </c>
      <c r="M55" s="33">
        <f>IFERROR(__xludf.DUMMYFUNCTION("""COMPUTED_VALUE"""),12.0)</f>
        <v>12</v>
      </c>
      <c r="N55" s="33">
        <f>IFERROR(__xludf.DUMMYFUNCTION("""COMPUTED_VALUE"""),10.0)</f>
        <v>10</v>
      </c>
      <c r="O55" s="33">
        <f>IFERROR(__xludf.DUMMYFUNCTION("""COMPUTED_VALUE"""),6.0)</f>
        <v>6</v>
      </c>
      <c r="P55" s="33">
        <f>IFERROR(__xludf.DUMMYFUNCTION("""COMPUTED_VALUE"""),10.0)</f>
        <v>10</v>
      </c>
      <c r="Q55" s="33">
        <f>IFERROR(__xludf.DUMMYFUNCTION("""COMPUTED_VALUE"""),0.0)</f>
        <v>0</v>
      </c>
      <c r="R55" s="33">
        <f>IFERROR(__xludf.DUMMYFUNCTION("""COMPUTED_VALUE"""),44751.0)</f>
        <v>44751</v>
      </c>
      <c r="S55" s="33">
        <f>IFERROR(__xludf.DUMMYFUNCTION("""COMPUTED_VALUE"""),52302.0)</f>
        <v>52302</v>
      </c>
      <c r="T55" s="33">
        <f>IFERROR(__xludf.DUMMYFUNCTION("""COMPUTED_VALUE"""),5.98555555555555)</f>
        <v>5.985555556</v>
      </c>
      <c r="U55" s="33">
        <f>IFERROR(__xludf.DUMMYFUNCTION("""COMPUTED_VALUE"""),3.92611111111111)</f>
        <v>3.926111111</v>
      </c>
      <c r="V55" s="33">
        <f>IFERROR(__xludf.DUMMYFUNCTION("""COMPUTED_VALUE"""),3.90055555555555)</f>
        <v>3.900555556</v>
      </c>
      <c r="W55" s="33">
        <f>IFERROR(__xludf.DUMMYFUNCTION("""COMPUTED_VALUE"""),4.09555555555555)</f>
        <v>4.095555556</v>
      </c>
      <c r="X55" s="33">
        <f>IFERROR(__xludf.DUMMYFUNCTION("""COMPUTED_VALUE"""),0.401388888888888)</f>
        <v>0.4013888889</v>
      </c>
      <c r="Y55" s="33">
        <f>IFERROR(__xludf.DUMMYFUNCTION("""COMPUTED_VALUE"""),4.09472222222222)</f>
        <v>4.094722222</v>
      </c>
      <c r="Z55" s="33">
        <f>IFERROR(__xludf.DUMMYFUNCTION("""COMPUTED_VALUE"""),0.398333333333333)</f>
        <v>0.3983333333</v>
      </c>
      <c r="AA55" s="33">
        <f>IFERROR(__xludf.DUMMYFUNCTION("""COMPUTED_VALUE"""),0.198888888888888)</f>
        <v>0.1988888889</v>
      </c>
      <c r="AB55" s="33">
        <f>IFERROR(__xludf.DUMMYFUNCTION("""COMPUTED_VALUE"""),2.50833333333333)</f>
        <v>2.508333333</v>
      </c>
      <c r="AC55" s="33">
        <f>IFERROR(__xludf.DUMMYFUNCTION("""COMPUTED_VALUE"""),2.10777777777777)</f>
        <v>2.107777778</v>
      </c>
      <c r="AD55" s="33">
        <f>IFERROR(__xludf.DUMMYFUNCTION("""COMPUTED_VALUE"""),1.14305555555555)</f>
        <v>1.143055556</v>
      </c>
      <c r="AE55" s="33">
        <f>IFERROR(__xludf.DUMMYFUNCTION("""COMPUTED_VALUE"""),2.10777777777777)</f>
        <v>2.107777778</v>
      </c>
      <c r="AF55" s="33">
        <f>IFERROR(__xludf.DUMMYFUNCTION("""COMPUTED_VALUE"""),29.0)</f>
        <v>29</v>
      </c>
    </row>
    <row r="56">
      <c r="A56" s="49">
        <f>IFERROR(__xludf.DUMMYFUNCTION("""COMPUTED_VALUE"""),46139.0)</f>
        <v>46139</v>
      </c>
      <c r="B56" s="33" t="str">
        <f>IFERROR(__xludf.DUMMYFUNCTION("""COMPUTED_VALUE"""),"120f01928bb6593698eaa96f46a52b5ddab649bd")</f>
        <v>120f01928bb6593698eaa96f46a52b5ddab649bd</v>
      </c>
      <c r="C56" s="33" t="str">
        <f>IFERROR(__xludf.DUMMYFUNCTION("""COMPUTED_VALUE"""),"Beggar Husband - 2")</f>
        <v>Beggar Husband - 2</v>
      </c>
      <c r="D56" s="33">
        <f>IFERROR(__xludf.DUMMYFUNCTION("""COMPUTED_VALUE"""),12.0)</f>
        <v>12</v>
      </c>
      <c r="E56" s="33">
        <f>IFERROR(__xludf.DUMMYFUNCTION("""COMPUTED_VALUE"""),25.0)</f>
        <v>25</v>
      </c>
      <c r="F56" s="33">
        <f>IFERROR(__xludf.DUMMYFUNCTION("""COMPUTED_VALUE"""),0.0)</f>
        <v>0</v>
      </c>
      <c r="G56" s="33">
        <f>IFERROR(__xludf.DUMMYFUNCTION("""COMPUTED_VALUE"""),0.0)</f>
        <v>0</v>
      </c>
      <c r="H56" s="33">
        <f>IFERROR(__xludf.DUMMYFUNCTION("""COMPUTED_VALUE"""),4.0)</f>
        <v>4</v>
      </c>
      <c r="I56" s="33">
        <f>IFERROR(__xludf.DUMMYFUNCTION("""COMPUTED_VALUE"""),0.0)</f>
        <v>0</v>
      </c>
      <c r="J56" s="33">
        <f>IFERROR(__xludf.DUMMYFUNCTION("""COMPUTED_VALUE"""),4.0)</f>
        <v>4</v>
      </c>
      <c r="K56" s="33">
        <f>IFERROR(__xludf.DUMMYFUNCTION("""COMPUTED_VALUE"""),0.0)</f>
        <v>0</v>
      </c>
      <c r="L56" s="33">
        <f>IFERROR(__xludf.DUMMYFUNCTION("""COMPUTED_VALUE"""),0.0)</f>
        <v>0</v>
      </c>
      <c r="M56" s="33">
        <f>IFERROR(__xludf.DUMMYFUNCTION("""COMPUTED_VALUE"""),16.0)</f>
        <v>16</v>
      </c>
      <c r="N56" s="33">
        <f>IFERROR(__xludf.DUMMYFUNCTION("""COMPUTED_VALUE"""),24.0)</f>
        <v>24</v>
      </c>
      <c r="O56" s="33">
        <f>IFERROR(__xludf.DUMMYFUNCTION("""COMPUTED_VALUE"""),5.0)</f>
        <v>5</v>
      </c>
      <c r="P56" s="33">
        <f>IFERROR(__xludf.DUMMYFUNCTION("""COMPUTED_VALUE"""),24.0)</f>
        <v>24</v>
      </c>
      <c r="Q56" s="33">
        <f>IFERROR(__xludf.DUMMYFUNCTION("""COMPUTED_VALUE"""),0.0)</f>
        <v>0</v>
      </c>
      <c r="R56" s="33">
        <f>IFERROR(__xludf.DUMMYFUNCTION("""COMPUTED_VALUE"""),26408.0)</f>
        <v>26408</v>
      </c>
      <c r="S56" s="33">
        <f>IFERROR(__xludf.DUMMYFUNCTION("""COMPUTED_VALUE"""),55023.0)</f>
        <v>55023</v>
      </c>
      <c r="T56" s="33">
        <f>IFERROR(__xludf.DUMMYFUNCTION("""COMPUTED_VALUE"""),0.0)</f>
        <v>0</v>
      </c>
      <c r="U56" s="33">
        <f>IFERROR(__xludf.DUMMYFUNCTION("""COMPUTED_VALUE"""),0.0)</f>
        <v>0</v>
      </c>
      <c r="V56" s="33">
        <f>IFERROR(__xludf.DUMMYFUNCTION("""COMPUTED_VALUE"""),0.0)</f>
        <v>0</v>
      </c>
      <c r="W56" s="33">
        <f>IFERROR(__xludf.DUMMYFUNCTION("""COMPUTED_VALUE"""),0.942777777777777)</f>
        <v>0.9427777778</v>
      </c>
      <c r="X56" s="33">
        <f>IFERROR(__xludf.DUMMYFUNCTION("""COMPUTED_VALUE"""),0.0)</f>
        <v>0</v>
      </c>
      <c r="Y56" s="33">
        <f>IFERROR(__xludf.DUMMYFUNCTION("""COMPUTED_VALUE"""),0.942777777777777)</f>
        <v>0.9427777778</v>
      </c>
      <c r="Z56" s="33">
        <f>IFERROR(__xludf.DUMMYFUNCTION("""COMPUTED_VALUE"""),0.0)</f>
        <v>0</v>
      </c>
      <c r="AA56" s="33">
        <f>IFERROR(__xludf.DUMMYFUNCTION("""COMPUTED_VALUE"""),0.0)</f>
        <v>0</v>
      </c>
      <c r="AB56" s="33">
        <f>IFERROR(__xludf.DUMMYFUNCTION("""COMPUTED_VALUE"""),3.70111111111111)</f>
        <v>3.701111111</v>
      </c>
      <c r="AC56" s="33">
        <f>IFERROR(__xludf.DUMMYFUNCTION("""COMPUTED_VALUE"""),5.59249999999999)</f>
        <v>5.5925</v>
      </c>
      <c r="AD56" s="33">
        <f>IFERROR(__xludf.DUMMYFUNCTION("""COMPUTED_VALUE"""),1.01416666666666)</f>
        <v>1.014166667</v>
      </c>
      <c r="AE56" s="33">
        <f>IFERROR(__xludf.DUMMYFUNCTION("""COMPUTED_VALUE"""),5.59194444444444)</f>
        <v>5.591944444</v>
      </c>
      <c r="AF56" s="33">
        <f>IFERROR(__xludf.DUMMYFUNCTION("""COMPUTED_VALUE"""),0.0)</f>
        <v>0</v>
      </c>
    </row>
    <row r="57">
      <c r="A57" s="49">
        <f>IFERROR(__xludf.DUMMYFUNCTION("""COMPUTED_VALUE"""),46139.0)</f>
        <v>46139</v>
      </c>
      <c r="B57" s="33" t="str">
        <f>IFERROR(__xludf.DUMMYFUNCTION("""COMPUTED_VALUE"""),"1b4ecb8a0d96b42675a2bbd2a9bd28ef4d28a0dd")</f>
        <v>1b4ecb8a0d96b42675a2bbd2a9bd28ef4d28a0dd</v>
      </c>
      <c r="C57" s="33" t="str">
        <f>IFERROR(__xludf.DUMMYFUNCTION("""COMPUTED_VALUE"""),"Doctor Mafia King")</f>
        <v>Doctor Mafia King</v>
      </c>
      <c r="D57" s="33">
        <f>IFERROR(__xludf.DUMMYFUNCTION("""COMPUTED_VALUE"""),0.0)</f>
        <v>0</v>
      </c>
      <c r="E57" s="33">
        <f>IFERROR(__xludf.DUMMYFUNCTION("""COMPUTED_VALUE"""),0.0)</f>
        <v>0</v>
      </c>
      <c r="F57" s="33">
        <f>IFERROR(__xludf.DUMMYFUNCTION("""COMPUTED_VALUE"""),0.0)</f>
        <v>0</v>
      </c>
      <c r="G57" s="33">
        <f>IFERROR(__xludf.DUMMYFUNCTION("""COMPUTED_VALUE"""),0.0)</f>
        <v>0</v>
      </c>
      <c r="H57" s="33">
        <f>IFERROR(__xludf.DUMMYFUNCTION("""COMPUTED_VALUE"""),0.0)</f>
        <v>0</v>
      </c>
      <c r="I57" s="33">
        <f>IFERROR(__xludf.DUMMYFUNCTION("""COMPUTED_VALUE"""),0.0)</f>
        <v>0</v>
      </c>
      <c r="J57" s="33">
        <f>IFERROR(__xludf.DUMMYFUNCTION("""COMPUTED_VALUE"""),0.0)</f>
        <v>0</v>
      </c>
      <c r="K57" s="33">
        <f>IFERROR(__xludf.DUMMYFUNCTION("""COMPUTED_VALUE"""),0.0)</f>
        <v>0</v>
      </c>
      <c r="L57" s="33">
        <f>IFERROR(__xludf.DUMMYFUNCTION("""COMPUTED_VALUE"""),0.0)</f>
        <v>0</v>
      </c>
      <c r="M57" s="33">
        <f>IFERROR(__xludf.DUMMYFUNCTION("""COMPUTED_VALUE"""),0.0)</f>
        <v>0</v>
      </c>
      <c r="N57" s="33">
        <f>IFERROR(__xludf.DUMMYFUNCTION("""COMPUTED_VALUE"""),8.0)</f>
        <v>8</v>
      </c>
      <c r="O57" s="33">
        <f>IFERROR(__xludf.DUMMYFUNCTION("""COMPUTED_VALUE"""),0.0)</f>
        <v>0</v>
      </c>
      <c r="P57" s="33">
        <f>IFERROR(__xludf.DUMMYFUNCTION("""COMPUTED_VALUE"""),8.0)</f>
        <v>8</v>
      </c>
      <c r="Q57" s="33">
        <f>IFERROR(__xludf.DUMMYFUNCTION("""COMPUTED_VALUE"""),0.0)</f>
        <v>0</v>
      </c>
      <c r="R57" s="33">
        <f>IFERROR(__xludf.DUMMYFUNCTION("""COMPUTED_VALUE"""),0.0)</f>
        <v>0</v>
      </c>
      <c r="S57" s="33">
        <f>IFERROR(__xludf.DUMMYFUNCTION("""COMPUTED_VALUE"""),0.0)</f>
        <v>0</v>
      </c>
      <c r="T57" s="33">
        <f>IFERROR(__xludf.DUMMYFUNCTION("""COMPUTED_VALUE"""),0.0)</f>
        <v>0</v>
      </c>
      <c r="U57" s="33">
        <f>IFERROR(__xludf.DUMMYFUNCTION("""COMPUTED_VALUE"""),0.0)</f>
        <v>0</v>
      </c>
      <c r="V57" s="33">
        <f>IFERROR(__xludf.DUMMYFUNCTION("""COMPUTED_VALUE"""),0.0)</f>
        <v>0</v>
      </c>
      <c r="W57" s="33">
        <f>IFERROR(__xludf.DUMMYFUNCTION("""COMPUTED_VALUE"""),0.0)</f>
        <v>0</v>
      </c>
      <c r="X57" s="33">
        <f>IFERROR(__xludf.DUMMYFUNCTION("""COMPUTED_VALUE"""),0.0)</f>
        <v>0</v>
      </c>
      <c r="Y57" s="33">
        <f>IFERROR(__xludf.DUMMYFUNCTION("""COMPUTED_VALUE"""),0.0)</f>
        <v>0</v>
      </c>
      <c r="Z57" s="33">
        <f>IFERROR(__xludf.DUMMYFUNCTION("""COMPUTED_VALUE"""),0.0)</f>
        <v>0</v>
      </c>
      <c r="AA57" s="33">
        <f>IFERROR(__xludf.DUMMYFUNCTION("""COMPUTED_VALUE"""),0.0)</f>
        <v>0</v>
      </c>
      <c r="AB57" s="33">
        <f>IFERROR(__xludf.DUMMYFUNCTION("""COMPUTED_VALUE"""),0.0)</f>
        <v>0</v>
      </c>
      <c r="AC57" s="33">
        <f>IFERROR(__xludf.DUMMYFUNCTION("""COMPUTED_VALUE"""),1.16138888888888)</f>
        <v>1.161388889</v>
      </c>
      <c r="AD57" s="33">
        <f>IFERROR(__xludf.DUMMYFUNCTION("""COMPUTED_VALUE"""),0.0)</f>
        <v>0</v>
      </c>
      <c r="AE57" s="33">
        <f>IFERROR(__xludf.DUMMYFUNCTION("""COMPUTED_VALUE"""),1.16138888888888)</f>
        <v>1.161388889</v>
      </c>
      <c r="AF57" s="33">
        <f>IFERROR(__xludf.DUMMYFUNCTION("""COMPUTED_VALUE"""),0.0)</f>
        <v>0</v>
      </c>
    </row>
    <row r="58">
      <c r="A58" s="49">
        <f>IFERROR(__xludf.DUMMYFUNCTION("""COMPUTED_VALUE"""),46139.0)</f>
        <v>46139</v>
      </c>
      <c r="B58" s="33" t="str">
        <f>IFERROR(__xludf.DUMMYFUNCTION("""COMPUTED_VALUE"""),"2549f1505a3739b3e90a0b63921ad55271440d40")</f>
        <v>2549f1505a3739b3e90a0b63921ad55271440d40</v>
      </c>
      <c r="C58" s="33" t="str">
        <f>IFERROR(__xludf.DUMMYFUNCTION("""COMPUTED_VALUE"""),"Reborn in Martial World ")</f>
        <v>Reborn in Martial World </v>
      </c>
      <c r="D58" s="33">
        <f>IFERROR(__xludf.DUMMYFUNCTION("""COMPUTED_VALUE"""),0.0)</f>
        <v>0</v>
      </c>
      <c r="E58" s="33">
        <f>IFERROR(__xludf.DUMMYFUNCTION("""COMPUTED_VALUE"""),50.0)</f>
        <v>50</v>
      </c>
      <c r="F58" s="33">
        <f>IFERROR(__xludf.DUMMYFUNCTION("""COMPUTED_VALUE"""),0.0)</f>
        <v>0</v>
      </c>
      <c r="G58" s="33">
        <f>IFERROR(__xludf.DUMMYFUNCTION("""COMPUTED_VALUE"""),0.0)</f>
        <v>0</v>
      </c>
      <c r="H58" s="33">
        <f>IFERROR(__xludf.DUMMYFUNCTION("""COMPUTED_VALUE"""),0.0)</f>
        <v>0</v>
      </c>
      <c r="I58" s="33">
        <f>IFERROR(__xludf.DUMMYFUNCTION("""COMPUTED_VALUE"""),0.0)</f>
        <v>0</v>
      </c>
      <c r="J58" s="33">
        <f>IFERROR(__xludf.DUMMYFUNCTION("""COMPUTED_VALUE"""),0.0)</f>
        <v>0</v>
      </c>
      <c r="K58" s="33">
        <f>IFERROR(__xludf.DUMMYFUNCTION("""COMPUTED_VALUE"""),0.0)</f>
        <v>0</v>
      </c>
      <c r="L58" s="33">
        <f>IFERROR(__xludf.DUMMYFUNCTION("""COMPUTED_VALUE"""),0.0)</f>
        <v>0</v>
      </c>
      <c r="M58" s="33">
        <f>IFERROR(__xludf.DUMMYFUNCTION("""COMPUTED_VALUE"""),0.0)</f>
        <v>0</v>
      </c>
      <c r="N58" s="33">
        <f>IFERROR(__xludf.DUMMYFUNCTION("""COMPUTED_VALUE"""),50.0)</f>
        <v>50</v>
      </c>
      <c r="O58" s="33">
        <f>IFERROR(__xludf.DUMMYFUNCTION("""COMPUTED_VALUE"""),4.0)</f>
        <v>4</v>
      </c>
      <c r="P58" s="33">
        <f>IFERROR(__xludf.DUMMYFUNCTION("""COMPUTED_VALUE"""),50.0)</f>
        <v>50</v>
      </c>
      <c r="Q58" s="33">
        <f>IFERROR(__xludf.DUMMYFUNCTION("""COMPUTED_VALUE"""),0.0)</f>
        <v>0</v>
      </c>
      <c r="R58" s="33">
        <f>IFERROR(__xludf.DUMMYFUNCTION("""COMPUTED_VALUE"""),0.0)</f>
        <v>0</v>
      </c>
      <c r="S58" s="33">
        <f>IFERROR(__xludf.DUMMYFUNCTION("""COMPUTED_VALUE"""),120870.0)</f>
        <v>120870</v>
      </c>
      <c r="T58" s="33">
        <f>IFERROR(__xludf.DUMMYFUNCTION("""COMPUTED_VALUE"""),0.0)</f>
        <v>0</v>
      </c>
      <c r="U58" s="33">
        <f>IFERROR(__xludf.DUMMYFUNCTION("""COMPUTED_VALUE"""),0.0)</f>
        <v>0</v>
      </c>
      <c r="V58" s="33">
        <f>IFERROR(__xludf.DUMMYFUNCTION("""COMPUTED_VALUE"""),0.0)</f>
        <v>0</v>
      </c>
      <c r="W58" s="33">
        <f>IFERROR(__xludf.DUMMYFUNCTION("""COMPUTED_VALUE"""),0.0)</f>
        <v>0</v>
      </c>
      <c r="X58" s="33">
        <f>IFERROR(__xludf.DUMMYFUNCTION("""COMPUTED_VALUE"""),0.0)</f>
        <v>0</v>
      </c>
      <c r="Y58" s="33">
        <f>IFERROR(__xludf.DUMMYFUNCTION("""COMPUTED_VALUE"""),0.0)</f>
        <v>0</v>
      </c>
      <c r="Z58" s="33">
        <f>IFERROR(__xludf.DUMMYFUNCTION("""COMPUTED_VALUE"""),0.0)</f>
        <v>0</v>
      </c>
      <c r="AA58" s="33">
        <f>IFERROR(__xludf.DUMMYFUNCTION("""COMPUTED_VALUE"""),0.0)</f>
        <v>0</v>
      </c>
      <c r="AB58" s="33">
        <f>IFERROR(__xludf.DUMMYFUNCTION("""COMPUTED_VALUE"""),0.0)</f>
        <v>0</v>
      </c>
      <c r="AC58" s="33">
        <f>IFERROR(__xludf.DUMMYFUNCTION("""COMPUTED_VALUE"""),14.1127777777777)</f>
        <v>14.11277778</v>
      </c>
      <c r="AD58" s="33">
        <f>IFERROR(__xludf.DUMMYFUNCTION("""COMPUTED_VALUE"""),0.829444444444444)</f>
        <v>0.8294444444</v>
      </c>
      <c r="AE58" s="33">
        <f>IFERROR(__xludf.DUMMYFUNCTION("""COMPUTED_VALUE"""),14.1127777777777)</f>
        <v>14.11277778</v>
      </c>
      <c r="AF58" s="33">
        <f>IFERROR(__xludf.DUMMYFUNCTION("""COMPUTED_VALUE"""),0.0)</f>
        <v>0</v>
      </c>
    </row>
    <row r="59">
      <c r="A59" s="49">
        <f>IFERROR(__xludf.DUMMYFUNCTION("""COMPUTED_VALUE"""),46139.0)</f>
        <v>46139</v>
      </c>
      <c r="B59" s="33" t="str">
        <f>IFERROR(__xludf.DUMMYFUNCTION("""COMPUTED_VALUE"""),"2f705add1a4571e3dcc4eb1426edfaa372c9cee8")</f>
        <v>2f705add1a4571e3dcc4eb1426edfaa372c9cee8</v>
      </c>
      <c r="C59" s="33" t="str">
        <f>IFERROR(__xludf.DUMMYFUNCTION("""COMPUTED_VALUE"""),"Beggar Husband - Production Show_id")</f>
        <v>Beggar Husband - Production Show_id</v>
      </c>
      <c r="D59" s="33">
        <f>IFERROR(__xludf.DUMMYFUNCTION("""COMPUTED_VALUE"""),0.0)</f>
        <v>0</v>
      </c>
      <c r="E59" s="33">
        <f>IFERROR(__xludf.DUMMYFUNCTION("""COMPUTED_VALUE"""),0.0)</f>
        <v>0</v>
      </c>
      <c r="F59" s="33">
        <f>IFERROR(__xludf.DUMMYFUNCTION("""COMPUTED_VALUE"""),0.0)</f>
        <v>0</v>
      </c>
      <c r="G59" s="33">
        <f>IFERROR(__xludf.DUMMYFUNCTION("""COMPUTED_VALUE"""),1.0)</f>
        <v>1</v>
      </c>
      <c r="H59" s="33">
        <f>IFERROR(__xludf.DUMMYFUNCTION("""COMPUTED_VALUE"""),1.0)</f>
        <v>1</v>
      </c>
      <c r="I59" s="33">
        <f>IFERROR(__xludf.DUMMYFUNCTION("""COMPUTED_VALUE"""),0.0)</f>
        <v>0</v>
      </c>
      <c r="J59" s="33">
        <f>IFERROR(__xludf.DUMMYFUNCTION("""COMPUTED_VALUE"""),1.0)</f>
        <v>1</v>
      </c>
      <c r="K59" s="33">
        <f>IFERROR(__xludf.DUMMYFUNCTION("""COMPUTED_VALUE"""),0.0)</f>
        <v>0</v>
      </c>
      <c r="L59" s="33">
        <f>IFERROR(__xludf.DUMMYFUNCTION("""COMPUTED_VALUE"""),0.0)</f>
        <v>0</v>
      </c>
      <c r="M59" s="33">
        <f>IFERROR(__xludf.DUMMYFUNCTION("""COMPUTED_VALUE"""),2.0)</f>
        <v>2</v>
      </c>
      <c r="N59" s="33">
        <f>IFERROR(__xludf.DUMMYFUNCTION("""COMPUTED_VALUE"""),4.0)</f>
        <v>4</v>
      </c>
      <c r="O59" s="33">
        <f>IFERROR(__xludf.DUMMYFUNCTION("""COMPUTED_VALUE"""),1.0)</f>
        <v>1</v>
      </c>
      <c r="P59" s="33">
        <f>IFERROR(__xludf.DUMMYFUNCTION("""COMPUTED_VALUE"""),4.0)</f>
        <v>4</v>
      </c>
      <c r="Q59" s="33">
        <f>IFERROR(__xludf.DUMMYFUNCTION("""COMPUTED_VALUE"""),0.0)</f>
        <v>0</v>
      </c>
      <c r="R59" s="33">
        <f>IFERROR(__xludf.DUMMYFUNCTION("""COMPUTED_VALUE"""),0.0)</f>
        <v>0</v>
      </c>
      <c r="S59" s="33">
        <f>IFERROR(__xludf.DUMMYFUNCTION("""COMPUTED_VALUE"""),0.0)</f>
        <v>0</v>
      </c>
      <c r="T59" s="33">
        <f>IFERROR(__xludf.DUMMYFUNCTION("""COMPUTED_VALUE"""),0.0)</f>
        <v>0</v>
      </c>
      <c r="U59" s="33">
        <f>IFERROR(__xludf.DUMMYFUNCTION("""COMPUTED_VALUE"""),0.0)</f>
        <v>0</v>
      </c>
      <c r="V59" s="33">
        <f>IFERROR(__xludf.DUMMYFUNCTION("""COMPUTED_VALUE"""),0.224166666666666)</f>
        <v>0.2241666667</v>
      </c>
      <c r="W59" s="33">
        <f>IFERROR(__xludf.DUMMYFUNCTION("""COMPUTED_VALUE"""),0.224166666666666)</f>
        <v>0.2241666667</v>
      </c>
      <c r="X59" s="33">
        <f>IFERROR(__xludf.DUMMYFUNCTION("""COMPUTED_VALUE"""),0.0)</f>
        <v>0</v>
      </c>
      <c r="Y59" s="33">
        <f>IFERROR(__xludf.DUMMYFUNCTION("""COMPUTED_VALUE"""),0.224166666666666)</f>
        <v>0.2241666667</v>
      </c>
      <c r="Z59" s="33">
        <f>IFERROR(__xludf.DUMMYFUNCTION("""COMPUTED_VALUE"""),0.0)</f>
        <v>0</v>
      </c>
      <c r="AA59" s="33">
        <f>IFERROR(__xludf.DUMMYFUNCTION("""COMPUTED_VALUE"""),0.0)</f>
        <v>0</v>
      </c>
      <c r="AB59" s="33">
        <f>IFERROR(__xludf.DUMMYFUNCTION("""COMPUTED_VALUE"""),0.424444444444444)</f>
        <v>0.4244444444</v>
      </c>
      <c r="AC59" s="33">
        <f>IFERROR(__xludf.DUMMYFUNCTION("""COMPUTED_VALUE"""),0.842222222222222)</f>
        <v>0.8422222222</v>
      </c>
      <c r="AD59" s="33">
        <f>IFERROR(__xludf.DUMMYFUNCTION("""COMPUTED_VALUE"""),0.231944444444444)</f>
        <v>0.2319444444</v>
      </c>
      <c r="AE59" s="33">
        <f>IFERROR(__xludf.DUMMYFUNCTION("""COMPUTED_VALUE"""),0.842222222222222)</f>
        <v>0.8422222222</v>
      </c>
      <c r="AF59" s="33">
        <f>IFERROR(__xludf.DUMMYFUNCTION("""COMPUTED_VALUE"""),0.0)</f>
        <v>0</v>
      </c>
    </row>
    <row r="60">
      <c r="A60" s="49">
        <f>IFERROR(__xludf.DUMMYFUNCTION("""COMPUTED_VALUE"""),46139.0)</f>
        <v>46139</v>
      </c>
      <c r="B60" s="33" t="str">
        <f>IFERROR(__xludf.DUMMYFUNCTION("""COMPUTED_VALUE"""),"37e68193f879e91ec362f75f4b46511110658e2b")</f>
        <v>37e68193f879e91ec362f75f4b46511110658e2b</v>
      </c>
      <c r="C60" s="33" t="str">
        <f>IFERROR(__xludf.DUMMYFUNCTION("""COMPUTED_VALUE"""),"Shiva : Ek Pretyodha")</f>
        <v>Shiva : Ek Pretyodha</v>
      </c>
      <c r="D60" s="33">
        <f>IFERROR(__xludf.DUMMYFUNCTION("""COMPUTED_VALUE"""),0.0)</f>
        <v>0</v>
      </c>
      <c r="E60" s="33">
        <f>IFERROR(__xludf.DUMMYFUNCTION("""COMPUTED_VALUE"""),0.0)</f>
        <v>0</v>
      </c>
      <c r="F60" s="33">
        <f>IFERROR(__xludf.DUMMYFUNCTION("""COMPUTED_VALUE"""),0.0)</f>
        <v>0</v>
      </c>
      <c r="G60" s="33">
        <f>IFERROR(__xludf.DUMMYFUNCTION("""COMPUTED_VALUE"""),0.0)</f>
        <v>0</v>
      </c>
      <c r="H60" s="33">
        <f>IFERROR(__xludf.DUMMYFUNCTION("""COMPUTED_VALUE"""),0.0)</f>
        <v>0</v>
      </c>
      <c r="I60" s="33">
        <f>IFERROR(__xludf.DUMMYFUNCTION("""COMPUTED_VALUE"""),0.0)</f>
        <v>0</v>
      </c>
      <c r="J60" s="33">
        <f>IFERROR(__xludf.DUMMYFUNCTION("""COMPUTED_VALUE"""),0.0)</f>
        <v>0</v>
      </c>
      <c r="K60" s="33">
        <f>IFERROR(__xludf.DUMMYFUNCTION("""COMPUTED_VALUE"""),0.0)</f>
        <v>0</v>
      </c>
      <c r="L60" s="33">
        <f>IFERROR(__xludf.DUMMYFUNCTION("""COMPUTED_VALUE"""),0.0)</f>
        <v>0</v>
      </c>
      <c r="M60" s="33">
        <f>IFERROR(__xludf.DUMMYFUNCTION("""COMPUTED_VALUE"""),0.0)</f>
        <v>0</v>
      </c>
      <c r="N60" s="33">
        <f>IFERROR(__xludf.DUMMYFUNCTION("""COMPUTED_VALUE"""),5.0)</f>
        <v>5</v>
      </c>
      <c r="O60" s="33">
        <f>IFERROR(__xludf.DUMMYFUNCTION("""COMPUTED_VALUE"""),35.0)</f>
        <v>35</v>
      </c>
      <c r="P60" s="33">
        <f>IFERROR(__xludf.DUMMYFUNCTION("""COMPUTED_VALUE"""),37.0)</f>
        <v>37</v>
      </c>
      <c r="Q60" s="33">
        <f>IFERROR(__xludf.DUMMYFUNCTION("""COMPUTED_VALUE"""),0.0)</f>
        <v>0</v>
      </c>
      <c r="R60" s="33">
        <f>IFERROR(__xludf.DUMMYFUNCTION("""COMPUTED_VALUE"""),0.0)</f>
        <v>0</v>
      </c>
      <c r="S60" s="33">
        <f>IFERROR(__xludf.DUMMYFUNCTION("""COMPUTED_VALUE"""),0.0)</f>
        <v>0</v>
      </c>
      <c r="T60" s="33">
        <f>IFERROR(__xludf.DUMMYFUNCTION("""COMPUTED_VALUE"""),0.0)</f>
        <v>0</v>
      </c>
      <c r="U60" s="33">
        <f>IFERROR(__xludf.DUMMYFUNCTION("""COMPUTED_VALUE"""),0.0)</f>
        <v>0</v>
      </c>
      <c r="V60" s="33">
        <f>IFERROR(__xludf.DUMMYFUNCTION("""COMPUTED_VALUE"""),0.0)</f>
        <v>0</v>
      </c>
      <c r="W60" s="33">
        <f>IFERROR(__xludf.DUMMYFUNCTION("""COMPUTED_VALUE"""),0.0)</f>
        <v>0</v>
      </c>
      <c r="X60" s="33">
        <f>IFERROR(__xludf.DUMMYFUNCTION("""COMPUTED_VALUE"""),0.0)</f>
        <v>0</v>
      </c>
      <c r="Y60" s="33">
        <f>IFERROR(__xludf.DUMMYFUNCTION("""COMPUTED_VALUE"""),0.0)</f>
        <v>0</v>
      </c>
      <c r="Z60" s="33">
        <f>IFERROR(__xludf.DUMMYFUNCTION("""COMPUTED_VALUE"""),0.0)</f>
        <v>0</v>
      </c>
      <c r="AA60" s="33">
        <f>IFERROR(__xludf.DUMMYFUNCTION("""COMPUTED_VALUE"""),0.0)</f>
        <v>0</v>
      </c>
      <c r="AB60" s="33">
        <f>IFERROR(__xludf.DUMMYFUNCTION("""COMPUTED_VALUE"""),0.0)</f>
        <v>0</v>
      </c>
      <c r="AC60" s="33">
        <f>IFERROR(__xludf.DUMMYFUNCTION("""COMPUTED_VALUE"""),0.0)</f>
        <v>0</v>
      </c>
      <c r="AD60" s="33">
        <f>IFERROR(__xludf.DUMMYFUNCTION("""COMPUTED_VALUE"""),3.70111111111111)</f>
        <v>3.701111111</v>
      </c>
      <c r="AE60" s="33">
        <f>IFERROR(__xludf.DUMMYFUNCTION("""COMPUTED_VALUE"""),3.98)</f>
        <v>3.98</v>
      </c>
      <c r="AF60" s="33">
        <f>IFERROR(__xludf.DUMMYFUNCTION("""COMPUTED_VALUE"""),0.0)</f>
        <v>0</v>
      </c>
    </row>
    <row r="61">
      <c r="A61" s="49">
        <f>IFERROR(__xludf.DUMMYFUNCTION("""COMPUTED_VALUE"""),46139.0)</f>
        <v>46139</v>
      </c>
      <c r="B61" s="33" t="str">
        <f>IFERROR(__xludf.DUMMYFUNCTION("""COMPUTED_VALUE"""),"394d109f7b50d9a46fb591dbaaba2d0aac90a696")</f>
        <v>394d109f7b50d9a46fb591dbaaba2d0aac90a696</v>
      </c>
      <c r="C61" s="33" t="str">
        <f>IFERROR(__xludf.DUMMYFUNCTION("""COMPUTED_VALUE"""),"Empire of Hidden King (SRGJ) - Production Show_id")</f>
        <v>Empire of Hidden King (SRGJ) - Production Show_id</v>
      </c>
      <c r="D61" s="33">
        <f>IFERROR(__xludf.DUMMYFUNCTION("""COMPUTED_VALUE"""),2.0)</f>
        <v>2</v>
      </c>
      <c r="E61" s="33">
        <f>IFERROR(__xludf.DUMMYFUNCTION("""COMPUTED_VALUE"""),3.0)</f>
        <v>3</v>
      </c>
      <c r="F61" s="33">
        <f>IFERROR(__xludf.DUMMYFUNCTION("""COMPUTED_VALUE"""),3.0)</f>
        <v>3</v>
      </c>
      <c r="G61" s="33">
        <f>IFERROR(__xludf.DUMMYFUNCTION("""COMPUTED_VALUE"""),0.0)</f>
        <v>0</v>
      </c>
      <c r="H61" s="33">
        <f>IFERROR(__xludf.DUMMYFUNCTION("""COMPUTED_VALUE"""),1.0)</f>
        <v>1</v>
      </c>
      <c r="I61" s="33">
        <f>IFERROR(__xludf.DUMMYFUNCTION("""COMPUTED_VALUE"""),1.0)</f>
        <v>1</v>
      </c>
      <c r="J61" s="33">
        <f>IFERROR(__xludf.DUMMYFUNCTION("""COMPUTED_VALUE"""),1.0)</f>
        <v>1</v>
      </c>
      <c r="K61" s="33">
        <f>IFERROR(__xludf.DUMMYFUNCTION("""COMPUTED_VALUE"""),0.0)</f>
        <v>0</v>
      </c>
      <c r="L61" s="33">
        <f>IFERROR(__xludf.DUMMYFUNCTION("""COMPUTED_VALUE"""),0.0)</f>
        <v>0</v>
      </c>
      <c r="M61" s="33">
        <f>IFERROR(__xludf.DUMMYFUNCTION("""COMPUTED_VALUE"""),1.0)</f>
        <v>1</v>
      </c>
      <c r="N61" s="33">
        <f>IFERROR(__xludf.DUMMYFUNCTION("""COMPUTED_VALUE"""),6.0)</f>
        <v>6</v>
      </c>
      <c r="O61" s="33">
        <f>IFERROR(__xludf.DUMMYFUNCTION("""COMPUTED_VALUE"""),5.0)</f>
        <v>5</v>
      </c>
      <c r="P61" s="33">
        <f>IFERROR(__xludf.DUMMYFUNCTION("""COMPUTED_VALUE"""),6.0)</f>
        <v>6</v>
      </c>
      <c r="Q61" s="33">
        <f>IFERROR(__xludf.DUMMYFUNCTION("""COMPUTED_VALUE"""),0.0)</f>
        <v>0</v>
      </c>
      <c r="R61" s="33">
        <f>IFERROR(__xludf.DUMMYFUNCTION("""COMPUTED_VALUE"""),4819.0)</f>
        <v>4819</v>
      </c>
      <c r="S61" s="33">
        <f>IFERROR(__xludf.DUMMYFUNCTION("""COMPUTED_VALUE"""),6986.0)</f>
        <v>6986</v>
      </c>
      <c r="T61" s="33">
        <f>IFERROR(__xludf.DUMMYFUNCTION("""COMPUTED_VALUE"""),0.901388888888889)</f>
        <v>0.9013888889</v>
      </c>
      <c r="U61" s="33">
        <f>IFERROR(__xludf.DUMMYFUNCTION("""COMPUTED_VALUE"""),0.683333333333333)</f>
        <v>0.6833333333</v>
      </c>
      <c r="V61" s="33">
        <f>IFERROR(__xludf.DUMMYFUNCTION("""COMPUTED_VALUE"""),0.0)</f>
        <v>0</v>
      </c>
      <c r="W61" s="33">
        <f>IFERROR(__xludf.DUMMYFUNCTION("""COMPUTED_VALUE"""),0.218055555555555)</f>
        <v>0.2180555556</v>
      </c>
      <c r="X61" s="33">
        <f>IFERROR(__xludf.DUMMYFUNCTION("""COMPUTED_VALUE"""),0.218055555555555)</f>
        <v>0.2180555556</v>
      </c>
      <c r="Y61" s="33">
        <f>IFERROR(__xludf.DUMMYFUNCTION("""COMPUTED_VALUE"""),0.218611111111111)</f>
        <v>0.2186111111</v>
      </c>
      <c r="Z61" s="33">
        <f>IFERROR(__xludf.DUMMYFUNCTION("""COMPUTED_VALUE"""),0.0)</f>
        <v>0</v>
      </c>
      <c r="AA61" s="33">
        <f>IFERROR(__xludf.DUMMYFUNCTION("""COMPUTED_VALUE"""),0.0)</f>
        <v>0</v>
      </c>
      <c r="AB61" s="33">
        <f>IFERROR(__xludf.DUMMYFUNCTION("""COMPUTED_VALUE"""),0.218611111111111)</f>
        <v>0.2186111111</v>
      </c>
      <c r="AC61" s="33">
        <f>IFERROR(__xludf.DUMMYFUNCTION("""COMPUTED_VALUE"""),1.36361111111111)</f>
        <v>1.363611111</v>
      </c>
      <c r="AD61" s="33">
        <f>IFERROR(__xludf.DUMMYFUNCTION("""COMPUTED_VALUE"""),1.375)</f>
        <v>1.375</v>
      </c>
      <c r="AE61" s="33">
        <f>IFERROR(__xludf.DUMMYFUNCTION("""COMPUTED_VALUE"""),1.36361111111111)</f>
        <v>1.363611111</v>
      </c>
      <c r="AF61" s="33">
        <f>IFERROR(__xludf.DUMMYFUNCTION("""COMPUTED_VALUE"""),4.0)</f>
        <v>4</v>
      </c>
    </row>
    <row r="62">
      <c r="A62" s="49">
        <f>IFERROR(__xludf.DUMMYFUNCTION("""COMPUTED_VALUE"""),46139.0)</f>
        <v>46139</v>
      </c>
      <c r="B62" s="33" t="str">
        <f>IFERROR(__xludf.DUMMYFUNCTION("""COMPUTED_VALUE"""),"5066c0736f9e9444f2b4da840d6860b1f7f47d11")</f>
        <v>5066c0736f9e9444f2b4da840d6860b1f7f47d11</v>
      </c>
      <c r="C62" s="33" t="str">
        <f>IFERROR(__xludf.DUMMYFUNCTION("""COMPUTED_VALUE"""),"The Warrior | Author - Dayaram Prajapati - Replica (For Production Only)")</f>
        <v>The Warrior | Author - Dayaram Prajapati - Replica (For Production Only)</v>
      </c>
      <c r="D62" s="33">
        <f>IFERROR(__xludf.DUMMYFUNCTION("""COMPUTED_VALUE"""),19.0)</f>
        <v>19</v>
      </c>
      <c r="E62" s="33">
        <f>IFERROR(__xludf.DUMMYFUNCTION("""COMPUTED_VALUE"""),12.0)</f>
        <v>12</v>
      </c>
      <c r="F62" s="33">
        <f>IFERROR(__xludf.DUMMYFUNCTION("""COMPUTED_VALUE"""),16.0)</f>
        <v>16</v>
      </c>
      <c r="G62" s="33">
        <f>IFERROR(__xludf.DUMMYFUNCTION("""COMPUTED_VALUE"""),16.0)</f>
        <v>16</v>
      </c>
      <c r="H62" s="33">
        <f>IFERROR(__xludf.DUMMYFUNCTION("""COMPUTED_VALUE"""),18.0)</f>
        <v>18</v>
      </c>
      <c r="I62" s="33">
        <f>IFERROR(__xludf.DUMMYFUNCTION("""COMPUTED_VALUE"""),2.0)</f>
        <v>2</v>
      </c>
      <c r="J62" s="33">
        <f>IFERROR(__xludf.DUMMYFUNCTION("""COMPUTED_VALUE"""),18.0)</f>
        <v>18</v>
      </c>
      <c r="K62" s="33">
        <f>IFERROR(__xludf.DUMMYFUNCTION("""COMPUTED_VALUE"""),2.0)</f>
        <v>2</v>
      </c>
      <c r="L62" s="33">
        <f>IFERROR(__xludf.DUMMYFUNCTION("""COMPUTED_VALUE"""),2.0)</f>
        <v>2</v>
      </c>
      <c r="M62" s="33">
        <f>IFERROR(__xludf.DUMMYFUNCTION("""COMPUTED_VALUE"""),15.0)</f>
        <v>15</v>
      </c>
      <c r="N62" s="33">
        <f>IFERROR(__xludf.DUMMYFUNCTION("""COMPUTED_VALUE"""),15.0)</f>
        <v>15</v>
      </c>
      <c r="O62" s="33">
        <f>IFERROR(__xludf.DUMMYFUNCTION("""COMPUTED_VALUE"""),7.0)</f>
        <v>7</v>
      </c>
      <c r="P62" s="33">
        <f>IFERROR(__xludf.DUMMYFUNCTION("""COMPUTED_VALUE"""),15.0)</f>
        <v>15</v>
      </c>
      <c r="Q62" s="33">
        <f>IFERROR(__xludf.DUMMYFUNCTION("""COMPUTED_VALUE"""),0.0)</f>
        <v>0</v>
      </c>
      <c r="R62" s="33">
        <f>IFERROR(__xludf.DUMMYFUNCTION("""COMPUTED_VALUE"""),46062.0)</f>
        <v>46062</v>
      </c>
      <c r="S62" s="33">
        <f>IFERROR(__xludf.DUMMYFUNCTION("""COMPUTED_VALUE"""),36646.0)</f>
        <v>36646</v>
      </c>
      <c r="T62" s="33">
        <f>IFERROR(__xludf.DUMMYFUNCTION("""COMPUTED_VALUE"""),5.54138888888888)</f>
        <v>5.541388889</v>
      </c>
      <c r="U62" s="33">
        <f>IFERROR(__xludf.DUMMYFUNCTION("""COMPUTED_VALUE"""),5.25888888888888)</f>
        <v>5.258888889</v>
      </c>
      <c r="V62" s="33">
        <f>IFERROR(__xludf.DUMMYFUNCTION("""COMPUTED_VALUE"""),5.28305555555555)</f>
        <v>5.283055556</v>
      </c>
      <c r="W62" s="33">
        <f>IFERROR(__xludf.DUMMYFUNCTION("""COMPUTED_VALUE"""),5.85777777777777)</f>
        <v>5.857777778</v>
      </c>
      <c r="X62" s="33">
        <f>IFERROR(__xludf.DUMMYFUNCTION("""COMPUTED_VALUE"""),0.574722222222222)</f>
        <v>0.5747222222</v>
      </c>
      <c r="Y62" s="33">
        <f>IFERROR(__xludf.DUMMYFUNCTION("""COMPUTED_VALUE"""),5.85888888888888)</f>
        <v>5.858888889</v>
      </c>
      <c r="Z62" s="33">
        <f>IFERROR(__xludf.DUMMYFUNCTION("""COMPUTED_VALUE"""),0.654722222222222)</f>
        <v>0.6547222222</v>
      </c>
      <c r="AA62" s="33">
        <f>IFERROR(__xludf.DUMMYFUNCTION("""COMPUTED_VALUE"""),0.656111111111111)</f>
        <v>0.6561111111</v>
      </c>
      <c r="AB62" s="33">
        <f>IFERROR(__xludf.DUMMYFUNCTION("""COMPUTED_VALUE"""),4.83)</f>
        <v>4.83</v>
      </c>
      <c r="AC62" s="33">
        <f>IFERROR(__xludf.DUMMYFUNCTION("""COMPUTED_VALUE"""),4.83)</f>
        <v>4.83</v>
      </c>
      <c r="AD62" s="33">
        <f>IFERROR(__xludf.DUMMYFUNCTION("""COMPUTED_VALUE"""),1.62527777777777)</f>
        <v>1.625277778</v>
      </c>
      <c r="AE62" s="33">
        <f>IFERROR(__xludf.DUMMYFUNCTION("""COMPUTED_VALUE"""),4.83)</f>
        <v>4.83</v>
      </c>
      <c r="AF62" s="33">
        <f>IFERROR(__xludf.DUMMYFUNCTION("""COMPUTED_VALUE"""),17.0)</f>
        <v>17</v>
      </c>
    </row>
    <row r="63">
      <c r="A63" s="49">
        <f>IFERROR(__xludf.DUMMYFUNCTION("""COMPUTED_VALUE"""),46139.0)</f>
        <v>46139</v>
      </c>
      <c r="B63" s="33" t="str">
        <f>IFERROR(__xludf.DUMMYFUNCTION("""COMPUTED_VALUE"""),"5a7d21f6ad9df12be70cd9439dd850c36627991d")</f>
        <v>5a7d21f6ad9df12be70cd9439dd850c36627991d</v>
      </c>
      <c r="C63" s="33" t="str">
        <f>IFERROR(__xludf.DUMMYFUNCTION("""COMPUTED_VALUE"""),"Ek Stranger Se Pyar- Production Id")</f>
        <v>Ek Stranger Se Pyar- Production Id</v>
      </c>
      <c r="D63" s="33">
        <f>IFERROR(__xludf.DUMMYFUNCTION("""COMPUTED_VALUE"""),0.0)</f>
        <v>0</v>
      </c>
      <c r="E63" s="33">
        <f>IFERROR(__xludf.DUMMYFUNCTION("""COMPUTED_VALUE"""),19.0)</f>
        <v>19</v>
      </c>
      <c r="F63" s="33">
        <f>IFERROR(__xludf.DUMMYFUNCTION("""COMPUTED_VALUE"""),14.0)</f>
        <v>14</v>
      </c>
      <c r="G63" s="33">
        <f>IFERROR(__xludf.DUMMYFUNCTION("""COMPUTED_VALUE"""),11.0)</f>
        <v>11</v>
      </c>
      <c r="H63" s="33">
        <f>IFERROR(__xludf.DUMMYFUNCTION("""COMPUTED_VALUE"""),15.0)</f>
        <v>15</v>
      </c>
      <c r="I63" s="33">
        <f>IFERROR(__xludf.DUMMYFUNCTION("""COMPUTED_VALUE"""),4.0)</f>
        <v>4</v>
      </c>
      <c r="J63" s="33">
        <f>IFERROR(__xludf.DUMMYFUNCTION("""COMPUTED_VALUE"""),15.0)</f>
        <v>15</v>
      </c>
      <c r="K63" s="33">
        <f>IFERROR(__xludf.DUMMYFUNCTION("""COMPUTED_VALUE"""),15.0)</f>
        <v>15</v>
      </c>
      <c r="L63" s="33">
        <f>IFERROR(__xludf.DUMMYFUNCTION("""COMPUTED_VALUE"""),4.0)</f>
        <v>4</v>
      </c>
      <c r="M63" s="33">
        <f>IFERROR(__xludf.DUMMYFUNCTION("""COMPUTED_VALUE"""),16.0)</f>
        <v>16</v>
      </c>
      <c r="N63" s="33">
        <f>IFERROR(__xludf.DUMMYFUNCTION("""COMPUTED_VALUE"""),22.0)</f>
        <v>22</v>
      </c>
      <c r="O63" s="33">
        <f>IFERROR(__xludf.DUMMYFUNCTION("""COMPUTED_VALUE"""),5.0)</f>
        <v>5</v>
      </c>
      <c r="P63" s="33">
        <f>IFERROR(__xludf.DUMMYFUNCTION("""COMPUTED_VALUE"""),22.0)</f>
        <v>22</v>
      </c>
      <c r="Q63" s="33">
        <f>IFERROR(__xludf.DUMMYFUNCTION("""COMPUTED_VALUE"""),0.0)</f>
        <v>0</v>
      </c>
      <c r="R63" s="33">
        <f>IFERROR(__xludf.DUMMYFUNCTION("""COMPUTED_VALUE"""),0.0)</f>
        <v>0</v>
      </c>
      <c r="S63" s="33">
        <f>IFERROR(__xludf.DUMMYFUNCTION("""COMPUTED_VALUE"""),46590.0)</f>
        <v>46590</v>
      </c>
      <c r="T63" s="33">
        <f>IFERROR(__xludf.DUMMYFUNCTION("""COMPUTED_VALUE"""),3.76138888888888)</f>
        <v>3.761388889</v>
      </c>
      <c r="U63" s="33">
        <f>IFERROR(__xludf.DUMMYFUNCTION("""COMPUTED_VALUE"""),3.18638888888888)</f>
        <v>3.186388889</v>
      </c>
      <c r="V63" s="33">
        <f>IFERROR(__xludf.DUMMYFUNCTION("""COMPUTED_VALUE"""),2.62888888888888)</f>
        <v>2.628888889</v>
      </c>
      <c r="W63" s="33">
        <f>IFERROR(__xludf.DUMMYFUNCTION("""COMPUTED_VALUE"""),3.46083333333333)</f>
        <v>3.460833333</v>
      </c>
      <c r="X63" s="33">
        <f>IFERROR(__xludf.DUMMYFUNCTION("""COMPUTED_VALUE"""),0.831944444444444)</f>
        <v>0.8319444444</v>
      </c>
      <c r="Y63" s="33">
        <f>IFERROR(__xludf.DUMMYFUNCTION("""COMPUTED_VALUE"""),3.49444444444444)</f>
        <v>3.494444444</v>
      </c>
      <c r="Z63" s="33">
        <f>IFERROR(__xludf.DUMMYFUNCTION("""COMPUTED_VALUE"""),3.53277777777777)</f>
        <v>3.532777778</v>
      </c>
      <c r="AA63" s="33">
        <f>IFERROR(__xludf.DUMMYFUNCTION("""COMPUTED_VALUE"""),0.96)</f>
        <v>0.96</v>
      </c>
      <c r="AB63" s="33">
        <f>IFERROR(__xludf.DUMMYFUNCTION("""COMPUTED_VALUE"""),3.735)</f>
        <v>3.735</v>
      </c>
      <c r="AC63" s="33">
        <f>IFERROR(__xludf.DUMMYFUNCTION("""COMPUTED_VALUE"""),5.15416666666666)</f>
        <v>5.154166667</v>
      </c>
      <c r="AD63" s="33">
        <f>IFERROR(__xludf.DUMMYFUNCTION("""COMPUTED_VALUE"""),1.17361111111111)</f>
        <v>1.173611111</v>
      </c>
      <c r="AE63" s="33">
        <f>IFERROR(__xludf.DUMMYFUNCTION("""COMPUTED_VALUE"""),5.15416666666666)</f>
        <v>5.154166667</v>
      </c>
      <c r="AF63" s="33">
        <f>IFERROR(__xludf.DUMMYFUNCTION("""COMPUTED_VALUE"""),17.0)</f>
        <v>17</v>
      </c>
    </row>
    <row r="64">
      <c r="A64" s="49">
        <f>IFERROR(__xludf.DUMMYFUNCTION("""COMPUTED_VALUE"""),46139.0)</f>
        <v>46139</v>
      </c>
      <c r="B64" s="33" t="str">
        <f>IFERROR(__xludf.DUMMYFUNCTION("""COMPUTED_VALUE"""),"5baf4c80faf4b2d4eb9401a1d0081872e0158e89")</f>
        <v>5baf4c80faf4b2d4eb9401a1d0081872e0158e89</v>
      </c>
      <c r="C64" s="33" t="str">
        <f>IFERROR(__xludf.DUMMYFUNCTION("""COMPUTED_VALUE"""),"Brahmyodha : The Destroyer - Production showId")</f>
        <v>Brahmyodha : The Destroyer - Production showId</v>
      </c>
      <c r="D64" s="33">
        <f>IFERROR(__xludf.DUMMYFUNCTION("""COMPUTED_VALUE"""),13.0)</f>
        <v>13</v>
      </c>
      <c r="E64" s="33">
        <f>IFERROR(__xludf.DUMMYFUNCTION("""COMPUTED_VALUE"""),16.0)</f>
        <v>16</v>
      </c>
      <c r="F64" s="33">
        <f>IFERROR(__xludf.DUMMYFUNCTION("""COMPUTED_VALUE"""),9.0)</f>
        <v>9</v>
      </c>
      <c r="G64" s="33">
        <f>IFERROR(__xludf.DUMMYFUNCTION("""COMPUTED_VALUE"""),0.0)</f>
        <v>0</v>
      </c>
      <c r="H64" s="33">
        <f>IFERROR(__xludf.DUMMYFUNCTION("""COMPUTED_VALUE"""),17.0)</f>
        <v>17</v>
      </c>
      <c r="I64" s="33">
        <f>IFERROR(__xludf.DUMMYFUNCTION("""COMPUTED_VALUE"""),7.0)</f>
        <v>7</v>
      </c>
      <c r="J64" s="33">
        <f>IFERROR(__xludf.DUMMYFUNCTION("""COMPUTED_VALUE"""),16.0)</f>
        <v>16</v>
      </c>
      <c r="K64" s="33">
        <f>IFERROR(__xludf.DUMMYFUNCTION("""COMPUTED_VALUE"""),1.0)</f>
        <v>1</v>
      </c>
      <c r="L64" s="33">
        <f>IFERROR(__xludf.DUMMYFUNCTION("""COMPUTED_VALUE"""),0.0)</f>
        <v>0</v>
      </c>
      <c r="M64" s="33">
        <f>IFERROR(__xludf.DUMMYFUNCTION("""COMPUTED_VALUE"""),19.0)</f>
        <v>19</v>
      </c>
      <c r="N64" s="33">
        <f>IFERROR(__xludf.DUMMYFUNCTION("""COMPUTED_VALUE"""),19.0)</f>
        <v>19</v>
      </c>
      <c r="O64" s="33">
        <f>IFERROR(__xludf.DUMMYFUNCTION("""COMPUTED_VALUE"""),6.0)</f>
        <v>6</v>
      </c>
      <c r="P64" s="33">
        <f>IFERROR(__xludf.DUMMYFUNCTION("""COMPUTED_VALUE"""),19.0)</f>
        <v>19</v>
      </c>
      <c r="Q64" s="33">
        <f>IFERROR(__xludf.DUMMYFUNCTION("""COMPUTED_VALUE"""),0.0)</f>
        <v>0</v>
      </c>
      <c r="R64" s="33">
        <f>IFERROR(__xludf.DUMMYFUNCTION("""COMPUTED_VALUE"""),28426.0)</f>
        <v>28426</v>
      </c>
      <c r="S64" s="33">
        <f>IFERROR(__xludf.DUMMYFUNCTION("""COMPUTED_VALUE"""),38503.0)</f>
        <v>38503</v>
      </c>
      <c r="T64" s="33">
        <f>IFERROR(__xludf.DUMMYFUNCTION("""COMPUTED_VALUE"""),4.86166666666666)</f>
        <v>4.861666667</v>
      </c>
      <c r="U64" s="33">
        <f>IFERROR(__xludf.DUMMYFUNCTION("""COMPUTED_VALUE"""),2.00027777777777)</f>
        <v>2.000277778</v>
      </c>
      <c r="V64" s="33">
        <f>IFERROR(__xludf.DUMMYFUNCTION("""COMPUTED_VALUE"""),0.0)</f>
        <v>0</v>
      </c>
      <c r="W64" s="33">
        <f>IFERROR(__xludf.DUMMYFUNCTION("""COMPUTED_VALUE"""),3.75472222222222)</f>
        <v>3.754722222</v>
      </c>
      <c r="X64" s="33">
        <f>IFERROR(__xludf.DUMMYFUNCTION("""COMPUTED_VALUE"""),1.53166666666666)</f>
        <v>1.531666667</v>
      </c>
      <c r="Y64" s="33">
        <f>IFERROR(__xludf.DUMMYFUNCTION("""COMPUTED_VALUE"""),3.52916666666666)</f>
        <v>3.529166667</v>
      </c>
      <c r="Z64" s="33">
        <f>IFERROR(__xludf.DUMMYFUNCTION("""COMPUTED_VALUE"""),0.217222222222222)</f>
        <v>0.2172222222</v>
      </c>
      <c r="AA64" s="33">
        <f>IFERROR(__xludf.DUMMYFUNCTION("""COMPUTED_VALUE"""),0.0)</f>
        <v>0</v>
      </c>
      <c r="AB64" s="33">
        <f>IFERROR(__xludf.DUMMYFUNCTION("""COMPUTED_VALUE"""),4.18888888888888)</f>
        <v>4.188888889</v>
      </c>
      <c r="AC64" s="33">
        <f>IFERROR(__xludf.DUMMYFUNCTION("""COMPUTED_VALUE"""),4.18888888888888)</f>
        <v>4.188888889</v>
      </c>
      <c r="AD64" s="33">
        <f>IFERROR(__xludf.DUMMYFUNCTION("""COMPUTED_VALUE"""),1.26888888888888)</f>
        <v>1.268888889</v>
      </c>
      <c r="AE64" s="33">
        <f>IFERROR(__xludf.DUMMYFUNCTION("""COMPUTED_VALUE"""),4.18888888888888)</f>
        <v>4.188888889</v>
      </c>
      <c r="AF64" s="33">
        <f>IFERROR(__xludf.DUMMYFUNCTION("""COMPUTED_VALUE"""),22.0)</f>
        <v>22</v>
      </c>
    </row>
    <row r="65">
      <c r="A65" s="49">
        <f>IFERROR(__xludf.DUMMYFUNCTION("""COMPUTED_VALUE"""),46139.0)</f>
        <v>46139</v>
      </c>
      <c r="B65" s="33" t="str">
        <f>IFERROR(__xludf.DUMMYFUNCTION("""COMPUTED_VALUE"""),"641b6f77fd211e92df35a3bcbab67e6879e19a66")</f>
        <v>641b6f77fd211e92df35a3bcbab67e6879e19a66</v>
      </c>
      <c r="C65" s="33" t="str">
        <f>IFERROR(__xludf.DUMMYFUNCTION("""COMPUTED_VALUE"""),"Mahagatha | महागाथा | Author - S. Mauryavanshi")</f>
        <v>Mahagatha | महागाथा | Author - S. Mauryavanshi</v>
      </c>
      <c r="D65" s="33">
        <f>IFERROR(__xludf.DUMMYFUNCTION("""COMPUTED_VALUE"""),91.0)</f>
        <v>91</v>
      </c>
      <c r="E65" s="33">
        <f>IFERROR(__xludf.DUMMYFUNCTION("""COMPUTED_VALUE"""),91.0)</f>
        <v>91</v>
      </c>
      <c r="F65" s="33">
        <f>IFERROR(__xludf.DUMMYFUNCTION("""COMPUTED_VALUE"""),0.0)</f>
        <v>0</v>
      </c>
      <c r="G65" s="33">
        <f>IFERROR(__xludf.DUMMYFUNCTION("""COMPUTED_VALUE"""),0.0)</f>
        <v>0</v>
      </c>
      <c r="H65" s="33">
        <f>IFERROR(__xludf.DUMMYFUNCTION("""COMPUTED_VALUE"""),0.0)</f>
        <v>0</v>
      </c>
      <c r="I65" s="33">
        <f>IFERROR(__xludf.DUMMYFUNCTION("""COMPUTED_VALUE"""),0.0)</f>
        <v>0</v>
      </c>
      <c r="J65" s="33">
        <f>IFERROR(__xludf.DUMMYFUNCTION("""COMPUTED_VALUE"""),0.0)</f>
        <v>0</v>
      </c>
      <c r="K65" s="33">
        <f>IFERROR(__xludf.DUMMYFUNCTION("""COMPUTED_VALUE"""),0.0)</f>
        <v>0</v>
      </c>
      <c r="L65" s="33">
        <f>IFERROR(__xludf.DUMMYFUNCTION("""COMPUTED_VALUE"""),0.0)</f>
        <v>0</v>
      </c>
      <c r="M65" s="33">
        <f>IFERROR(__xludf.DUMMYFUNCTION("""COMPUTED_VALUE"""),0.0)</f>
        <v>0</v>
      </c>
      <c r="N65" s="33">
        <f>IFERROR(__xludf.DUMMYFUNCTION("""COMPUTED_VALUE"""),93.0)</f>
        <v>93</v>
      </c>
      <c r="O65" s="33">
        <f>IFERROR(__xludf.DUMMYFUNCTION("""COMPUTED_VALUE"""),6.0)</f>
        <v>6</v>
      </c>
      <c r="P65" s="33">
        <f>IFERROR(__xludf.DUMMYFUNCTION("""COMPUTED_VALUE"""),91.0)</f>
        <v>91</v>
      </c>
      <c r="Q65" s="33">
        <f>IFERROR(__xludf.DUMMYFUNCTION("""COMPUTED_VALUE"""),0.0)</f>
        <v>0</v>
      </c>
      <c r="R65" s="33">
        <f>IFERROR(__xludf.DUMMYFUNCTION("""COMPUTED_VALUE"""),266336.0)</f>
        <v>266336</v>
      </c>
      <c r="S65" s="33">
        <f>IFERROR(__xludf.DUMMYFUNCTION("""COMPUTED_VALUE"""),266336.0)</f>
        <v>266336</v>
      </c>
      <c r="T65" s="33">
        <f>IFERROR(__xludf.DUMMYFUNCTION("""COMPUTED_VALUE"""),0.238333333333333)</f>
        <v>0.2383333333</v>
      </c>
      <c r="U65" s="33">
        <f>IFERROR(__xludf.DUMMYFUNCTION("""COMPUTED_VALUE"""),0.0)</f>
        <v>0</v>
      </c>
      <c r="V65" s="33">
        <f>IFERROR(__xludf.DUMMYFUNCTION("""COMPUTED_VALUE"""),0.0)</f>
        <v>0</v>
      </c>
      <c r="W65" s="33">
        <f>IFERROR(__xludf.DUMMYFUNCTION("""COMPUTED_VALUE"""),0.0)</f>
        <v>0</v>
      </c>
      <c r="X65" s="33">
        <f>IFERROR(__xludf.DUMMYFUNCTION("""COMPUTED_VALUE"""),0.0)</f>
        <v>0</v>
      </c>
      <c r="Y65" s="33">
        <f>IFERROR(__xludf.DUMMYFUNCTION("""COMPUTED_VALUE"""),0.0)</f>
        <v>0</v>
      </c>
      <c r="Z65" s="33">
        <f>IFERROR(__xludf.DUMMYFUNCTION("""COMPUTED_VALUE"""),0.0)</f>
        <v>0</v>
      </c>
      <c r="AA65" s="33">
        <f>IFERROR(__xludf.DUMMYFUNCTION("""COMPUTED_VALUE"""),0.0)</f>
        <v>0</v>
      </c>
      <c r="AB65" s="33">
        <f>IFERROR(__xludf.DUMMYFUNCTION("""COMPUTED_VALUE"""),0.0)</f>
        <v>0</v>
      </c>
      <c r="AC65" s="33">
        <f>IFERROR(__xludf.DUMMYFUNCTION("""COMPUTED_VALUE"""),31.8383333333333)</f>
        <v>31.83833333</v>
      </c>
      <c r="AD65" s="33">
        <f>IFERROR(__xludf.DUMMYFUNCTION("""COMPUTED_VALUE"""),1.46277777777777)</f>
        <v>1.462777778</v>
      </c>
      <c r="AE65" s="33">
        <f>IFERROR(__xludf.DUMMYFUNCTION("""COMPUTED_VALUE"""),28.5997222222222)</f>
        <v>28.59972222</v>
      </c>
      <c r="AF65" s="33">
        <f>IFERROR(__xludf.DUMMYFUNCTION("""COMPUTED_VALUE"""),1.0)</f>
        <v>1</v>
      </c>
    </row>
    <row r="66">
      <c r="A66" s="49">
        <f>IFERROR(__xludf.DUMMYFUNCTION("""COMPUTED_VALUE"""),46139.0)</f>
        <v>46139</v>
      </c>
      <c r="B66" s="33" t="str">
        <f>IFERROR(__xludf.DUMMYFUNCTION("""COMPUTED_VALUE"""),"661dba879cabc615ad2774813367b442a8ba7a6c")</f>
        <v>661dba879cabc615ad2774813367b442a8ba7a6c</v>
      </c>
      <c r="C66" s="33" t="str">
        <f>IFERROR(__xludf.DUMMYFUNCTION("""COMPUTED_VALUE"""),"My Devil Wife -Production Id")</f>
        <v>My Devil Wife -Production Id</v>
      </c>
      <c r="D66" s="33">
        <f>IFERROR(__xludf.DUMMYFUNCTION("""COMPUTED_VALUE"""),12.0)</f>
        <v>12</v>
      </c>
      <c r="E66" s="33">
        <f>IFERROR(__xludf.DUMMYFUNCTION("""COMPUTED_VALUE"""),0.0)</f>
        <v>0</v>
      </c>
      <c r="F66" s="33">
        <f>IFERROR(__xludf.DUMMYFUNCTION("""COMPUTED_VALUE"""),0.0)</f>
        <v>0</v>
      </c>
      <c r="G66" s="33">
        <f>IFERROR(__xludf.DUMMYFUNCTION("""COMPUTED_VALUE"""),0.0)</f>
        <v>0</v>
      </c>
      <c r="H66" s="33">
        <f>IFERROR(__xludf.DUMMYFUNCTION("""COMPUTED_VALUE"""),0.0)</f>
        <v>0</v>
      </c>
      <c r="I66" s="33">
        <f>IFERROR(__xludf.DUMMYFUNCTION("""COMPUTED_VALUE"""),0.0)</f>
        <v>0</v>
      </c>
      <c r="J66" s="33">
        <f>IFERROR(__xludf.DUMMYFUNCTION("""COMPUTED_VALUE"""),0.0)</f>
        <v>0</v>
      </c>
      <c r="K66" s="33">
        <f>IFERROR(__xludf.DUMMYFUNCTION("""COMPUTED_VALUE"""),0.0)</f>
        <v>0</v>
      </c>
      <c r="L66" s="33">
        <f>IFERROR(__xludf.DUMMYFUNCTION("""COMPUTED_VALUE"""),0.0)</f>
        <v>0</v>
      </c>
      <c r="M66" s="33">
        <f>IFERROR(__xludf.DUMMYFUNCTION("""COMPUTED_VALUE"""),0.0)</f>
        <v>0</v>
      </c>
      <c r="N66" s="33">
        <f>IFERROR(__xludf.DUMMYFUNCTION("""COMPUTED_VALUE"""),0.0)</f>
        <v>0</v>
      </c>
      <c r="O66" s="33">
        <f>IFERROR(__xludf.DUMMYFUNCTION("""COMPUTED_VALUE"""),0.0)</f>
        <v>0</v>
      </c>
      <c r="P66" s="33">
        <f>IFERROR(__xludf.DUMMYFUNCTION("""COMPUTED_VALUE"""),0.0)</f>
        <v>0</v>
      </c>
      <c r="Q66" s="33">
        <f>IFERROR(__xludf.DUMMYFUNCTION("""COMPUTED_VALUE"""),0.0)</f>
        <v>0</v>
      </c>
      <c r="R66" s="33">
        <f>IFERROR(__xludf.DUMMYFUNCTION("""COMPUTED_VALUE"""),26801.0)</f>
        <v>26801</v>
      </c>
      <c r="S66" s="33">
        <f>IFERROR(__xludf.DUMMYFUNCTION("""COMPUTED_VALUE"""),0.0)</f>
        <v>0</v>
      </c>
      <c r="T66" s="33">
        <f>IFERROR(__xludf.DUMMYFUNCTION("""COMPUTED_VALUE"""),0.0)</f>
        <v>0</v>
      </c>
      <c r="U66" s="33">
        <f>IFERROR(__xludf.DUMMYFUNCTION("""COMPUTED_VALUE"""),0.0)</f>
        <v>0</v>
      </c>
      <c r="V66" s="33">
        <f>IFERROR(__xludf.DUMMYFUNCTION("""COMPUTED_VALUE"""),0.0)</f>
        <v>0</v>
      </c>
      <c r="W66" s="33">
        <f>IFERROR(__xludf.DUMMYFUNCTION("""COMPUTED_VALUE"""),0.0)</f>
        <v>0</v>
      </c>
      <c r="X66" s="33">
        <f>IFERROR(__xludf.DUMMYFUNCTION("""COMPUTED_VALUE"""),0.0)</f>
        <v>0</v>
      </c>
      <c r="Y66" s="33">
        <f>IFERROR(__xludf.DUMMYFUNCTION("""COMPUTED_VALUE"""),0.0)</f>
        <v>0</v>
      </c>
      <c r="Z66" s="33">
        <f>IFERROR(__xludf.DUMMYFUNCTION("""COMPUTED_VALUE"""),0.0)</f>
        <v>0</v>
      </c>
      <c r="AA66" s="33">
        <f>IFERROR(__xludf.DUMMYFUNCTION("""COMPUTED_VALUE"""),0.0)</f>
        <v>0</v>
      </c>
      <c r="AB66" s="33">
        <f>IFERROR(__xludf.DUMMYFUNCTION("""COMPUTED_VALUE"""),0.0)</f>
        <v>0</v>
      </c>
      <c r="AC66" s="33">
        <f>IFERROR(__xludf.DUMMYFUNCTION("""COMPUTED_VALUE"""),0.0)</f>
        <v>0</v>
      </c>
      <c r="AD66" s="33">
        <f>IFERROR(__xludf.DUMMYFUNCTION("""COMPUTED_VALUE"""),0.0)</f>
        <v>0</v>
      </c>
      <c r="AE66" s="33">
        <f>IFERROR(__xludf.DUMMYFUNCTION("""COMPUTED_VALUE"""),0.0)</f>
        <v>0</v>
      </c>
      <c r="AF66" s="33">
        <f>IFERROR(__xludf.DUMMYFUNCTION("""COMPUTED_VALUE"""),0.0)</f>
        <v>0</v>
      </c>
    </row>
    <row r="67">
      <c r="A67" s="49">
        <f>IFERROR(__xludf.DUMMYFUNCTION("""COMPUTED_VALUE"""),46139.0)</f>
        <v>46139</v>
      </c>
      <c r="B67" s="33" t="str">
        <f>IFERROR(__xludf.DUMMYFUNCTION("""COMPUTED_VALUE"""),"6867922e795be5da6320ef1d28567452800209ba")</f>
        <v>6867922e795be5da6320ef1d28567452800209ba</v>
      </c>
      <c r="C67" s="33" t="str">
        <f>IFERROR(__xludf.DUMMYFUNCTION("""COMPUTED_VALUE"""),"The Dimension God - Production Id")</f>
        <v>The Dimension God - Production Id</v>
      </c>
      <c r="D67" s="33">
        <f>IFERROR(__xludf.DUMMYFUNCTION("""COMPUTED_VALUE"""),13.0)</f>
        <v>13</v>
      </c>
      <c r="E67" s="33">
        <f>IFERROR(__xludf.DUMMYFUNCTION("""COMPUTED_VALUE"""),13.0)</f>
        <v>13</v>
      </c>
      <c r="F67" s="33">
        <f>IFERROR(__xludf.DUMMYFUNCTION("""COMPUTED_VALUE"""),0.0)</f>
        <v>0</v>
      </c>
      <c r="G67" s="33">
        <f>IFERROR(__xludf.DUMMYFUNCTION("""COMPUTED_VALUE"""),0.0)</f>
        <v>0</v>
      </c>
      <c r="H67" s="33">
        <f>IFERROR(__xludf.DUMMYFUNCTION("""COMPUTED_VALUE"""),0.0)</f>
        <v>0</v>
      </c>
      <c r="I67" s="33">
        <f>IFERROR(__xludf.DUMMYFUNCTION("""COMPUTED_VALUE"""),0.0)</f>
        <v>0</v>
      </c>
      <c r="J67" s="33">
        <f>IFERROR(__xludf.DUMMYFUNCTION("""COMPUTED_VALUE"""),0.0)</f>
        <v>0</v>
      </c>
      <c r="K67" s="33">
        <f>IFERROR(__xludf.DUMMYFUNCTION("""COMPUTED_VALUE"""),0.0)</f>
        <v>0</v>
      </c>
      <c r="L67" s="33">
        <f>IFERROR(__xludf.DUMMYFUNCTION("""COMPUTED_VALUE"""),0.0)</f>
        <v>0</v>
      </c>
      <c r="M67" s="33">
        <f>IFERROR(__xludf.DUMMYFUNCTION("""COMPUTED_VALUE"""),0.0)</f>
        <v>0</v>
      </c>
      <c r="N67" s="33">
        <f>IFERROR(__xludf.DUMMYFUNCTION("""COMPUTED_VALUE"""),13.0)</f>
        <v>13</v>
      </c>
      <c r="O67" s="33">
        <f>IFERROR(__xludf.DUMMYFUNCTION("""COMPUTED_VALUE"""),5.0)</f>
        <v>5</v>
      </c>
      <c r="P67" s="33">
        <f>IFERROR(__xludf.DUMMYFUNCTION("""COMPUTED_VALUE"""),13.0)</f>
        <v>13</v>
      </c>
      <c r="Q67" s="33">
        <f>IFERROR(__xludf.DUMMYFUNCTION("""COMPUTED_VALUE"""),0.0)</f>
        <v>0</v>
      </c>
      <c r="R67" s="33">
        <f>IFERROR(__xludf.DUMMYFUNCTION("""COMPUTED_VALUE"""),31676.0)</f>
        <v>31676</v>
      </c>
      <c r="S67" s="33">
        <f>IFERROR(__xludf.DUMMYFUNCTION("""COMPUTED_VALUE"""),31497.0)</f>
        <v>31497</v>
      </c>
      <c r="T67" s="33">
        <f>IFERROR(__xludf.DUMMYFUNCTION("""COMPUTED_VALUE"""),1.83111111111111)</f>
        <v>1.831111111</v>
      </c>
      <c r="U67" s="33">
        <f>IFERROR(__xludf.DUMMYFUNCTION("""COMPUTED_VALUE"""),0.0)</f>
        <v>0</v>
      </c>
      <c r="V67" s="33">
        <f>IFERROR(__xludf.DUMMYFUNCTION("""COMPUTED_VALUE"""),0.0)</f>
        <v>0</v>
      </c>
      <c r="W67" s="33">
        <f>IFERROR(__xludf.DUMMYFUNCTION("""COMPUTED_VALUE"""),0.0)</f>
        <v>0</v>
      </c>
      <c r="X67" s="33">
        <f>IFERROR(__xludf.DUMMYFUNCTION("""COMPUTED_VALUE"""),0.0)</f>
        <v>0</v>
      </c>
      <c r="Y67" s="33">
        <f>IFERROR(__xludf.DUMMYFUNCTION("""COMPUTED_VALUE"""),0.0)</f>
        <v>0</v>
      </c>
      <c r="Z67" s="33">
        <f>IFERROR(__xludf.DUMMYFUNCTION("""COMPUTED_VALUE"""),0.0)</f>
        <v>0</v>
      </c>
      <c r="AA67" s="33">
        <f>IFERROR(__xludf.DUMMYFUNCTION("""COMPUTED_VALUE"""),0.0)</f>
        <v>0</v>
      </c>
      <c r="AB67" s="33">
        <f>IFERROR(__xludf.DUMMYFUNCTION("""COMPUTED_VALUE"""),0.0)</f>
        <v>0</v>
      </c>
      <c r="AC67" s="33">
        <f>IFERROR(__xludf.DUMMYFUNCTION("""COMPUTED_VALUE"""),3.37444444444444)</f>
        <v>3.374444444</v>
      </c>
      <c r="AD67" s="33">
        <f>IFERROR(__xludf.DUMMYFUNCTION("""COMPUTED_VALUE"""),1.33361111111111)</f>
        <v>1.333611111</v>
      </c>
      <c r="AE67" s="33">
        <f>IFERROR(__xludf.DUMMYFUNCTION("""COMPUTED_VALUE"""),3.37444444444444)</f>
        <v>3.374444444</v>
      </c>
      <c r="AF67" s="33">
        <f>IFERROR(__xludf.DUMMYFUNCTION("""COMPUTED_VALUE"""),7.0)</f>
        <v>7</v>
      </c>
    </row>
    <row r="68">
      <c r="A68" s="49">
        <f>IFERROR(__xludf.DUMMYFUNCTION("""COMPUTED_VALUE"""),46139.0)</f>
        <v>46139</v>
      </c>
      <c r="B68" s="33" t="str">
        <f>IFERROR(__xludf.DUMMYFUNCTION("""COMPUTED_VALUE"""),"6b246320a4c5853ce55127d5e00ee8805a97659a")</f>
        <v>6b246320a4c5853ce55127d5e00ee8805a97659a</v>
      </c>
      <c r="C68" s="33" t="str">
        <f>IFERROR(__xludf.DUMMYFUNCTION("""COMPUTED_VALUE"""),"Mystic Fate System - Production Show_id")</f>
        <v>Mystic Fate System - Production Show_id</v>
      </c>
      <c r="D68" s="33">
        <f>IFERROR(__xludf.DUMMYFUNCTION("""COMPUTED_VALUE"""),8.0)</f>
        <v>8</v>
      </c>
      <c r="E68" s="33">
        <f>IFERROR(__xludf.DUMMYFUNCTION("""COMPUTED_VALUE"""),10.0)</f>
        <v>10</v>
      </c>
      <c r="F68" s="33">
        <f>IFERROR(__xludf.DUMMYFUNCTION("""COMPUTED_VALUE"""),4.0)</f>
        <v>4</v>
      </c>
      <c r="G68" s="33">
        <f>IFERROR(__xludf.DUMMYFUNCTION("""COMPUTED_VALUE"""),4.0)</f>
        <v>4</v>
      </c>
      <c r="H68" s="33">
        <f>IFERROR(__xludf.DUMMYFUNCTION("""COMPUTED_VALUE"""),4.0)</f>
        <v>4</v>
      </c>
      <c r="I68" s="33">
        <f>IFERROR(__xludf.DUMMYFUNCTION("""COMPUTED_VALUE"""),2.0)</f>
        <v>2</v>
      </c>
      <c r="J68" s="33">
        <f>IFERROR(__xludf.DUMMYFUNCTION("""COMPUTED_VALUE"""),3.0)</f>
        <v>3</v>
      </c>
      <c r="K68" s="33">
        <f>IFERROR(__xludf.DUMMYFUNCTION("""COMPUTED_VALUE"""),0.0)</f>
        <v>0</v>
      </c>
      <c r="L68" s="33">
        <f>IFERROR(__xludf.DUMMYFUNCTION("""COMPUTED_VALUE"""),0.0)</f>
        <v>0</v>
      </c>
      <c r="M68" s="33">
        <f>IFERROR(__xludf.DUMMYFUNCTION("""COMPUTED_VALUE"""),3.0)</f>
        <v>3</v>
      </c>
      <c r="N68" s="33">
        <f>IFERROR(__xludf.DUMMYFUNCTION("""COMPUTED_VALUE"""),3.0)</f>
        <v>3</v>
      </c>
      <c r="O68" s="33">
        <f>IFERROR(__xludf.DUMMYFUNCTION("""COMPUTED_VALUE"""),5.0)</f>
        <v>5</v>
      </c>
      <c r="P68" s="33">
        <f>IFERROR(__xludf.DUMMYFUNCTION("""COMPUTED_VALUE"""),3.0)</f>
        <v>3</v>
      </c>
      <c r="Q68" s="33">
        <f>IFERROR(__xludf.DUMMYFUNCTION("""COMPUTED_VALUE"""),0.0)</f>
        <v>0</v>
      </c>
      <c r="R68" s="33">
        <f>IFERROR(__xludf.DUMMYFUNCTION("""COMPUTED_VALUE"""),17824.0)</f>
        <v>17824</v>
      </c>
      <c r="S68" s="33">
        <f>IFERROR(__xludf.DUMMYFUNCTION("""COMPUTED_VALUE"""),22201.0)</f>
        <v>22201</v>
      </c>
      <c r="T68" s="33">
        <f>IFERROR(__xludf.DUMMYFUNCTION("""COMPUTED_VALUE"""),1.10444444444444)</f>
        <v>1.104444444</v>
      </c>
      <c r="U68" s="33">
        <f>IFERROR(__xludf.DUMMYFUNCTION("""COMPUTED_VALUE"""),1.10444444444444)</f>
        <v>1.104444444</v>
      </c>
      <c r="V68" s="33">
        <f>IFERROR(__xludf.DUMMYFUNCTION("""COMPUTED_VALUE"""),1.01861111111111)</f>
        <v>1.018611111</v>
      </c>
      <c r="W68" s="33">
        <f>IFERROR(__xludf.DUMMYFUNCTION("""COMPUTED_VALUE"""),1.05222222222222)</f>
        <v>1.052222222</v>
      </c>
      <c r="X68" s="33">
        <f>IFERROR(__xludf.DUMMYFUNCTION("""COMPUTED_VALUE"""),0.5525)</f>
        <v>0.5525</v>
      </c>
      <c r="Y68" s="33">
        <f>IFERROR(__xludf.DUMMYFUNCTION("""COMPUTED_VALUE"""),0.772777777777777)</f>
        <v>0.7727777778</v>
      </c>
      <c r="Z68" s="33">
        <f>IFERROR(__xludf.DUMMYFUNCTION("""COMPUTED_VALUE"""),0.0)</f>
        <v>0</v>
      </c>
      <c r="AA68" s="33">
        <f>IFERROR(__xludf.DUMMYFUNCTION("""COMPUTED_VALUE"""),0.0)</f>
        <v>0</v>
      </c>
      <c r="AB68" s="33">
        <f>IFERROR(__xludf.DUMMYFUNCTION("""COMPUTED_VALUE"""),0.772777777777777)</f>
        <v>0.7727777778</v>
      </c>
      <c r="AC68" s="33">
        <f>IFERROR(__xludf.DUMMYFUNCTION("""COMPUTED_VALUE"""),0.772777777777777)</f>
        <v>0.7727777778</v>
      </c>
      <c r="AD68" s="33">
        <f>IFERROR(__xludf.DUMMYFUNCTION("""COMPUTED_VALUE"""),1.22638888888888)</f>
        <v>1.226388889</v>
      </c>
      <c r="AE68" s="33">
        <f>IFERROR(__xludf.DUMMYFUNCTION("""COMPUTED_VALUE"""),0.772777777777777)</f>
        <v>0.7727777778</v>
      </c>
      <c r="AF68" s="33">
        <f>IFERROR(__xludf.DUMMYFUNCTION("""COMPUTED_VALUE"""),4.0)</f>
        <v>4</v>
      </c>
    </row>
    <row r="69">
      <c r="A69" s="49">
        <f>IFERROR(__xludf.DUMMYFUNCTION("""COMPUTED_VALUE"""),46139.0)</f>
        <v>46139</v>
      </c>
      <c r="B69" s="33" t="str">
        <f>IFERROR(__xludf.DUMMYFUNCTION("""COMPUTED_VALUE"""),"773d29931b435627d0ca406e1ea1425e9a1dbcb6")</f>
        <v>773d29931b435627d0ca406e1ea1425e9a1dbcb6</v>
      </c>
      <c r="C69" s="33" t="str">
        <f>IFERROR(__xludf.DUMMYFUNCTION("""COMPUTED_VALUE"""),"Mahagatha - Production")</f>
        <v>Mahagatha - Production</v>
      </c>
      <c r="D69" s="33">
        <f>IFERROR(__xludf.DUMMYFUNCTION("""COMPUTED_VALUE"""),12.0)</f>
        <v>12</v>
      </c>
      <c r="E69" s="33">
        <f>IFERROR(__xludf.DUMMYFUNCTION("""COMPUTED_VALUE"""),13.0)</f>
        <v>13</v>
      </c>
      <c r="F69" s="33">
        <f>IFERROR(__xludf.DUMMYFUNCTION("""COMPUTED_VALUE"""),0.0)</f>
        <v>0</v>
      </c>
      <c r="G69" s="33">
        <f>IFERROR(__xludf.DUMMYFUNCTION("""COMPUTED_VALUE"""),0.0)</f>
        <v>0</v>
      </c>
      <c r="H69" s="33">
        <f>IFERROR(__xludf.DUMMYFUNCTION("""COMPUTED_VALUE"""),13.0)</f>
        <v>13</v>
      </c>
      <c r="I69" s="33">
        <f>IFERROR(__xludf.DUMMYFUNCTION("""COMPUTED_VALUE"""),13.0)</f>
        <v>13</v>
      </c>
      <c r="J69" s="33">
        <f>IFERROR(__xludf.DUMMYFUNCTION("""COMPUTED_VALUE"""),12.0)</f>
        <v>12</v>
      </c>
      <c r="K69" s="33">
        <f>IFERROR(__xludf.DUMMYFUNCTION("""COMPUTED_VALUE"""),9.0)</f>
        <v>9</v>
      </c>
      <c r="L69" s="33">
        <f>IFERROR(__xludf.DUMMYFUNCTION("""COMPUTED_VALUE"""),0.0)</f>
        <v>0</v>
      </c>
      <c r="M69" s="33">
        <f>IFERROR(__xludf.DUMMYFUNCTION("""COMPUTED_VALUE"""),11.0)</f>
        <v>11</v>
      </c>
      <c r="N69" s="33">
        <f>IFERROR(__xludf.DUMMYFUNCTION("""COMPUTED_VALUE"""),11.0)</f>
        <v>11</v>
      </c>
      <c r="O69" s="33">
        <f>IFERROR(__xludf.DUMMYFUNCTION("""COMPUTED_VALUE"""),5.0)</f>
        <v>5</v>
      </c>
      <c r="P69" s="33">
        <f>IFERROR(__xludf.DUMMYFUNCTION("""COMPUTED_VALUE"""),11.0)</f>
        <v>11</v>
      </c>
      <c r="Q69" s="33">
        <f>IFERROR(__xludf.DUMMYFUNCTION("""COMPUTED_VALUE"""),0.0)</f>
        <v>0</v>
      </c>
      <c r="R69" s="33">
        <f>IFERROR(__xludf.DUMMYFUNCTION("""COMPUTED_VALUE"""),26988.0)</f>
        <v>26988</v>
      </c>
      <c r="S69" s="33">
        <f>IFERROR(__xludf.DUMMYFUNCTION("""COMPUTED_VALUE"""),31887.0)</f>
        <v>31887</v>
      </c>
      <c r="T69" s="33">
        <f>IFERROR(__xludf.DUMMYFUNCTION("""COMPUTED_VALUE"""),3.69888888888888)</f>
        <v>3.698888889</v>
      </c>
      <c r="U69" s="33">
        <f>IFERROR(__xludf.DUMMYFUNCTION("""COMPUTED_VALUE"""),0.0)</f>
        <v>0</v>
      </c>
      <c r="V69" s="33">
        <f>IFERROR(__xludf.DUMMYFUNCTION("""COMPUTED_VALUE"""),0.0)</f>
        <v>0</v>
      </c>
      <c r="W69" s="33">
        <f>IFERROR(__xludf.DUMMYFUNCTION("""COMPUTED_VALUE"""),2.99722222222222)</f>
        <v>2.997222222</v>
      </c>
      <c r="X69" s="33">
        <f>IFERROR(__xludf.DUMMYFUNCTION("""COMPUTED_VALUE"""),2.99722222222222)</f>
        <v>2.997222222</v>
      </c>
      <c r="Y69" s="33">
        <f>IFERROR(__xludf.DUMMYFUNCTION("""COMPUTED_VALUE"""),2.77694444444444)</f>
        <v>2.776944444</v>
      </c>
      <c r="Z69" s="33">
        <f>IFERROR(__xludf.DUMMYFUNCTION("""COMPUTED_VALUE"""),2.09194444444444)</f>
        <v>2.091944444</v>
      </c>
      <c r="AA69" s="33">
        <f>IFERROR(__xludf.DUMMYFUNCTION("""COMPUTED_VALUE"""),0.0)</f>
        <v>0</v>
      </c>
      <c r="AB69" s="33">
        <f>IFERROR(__xludf.DUMMYFUNCTION("""COMPUTED_VALUE"""),2.54777777777777)</f>
        <v>2.547777778</v>
      </c>
      <c r="AC69" s="33">
        <f>IFERROR(__xludf.DUMMYFUNCTION("""COMPUTED_VALUE"""),2.54777777777777)</f>
        <v>2.547777778</v>
      </c>
      <c r="AD69" s="33">
        <f>IFERROR(__xludf.DUMMYFUNCTION("""COMPUTED_VALUE"""),1.0975)</f>
        <v>1.0975</v>
      </c>
      <c r="AE69" s="33">
        <f>IFERROR(__xludf.DUMMYFUNCTION("""COMPUTED_VALUE"""),2.54777777777777)</f>
        <v>2.547777778</v>
      </c>
      <c r="AF69" s="33">
        <f>IFERROR(__xludf.DUMMYFUNCTION("""COMPUTED_VALUE"""),16.0)</f>
        <v>16</v>
      </c>
    </row>
    <row r="70">
      <c r="A70" s="49">
        <f>IFERROR(__xludf.DUMMYFUNCTION("""COMPUTED_VALUE"""),46139.0)</f>
        <v>46139</v>
      </c>
      <c r="B70" s="33" t="str">
        <f>IFERROR(__xludf.DUMMYFUNCTION("""COMPUTED_VALUE"""),"7ea3277f02ef13c60cfa72336d009bf7ee6c17e8")</f>
        <v>7ea3277f02ef13c60cfa72336d009bf7ee6c17e8</v>
      </c>
      <c r="C70" s="33" t="str">
        <f>IFERROR(__xludf.DUMMYFUNCTION("""COMPUTED_VALUE"""),"Saaya the Dark Love - Production Show_id")</f>
        <v>Saaya the Dark Love - Production Show_id</v>
      </c>
      <c r="D70" s="33">
        <f>IFERROR(__xludf.DUMMYFUNCTION("""COMPUTED_VALUE"""),8.0)</f>
        <v>8</v>
      </c>
      <c r="E70" s="33">
        <f>IFERROR(__xludf.DUMMYFUNCTION("""COMPUTED_VALUE"""),10.0)</f>
        <v>10</v>
      </c>
      <c r="F70" s="33">
        <f>IFERROR(__xludf.DUMMYFUNCTION("""COMPUTED_VALUE"""),0.0)</f>
        <v>0</v>
      </c>
      <c r="G70" s="33">
        <f>IFERROR(__xludf.DUMMYFUNCTION("""COMPUTED_VALUE"""),0.0)</f>
        <v>0</v>
      </c>
      <c r="H70" s="33">
        <f>IFERROR(__xludf.DUMMYFUNCTION("""COMPUTED_VALUE"""),4.0)</f>
        <v>4</v>
      </c>
      <c r="I70" s="33">
        <f>IFERROR(__xludf.DUMMYFUNCTION("""COMPUTED_VALUE"""),4.0)</f>
        <v>4</v>
      </c>
      <c r="J70" s="33">
        <f>IFERROR(__xludf.DUMMYFUNCTION("""COMPUTED_VALUE"""),4.0)</f>
        <v>4</v>
      </c>
      <c r="K70" s="33">
        <f>IFERROR(__xludf.DUMMYFUNCTION("""COMPUTED_VALUE"""),4.0)</f>
        <v>4</v>
      </c>
      <c r="L70" s="33">
        <f>IFERROR(__xludf.DUMMYFUNCTION("""COMPUTED_VALUE"""),8.0)</f>
        <v>8</v>
      </c>
      <c r="M70" s="33">
        <f>IFERROR(__xludf.DUMMYFUNCTION("""COMPUTED_VALUE"""),11.0)</f>
        <v>11</v>
      </c>
      <c r="N70" s="33">
        <f>IFERROR(__xludf.DUMMYFUNCTION("""COMPUTED_VALUE"""),16.0)</f>
        <v>16</v>
      </c>
      <c r="O70" s="33">
        <f>IFERROR(__xludf.DUMMYFUNCTION("""COMPUTED_VALUE"""),6.0)</f>
        <v>6</v>
      </c>
      <c r="P70" s="33">
        <f>IFERROR(__xludf.DUMMYFUNCTION("""COMPUTED_VALUE"""),16.0)</f>
        <v>16</v>
      </c>
      <c r="Q70" s="33">
        <f>IFERROR(__xludf.DUMMYFUNCTION("""COMPUTED_VALUE"""),0.0)</f>
        <v>0</v>
      </c>
      <c r="R70" s="33">
        <f>IFERROR(__xludf.DUMMYFUNCTION("""COMPUTED_VALUE"""),16424.0)</f>
        <v>16424</v>
      </c>
      <c r="S70" s="33">
        <f>IFERROR(__xludf.DUMMYFUNCTION("""COMPUTED_VALUE"""),21959.0)</f>
        <v>21959</v>
      </c>
      <c r="T70" s="33">
        <f>IFERROR(__xludf.DUMMYFUNCTION("""COMPUTED_VALUE"""),2.38083333333333)</f>
        <v>2.380833333</v>
      </c>
      <c r="U70" s="33">
        <f>IFERROR(__xludf.DUMMYFUNCTION("""COMPUTED_VALUE"""),0.0)</f>
        <v>0</v>
      </c>
      <c r="V70" s="33">
        <f>IFERROR(__xludf.DUMMYFUNCTION("""COMPUTED_VALUE"""),0.0)</f>
        <v>0</v>
      </c>
      <c r="W70" s="33">
        <f>IFERROR(__xludf.DUMMYFUNCTION("""COMPUTED_VALUE"""),0.907777777777777)</f>
        <v>0.9077777778</v>
      </c>
      <c r="X70" s="33">
        <f>IFERROR(__xludf.DUMMYFUNCTION("""COMPUTED_VALUE"""),0.907777777777777)</f>
        <v>0.9077777778</v>
      </c>
      <c r="Y70" s="33">
        <f>IFERROR(__xludf.DUMMYFUNCTION("""COMPUTED_VALUE"""),0.9075)</f>
        <v>0.9075</v>
      </c>
      <c r="Z70" s="33">
        <f>IFERROR(__xludf.DUMMYFUNCTION("""COMPUTED_VALUE"""),0.9075)</f>
        <v>0.9075</v>
      </c>
      <c r="AA70" s="33">
        <f>IFERROR(__xludf.DUMMYFUNCTION("""COMPUTED_VALUE"""),1.96972222222222)</f>
        <v>1.969722222</v>
      </c>
      <c r="AB70" s="33">
        <f>IFERROR(__xludf.DUMMYFUNCTION("""COMPUTED_VALUE"""),2.71472222222222)</f>
        <v>2.714722222</v>
      </c>
      <c r="AC70" s="33">
        <f>IFERROR(__xludf.DUMMYFUNCTION("""COMPUTED_VALUE"""),3.81611111111111)</f>
        <v>3.816111111</v>
      </c>
      <c r="AD70" s="33">
        <f>IFERROR(__xludf.DUMMYFUNCTION("""COMPUTED_VALUE"""),1.39222222222222)</f>
        <v>1.392222222</v>
      </c>
      <c r="AE70" s="33">
        <f>IFERROR(__xludf.DUMMYFUNCTION("""COMPUTED_VALUE"""),3.81611111111111)</f>
        <v>3.816111111</v>
      </c>
      <c r="AF70" s="33">
        <f>IFERROR(__xludf.DUMMYFUNCTION("""COMPUTED_VALUE"""),10.0)</f>
        <v>10</v>
      </c>
    </row>
    <row r="71">
      <c r="A71" s="49">
        <f>IFERROR(__xludf.DUMMYFUNCTION("""COMPUTED_VALUE"""),46139.0)</f>
        <v>46139</v>
      </c>
      <c r="B71" s="33" t="str">
        <f>IFERROR(__xludf.DUMMYFUNCTION("""COMPUTED_VALUE"""),"859785ba4869b28dddcfcb0e75295d1e1ad9b5a9")</f>
        <v>859785ba4869b28dddcfcb0e75295d1e1ad9b5a9</v>
      </c>
      <c r="C71" s="33" t="str">
        <f>IFERROR(__xludf.DUMMYFUNCTION("""COMPUTED_VALUE"""),"King of Dragon | किंग ऑफ ड्रैगन | Author - Nitesh")</f>
        <v>King of Dragon | किंग ऑफ ड्रैगन | Author - Nitesh</v>
      </c>
      <c r="D71" s="33">
        <f>IFERROR(__xludf.DUMMYFUNCTION("""COMPUTED_VALUE"""),0.0)</f>
        <v>0</v>
      </c>
      <c r="E71" s="33">
        <f>IFERROR(__xludf.DUMMYFUNCTION("""COMPUTED_VALUE"""),0.0)</f>
        <v>0</v>
      </c>
      <c r="F71" s="33">
        <f>IFERROR(__xludf.DUMMYFUNCTION("""COMPUTED_VALUE"""),0.0)</f>
        <v>0</v>
      </c>
      <c r="G71" s="33">
        <f>IFERROR(__xludf.DUMMYFUNCTION("""COMPUTED_VALUE"""),0.0)</f>
        <v>0</v>
      </c>
      <c r="H71" s="33">
        <f>IFERROR(__xludf.DUMMYFUNCTION("""COMPUTED_VALUE"""),0.0)</f>
        <v>0</v>
      </c>
      <c r="I71" s="33">
        <f>IFERROR(__xludf.DUMMYFUNCTION("""COMPUTED_VALUE"""),0.0)</f>
        <v>0</v>
      </c>
      <c r="J71" s="33">
        <f>IFERROR(__xludf.DUMMYFUNCTION("""COMPUTED_VALUE"""),0.0)</f>
        <v>0</v>
      </c>
      <c r="K71" s="33">
        <f>IFERROR(__xludf.DUMMYFUNCTION("""COMPUTED_VALUE"""),0.0)</f>
        <v>0</v>
      </c>
      <c r="L71" s="33">
        <f>IFERROR(__xludf.DUMMYFUNCTION("""COMPUTED_VALUE"""),0.0)</f>
        <v>0</v>
      </c>
      <c r="M71" s="33">
        <f>IFERROR(__xludf.DUMMYFUNCTION("""COMPUTED_VALUE"""),0.0)</f>
        <v>0</v>
      </c>
      <c r="N71" s="33">
        <f>IFERROR(__xludf.DUMMYFUNCTION("""COMPUTED_VALUE"""),0.0)</f>
        <v>0</v>
      </c>
      <c r="O71" s="33">
        <f>IFERROR(__xludf.DUMMYFUNCTION("""COMPUTED_VALUE"""),4.0)</f>
        <v>4</v>
      </c>
      <c r="P71" s="33">
        <f>IFERROR(__xludf.DUMMYFUNCTION("""COMPUTED_VALUE"""),11.0)</f>
        <v>11</v>
      </c>
      <c r="Q71" s="33">
        <f>IFERROR(__xludf.DUMMYFUNCTION("""COMPUTED_VALUE"""),0.0)</f>
        <v>0</v>
      </c>
      <c r="R71" s="33">
        <f>IFERROR(__xludf.DUMMYFUNCTION("""COMPUTED_VALUE"""),0.0)</f>
        <v>0</v>
      </c>
      <c r="S71" s="33">
        <f>IFERROR(__xludf.DUMMYFUNCTION("""COMPUTED_VALUE"""),0.0)</f>
        <v>0</v>
      </c>
      <c r="T71" s="33">
        <f>IFERROR(__xludf.DUMMYFUNCTION("""COMPUTED_VALUE"""),0.0)</f>
        <v>0</v>
      </c>
      <c r="U71" s="33">
        <f>IFERROR(__xludf.DUMMYFUNCTION("""COMPUTED_VALUE"""),0.0)</f>
        <v>0</v>
      </c>
      <c r="V71" s="33">
        <f>IFERROR(__xludf.DUMMYFUNCTION("""COMPUTED_VALUE"""),0.0)</f>
        <v>0</v>
      </c>
      <c r="W71" s="33">
        <f>IFERROR(__xludf.DUMMYFUNCTION("""COMPUTED_VALUE"""),0.0)</f>
        <v>0</v>
      </c>
      <c r="X71" s="33">
        <f>IFERROR(__xludf.DUMMYFUNCTION("""COMPUTED_VALUE"""),0.0)</f>
        <v>0</v>
      </c>
      <c r="Y71" s="33">
        <f>IFERROR(__xludf.DUMMYFUNCTION("""COMPUTED_VALUE"""),0.0)</f>
        <v>0</v>
      </c>
      <c r="Z71" s="33">
        <f>IFERROR(__xludf.DUMMYFUNCTION("""COMPUTED_VALUE"""),0.0)</f>
        <v>0</v>
      </c>
      <c r="AA71" s="33">
        <f>IFERROR(__xludf.DUMMYFUNCTION("""COMPUTED_VALUE"""),0.0)</f>
        <v>0</v>
      </c>
      <c r="AB71" s="33">
        <f>IFERROR(__xludf.DUMMYFUNCTION("""COMPUTED_VALUE"""),0.0)</f>
        <v>0</v>
      </c>
      <c r="AC71" s="33">
        <f>IFERROR(__xludf.DUMMYFUNCTION("""COMPUTED_VALUE"""),0.0)</f>
        <v>0</v>
      </c>
      <c r="AD71" s="33">
        <f>IFERROR(__xludf.DUMMYFUNCTION("""COMPUTED_VALUE"""),1.04916666666666)</f>
        <v>1.049166667</v>
      </c>
      <c r="AE71" s="33">
        <f>IFERROR(__xludf.DUMMYFUNCTION("""COMPUTED_VALUE"""),2.96722222222222)</f>
        <v>2.967222222</v>
      </c>
      <c r="AF71" s="33">
        <f>IFERROR(__xludf.DUMMYFUNCTION("""COMPUTED_VALUE"""),0.0)</f>
        <v>0</v>
      </c>
    </row>
    <row r="72">
      <c r="A72" s="49">
        <f>IFERROR(__xludf.DUMMYFUNCTION("""COMPUTED_VALUE"""),46139.0)</f>
        <v>46139</v>
      </c>
      <c r="B72" s="33" t="str">
        <f>IFERROR(__xludf.DUMMYFUNCTION("""COMPUTED_VALUE"""),"96f1f89e4494e06fb7f9e3c4645563fa62ef9320")</f>
        <v>96f1f89e4494e06fb7f9e3c4645563fa62ef9320</v>
      </c>
      <c r="C72" s="33" t="str">
        <f>IFERROR(__xludf.DUMMYFUNCTION("""COMPUTED_VALUE"""),"King of Dragon - Production Show_id")</f>
        <v>King of Dragon - Production Show_id</v>
      </c>
      <c r="D72" s="33">
        <f>IFERROR(__xludf.DUMMYFUNCTION("""COMPUTED_VALUE"""),10.0)</f>
        <v>10</v>
      </c>
      <c r="E72" s="33">
        <f>IFERROR(__xludf.DUMMYFUNCTION("""COMPUTED_VALUE"""),13.0)</f>
        <v>13</v>
      </c>
      <c r="F72" s="33">
        <f>IFERROR(__xludf.DUMMYFUNCTION("""COMPUTED_VALUE"""),4.0)</f>
        <v>4</v>
      </c>
      <c r="G72" s="33">
        <f>IFERROR(__xludf.DUMMYFUNCTION("""COMPUTED_VALUE"""),5.0)</f>
        <v>5</v>
      </c>
      <c r="H72" s="33">
        <f>IFERROR(__xludf.DUMMYFUNCTION("""COMPUTED_VALUE"""),5.0)</f>
        <v>5</v>
      </c>
      <c r="I72" s="33">
        <f>IFERROR(__xludf.DUMMYFUNCTION("""COMPUTED_VALUE"""),0.0)</f>
        <v>0</v>
      </c>
      <c r="J72" s="33">
        <f>IFERROR(__xludf.DUMMYFUNCTION("""COMPUTED_VALUE"""),6.0)</f>
        <v>6</v>
      </c>
      <c r="K72" s="33">
        <f>IFERROR(__xludf.DUMMYFUNCTION("""COMPUTED_VALUE"""),6.0)</f>
        <v>6</v>
      </c>
      <c r="L72" s="33">
        <f>IFERROR(__xludf.DUMMYFUNCTION("""COMPUTED_VALUE"""),5.0)</f>
        <v>5</v>
      </c>
      <c r="M72" s="33">
        <f>IFERROR(__xludf.DUMMYFUNCTION("""COMPUTED_VALUE"""),9.0)</f>
        <v>9</v>
      </c>
      <c r="N72" s="33">
        <f>IFERROR(__xludf.DUMMYFUNCTION("""COMPUTED_VALUE"""),9.0)</f>
        <v>9</v>
      </c>
      <c r="O72" s="33">
        <f>IFERROR(__xludf.DUMMYFUNCTION("""COMPUTED_VALUE"""),5.0)</f>
        <v>5</v>
      </c>
      <c r="P72" s="33">
        <f>IFERROR(__xludf.DUMMYFUNCTION("""COMPUTED_VALUE"""),9.0)</f>
        <v>9</v>
      </c>
      <c r="Q72" s="33">
        <f>IFERROR(__xludf.DUMMYFUNCTION("""COMPUTED_VALUE"""),0.0)</f>
        <v>0</v>
      </c>
      <c r="R72" s="33">
        <f>IFERROR(__xludf.DUMMYFUNCTION("""COMPUTED_VALUE"""),23532.0)</f>
        <v>23532</v>
      </c>
      <c r="S72" s="33">
        <f>IFERROR(__xludf.DUMMYFUNCTION("""COMPUTED_VALUE"""),30032.0)</f>
        <v>30032</v>
      </c>
      <c r="T72" s="33">
        <f>IFERROR(__xludf.DUMMYFUNCTION("""COMPUTED_VALUE"""),2.67611111111111)</f>
        <v>2.676111111</v>
      </c>
      <c r="U72" s="33">
        <f>IFERROR(__xludf.DUMMYFUNCTION("""COMPUTED_VALUE"""),1.01416666666666)</f>
        <v>1.014166667</v>
      </c>
      <c r="V72" s="33">
        <f>IFERROR(__xludf.DUMMYFUNCTION("""COMPUTED_VALUE"""),1.24583333333333)</f>
        <v>1.245833333</v>
      </c>
      <c r="W72" s="33">
        <f>IFERROR(__xludf.DUMMYFUNCTION("""COMPUTED_VALUE"""),1.24583333333333)</f>
        <v>1.245833333</v>
      </c>
      <c r="X72" s="33">
        <f>IFERROR(__xludf.DUMMYFUNCTION("""COMPUTED_VALUE"""),0.0)</f>
        <v>0</v>
      </c>
      <c r="Y72" s="33">
        <f>IFERROR(__xludf.DUMMYFUNCTION("""COMPUTED_VALUE"""),1.47361111111111)</f>
        <v>1.473611111</v>
      </c>
      <c r="Z72" s="33">
        <f>IFERROR(__xludf.DUMMYFUNCTION("""COMPUTED_VALUE"""),1.46472222222222)</f>
        <v>1.464722222</v>
      </c>
      <c r="AA72" s="33">
        <f>IFERROR(__xludf.DUMMYFUNCTION("""COMPUTED_VALUE"""),1.21416666666666)</f>
        <v>1.214166667</v>
      </c>
      <c r="AB72" s="33">
        <f>IFERROR(__xludf.DUMMYFUNCTION("""COMPUTED_VALUE"""),2.20083333333333)</f>
        <v>2.200833333</v>
      </c>
      <c r="AC72" s="33">
        <f>IFERROR(__xludf.DUMMYFUNCTION("""COMPUTED_VALUE"""),2.20083333333333)</f>
        <v>2.200833333</v>
      </c>
      <c r="AD72" s="33">
        <f>IFERROR(__xludf.DUMMYFUNCTION("""COMPUTED_VALUE"""),1.37777777777777)</f>
        <v>1.377777778</v>
      </c>
      <c r="AE72" s="33">
        <f>IFERROR(__xludf.DUMMYFUNCTION("""COMPUTED_VALUE"""),2.20083333333333)</f>
        <v>2.200833333</v>
      </c>
      <c r="AF72" s="33">
        <f>IFERROR(__xludf.DUMMYFUNCTION("""COMPUTED_VALUE"""),10.0)</f>
        <v>10</v>
      </c>
    </row>
    <row r="73">
      <c r="A73" s="49">
        <f>IFERROR(__xludf.DUMMYFUNCTION("""COMPUTED_VALUE"""),46139.0)</f>
        <v>46139</v>
      </c>
      <c r="B73" s="33" t="str">
        <f>IFERROR(__xludf.DUMMYFUNCTION("""COMPUTED_VALUE"""),"9afaea00813dcb4fc57a46df70a2e3e1066af919")</f>
        <v>9afaea00813dcb4fc57a46df70a2e3e1066af919</v>
      </c>
      <c r="C73" s="33" t="str">
        <f>IFERROR(__xludf.DUMMYFUNCTION("""COMPUTED_VALUE"""),"My Millionaire System")</f>
        <v>My Millionaire System</v>
      </c>
      <c r="D73" s="33">
        <f>IFERROR(__xludf.DUMMYFUNCTION("""COMPUTED_VALUE"""),12.0)</f>
        <v>12</v>
      </c>
      <c r="E73" s="33">
        <f>IFERROR(__xludf.DUMMYFUNCTION("""COMPUTED_VALUE"""),11.0)</f>
        <v>11</v>
      </c>
      <c r="F73" s="33">
        <f>IFERROR(__xludf.DUMMYFUNCTION("""COMPUTED_VALUE"""),5.0)</f>
        <v>5</v>
      </c>
      <c r="G73" s="33">
        <f>IFERROR(__xludf.DUMMYFUNCTION("""COMPUTED_VALUE"""),1.0)</f>
        <v>1</v>
      </c>
      <c r="H73" s="33">
        <f>IFERROR(__xludf.DUMMYFUNCTION("""COMPUTED_VALUE"""),2.0)</f>
        <v>2</v>
      </c>
      <c r="I73" s="33">
        <f>IFERROR(__xludf.DUMMYFUNCTION("""COMPUTED_VALUE"""),1.0)</f>
        <v>1</v>
      </c>
      <c r="J73" s="33">
        <f>IFERROR(__xludf.DUMMYFUNCTION("""COMPUTED_VALUE"""),0.0)</f>
        <v>0</v>
      </c>
      <c r="K73" s="33">
        <f>IFERROR(__xludf.DUMMYFUNCTION("""COMPUTED_VALUE"""),0.0)</f>
        <v>0</v>
      </c>
      <c r="L73" s="33">
        <f>IFERROR(__xludf.DUMMYFUNCTION("""COMPUTED_VALUE"""),0.0)</f>
        <v>0</v>
      </c>
      <c r="M73" s="33">
        <f>IFERROR(__xludf.DUMMYFUNCTION("""COMPUTED_VALUE"""),0.0)</f>
        <v>0</v>
      </c>
      <c r="N73" s="33">
        <f>IFERROR(__xludf.DUMMYFUNCTION("""COMPUTED_VALUE"""),0.0)</f>
        <v>0</v>
      </c>
      <c r="O73" s="33">
        <f>IFERROR(__xludf.DUMMYFUNCTION("""COMPUTED_VALUE"""),0.0)</f>
        <v>0</v>
      </c>
      <c r="P73" s="33">
        <f>IFERROR(__xludf.DUMMYFUNCTION("""COMPUTED_VALUE"""),0.0)</f>
        <v>0</v>
      </c>
      <c r="Q73" s="33">
        <f>IFERROR(__xludf.DUMMYFUNCTION("""COMPUTED_VALUE"""),0.0)</f>
        <v>0</v>
      </c>
      <c r="R73" s="33">
        <f>IFERROR(__xludf.DUMMYFUNCTION("""COMPUTED_VALUE"""),24840.0)</f>
        <v>24840</v>
      </c>
      <c r="S73" s="33">
        <f>IFERROR(__xludf.DUMMYFUNCTION("""COMPUTED_VALUE"""),22234.0)</f>
        <v>22234</v>
      </c>
      <c r="T73" s="33">
        <f>IFERROR(__xludf.DUMMYFUNCTION("""COMPUTED_VALUE"""),2.66611111111111)</f>
        <v>2.666111111</v>
      </c>
      <c r="U73" s="33">
        <f>IFERROR(__xludf.DUMMYFUNCTION("""COMPUTED_VALUE"""),0.999722222222222)</f>
        <v>0.9997222222</v>
      </c>
      <c r="V73" s="33">
        <f>IFERROR(__xludf.DUMMYFUNCTION("""COMPUTED_VALUE"""),0.0025)</f>
        <v>0.0025</v>
      </c>
      <c r="W73" s="33">
        <f>IFERROR(__xludf.DUMMYFUNCTION("""COMPUTED_VALUE"""),0.223888888888888)</f>
        <v>0.2238888889</v>
      </c>
      <c r="X73" s="33">
        <f>IFERROR(__xludf.DUMMYFUNCTION("""COMPUTED_VALUE"""),0.221388888888888)</f>
        <v>0.2213888889</v>
      </c>
      <c r="Y73" s="33">
        <f>IFERROR(__xludf.DUMMYFUNCTION("""COMPUTED_VALUE"""),0.0)</f>
        <v>0</v>
      </c>
      <c r="Z73" s="33">
        <f>IFERROR(__xludf.DUMMYFUNCTION("""COMPUTED_VALUE"""),0.0)</f>
        <v>0</v>
      </c>
      <c r="AA73" s="33">
        <f>IFERROR(__xludf.DUMMYFUNCTION("""COMPUTED_VALUE"""),0.0)</f>
        <v>0</v>
      </c>
      <c r="AB73" s="33">
        <f>IFERROR(__xludf.DUMMYFUNCTION("""COMPUTED_VALUE"""),0.0)</f>
        <v>0</v>
      </c>
      <c r="AC73" s="33">
        <f>IFERROR(__xludf.DUMMYFUNCTION("""COMPUTED_VALUE"""),0.0)</f>
        <v>0</v>
      </c>
      <c r="AD73" s="33">
        <f>IFERROR(__xludf.DUMMYFUNCTION("""COMPUTED_VALUE"""),0.0)</f>
        <v>0</v>
      </c>
      <c r="AE73" s="33">
        <f>IFERROR(__xludf.DUMMYFUNCTION("""COMPUTED_VALUE"""),0.0)</f>
        <v>0</v>
      </c>
      <c r="AF73" s="33">
        <f>IFERROR(__xludf.DUMMYFUNCTION("""COMPUTED_VALUE"""),14.0)</f>
        <v>14</v>
      </c>
    </row>
    <row r="74">
      <c r="A74" s="49">
        <f>IFERROR(__xludf.DUMMYFUNCTION("""COMPUTED_VALUE"""),46139.0)</f>
        <v>46139</v>
      </c>
      <c r="B74" s="33" t="str">
        <f>IFERROR(__xludf.DUMMYFUNCTION("""COMPUTED_VALUE"""),"a3ba65aa427077188e1ad7dbcbcafae266683ca9")</f>
        <v>a3ba65aa427077188e1ad7dbcbcafae266683ca9</v>
      </c>
      <c r="C74" s="33" t="str">
        <f>IFERROR(__xludf.DUMMYFUNCTION("""COMPUTED_VALUE"""),"The Warrior | Author - Dayaram Prajapati")</f>
        <v>The Warrior | Author - Dayaram Prajapati</v>
      </c>
      <c r="D74" s="33">
        <f>IFERROR(__xludf.DUMMYFUNCTION("""COMPUTED_VALUE"""),31.0)</f>
        <v>31</v>
      </c>
      <c r="E74" s="33">
        <f>IFERROR(__xludf.DUMMYFUNCTION("""COMPUTED_VALUE"""),26.0)</f>
        <v>26</v>
      </c>
      <c r="F74" s="33">
        <f>IFERROR(__xludf.DUMMYFUNCTION("""COMPUTED_VALUE"""),0.0)</f>
        <v>0</v>
      </c>
      <c r="G74" s="33">
        <f>IFERROR(__xludf.DUMMYFUNCTION("""COMPUTED_VALUE"""),0.0)</f>
        <v>0</v>
      </c>
      <c r="H74" s="33">
        <f>IFERROR(__xludf.DUMMYFUNCTION("""COMPUTED_VALUE"""),0.0)</f>
        <v>0</v>
      </c>
      <c r="I74" s="33">
        <f>IFERROR(__xludf.DUMMYFUNCTION("""COMPUTED_VALUE"""),0.0)</f>
        <v>0</v>
      </c>
      <c r="J74" s="33">
        <f>IFERROR(__xludf.DUMMYFUNCTION("""COMPUTED_VALUE"""),0.0)</f>
        <v>0</v>
      </c>
      <c r="K74" s="33">
        <f>IFERROR(__xludf.DUMMYFUNCTION("""COMPUTED_VALUE"""),0.0)</f>
        <v>0</v>
      </c>
      <c r="L74" s="33">
        <f>IFERROR(__xludf.DUMMYFUNCTION("""COMPUTED_VALUE"""),0.0)</f>
        <v>0</v>
      </c>
      <c r="M74" s="33">
        <f>IFERROR(__xludf.DUMMYFUNCTION("""COMPUTED_VALUE"""),21.0)</f>
        <v>21</v>
      </c>
      <c r="N74" s="33">
        <f>IFERROR(__xludf.DUMMYFUNCTION("""COMPUTED_VALUE"""),26.0)</f>
        <v>26</v>
      </c>
      <c r="O74" s="33">
        <f>IFERROR(__xludf.DUMMYFUNCTION("""COMPUTED_VALUE"""),4.0)</f>
        <v>4</v>
      </c>
      <c r="P74" s="33">
        <f>IFERROR(__xludf.DUMMYFUNCTION("""COMPUTED_VALUE"""),26.0)</f>
        <v>26</v>
      </c>
      <c r="Q74" s="33">
        <f>IFERROR(__xludf.DUMMYFUNCTION("""COMPUTED_VALUE"""),0.0)</f>
        <v>0</v>
      </c>
      <c r="R74" s="33">
        <f>IFERROR(__xludf.DUMMYFUNCTION("""COMPUTED_VALUE"""),75022.0)</f>
        <v>75022</v>
      </c>
      <c r="S74" s="33">
        <f>IFERROR(__xludf.DUMMYFUNCTION("""COMPUTED_VALUE"""),67641.0)</f>
        <v>67641</v>
      </c>
      <c r="T74" s="33">
        <f>IFERROR(__xludf.DUMMYFUNCTION("""COMPUTED_VALUE"""),0.0)</f>
        <v>0</v>
      </c>
      <c r="U74" s="33">
        <f>IFERROR(__xludf.DUMMYFUNCTION("""COMPUTED_VALUE"""),0.0)</f>
        <v>0</v>
      </c>
      <c r="V74" s="33">
        <f>IFERROR(__xludf.DUMMYFUNCTION("""COMPUTED_VALUE"""),0.0)</f>
        <v>0</v>
      </c>
      <c r="W74" s="33">
        <f>IFERROR(__xludf.DUMMYFUNCTION("""COMPUTED_VALUE"""),0.0)</f>
        <v>0</v>
      </c>
      <c r="X74" s="33">
        <f>IFERROR(__xludf.DUMMYFUNCTION("""COMPUTED_VALUE"""),0.0)</f>
        <v>0</v>
      </c>
      <c r="Y74" s="33">
        <f>IFERROR(__xludf.DUMMYFUNCTION("""COMPUTED_VALUE"""),0.0)</f>
        <v>0</v>
      </c>
      <c r="Z74" s="33">
        <f>IFERROR(__xludf.DUMMYFUNCTION("""COMPUTED_VALUE"""),0.0)</f>
        <v>0</v>
      </c>
      <c r="AA74" s="33">
        <f>IFERROR(__xludf.DUMMYFUNCTION("""COMPUTED_VALUE"""),0.0)</f>
        <v>0</v>
      </c>
      <c r="AB74" s="33">
        <f>IFERROR(__xludf.DUMMYFUNCTION("""COMPUTED_VALUE"""),5.62333333333333)</f>
        <v>5.623333333</v>
      </c>
      <c r="AC74" s="33">
        <f>IFERROR(__xludf.DUMMYFUNCTION("""COMPUTED_VALUE"""),6.91416666666666)</f>
        <v>6.914166667</v>
      </c>
      <c r="AD74" s="33">
        <f>IFERROR(__xludf.DUMMYFUNCTION("""COMPUTED_VALUE"""),0.906944444444444)</f>
        <v>0.9069444444</v>
      </c>
      <c r="AE74" s="33">
        <f>IFERROR(__xludf.DUMMYFUNCTION("""COMPUTED_VALUE"""),6.91416666666666)</f>
        <v>6.914166667</v>
      </c>
      <c r="AF74" s="33">
        <f>IFERROR(__xludf.DUMMYFUNCTION("""COMPUTED_VALUE"""),0.0)</f>
        <v>0</v>
      </c>
    </row>
    <row r="75">
      <c r="A75" s="49">
        <f>IFERROR(__xludf.DUMMYFUNCTION("""COMPUTED_VALUE"""),46139.0)</f>
        <v>46139</v>
      </c>
      <c r="B75" s="33" t="str">
        <f>IFERROR(__xludf.DUMMYFUNCTION("""COMPUTED_VALUE"""),"aa81f1feb820ed6f22bd7b22b55890db740929cb")</f>
        <v>aa81f1feb820ed6f22bd7b22b55890db740929cb</v>
      </c>
      <c r="C75" s="33" t="str">
        <f>IFERROR(__xludf.DUMMYFUNCTION("""COMPUTED_VALUE"""),"Shunya Samrat")</f>
        <v>Shunya Samrat</v>
      </c>
      <c r="D75" s="33">
        <f>IFERROR(__xludf.DUMMYFUNCTION("""COMPUTED_VALUE"""),1.0)</f>
        <v>1</v>
      </c>
      <c r="E75" s="33">
        <f>IFERROR(__xludf.DUMMYFUNCTION("""COMPUTED_VALUE"""),1.0)</f>
        <v>1</v>
      </c>
      <c r="F75" s="33">
        <f>IFERROR(__xludf.DUMMYFUNCTION("""COMPUTED_VALUE"""),0.0)</f>
        <v>0</v>
      </c>
      <c r="G75" s="33">
        <f>IFERROR(__xludf.DUMMYFUNCTION("""COMPUTED_VALUE"""),0.0)</f>
        <v>0</v>
      </c>
      <c r="H75" s="33">
        <f>IFERROR(__xludf.DUMMYFUNCTION("""COMPUTED_VALUE"""),0.0)</f>
        <v>0</v>
      </c>
      <c r="I75" s="33">
        <f>IFERROR(__xludf.DUMMYFUNCTION("""COMPUTED_VALUE"""),0.0)</f>
        <v>0</v>
      </c>
      <c r="J75" s="33">
        <f>IFERROR(__xludf.DUMMYFUNCTION("""COMPUTED_VALUE"""),0.0)</f>
        <v>0</v>
      </c>
      <c r="K75" s="33">
        <f>IFERROR(__xludf.DUMMYFUNCTION("""COMPUTED_VALUE"""),0.0)</f>
        <v>0</v>
      </c>
      <c r="L75" s="33">
        <f>IFERROR(__xludf.DUMMYFUNCTION("""COMPUTED_VALUE"""),0.0)</f>
        <v>0</v>
      </c>
      <c r="M75" s="33">
        <f>IFERROR(__xludf.DUMMYFUNCTION("""COMPUTED_VALUE"""),0.0)</f>
        <v>0</v>
      </c>
      <c r="N75" s="33">
        <f>IFERROR(__xludf.DUMMYFUNCTION("""COMPUTED_VALUE"""),50.0)</f>
        <v>50</v>
      </c>
      <c r="O75" s="33">
        <f>IFERROR(__xludf.DUMMYFUNCTION("""COMPUTED_VALUE"""),4.0)</f>
        <v>4</v>
      </c>
      <c r="P75" s="33">
        <f>IFERROR(__xludf.DUMMYFUNCTION("""COMPUTED_VALUE"""),50.0)</f>
        <v>50</v>
      </c>
      <c r="Q75" s="33">
        <f>IFERROR(__xludf.DUMMYFUNCTION("""COMPUTED_VALUE"""),0.0)</f>
        <v>0</v>
      </c>
      <c r="R75" s="33">
        <f>IFERROR(__xludf.DUMMYFUNCTION("""COMPUTED_VALUE"""),3342.0)</f>
        <v>3342</v>
      </c>
      <c r="S75" s="33">
        <f>IFERROR(__xludf.DUMMYFUNCTION("""COMPUTED_VALUE"""),3342.0)</f>
        <v>3342</v>
      </c>
      <c r="T75" s="33">
        <f>IFERROR(__xludf.DUMMYFUNCTION("""COMPUTED_VALUE"""),0.0)</f>
        <v>0</v>
      </c>
      <c r="U75" s="33">
        <f>IFERROR(__xludf.DUMMYFUNCTION("""COMPUTED_VALUE"""),0.0)</f>
        <v>0</v>
      </c>
      <c r="V75" s="33">
        <f>IFERROR(__xludf.DUMMYFUNCTION("""COMPUTED_VALUE"""),0.0)</f>
        <v>0</v>
      </c>
      <c r="W75" s="33">
        <f>IFERROR(__xludf.DUMMYFUNCTION("""COMPUTED_VALUE"""),0.0)</f>
        <v>0</v>
      </c>
      <c r="X75" s="33">
        <f>IFERROR(__xludf.DUMMYFUNCTION("""COMPUTED_VALUE"""),0.0)</f>
        <v>0</v>
      </c>
      <c r="Y75" s="33">
        <f>IFERROR(__xludf.DUMMYFUNCTION("""COMPUTED_VALUE"""),0.0)</f>
        <v>0</v>
      </c>
      <c r="Z75" s="33">
        <f>IFERROR(__xludf.DUMMYFUNCTION("""COMPUTED_VALUE"""),0.0)</f>
        <v>0</v>
      </c>
      <c r="AA75" s="33">
        <f>IFERROR(__xludf.DUMMYFUNCTION("""COMPUTED_VALUE"""),0.0)</f>
        <v>0</v>
      </c>
      <c r="AB75" s="33">
        <f>IFERROR(__xludf.DUMMYFUNCTION("""COMPUTED_VALUE"""),0.0)</f>
        <v>0</v>
      </c>
      <c r="AC75" s="33">
        <f>IFERROR(__xludf.DUMMYFUNCTION("""COMPUTED_VALUE"""),19.6991666666666)</f>
        <v>19.69916667</v>
      </c>
      <c r="AD75" s="33">
        <f>IFERROR(__xludf.DUMMYFUNCTION("""COMPUTED_VALUE"""),0.816388888888888)</f>
        <v>0.8163888889</v>
      </c>
      <c r="AE75" s="33">
        <f>IFERROR(__xludf.DUMMYFUNCTION("""COMPUTED_VALUE"""),19.6991666666666)</f>
        <v>19.69916667</v>
      </c>
      <c r="AF75" s="33">
        <f>IFERROR(__xludf.DUMMYFUNCTION("""COMPUTED_VALUE"""),0.0)</f>
        <v>0</v>
      </c>
    </row>
    <row r="76">
      <c r="A76" s="49">
        <f>IFERROR(__xludf.DUMMYFUNCTION("""COMPUTED_VALUE"""),46139.0)</f>
        <v>46139</v>
      </c>
      <c r="B76" s="33" t="str">
        <f>IFERROR(__xludf.DUMMYFUNCTION("""COMPUTED_VALUE"""),"aab7b2fa6301b585dcebf9ec60cf4371307ad469")</f>
        <v>aab7b2fa6301b585dcebf9ec60cf4371307ad469</v>
      </c>
      <c r="C76" s="33" t="str">
        <f>IFERROR(__xludf.DUMMYFUNCTION("""COMPUTED_VALUE"""),"Tere Ishq Mein (OBH)  - Production Show_id")</f>
        <v>Tere Ishq Mein (OBH)  - Production Show_id</v>
      </c>
      <c r="D76" s="33">
        <f>IFERROR(__xludf.DUMMYFUNCTION("""COMPUTED_VALUE"""),24.0)</f>
        <v>24</v>
      </c>
      <c r="E76" s="33">
        <f>IFERROR(__xludf.DUMMYFUNCTION("""COMPUTED_VALUE"""),19.0)</f>
        <v>19</v>
      </c>
      <c r="F76" s="33">
        <f>IFERROR(__xludf.DUMMYFUNCTION("""COMPUTED_VALUE"""),23.0)</f>
        <v>23</v>
      </c>
      <c r="G76" s="33">
        <f>IFERROR(__xludf.DUMMYFUNCTION("""COMPUTED_VALUE"""),13.0)</f>
        <v>13</v>
      </c>
      <c r="H76" s="33">
        <f>IFERROR(__xludf.DUMMYFUNCTION("""COMPUTED_VALUE"""),18.0)</f>
        <v>18</v>
      </c>
      <c r="I76" s="33">
        <f>IFERROR(__xludf.DUMMYFUNCTION("""COMPUTED_VALUE"""),0.0)</f>
        <v>0</v>
      </c>
      <c r="J76" s="33">
        <f>IFERROR(__xludf.DUMMYFUNCTION("""COMPUTED_VALUE"""),20.0)</f>
        <v>20</v>
      </c>
      <c r="K76" s="33">
        <f>IFERROR(__xludf.DUMMYFUNCTION("""COMPUTED_VALUE"""),12.0)</f>
        <v>12</v>
      </c>
      <c r="L76" s="33">
        <f>IFERROR(__xludf.DUMMYFUNCTION("""COMPUTED_VALUE"""),6.0)</f>
        <v>6</v>
      </c>
      <c r="M76" s="33">
        <f>IFERROR(__xludf.DUMMYFUNCTION("""COMPUTED_VALUE"""),20.0)</f>
        <v>20</v>
      </c>
      <c r="N76" s="33">
        <f>IFERROR(__xludf.DUMMYFUNCTION("""COMPUTED_VALUE"""),27.0)</f>
        <v>27</v>
      </c>
      <c r="O76" s="33">
        <f>IFERROR(__xludf.DUMMYFUNCTION("""COMPUTED_VALUE"""),7.0)</f>
        <v>7</v>
      </c>
      <c r="P76" s="33">
        <f>IFERROR(__xludf.DUMMYFUNCTION("""COMPUTED_VALUE"""),27.0)</f>
        <v>27</v>
      </c>
      <c r="Q76" s="33">
        <f>IFERROR(__xludf.DUMMYFUNCTION("""COMPUTED_VALUE"""),0.0)</f>
        <v>0</v>
      </c>
      <c r="R76" s="33">
        <f>IFERROR(__xludf.DUMMYFUNCTION("""COMPUTED_VALUE"""),53158.0)</f>
        <v>53158</v>
      </c>
      <c r="S76" s="33">
        <f>IFERROR(__xludf.DUMMYFUNCTION("""COMPUTED_VALUE"""),42501.0)</f>
        <v>42501</v>
      </c>
      <c r="T76" s="33">
        <f>IFERROR(__xludf.DUMMYFUNCTION("""COMPUTED_VALUE"""),7.23138888888888)</f>
        <v>7.231388889</v>
      </c>
      <c r="U76" s="33">
        <f>IFERROR(__xludf.DUMMYFUNCTION("""COMPUTED_VALUE"""),5.87111111111111)</f>
        <v>5.871111111</v>
      </c>
      <c r="V76" s="33">
        <f>IFERROR(__xludf.DUMMYFUNCTION("""COMPUTED_VALUE"""),3.29111111111111)</f>
        <v>3.291111111</v>
      </c>
      <c r="W76" s="33">
        <f>IFERROR(__xludf.DUMMYFUNCTION("""COMPUTED_VALUE"""),4.42305555555555)</f>
        <v>4.423055556</v>
      </c>
      <c r="X76" s="33">
        <f>IFERROR(__xludf.DUMMYFUNCTION("""COMPUTED_VALUE"""),0.0)</f>
        <v>0</v>
      </c>
      <c r="Y76" s="33">
        <f>IFERROR(__xludf.DUMMYFUNCTION("""COMPUTED_VALUE"""),4.86388888888888)</f>
        <v>4.863888889</v>
      </c>
      <c r="Z76" s="33">
        <f>IFERROR(__xludf.DUMMYFUNCTION("""COMPUTED_VALUE"""),2.85555555555555)</f>
        <v>2.855555556</v>
      </c>
      <c r="AA76" s="33">
        <f>IFERROR(__xludf.DUMMYFUNCTION("""COMPUTED_VALUE"""),1.41138888888888)</f>
        <v>1.411388889</v>
      </c>
      <c r="AB76" s="33">
        <f>IFERROR(__xludf.DUMMYFUNCTION("""COMPUTED_VALUE"""),4.83583333333333)</f>
        <v>4.835833333</v>
      </c>
      <c r="AC76" s="33">
        <f>IFERROR(__xludf.DUMMYFUNCTION("""COMPUTED_VALUE"""),6.42277777777777)</f>
        <v>6.422777778</v>
      </c>
      <c r="AD76" s="33">
        <f>IFERROR(__xludf.DUMMYFUNCTION("""COMPUTED_VALUE"""),1.67472222222222)</f>
        <v>1.674722222</v>
      </c>
      <c r="AE76" s="33">
        <f>IFERROR(__xludf.DUMMYFUNCTION("""COMPUTED_VALUE"""),6.42277777777777)</f>
        <v>6.422777778</v>
      </c>
      <c r="AF76" s="33">
        <f>IFERROR(__xludf.DUMMYFUNCTION("""COMPUTED_VALUE"""),29.0)</f>
        <v>29</v>
      </c>
    </row>
    <row r="77">
      <c r="A77" s="49">
        <f>IFERROR(__xludf.DUMMYFUNCTION("""COMPUTED_VALUE"""),46139.0)</f>
        <v>46139</v>
      </c>
      <c r="B77" s="33" t="str">
        <f>IFERROR(__xludf.DUMMYFUNCTION("""COMPUTED_VALUE"""),"b19f613216d474cd2927d5f4832a949dca2dc33e")</f>
        <v>b19f613216d474cd2927d5f4832a949dca2dc33e</v>
      </c>
      <c r="C77" s="33" t="str">
        <f>IFERROR(__xludf.DUMMYFUNCTION("""COMPUTED_VALUE"""),"The Immortal (Production)")</f>
        <v>The Immortal (Production)</v>
      </c>
      <c r="D77" s="33">
        <f>IFERROR(__xludf.DUMMYFUNCTION("""COMPUTED_VALUE"""),0.0)</f>
        <v>0</v>
      </c>
      <c r="E77" s="33">
        <f>IFERROR(__xludf.DUMMYFUNCTION("""COMPUTED_VALUE"""),0.0)</f>
        <v>0</v>
      </c>
      <c r="F77" s="33">
        <f>IFERROR(__xludf.DUMMYFUNCTION("""COMPUTED_VALUE"""),0.0)</f>
        <v>0</v>
      </c>
      <c r="G77" s="33">
        <f>IFERROR(__xludf.DUMMYFUNCTION("""COMPUTED_VALUE"""),0.0)</f>
        <v>0</v>
      </c>
      <c r="H77" s="33">
        <f>IFERROR(__xludf.DUMMYFUNCTION("""COMPUTED_VALUE"""),0.0)</f>
        <v>0</v>
      </c>
      <c r="I77" s="33">
        <f>IFERROR(__xludf.DUMMYFUNCTION("""COMPUTED_VALUE"""),0.0)</f>
        <v>0</v>
      </c>
      <c r="J77" s="33">
        <f>IFERROR(__xludf.DUMMYFUNCTION("""COMPUTED_VALUE"""),0.0)</f>
        <v>0</v>
      </c>
      <c r="K77" s="33">
        <f>IFERROR(__xludf.DUMMYFUNCTION("""COMPUTED_VALUE"""),0.0)</f>
        <v>0</v>
      </c>
      <c r="L77" s="33">
        <f>IFERROR(__xludf.DUMMYFUNCTION("""COMPUTED_VALUE"""),0.0)</f>
        <v>0</v>
      </c>
      <c r="M77" s="33">
        <f>IFERROR(__xludf.DUMMYFUNCTION("""COMPUTED_VALUE"""),1.0)</f>
        <v>1</v>
      </c>
      <c r="N77" s="33">
        <f>IFERROR(__xludf.DUMMYFUNCTION("""COMPUTED_VALUE"""),2.0)</f>
        <v>2</v>
      </c>
      <c r="O77" s="33">
        <f>IFERROR(__xludf.DUMMYFUNCTION("""COMPUTED_VALUE"""),1.0)</f>
        <v>1</v>
      </c>
      <c r="P77" s="33">
        <f>IFERROR(__xludf.DUMMYFUNCTION("""COMPUTED_VALUE"""),2.0)</f>
        <v>2</v>
      </c>
      <c r="Q77" s="33">
        <f>IFERROR(__xludf.DUMMYFUNCTION("""COMPUTED_VALUE"""),0.0)</f>
        <v>0</v>
      </c>
      <c r="R77" s="33">
        <f>IFERROR(__xludf.DUMMYFUNCTION("""COMPUTED_VALUE"""),0.0)</f>
        <v>0</v>
      </c>
      <c r="S77" s="33">
        <f>IFERROR(__xludf.DUMMYFUNCTION("""COMPUTED_VALUE"""),0.0)</f>
        <v>0</v>
      </c>
      <c r="T77" s="33">
        <f>IFERROR(__xludf.DUMMYFUNCTION("""COMPUTED_VALUE"""),0.0)</f>
        <v>0</v>
      </c>
      <c r="U77" s="33">
        <f>IFERROR(__xludf.DUMMYFUNCTION("""COMPUTED_VALUE"""),0.0)</f>
        <v>0</v>
      </c>
      <c r="V77" s="33">
        <f>IFERROR(__xludf.DUMMYFUNCTION("""COMPUTED_VALUE"""),0.0)</f>
        <v>0</v>
      </c>
      <c r="W77" s="33">
        <f>IFERROR(__xludf.DUMMYFUNCTION("""COMPUTED_VALUE"""),0.0)</f>
        <v>0</v>
      </c>
      <c r="X77" s="33">
        <f>IFERROR(__xludf.DUMMYFUNCTION("""COMPUTED_VALUE"""),0.0)</f>
        <v>0</v>
      </c>
      <c r="Y77" s="33">
        <f>IFERROR(__xludf.DUMMYFUNCTION("""COMPUTED_VALUE"""),0.0)</f>
        <v>0</v>
      </c>
      <c r="Z77" s="33">
        <f>IFERROR(__xludf.DUMMYFUNCTION("""COMPUTED_VALUE"""),0.0)</f>
        <v>0</v>
      </c>
      <c r="AA77" s="33">
        <f>IFERROR(__xludf.DUMMYFUNCTION("""COMPUTED_VALUE"""),0.0)</f>
        <v>0</v>
      </c>
      <c r="AB77" s="33">
        <f>IFERROR(__xludf.DUMMYFUNCTION("""COMPUTED_VALUE"""),0.239722222222222)</f>
        <v>0.2397222222</v>
      </c>
      <c r="AC77" s="33">
        <f>IFERROR(__xludf.DUMMYFUNCTION("""COMPUTED_VALUE"""),0.452222222222222)</f>
        <v>0.4522222222</v>
      </c>
      <c r="AD77" s="33">
        <f>IFERROR(__xludf.DUMMYFUNCTION("""COMPUTED_VALUE"""),0.198888888888888)</f>
        <v>0.1988888889</v>
      </c>
      <c r="AE77" s="33">
        <f>IFERROR(__xludf.DUMMYFUNCTION("""COMPUTED_VALUE"""),0.452222222222222)</f>
        <v>0.4522222222</v>
      </c>
      <c r="AF77" s="33">
        <f>IFERROR(__xludf.DUMMYFUNCTION("""COMPUTED_VALUE"""),0.0)</f>
        <v>0</v>
      </c>
    </row>
    <row r="78">
      <c r="A78" s="49">
        <f>IFERROR(__xludf.DUMMYFUNCTION("""COMPUTED_VALUE"""),46139.0)</f>
        <v>46139</v>
      </c>
      <c r="B78" s="33" t="str">
        <f>IFERROR(__xludf.DUMMYFUNCTION("""COMPUTED_VALUE"""),"b9727274f880f47671ad54caad4904a491fad9c7")</f>
        <v>b9727274f880f47671ad54caad4904a491fad9c7</v>
      </c>
      <c r="C78" s="33" t="str">
        <f>IFERROR(__xludf.DUMMYFUNCTION("""COMPUTED_VALUE"""),"Brahmand Ka Rakshak - Production Show")</f>
        <v>Brahmand Ka Rakshak - Production Show</v>
      </c>
      <c r="D78" s="33">
        <f>IFERROR(__xludf.DUMMYFUNCTION("""COMPUTED_VALUE"""),21.0)</f>
        <v>21</v>
      </c>
      <c r="E78" s="33">
        <f>IFERROR(__xludf.DUMMYFUNCTION("""COMPUTED_VALUE"""),30.0)</f>
        <v>30</v>
      </c>
      <c r="F78" s="33">
        <f>IFERROR(__xludf.DUMMYFUNCTION("""COMPUTED_VALUE"""),21.0)</f>
        <v>21</v>
      </c>
      <c r="G78" s="33">
        <f>IFERROR(__xludf.DUMMYFUNCTION("""COMPUTED_VALUE"""),17.0)</f>
        <v>17</v>
      </c>
      <c r="H78" s="33">
        <f>IFERROR(__xludf.DUMMYFUNCTION("""COMPUTED_VALUE"""),31.0)</f>
        <v>31</v>
      </c>
      <c r="I78" s="33">
        <f>IFERROR(__xludf.DUMMYFUNCTION("""COMPUTED_VALUE"""),16.0)</f>
        <v>16</v>
      </c>
      <c r="J78" s="33">
        <f>IFERROR(__xludf.DUMMYFUNCTION("""COMPUTED_VALUE"""),28.0)</f>
        <v>28</v>
      </c>
      <c r="K78" s="33">
        <f>IFERROR(__xludf.DUMMYFUNCTION("""COMPUTED_VALUE"""),11.0)</f>
        <v>11</v>
      </c>
      <c r="L78" s="33">
        <f>IFERROR(__xludf.DUMMYFUNCTION("""COMPUTED_VALUE"""),4.0)</f>
        <v>4</v>
      </c>
      <c r="M78" s="33">
        <f>IFERROR(__xludf.DUMMYFUNCTION("""COMPUTED_VALUE"""),29.0)</f>
        <v>29</v>
      </c>
      <c r="N78" s="33">
        <f>IFERROR(__xludf.DUMMYFUNCTION("""COMPUTED_VALUE"""),29.0)</f>
        <v>29</v>
      </c>
      <c r="O78" s="33">
        <f>IFERROR(__xludf.DUMMYFUNCTION("""COMPUTED_VALUE"""),5.0)</f>
        <v>5</v>
      </c>
      <c r="P78" s="33">
        <f>IFERROR(__xludf.DUMMYFUNCTION("""COMPUTED_VALUE"""),29.0)</f>
        <v>29</v>
      </c>
      <c r="Q78" s="33">
        <f>IFERROR(__xludf.DUMMYFUNCTION("""COMPUTED_VALUE"""),0.0)</f>
        <v>0</v>
      </c>
      <c r="R78" s="33">
        <f>IFERROR(__xludf.DUMMYFUNCTION("""COMPUTED_VALUE"""),47343.0)</f>
        <v>47343</v>
      </c>
      <c r="S78" s="33">
        <f>IFERROR(__xludf.DUMMYFUNCTION("""COMPUTED_VALUE"""),67327.0)</f>
        <v>67327</v>
      </c>
      <c r="T78" s="33">
        <f>IFERROR(__xludf.DUMMYFUNCTION("""COMPUTED_VALUE"""),6.28194444444444)</f>
        <v>6.281944444</v>
      </c>
      <c r="U78" s="33">
        <f>IFERROR(__xludf.DUMMYFUNCTION("""COMPUTED_VALUE"""),3.72305555555555)</f>
        <v>3.723055556</v>
      </c>
      <c r="V78" s="33">
        <f>IFERROR(__xludf.DUMMYFUNCTION("""COMPUTED_VALUE"""),3.04722222222222)</f>
        <v>3.047222222</v>
      </c>
      <c r="W78" s="33">
        <f>IFERROR(__xludf.DUMMYFUNCTION("""COMPUTED_VALUE"""),5.60444444444444)</f>
        <v>5.604444444</v>
      </c>
      <c r="X78" s="33">
        <f>IFERROR(__xludf.DUMMYFUNCTION("""COMPUTED_VALUE"""),2.90222222222222)</f>
        <v>2.902222222</v>
      </c>
      <c r="Y78" s="33">
        <f>IFERROR(__xludf.DUMMYFUNCTION("""COMPUTED_VALUE"""),5.15055555555555)</f>
        <v>5.150555556</v>
      </c>
      <c r="Z78" s="33">
        <f>IFERROR(__xludf.DUMMYFUNCTION("""COMPUTED_VALUE"""),1.94499999999999)</f>
        <v>1.945</v>
      </c>
      <c r="AA78" s="33">
        <f>IFERROR(__xludf.DUMMYFUNCTION("""COMPUTED_VALUE"""),0.732777777777777)</f>
        <v>0.7327777778</v>
      </c>
      <c r="AB78" s="33">
        <f>IFERROR(__xludf.DUMMYFUNCTION("""COMPUTED_VALUE"""),5.34055555555555)</f>
        <v>5.340555556</v>
      </c>
      <c r="AC78" s="33">
        <f>IFERROR(__xludf.DUMMYFUNCTION("""COMPUTED_VALUE"""),5.34055555555555)</f>
        <v>5.340555556</v>
      </c>
      <c r="AD78" s="33">
        <f>IFERROR(__xludf.DUMMYFUNCTION("""COMPUTED_VALUE"""),0.948888888888888)</f>
        <v>0.9488888889</v>
      </c>
      <c r="AE78" s="33">
        <f>IFERROR(__xludf.DUMMYFUNCTION("""COMPUTED_VALUE"""),5.34055555555555)</f>
        <v>5.340555556</v>
      </c>
      <c r="AF78" s="33">
        <f>IFERROR(__xludf.DUMMYFUNCTION("""COMPUTED_VALUE"""),35.0)</f>
        <v>35</v>
      </c>
    </row>
    <row r="79">
      <c r="A79" s="49">
        <f>IFERROR(__xludf.DUMMYFUNCTION("""COMPUTED_VALUE"""),46139.0)</f>
        <v>46139</v>
      </c>
      <c r="B79" s="33" t="str">
        <f>IFERROR(__xludf.DUMMYFUNCTION("""COMPUTED_VALUE"""),"bb6f447c782519839d8793fda0d35f90bad4421a")</f>
        <v>bb6f447c782519839d8793fda0d35f90bad4421a</v>
      </c>
      <c r="C79" s="33" t="str">
        <f>IFERROR(__xludf.DUMMYFUNCTION("""COMPUTED_VALUE"""),"Ruthless")</f>
        <v>Ruthless</v>
      </c>
      <c r="D79" s="33">
        <f>IFERROR(__xludf.DUMMYFUNCTION("""COMPUTED_VALUE"""),12.0)</f>
        <v>12</v>
      </c>
      <c r="E79" s="33">
        <f>IFERROR(__xludf.DUMMYFUNCTION("""COMPUTED_VALUE"""),7.0)</f>
        <v>7</v>
      </c>
      <c r="F79" s="33">
        <f>IFERROR(__xludf.DUMMYFUNCTION("""COMPUTED_VALUE"""),0.0)</f>
        <v>0</v>
      </c>
      <c r="G79" s="33">
        <f>IFERROR(__xludf.DUMMYFUNCTION("""COMPUTED_VALUE"""),0.0)</f>
        <v>0</v>
      </c>
      <c r="H79" s="33">
        <f>IFERROR(__xludf.DUMMYFUNCTION("""COMPUTED_VALUE"""),12.0)</f>
        <v>12</v>
      </c>
      <c r="I79" s="33">
        <f>IFERROR(__xludf.DUMMYFUNCTION("""COMPUTED_VALUE"""),12.0)</f>
        <v>12</v>
      </c>
      <c r="J79" s="33">
        <f>IFERROR(__xludf.DUMMYFUNCTION("""COMPUTED_VALUE"""),12.0)</f>
        <v>12</v>
      </c>
      <c r="K79" s="33">
        <f>IFERROR(__xludf.DUMMYFUNCTION("""COMPUTED_VALUE"""),3.0)</f>
        <v>3</v>
      </c>
      <c r="L79" s="33">
        <f>IFERROR(__xludf.DUMMYFUNCTION("""COMPUTED_VALUE"""),0.0)</f>
        <v>0</v>
      </c>
      <c r="M79" s="33">
        <f>IFERROR(__xludf.DUMMYFUNCTION("""COMPUTED_VALUE"""),15.0)</f>
        <v>15</v>
      </c>
      <c r="N79" s="33">
        <f>IFERROR(__xludf.DUMMYFUNCTION("""COMPUTED_VALUE"""),15.0)</f>
        <v>15</v>
      </c>
      <c r="O79" s="33">
        <f>IFERROR(__xludf.DUMMYFUNCTION("""COMPUTED_VALUE"""),4.0)</f>
        <v>4</v>
      </c>
      <c r="P79" s="33">
        <f>IFERROR(__xludf.DUMMYFUNCTION("""COMPUTED_VALUE"""),15.0)</f>
        <v>15</v>
      </c>
      <c r="Q79" s="33">
        <f>IFERROR(__xludf.DUMMYFUNCTION("""COMPUTED_VALUE"""),0.0)</f>
        <v>0</v>
      </c>
      <c r="R79" s="33">
        <f>IFERROR(__xludf.DUMMYFUNCTION("""COMPUTED_VALUE"""),30331.0)</f>
        <v>30331</v>
      </c>
      <c r="S79" s="33">
        <f>IFERROR(__xludf.DUMMYFUNCTION("""COMPUTED_VALUE"""),15108.0)</f>
        <v>15108</v>
      </c>
      <c r="T79" s="33">
        <f>IFERROR(__xludf.DUMMYFUNCTION("""COMPUTED_VALUE"""),1.9175)</f>
        <v>1.9175</v>
      </c>
      <c r="U79" s="33">
        <f>IFERROR(__xludf.DUMMYFUNCTION("""COMPUTED_VALUE"""),0.0)</f>
        <v>0</v>
      </c>
      <c r="V79" s="33">
        <f>IFERROR(__xludf.DUMMYFUNCTION("""COMPUTED_VALUE"""),0.0)</f>
        <v>0</v>
      </c>
      <c r="W79" s="33">
        <f>IFERROR(__xludf.DUMMYFUNCTION("""COMPUTED_VALUE"""),2.55611111111111)</f>
        <v>2.556111111</v>
      </c>
      <c r="X79" s="33">
        <f>IFERROR(__xludf.DUMMYFUNCTION("""COMPUTED_VALUE"""),2.55611111111111)</f>
        <v>2.556111111</v>
      </c>
      <c r="Y79" s="33">
        <f>IFERROR(__xludf.DUMMYFUNCTION("""COMPUTED_VALUE"""),2.59805555555555)</f>
        <v>2.598055556</v>
      </c>
      <c r="Z79" s="33">
        <f>IFERROR(__xludf.DUMMYFUNCTION("""COMPUTED_VALUE"""),0.633333333333333)</f>
        <v>0.6333333333</v>
      </c>
      <c r="AA79" s="33">
        <f>IFERROR(__xludf.DUMMYFUNCTION("""COMPUTED_VALUE"""),0.0)</f>
        <v>0</v>
      </c>
      <c r="AB79" s="33">
        <f>IFERROR(__xludf.DUMMYFUNCTION("""COMPUTED_VALUE"""),3.27694444444444)</f>
        <v>3.276944444</v>
      </c>
      <c r="AC79" s="33">
        <f>IFERROR(__xludf.DUMMYFUNCTION("""COMPUTED_VALUE"""),3.27694444444444)</f>
        <v>3.276944444</v>
      </c>
      <c r="AD79" s="33">
        <f>IFERROR(__xludf.DUMMYFUNCTION("""COMPUTED_VALUE"""),0.877777777777777)</f>
        <v>0.8777777778</v>
      </c>
      <c r="AE79" s="33">
        <f>IFERROR(__xludf.DUMMYFUNCTION("""COMPUTED_VALUE"""),3.27694444444444)</f>
        <v>3.276944444</v>
      </c>
      <c r="AF79" s="33">
        <f>IFERROR(__xludf.DUMMYFUNCTION("""COMPUTED_VALUE"""),9.0)</f>
        <v>9</v>
      </c>
    </row>
    <row r="80">
      <c r="A80" s="49">
        <f>IFERROR(__xludf.DUMMYFUNCTION("""COMPUTED_VALUE"""),46139.0)</f>
        <v>46139</v>
      </c>
      <c r="B80" s="33" t="str">
        <f>IFERROR(__xludf.DUMMYFUNCTION("""COMPUTED_VALUE"""),"c6ddafe0c1c28e76700ec68e65063945a05ee155")</f>
        <v>c6ddafe0c1c28e76700ec68e65063945a05ee155</v>
      </c>
      <c r="C80" s="33" t="str">
        <f>IFERROR(__xludf.DUMMYFUNCTION("""COMPUTED_VALUE"""),"Reborn to Rule Production Show_id")</f>
        <v>Reborn to Rule Production Show_id</v>
      </c>
      <c r="D80" s="33">
        <f>IFERROR(__xludf.DUMMYFUNCTION("""COMPUTED_VALUE"""),46.0)</f>
        <v>46</v>
      </c>
      <c r="E80" s="33">
        <f>IFERROR(__xludf.DUMMYFUNCTION("""COMPUTED_VALUE"""),46.0)</f>
        <v>46</v>
      </c>
      <c r="F80" s="33">
        <f>IFERROR(__xludf.DUMMYFUNCTION("""COMPUTED_VALUE"""),0.0)</f>
        <v>0</v>
      </c>
      <c r="G80" s="33">
        <f>IFERROR(__xludf.DUMMYFUNCTION("""COMPUTED_VALUE"""),0.0)</f>
        <v>0</v>
      </c>
      <c r="H80" s="33">
        <f>IFERROR(__xludf.DUMMYFUNCTION("""COMPUTED_VALUE"""),0.0)</f>
        <v>0</v>
      </c>
      <c r="I80" s="33">
        <f>IFERROR(__xludf.DUMMYFUNCTION("""COMPUTED_VALUE"""),0.0)</f>
        <v>0</v>
      </c>
      <c r="J80" s="33">
        <f>IFERROR(__xludf.DUMMYFUNCTION("""COMPUTED_VALUE"""),0.0)</f>
        <v>0</v>
      </c>
      <c r="K80" s="33">
        <f>IFERROR(__xludf.DUMMYFUNCTION("""COMPUTED_VALUE"""),0.0)</f>
        <v>0</v>
      </c>
      <c r="L80" s="33">
        <f>IFERROR(__xludf.DUMMYFUNCTION("""COMPUTED_VALUE"""),0.0)</f>
        <v>0</v>
      </c>
      <c r="M80" s="33">
        <f>IFERROR(__xludf.DUMMYFUNCTION("""COMPUTED_VALUE"""),1.0)</f>
        <v>1</v>
      </c>
      <c r="N80" s="33">
        <f>IFERROR(__xludf.DUMMYFUNCTION("""COMPUTED_VALUE"""),47.0)</f>
        <v>47</v>
      </c>
      <c r="O80" s="33">
        <f>IFERROR(__xludf.DUMMYFUNCTION("""COMPUTED_VALUE"""),4.0)</f>
        <v>4</v>
      </c>
      <c r="P80" s="33">
        <f>IFERROR(__xludf.DUMMYFUNCTION("""COMPUTED_VALUE"""),47.0)</f>
        <v>47</v>
      </c>
      <c r="Q80" s="33">
        <f>IFERROR(__xludf.DUMMYFUNCTION("""COMPUTED_VALUE"""),0.0)</f>
        <v>0</v>
      </c>
      <c r="R80" s="33">
        <f>IFERROR(__xludf.DUMMYFUNCTION("""COMPUTED_VALUE"""),77827.0)</f>
        <v>77827</v>
      </c>
      <c r="S80" s="33">
        <f>IFERROR(__xludf.DUMMYFUNCTION("""COMPUTED_VALUE"""),77827.0)</f>
        <v>77827</v>
      </c>
      <c r="T80" s="33">
        <f>IFERROR(__xludf.DUMMYFUNCTION("""COMPUTED_VALUE"""),1.71166666666666)</f>
        <v>1.711666667</v>
      </c>
      <c r="U80" s="33">
        <f>IFERROR(__xludf.DUMMYFUNCTION("""COMPUTED_VALUE"""),0.0)</f>
        <v>0</v>
      </c>
      <c r="V80" s="33">
        <f>IFERROR(__xludf.DUMMYFUNCTION("""COMPUTED_VALUE"""),0.0)</f>
        <v>0</v>
      </c>
      <c r="W80" s="33">
        <f>IFERROR(__xludf.DUMMYFUNCTION("""COMPUTED_VALUE"""),0.0)</f>
        <v>0</v>
      </c>
      <c r="X80" s="33">
        <f>IFERROR(__xludf.DUMMYFUNCTION("""COMPUTED_VALUE"""),0.0)</f>
        <v>0</v>
      </c>
      <c r="Y80" s="33">
        <f>IFERROR(__xludf.DUMMYFUNCTION("""COMPUTED_VALUE"""),0.0)</f>
        <v>0</v>
      </c>
      <c r="Z80" s="33">
        <f>IFERROR(__xludf.DUMMYFUNCTION("""COMPUTED_VALUE"""),0.0)</f>
        <v>0</v>
      </c>
      <c r="AA80" s="33">
        <f>IFERROR(__xludf.DUMMYFUNCTION("""COMPUTED_VALUE"""),0.0)</f>
        <v>0</v>
      </c>
      <c r="AB80" s="33">
        <f>IFERROR(__xludf.DUMMYFUNCTION("""COMPUTED_VALUE"""),0.195)</f>
        <v>0.195</v>
      </c>
      <c r="AC80" s="33">
        <f>IFERROR(__xludf.DUMMYFUNCTION("""COMPUTED_VALUE"""),9.89666666666666)</f>
        <v>9.896666667</v>
      </c>
      <c r="AD80" s="33">
        <f>IFERROR(__xludf.DUMMYFUNCTION("""COMPUTED_VALUE"""),1.05333333333333)</f>
        <v>1.053333333</v>
      </c>
      <c r="AE80" s="33">
        <f>IFERROR(__xludf.DUMMYFUNCTION("""COMPUTED_VALUE"""),9.89666666666666)</f>
        <v>9.896666667</v>
      </c>
      <c r="AF80" s="33">
        <f>IFERROR(__xludf.DUMMYFUNCTION("""COMPUTED_VALUE"""),7.0)</f>
        <v>7</v>
      </c>
    </row>
    <row r="81">
      <c r="A81" s="49">
        <f>IFERROR(__xludf.DUMMYFUNCTION("""COMPUTED_VALUE"""),46139.0)</f>
        <v>46139</v>
      </c>
      <c r="B81" s="33" t="str">
        <f>IFERROR(__xludf.DUMMYFUNCTION("""COMPUTED_VALUE"""),"dbbc7f35e9eb33b7562f0fd82896e827101bf13c")</f>
        <v>dbbc7f35e9eb33b7562f0fd82896e827101bf13c</v>
      </c>
      <c r="C81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81" s="33">
        <f>IFERROR(__xludf.DUMMYFUNCTION("""COMPUTED_VALUE"""),0.0)</f>
        <v>0</v>
      </c>
      <c r="E81" s="33">
        <f>IFERROR(__xludf.DUMMYFUNCTION("""COMPUTED_VALUE"""),0.0)</f>
        <v>0</v>
      </c>
      <c r="F81" s="33">
        <f>IFERROR(__xludf.DUMMYFUNCTION("""COMPUTED_VALUE"""),0.0)</f>
        <v>0</v>
      </c>
      <c r="G81" s="33">
        <f>IFERROR(__xludf.DUMMYFUNCTION("""COMPUTED_VALUE"""),0.0)</f>
        <v>0</v>
      </c>
      <c r="H81" s="33">
        <f>IFERROR(__xludf.DUMMYFUNCTION("""COMPUTED_VALUE"""),0.0)</f>
        <v>0</v>
      </c>
      <c r="I81" s="33">
        <f>IFERROR(__xludf.DUMMYFUNCTION("""COMPUTED_VALUE"""),0.0)</f>
        <v>0</v>
      </c>
      <c r="J81" s="33">
        <f>IFERROR(__xludf.DUMMYFUNCTION("""COMPUTED_VALUE"""),0.0)</f>
        <v>0</v>
      </c>
      <c r="K81" s="33">
        <f>IFERROR(__xludf.DUMMYFUNCTION("""COMPUTED_VALUE"""),0.0)</f>
        <v>0</v>
      </c>
      <c r="L81" s="33">
        <f>IFERROR(__xludf.DUMMYFUNCTION("""COMPUTED_VALUE"""),0.0)</f>
        <v>0</v>
      </c>
      <c r="M81" s="33">
        <f>IFERROR(__xludf.DUMMYFUNCTION("""COMPUTED_VALUE"""),0.0)</f>
        <v>0</v>
      </c>
      <c r="N81" s="33">
        <f>IFERROR(__xludf.DUMMYFUNCTION("""COMPUTED_VALUE"""),0.0)</f>
        <v>0</v>
      </c>
      <c r="O81" s="33">
        <f>IFERROR(__xludf.DUMMYFUNCTION("""COMPUTED_VALUE"""),4.0)</f>
        <v>4</v>
      </c>
      <c r="P81" s="33">
        <f>IFERROR(__xludf.DUMMYFUNCTION("""COMPUTED_VALUE"""),16.0)</f>
        <v>16</v>
      </c>
      <c r="Q81" s="33">
        <f>IFERROR(__xludf.DUMMYFUNCTION("""COMPUTED_VALUE"""),0.0)</f>
        <v>0</v>
      </c>
      <c r="R81" s="33">
        <f>IFERROR(__xludf.DUMMYFUNCTION("""COMPUTED_VALUE"""),0.0)</f>
        <v>0</v>
      </c>
      <c r="S81" s="33">
        <f>IFERROR(__xludf.DUMMYFUNCTION("""COMPUTED_VALUE"""),0.0)</f>
        <v>0</v>
      </c>
      <c r="T81" s="33">
        <f>IFERROR(__xludf.DUMMYFUNCTION("""COMPUTED_VALUE"""),0.0)</f>
        <v>0</v>
      </c>
      <c r="U81" s="33">
        <f>IFERROR(__xludf.DUMMYFUNCTION("""COMPUTED_VALUE"""),0.0)</f>
        <v>0</v>
      </c>
      <c r="V81" s="33">
        <f>IFERROR(__xludf.DUMMYFUNCTION("""COMPUTED_VALUE"""),0.0)</f>
        <v>0</v>
      </c>
      <c r="W81" s="33">
        <f>IFERROR(__xludf.DUMMYFUNCTION("""COMPUTED_VALUE"""),0.0)</f>
        <v>0</v>
      </c>
      <c r="X81" s="33">
        <f>IFERROR(__xludf.DUMMYFUNCTION("""COMPUTED_VALUE"""),0.0)</f>
        <v>0</v>
      </c>
      <c r="Y81" s="33">
        <f>IFERROR(__xludf.DUMMYFUNCTION("""COMPUTED_VALUE"""),0.0)</f>
        <v>0</v>
      </c>
      <c r="Z81" s="33">
        <f>IFERROR(__xludf.DUMMYFUNCTION("""COMPUTED_VALUE"""),0.0)</f>
        <v>0</v>
      </c>
      <c r="AA81" s="33">
        <f>IFERROR(__xludf.DUMMYFUNCTION("""COMPUTED_VALUE"""),0.0)</f>
        <v>0</v>
      </c>
      <c r="AB81" s="33">
        <f>IFERROR(__xludf.DUMMYFUNCTION("""COMPUTED_VALUE"""),0.0)</f>
        <v>0</v>
      </c>
      <c r="AC81" s="33">
        <f>IFERROR(__xludf.DUMMYFUNCTION("""COMPUTED_VALUE"""),0.0)</f>
        <v>0</v>
      </c>
      <c r="AD81" s="33">
        <f>IFERROR(__xludf.DUMMYFUNCTION("""COMPUTED_VALUE"""),0.702777777777777)</f>
        <v>0.7027777778</v>
      </c>
      <c r="AE81" s="33">
        <f>IFERROR(__xludf.DUMMYFUNCTION("""COMPUTED_VALUE"""),3.46277777777777)</f>
        <v>3.462777778</v>
      </c>
      <c r="AF81" s="33">
        <f>IFERROR(__xludf.DUMMYFUNCTION("""COMPUTED_VALUE"""),0.0)</f>
        <v>0</v>
      </c>
    </row>
    <row r="82">
      <c r="A82" s="49">
        <f>IFERROR(__xludf.DUMMYFUNCTION("""COMPUTED_VALUE"""),46139.0)</f>
        <v>46139</v>
      </c>
      <c r="B82" s="33" t="str">
        <f>IFERROR(__xludf.DUMMYFUNCTION("""COMPUTED_VALUE"""),"e493cee863483a057af12de782cd20043a19ed05")</f>
        <v>e493cee863483a057af12de782cd20043a19ed05</v>
      </c>
      <c r="C82" s="33" t="str">
        <f>IFERROR(__xludf.DUMMYFUNCTION("""COMPUTED_VALUE"""),"Malang")</f>
        <v>Malang</v>
      </c>
      <c r="D82" s="33">
        <f>IFERROR(__xludf.DUMMYFUNCTION("""COMPUTED_VALUE"""),80.0)</f>
        <v>80</v>
      </c>
      <c r="E82" s="33">
        <f>IFERROR(__xludf.DUMMYFUNCTION("""COMPUTED_VALUE"""),56.0)</f>
        <v>56</v>
      </c>
      <c r="F82" s="33">
        <f>IFERROR(__xludf.DUMMYFUNCTION("""COMPUTED_VALUE"""),0.0)</f>
        <v>0</v>
      </c>
      <c r="G82" s="33">
        <f>IFERROR(__xludf.DUMMYFUNCTION("""COMPUTED_VALUE"""),0.0)</f>
        <v>0</v>
      </c>
      <c r="H82" s="33">
        <f>IFERROR(__xludf.DUMMYFUNCTION("""COMPUTED_VALUE"""),0.0)</f>
        <v>0</v>
      </c>
      <c r="I82" s="33">
        <f>IFERROR(__xludf.DUMMYFUNCTION("""COMPUTED_VALUE"""),0.0)</f>
        <v>0</v>
      </c>
      <c r="J82" s="33">
        <f>IFERROR(__xludf.DUMMYFUNCTION("""COMPUTED_VALUE"""),0.0)</f>
        <v>0</v>
      </c>
      <c r="K82" s="33">
        <f>IFERROR(__xludf.DUMMYFUNCTION("""COMPUTED_VALUE"""),0.0)</f>
        <v>0</v>
      </c>
      <c r="L82" s="33">
        <f>IFERROR(__xludf.DUMMYFUNCTION("""COMPUTED_VALUE"""),0.0)</f>
        <v>0</v>
      </c>
      <c r="M82" s="33">
        <f>IFERROR(__xludf.DUMMYFUNCTION("""COMPUTED_VALUE"""),79.0)</f>
        <v>79</v>
      </c>
      <c r="N82" s="33">
        <f>IFERROR(__xludf.DUMMYFUNCTION("""COMPUTED_VALUE"""),56.0)</f>
        <v>56</v>
      </c>
      <c r="O82" s="33">
        <f>IFERROR(__xludf.DUMMYFUNCTION("""COMPUTED_VALUE"""),4.0)</f>
        <v>4</v>
      </c>
      <c r="P82" s="33">
        <f>IFERROR(__xludf.DUMMYFUNCTION("""COMPUTED_VALUE"""),56.0)</f>
        <v>56</v>
      </c>
      <c r="Q82" s="33">
        <f>IFERROR(__xludf.DUMMYFUNCTION("""COMPUTED_VALUE"""),0.0)</f>
        <v>0</v>
      </c>
      <c r="R82" s="33">
        <f>IFERROR(__xludf.DUMMYFUNCTION("""COMPUTED_VALUE"""),208037.0)</f>
        <v>208037</v>
      </c>
      <c r="S82" s="33">
        <f>IFERROR(__xludf.DUMMYFUNCTION("""COMPUTED_VALUE"""),139363.0)</f>
        <v>139363</v>
      </c>
      <c r="T82" s="33">
        <f>IFERROR(__xludf.DUMMYFUNCTION("""COMPUTED_VALUE"""),0.0)</f>
        <v>0</v>
      </c>
      <c r="U82" s="33">
        <f>IFERROR(__xludf.DUMMYFUNCTION("""COMPUTED_VALUE"""),0.0)</f>
        <v>0</v>
      </c>
      <c r="V82" s="33">
        <f>IFERROR(__xludf.DUMMYFUNCTION("""COMPUTED_VALUE"""),0.0)</f>
        <v>0</v>
      </c>
      <c r="W82" s="33">
        <f>IFERROR(__xludf.DUMMYFUNCTION("""COMPUTED_VALUE"""),0.0)</f>
        <v>0</v>
      </c>
      <c r="X82" s="33">
        <f>IFERROR(__xludf.DUMMYFUNCTION("""COMPUTED_VALUE"""),0.0)</f>
        <v>0</v>
      </c>
      <c r="Y82" s="33">
        <f>IFERROR(__xludf.DUMMYFUNCTION("""COMPUTED_VALUE"""),0.0)</f>
        <v>0</v>
      </c>
      <c r="Z82" s="33">
        <f>IFERROR(__xludf.DUMMYFUNCTION("""COMPUTED_VALUE"""),0.0)</f>
        <v>0</v>
      </c>
      <c r="AA82" s="33">
        <f>IFERROR(__xludf.DUMMYFUNCTION("""COMPUTED_VALUE"""),0.0)</f>
        <v>0</v>
      </c>
      <c r="AB82" s="33">
        <f>IFERROR(__xludf.DUMMYFUNCTION("""COMPUTED_VALUE"""),19.0330555555555)</f>
        <v>19.03305556</v>
      </c>
      <c r="AC82" s="33">
        <f>IFERROR(__xludf.DUMMYFUNCTION("""COMPUTED_VALUE"""),13.4594444444444)</f>
        <v>13.45944444</v>
      </c>
      <c r="AD82" s="33">
        <f>IFERROR(__xludf.DUMMYFUNCTION("""COMPUTED_VALUE"""),0.796944444444444)</f>
        <v>0.7969444444</v>
      </c>
      <c r="AE82" s="33">
        <f>IFERROR(__xludf.DUMMYFUNCTION("""COMPUTED_VALUE"""),13.4594444444444)</f>
        <v>13.45944444</v>
      </c>
      <c r="AF82" s="33">
        <f>IFERROR(__xludf.DUMMYFUNCTION("""COMPUTED_VALUE"""),0.0)</f>
        <v>0</v>
      </c>
    </row>
    <row r="83">
      <c r="A83" s="49">
        <f>IFERROR(__xludf.DUMMYFUNCTION("""COMPUTED_VALUE"""),46139.0)</f>
        <v>46139</v>
      </c>
      <c r="B83" s="33" t="str">
        <f>IFERROR(__xludf.DUMMYFUNCTION("""COMPUTED_VALUE"""),"f43f4253dc3c596ff8f2e3cc9f3b677981a70310")</f>
        <v>f43f4253dc3c596ff8f2e3cc9f3b677981a70310</v>
      </c>
      <c r="C83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83" s="33">
        <f>IFERROR(__xludf.DUMMYFUNCTION("""COMPUTED_VALUE"""),65.0)</f>
        <v>65</v>
      </c>
      <c r="E83" s="33">
        <f>IFERROR(__xludf.DUMMYFUNCTION("""COMPUTED_VALUE"""),65.0)</f>
        <v>65</v>
      </c>
      <c r="F83" s="33">
        <f>IFERROR(__xludf.DUMMYFUNCTION("""COMPUTED_VALUE"""),0.0)</f>
        <v>0</v>
      </c>
      <c r="G83" s="33">
        <f>IFERROR(__xludf.DUMMYFUNCTION("""COMPUTED_VALUE"""),0.0)</f>
        <v>0</v>
      </c>
      <c r="H83" s="33">
        <f>IFERROR(__xludf.DUMMYFUNCTION("""COMPUTED_VALUE"""),0.0)</f>
        <v>0</v>
      </c>
      <c r="I83" s="33">
        <f>IFERROR(__xludf.DUMMYFUNCTION("""COMPUTED_VALUE"""),0.0)</f>
        <v>0</v>
      </c>
      <c r="J83" s="33">
        <f>IFERROR(__xludf.DUMMYFUNCTION("""COMPUTED_VALUE"""),0.0)</f>
        <v>0</v>
      </c>
      <c r="K83" s="33">
        <f>IFERROR(__xludf.DUMMYFUNCTION("""COMPUTED_VALUE"""),0.0)</f>
        <v>0</v>
      </c>
      <c r="L83" s="33">
        <f>IFERROR(__xludf.DUMMYFUNCTION("""COMPUTED_VALUE"""),0.0)</f>
        <v>0</v>
      </c>
      <c r="M83" s="33">
        <f>IFERROR(__xludf.DUMMYFUNCTION("""COMPUTED_VALUE"""),0.0)</f>
        <v>0</v>
      </c>
      <c r="N83" s="33">
        <f>IFERROR(__xludf.DUMMYFUNCTION("""COMPUTED_VALUE"""),65.0)</f>
        <v>65</v>
      </c>
      <c r="O83" s="33">
        <f>IFERROR(__xludf.DUMMYFUNCTION("""COMPUTED_VALUE"""),4.0)</f>
        <v>4</v>
      </c>
      <c r="P83" s="33">
        <f>IFERROR(__xludf.DUMMYFUNCTION("""COMPUTED_VALUE"""),65.0)</f>
        <v>65</v>
      </c>
      <c r="Q83" s="33">
        <f>IFERROR(__xludf.DUMMYFUNCTION("""COMPUTED_VALUE"""),0.0)</f>
        <v>0</v>
      </c>
      <c r="R83" s="33">
        <f>IFERROR(__xludf.DUMMYFUNCTION("""COMPUTED_VALUE"""),159484.0)</f>
        <v>159484</v>
      </c>
      <c r="S83" s="33">
        <f>IFERROR(__xludf.DUMMYFUNCTION("""COMPUTED_VALUE"""),159484.0)</f>
        <v>159484</v>
      </c>
      <c r="T83" s="33">
        <f>IFERROR(__xludf.DUMMYFUNCTION("""COMPUTED_VALUE"""),0.0)</f>
        <v>0</v>
      </c>
      <c r="U83" s="33">
        <f>IFERROR(__xludf.DUMMYFUNCTION("""COMPUTED_VALUE"""),0.0)</f>
        <v>0</v>
      </c>
      <c r="V83" s="33">
        <f>IFERROR(__xludf.DUMMYFUNCTION("""COMPUTED_VALUE"""),0.0)</f>
        <v>0</v>
      </c>
      <c r="W83" s="33">
        <f>IFERROR(__xludf.DUMMYFUNCTION("""COMPUTED_VALUE"""),0.0)</f>
        <v>0</v>
      </c>
      <c r="X83" s="33">
        <f>IFERROR(__xludf.DUMMYFUNCTION("""COMPUTED_VALUE"""),0.0)</f>
        <v>0</v>
      </c>
      <c r="Y83" s="33">
        <f>IFERROR(__xludf.DUMMYFUNCTION("""COMPUTED_VALUE"""),0.0)</f>
        <v>0</v>
      </c>
      <c r="Z83" s="33">
        <f>IFERROR(__xludf.DUMMYFUNCTION("""COMPUTED_VALUE"""),0.0)</f>
        <v>0</v>
      </c>
      <c r="AA83" s="33">
        <f>IFERROR(__xludf.DUMMYFUNCTION("""COMPUTED_VALUE"""),0.0)</f>
        <v>0</v>
      </c>
      <c r="AB83" s="33">
        <f>IFERROR(__xludf.DUMMYFUNCTION("""COMPUTED_VALUE"""),0.0)</f>
        <v>0</v>
      </c>
      <c r="AC83" s="33">
        <f>IFERROR(__xludf.DUMMYFUNCTION("""COMPUTED_VALUE"""),0.0)</f>
        <v>0</v>
      </c>
      <c r="AD83" s="33">
        <f>IFERROR(__xludf.DUMMYFUNCTION("""COMPUTED_VALUE"""),1.05555555555555)</f>
        <v>1.055555556</v>
      </c>
      <c r="AE83" s="33">
        <f>IFERROR(__xludf.DUMMYFUNCTION("""COMPUTED_VALUE"""),16.8169444444444)</f>
        <v>16.81694444</v>
      </c>
      <c r="AF83" s="33">
        <f>IFERROR(__xludf.DUMMYFUNCTION("""COMPUTED_VALUE"""),0.0)</f>
        <v>0</v>
      </c>
    </row>
    <row r="84">
      <c r="A84" s="49">
        <f>IFERROR(__xludf.DUMMYFUNCTION("""COMPUTED_VALUE"""),46132.0)</f>
        <v>46132</v>
      </c>
      <c r="B84" s="33" t="str">
        <f>IFERROR(__xludf.DUMMYFUNCTION("""COMPUTED_VALUE"""),"017fddbaa7617afdd8289be5c433df09dcde1da2")</f>
        <v>017fddbaa7617afdd8289be5c433df09dcde1da2</v>
      </c>
      <c r="C84" s="33" t="str">
        <f>IFERROR(__xludf.DUMMYFUNCTION("""COMPUTED_VALUE"""),"His Secret Fortune - Production Show_id")</f>
        <v>His Secret Fortune - Production Show_id</v>
      </c>
      <c r="D84" s="33">
        <f>IFERROR(__xludf.DUMMYFUNCTION("""COMPUTED_VALUE"""),26.0)</f>
        <v>26</v>
      </c>
      <c r="E84" s="33">
        <f>IFERROR(__xludf.DUMMYFUNCTION("""COMPUTED_VALUE"""),10.0)</f>
        <v>10</v>
      </c>
      <c r="F84" s="33">
        <f>IFERROR(__xludf.DUMMYFUNCTION("""COMPUTED_VALUE"""),0.0)</f>
        <v>0</v>
      </c>
      <c r="G84" s="33">
        <f>IFERROR(__xludf.DUMMYFUNCTION("""COMPUTED_VALUE"""),0.0)</f>
        <v>0</v>
      </c>
      <c r="H84" s="33">
        <f>IFERROR(__xludf.DUMMYFUNCTION("""COMPUTED_VALUE"""),0.0)</f>
        <v>0</v>
      </c>
      <c r="I84" s="33">
        <f>IFERROR(__xludf.DUMMYFUNCTION("""COMPUTED_VALUE"""),0.0)</f>
        <v>0</v>
      </c>
      <c r="J84" s="33">
        <f>IFERROR(__xludf.DUMMYFUNCTION("""COMPUTED_VALUE"""),0.0)</f>
        <v>0</v>
      </c>
      <c r="K84" s="33">
        <f>IFERROR(__xludf.DUMMYFUNCTION("""COMPUTED_VALUE"""),0.0)</f>
        <v>0</v>
      </c>
      <c r="L84" s="33">
        <f>IFERROR(__xludf.DUMMYFUNCTION("""COMPUTED_VALUE"""),0.0)</f>
        <v>0</v>
      </c>
      <c r="M84" s="33">
        <f>IFERROR(__xludf.DUMMYFUNCTION("""COMPUTED_VALUE"""),0.0)</f>
        <v>0</v>
      </c>
      <c r="N84" s="33">
        <f>IFERROR(__xludf.DUMMYFUNCTION("""COMPUTED_VALUE"""),0.0)</f>
        <v>0</v>
      </c>
      <c r="O84" s="33">
        <f>IFERROR(__xludf.DUMMYFUNCTION("""COMPUTED_VALUE"""),4.0)</f>
        <v>4</v>
      </c>
      <c r="P84" s="33">
        <f>IFERROR(__xludf.DUMMYFUNCTION("""COMPUTED_VALUE"""),0.0)</f>
        <v>0</v>
      </c>
      <c r="Q84" s="33">
        <f>IFERROR(__xludf.DUMMYFUNCTION("""COMPUTED_VALUE"""),0.0)</f>
        <v>0</v>
      </c>
      <c r="R84" s="33">
        <f>IFERROR(__xludf.DUMMYFUNCTION("""COMPUTED_VALUE"""),61334.0)</f>
        <v>61334</v>
      </c>
      <c r="S84" s="33">
        <f>IFERROR(__xludf.DUMMYFUNCTION("""COMPUTED_VALUE"""),23918.0)</f>
        <v>23918</v>
      </c>
      <c r="T84" s="33">
        <f>IFERROR(__xludf.DUMMYFUNCTION("""COMPUTED_VALUE"""),0.0)</f>
        <v>0</v>
      </c>
      <c r="U84" s="33">
        <f>IFERROR(__xludf.DUMMYFUNCTION("""COMPUTED_VALUE"""),0.0)</f>
        <v>0</v>
      </c>
      <c r="V84" s="33">
        <f>IFERROR(__xludf.DUMMYFUNCTION("""COMPUTED_VALUE"""),0.0)</f>
        <v>0</v>
      </c>
      <c r="W84" s="33">
        <f>IFERROR(__xludf.DUMMYFUNCTION("""COMPUTED_VALUE"""),0.0)</f>
        <v>0</v>
      </c>
      <c r="X84" s="33">
        <f>IFERROR(__xludf.DUMMYFUNCTION("""COMPUTED_VALUE"""),0.0)</f>
        <v>0</v>
      </c>
      <c r="Y84" s="33">
        <f>IFERROR(__xludf.DUMMYFUNCTION("""COMPUTED_VALUE"""),0.0)</f>
        <v>0</v>
      </c>
      <c r="Z84" s="33">
        <f>IFERROR(__xludf.DUMMYFUNCTION("""COMPUTED_VALUE"""),0.0)</f>
        <v>0</v>
      </c>
      <c r="AA84" s="33">
        <f>IFERROR(__xludf.DUMMYFUNCTION("""COMPUTED_VALUE"""),0.0)</f>
        <v>0</v>
      </c>
      <c r="AB84" s="33">
        <f>IFERROR(__xludf.DUMMYFUNCTION("""COMPUTED_VALUE"""),0.0)</f>
        <v>0</v>
      </c>
      <c r="AC84" s="33">
        <f>IFERROR(__xludf.DUMMYFUNCTION("""COMPUTED_VALUE"""),0.0)</f>
        <v>0</v>
      </c>
      <c r="AD84" s="33">
        <f>IFERROR(__xludf.DUMMYFUNCTION("""COMPUTED_VALUE"""),0.788611111111111)</f>
        <v>0.7886111111</v>
      </c>
      <c r="AE84" s="33">
        <f>IFERROR(__xludf.DUMMYFUNCTION("""COMPUTED_VALUE"""),0.0)</f>
        <v>0</v>
      </c>
      <c r="AF84" s="33">
        <f>IFERROR(__xludf.DUMMYFUNCTION("""COMPUTED_VALUE"""),0.0)</f>
        <v>0</v>
      </c>
    </row>
    <row r="85">
      <c r="A85" s="49">
        <f>IFERROR(__xludf.DUMMYFUNCTION("""COMPUTED_VALUE"""),46132.0)</f>
        <v>46132</v>
      </c>
      <c r="B85" s="33" t="str">
        <f>IFERROR(__xludf.DUMMYFUNCTION("""COMPUTED_VALUE"""),"120f01928bb6593698eaa96f46a52b5ddab649bd")</f>
        <v>120f01928bb6593698eaa96f46a52b5ddab649bd</v>
      </c>
      <c r="C85" s="33" t="str">
        <f>IFERROR(__xludf.DUMMYFUNCTION("""COMPUTED_VALUE"""),"Beggar Husband - 2")</f>
        <v>Beggar Husband - 2</v>
      </c>
      <c r="D85" s="33">
        <f>IFERROR(__xludf.DUMMYFUNCTION("""COMPUTED_VALUE"""),37.0)</f>
        <v>37</v>
      </c>
      <c r="E85" s="33">
        <f>IFERROR(__xludf.DUMMYFUNCTION("""COMPUTED_VALUE"""),35.0)</f>
        <v>35</v>
      </c>
      <c r="F85" s="33">
        <f>IFERROR(__xludf.DUMMYFUNCTION("""COMPUTED_VALUE"""),0.0)</f>
        <v>0</v>
      </c>
      <c r="G85" s="33">
        <f>IFERROR(__xludf.DUMMYFUNCTION("""COMPUTED_VALUE"""),0.0)</f>
        <v>0</v>
      </c>
      <c r="H85" s="33">
        <f>IFERROR(__xludf.DUMMYFUNCTION("""COMPUTED_VALUE"""),6.0)</f>
        <v>6</v>
      </c>
      <c r="I85" s="33">
        <f>IFERROR(__xludf.DUMMYFUNCTION("""COMPUTED_VALUE"""),0.0)</f>
        <v>0</v>
      </c>
      <c r="J85" s="33">
        <f>IFERROR(__xludf.DUMMYFUNCTION("""COMPUTED_VALUE"""),6.0)</f>
        <v>6</v>
      </c>
      <c r="K85" s="33">
        <f>IFERROR(__xludf.DUMMYFUNCTION("""COMPUTED_VALUE"""),0.0)</f>
        <v>0</v>
      </c>
      <c r="L85" s="33">
        <f>IFERROR(__xludf.DUMMYFUNCTION("""COMPUTED_VALUE"""),0.0)</f>
        <v>0</v>
      </c>
      <c r="M85" s="33">
        <f>IFERROR(__xludf.DUMMYFUNCTION("""COMPUTED_VALUE"""),16.0)</f>
        <v>16</v>
      </c>
      <c r="N85" s="33">
        <f>IFERROR(__xludf.DUMMYFUNCTION("""COMPUTED_VALUE"""),20.0)</f>
        <v>20</v>
      </c>
      <c r="O85" s="33">
        <f>IFERROR(__xludf.DUMMYFUNCTION("""COMPUTED_VALUE"""),5.0)</f>
        <v>5</v>
      </c>
      <c r="P85" s="33">
        <f>IFERROR(__xludf.DUMMYFUNCTION("""COMPUTED_VALUE"""),20.0)</f>
        <v>20</v>
      </c>
      <c r="Q85" s="33">
        <f>IFERROR(__xludf.DUMMYFUNCTION("""COMPUTED_VALUE"""),0.0)</f>
        <v>0</v>
      </c>
      <c r="R85" s="33">
        <f>IFERROR(__xludf.DUMMYFUNCTION("""COMPUTED_VALUE"""),81338.0)</f>
        <v>81338</v>
      </c>
      <c r="S85" s="33">
        <f>IFERROR(__xludf.DUMMYFUNCTION("""COMPUTED_VALUE"""),74759.0)</f>
        <v>74759</v>
      </c>
      <c r="T85" s="33">
        <f>IFERROR(__xludf.DUMMYFUNCTION("""COMPUTED_VALUE"""),0.519722222222222)</f>
        <v>0.5197222222</v>
      </c>
      <c r="U85" s="33">
        <f>IFERROR(__xludf.DUMMYFUNCTION("""COMPUTED_VALUE"""),0.0)</f>
        <v>0</v>
      </c>
      <c r="V85" s="33">
        <f>IFERROR(__xludf.DUMMYFUNCTION("""COMPUTED_VALUE"""),0.0)</f>
        <v>0</v>
      </c>
      <c r="W85" s="33">
        <f>IFERROR(__xludf.DUMMYFUNCTION("""COMPUTED_VALUE"""),1.25944444444444)</f>
        <v>1.259444444</v>
      </c>
      <c r="X85" s="33">
        <f>IFERROR(__xludf.DUMMYFUNCTION("""COMPUTED_VALUE"""),0.0)</f>
        <v>0</v>
      </c>
      <c r="Y85" s="33">
        <f>IFERROR(__xludf.DUMMYFUNCTION("""COMPUTED_VALUE"""),1.25944444444444)</f>
        <v>1.259444444</v>
      </c>
      <c r="Z85" s="33">
        <f>IFERROR(__xludf.DUMMYFUNCTION("""COMPUTED_VALUE"""),0.0)</f>
        <v>0</v>
      </c>
      <c r="AA85" s="33">
        <f>IFERROR(__xludf.DUMMYFUNCTION("""COMPUTED_VALUE"""),0.0)</f>
        <v>0</v>
      </c>
      <c r="AB85" s="33">
        <f>IFERROR(__xludf.DUMMYFUNCTION("""COMPUTED_VALUE"""),3.44)</f>
        <v>3.44</v>
      </c>
      <c r="AC85" s="33">
        <f>IFERROR(__xludf.DUMMYFUNCTION("""COMPUTED_VALUE"""),4.47666666666666)</f>
        <v>4.476666667</v>
      </c>
      <c r="AD85" s="33">
        <f>IFERROR(__xludf.DUMMYFUNCTION("""COMPUTED_VALUE"""),1.27999999999999)</f>
        <v>1.28</v>
      </c>
      <c r="AE85" s="33">
        <f>IFERROR(__xludf.DUMMYFUNCTION("""COMPUTED_VALUE"""),4.47666666666666)</f>
        <v>4.476666667</v>
      </c>
      <c r="AF85" s="33">
        <f>IFERROR(__xludf.DUMMYFUNCTION("""COMPUTED_VALUE"""),2.0)</f>
        <v>2</v>
      </c>
    </row>
    <row r="86">
      <c r="A86" s="49">
        <f>IFERROR(__xludf.DUMMYFUNCTION("""COMPUTED_VALUE"""),46132.0)</f>
        <v>46132</v>
      </c>
      <c r="B86" s="33" t="str">
        <f>IFERROR(__xludf.DUMMYFUNCTION("""COMPUTED_VALUE"""),"1b4ecb8a0d96b42675a2bbd2a9bd28ef4d28a0dd")</f>
        <v>1b4ecb8a0d96b42675a2bbd2a9bd28ef4d28a0dd</v>
      </c>
      <c r="C86" s="33" t="str">
        <f>IFERROR(__xludf.DUMMYFUNCTION("""COMPUTED_VALUE"""),"Doctor Mafia King")</f>
        <v>Doctor Mafia King</v>
      </c>
      <c r="D86" s="33">
        <f>IFERROR(__xludf.DUMMYFUNCTION("""COMPUTED_VALUE"""),0.0)</f>
        <v>0</v>
      </c>
      <c r="E86" s="33">
        <f>IFERROR(__xludf.DUMMYFUNCTION("""COMPUTED_VALUE"""),0.0)</f>
        <v>0</v>
      </c>
      <c r="F86" s="33">
        <f>IFERROR(__xludf.DUMMYFUNCTION("""COMPUTED_VALUE"""),0.0)</f>
        <v>0</v>
      </c>
      <c r="G86" s="33">
        <f>IFERROR(__xludf.DUMMYFUNCTION("""COMPUTED_VALUE"""),0.0)</f>
        <v>0</v>
      </c>
      <c r="H86" s="33">
        <f>IFERROR(__xludf.DUMMYFUNCTION("""COMPUTED_VALUE"""),0.0)</f>
        <v>0</v>
      </c>
      <c r="I86" s="33">
        <f>IFERROR(__xludf.DUMMYFUNCTION("""COMPUTED_VALUE"""),0.0)</f>
        <v>0</v>
      </c>
      <c r="J86" s="33">
        <f>IFERROR(__xludf.DUMMYFUNCTION("""COMPUTED_VALUE"""),0.0)</f>
        <v>0</v>
      </c>
      <c r="K86" s="33">
        <f>IFERROR(__xludf.DUMMYFUNCTION("""COMPUTED_VALUE"""),1.0)</f>
        <v>1</v>
      </c>
      <c r="L86" s="33">
        <f>IFERROR(__xludf.DUMMYFUNCTION("""COMPUTED_VALUE"""),7.0)</f>
        <v>7</v>
      </c>
      <c r="M86" s="33">
        <f>IFERROR(__xludf.DUMMYFUNCTION("""COMPUTED_VALUE"""),8.0)</f>
        <v>8</v>
      </c>
      <c r="N86" s="33">
        <f>IFERROR(__xludf.DUMMYFUNCTION("""COMPUTED_VALUE"""),0.0)</f>
        <v>0</v>
      </c>
      <c r="O86" s="33">
        <f>IFERROR(__xludf.DUMMYFUNCTION("""COMPUTED_VALUE"""),0.0)</f>
        <v>0</v>
      </c>
      <c r="P86" s="33">
        <f>IFERROR(__xludf.DUMMYFUNCTION("""COMPUTED_VALUE"""),0.0)</f>
        <v>0</v>
      </c>
      <c r="Q86" s="33">
        <f>IFERROR(__xludf.DUMMYFUNCTION("""COMPUTED_VALUE"""),0.0)</f>
        <v>0</v>
      </c>
      <c r="R86" s="33">
        <f>IFERROR(__xludf.DUMMYFUNCTION("""COMPUTED_VALUE"""),0.0)</f>
        <v>0</v>
      </c>
      <c r="S86" s="33">
        <f>IFERROR(__xludf.DUMMYFUNCTION("""COMPUTED_VALUE"""),0.0)</f>
        <v>0</v>
      </c>
      <c r="T86" s="33">
        <f>IFERROR(__xludf.DUMMYFUNCTION("""COMPUTED_VALUE"""),0.0)</f>
        <v>0</v>
      </c>
      <c r="U86" s="33">
        <f>IFERROR(__xludf.DUMMYFUNCTION("""COMPUTED_VALUE"""),0.0)</f>
        <v>0</v>
      </c>
      <c r="V86" s="33">
        <f>IFERROR(__xludf.DUMMYFUNCTION("""COMPUTED_VALUE"""),0.0)</f>
        <v>0</v>
      </c>
      <c r="W86" s="33">
        <f>IFERROR(__xludf.DUMMYFUNCTION("""COMPUTED_VALUE"""),0.0)</f>
        <v>0</v>
      </c>
      <c r="X86" s="33">
        <f>IFERROR(__xludf.DUMMYFUNCTION("""COMPUTED_VALUE"""),0.0)</f>
        <v>0</v>
      </c>
      <c r="Y86" s="33">
        <f>IFERROR(__xludf.DUMMYFUNCTION("""COMPUTED_VALUE"""),0.0)</f>
        <v>0</v>
      </c>
      <c r="Z86" s="33">
        <f>IFERROR(__xludf.DUMMYFUNCTION("""COMPUTED_VALUE"""),0.128888888888888)</f>
        <v>0.1288888889</v>
      </c>
      <c r="AA86" s="33">
        <f>IFERROR(__xludf.DUMMYFUNCTION("""COMPUTED_VALUE"""),1.02833333333333)</f>
        <v>1.028333333</v>
      </c>
      <c r="AB86" s="33">
        <f>IFERROR(__xludf.DUMMYFUNCTION("""COMPUTED_VALUE"""),1.16361111111111)</f>
        <v>1.163611111</v>
      </c>
      <c r="AC86" s="33">
        <f>IFERROR(__xludf.DUMMYFUNCTION("""COMPUTED_VALUE"""),0.0)</f>
        <v>0</v>
      </c>
      <c r="AD86" s="33">
        <f>IFERROR(__xludf.DUMMYFUNCTION("""COMPUTED_VALUE"""),0.0)</f>
        <v>0</v>
      </c>
      <c r="AE86" s="33">
        <f>IFERROR(__xludf.DUMMYFUNCTION("""COMPUTED_VALUE"""),0.0)</f>
        <v>0</v>
      </c>
      <c r="AF86" s="33">
        <f>IFERROR(__xludf.DUMMYFUNCTION("""COMPUTED_VALUE"""),0.0)</f>
        <v>0</v>
      </c>
    </row>
    <row r="87">
      <c r="A87" s="49">
        <f>IFERROR(__xludf.DUMMYFUNCTION("""COMPUTED_VALUE"""),46132.0)</f>
        <v>46132</v>
      </c>
      <c r="B87" s="33" t="str">
        <f>IFERROR(__xludf.DUMMYFUNCTION("""COMPUTED_VALUE"""),"2549f1505a3739b3e90a0b63921ad55271440d40")</f>
        <v>2549f1505a3739b3e90a0b63921ad55271440d40</v>
      </c>
      <c r="C87" s="33" t="str">
        <f>IFERROR(__xludf.DUMMYFUNCTION("""COMPUTED_VALUE"""),"Reborn in Martial World ")</f>
        <v>Reborn in Martial World </v>
      </c>
      <c r="D87" s="33">
        <f>IFERROR(__xludf.DUMMYFUNCTION("""COMPUTED_VALUE"""),0.0)</f>
        <v>0</v>
      </c>
      <c r="E87" s="33">
        <f>IFERROR(__xludf.DUMMYFUNCTION("""COMPUTED_VALUE"""),110.0)</f>
        <v>110</v>
      </c>
      <c r="F87" s="33">
        <f>IFERROR(__xludf.DUMMYFUNCTION("""COMPUTED_VALUE"""),0.0)</f>
        <v>0</v>
      </c>
      <c r="G87" s="33">
        <f>IFERROR(__xludf.DUMMYFUNCTION("""COMPUTED_VALUE"""),0.0)</f>
        <v>0</v>
      </c>
      <c r="H87" s="33">
        <f>IFERROR(__xludf.DUMMYFUNCTION("""COMPUTED_VALUE"""),0.0)</f>
        <v>0</v>
      </c>
      <c r="I87" s="33">
        <f>IFERROR(__xludf.DUMMYFUNCTION("""COMPUTED_VALUE"""),0.0)</f>
        <v>0</v>
      </c>
      <c r="J87" s="33">
        <f>IFERROR(__xludf.DUMMYFUNCTION("""COMPUTED_VALUE"""),0.0)</f>
        <v>0</v>
      </c>
      <c r="K87" s="33">
        <f>IFERROR(__xludf.DUMMYFUNCTION("""COMPUTED_VALUE"""),0.0)</f>
        <v>0</v>
      </c>
      <c r="L87" s="33">
        <f>IFERROR(__xludf.DUMMYFUNCTION("""COMPUTED_VALUE"""),0.0)</f>
        <v>0</v>
      </c>
      <c r="M87" s="33">
        <f>IFERROR(__xludf.DUMMYFUNCTION("""COMPUTED_VALUE"""),0.0)</f>
        <v>0</v>
      </c>
      <c r="N87" s="33">
        <f>IFERROR(__xludf.DUMMYFUNCTION("""COMPUTED_VALUE"""),110.0)</f>
        <v>110</v>
      </c>
      <c r="O87" s="33">
        <f>IFERROR(__xludf.DUMMYFUNCTION("""COMPUTED_VALUE"""),3.0)</f>
        <v>3</v>
      </c>
      <c r="P87" s="33">
        <f>IFERROR(__xludf.DUMMYFUNCTION("""COMPUTED_VALUE"""),110.0)</f>
        <v>110</v>
      </c>
      <c r="Q87" s="33">
        <f>IFERROR(__xludf.DUMMYFUNCTION("""COMPUTED_VALUE"""),0.0)</f>
        <v>0</v>
      </c>
      <c r="R87" s="33">
        <f>IFERROR(__xludf.DUMMYFUNCTION("""COMPUTED_VALUE"""),0.0)</f>
        <v>0</v>
      </c>
      <c r="S87" s="33">
        <f>IFERROR(__xludf.DUMMYFUNCTION("""COMPUTED_VALUE"""),226170.0)</f>
        <v>226170</v>
      </c>
      <c r="T87" s="33">
        <f>IFERROR(__xludf.DUMMYFUNCTION("""COMPUTED_VALUE"""),0.0)</f>
        <v>0</v>
      </c>
      <c r="U87" s="33">
        <f>IFERROR(__xludf.DUMMYFUNCTION("""COMPUTED_VALUE"""),0.0)</f>
        <v>0</v>
      </c>
      <c r="V87" s="33">
        <f>IFERROR(__xludf.DUMMYFUNCTION("""COMPUTED_VALUE"""),0.0)</f>
        <v>0</v>
      </c>
      <c r="W87" s="33">
        <f>IFERROR(__xludf.DUMMYFUNCTION("""COMPUTED_VALUE"""),0.0)</f>
        <v>0</v>
      </c>
      <c r="X87" s="33">
        <f>IFERROR(__xludf.DUMMYFUNCTION("""COMPUTED_VALUE"""),0.0)</f>
        <v>0</v>
      </c>
      <c r="Y87" s="33">
        <f>IFERROR(__xludf.DUMMYFUNCTION("""COMPUTED_VALUE"""),0.0)</f>
        <v>0</v>
      </c>
      <c r="Z87" s="33">
        <f>IFERROR(__xludf.DUMMYFUNCTION("""COMPUTED_VALUE"""),0.0)</f>
        <v>0</v>
      </c>
      <c r="AA87" s="33">
        <f>IFERROR(__xludf.DUMMYFUNCTION("""COMPUTED_VALUE"""),0.0)</f>
        <v>0</v>
      </c>
      <c r="AB87" s="33">
        <f>IFERROR(__xludf.DUMMYFUNCTION("""COMPUTED_VALUE"""),0.0)</f>
        <v>0</v>
      </c>
      <c r="AC87" s="33">
        <f>IFERROR(__xludf.DUMMYFUNCTION("""COMPUTED_VALUE"""),30.8680555555555)</f>
        <v>30.86805556</v>
      </c>
      <c r="AD87" s="33">
        <f>IFERROR(__xludf.DUMMYFUNCTION("""COMPUTED_VALUE"""),0.623611111111111)</f>
        <v>0.6236111111</v>
      </c>
      <c r="AE87" s="33">
        <f>IFERROR(__xludf.DUMMYFUNCTION("""COMPUTED_VALUE"""),30.8680555555555)</f>
        <v>30.86805556</v>
      </c>
      <c r="AF87" s="33">
        <f>IFERROR(__xludf.DUMMYFUNCTION("""COMPUTED_VALUE"""),0.0)</f>
        <v>0</v>
      </c>
    </row>
    <row r="88">
      <c r="A88" s="49">
        <f>IFERROR(__xludf.DUMMYFUNCTION("""COMPUTED_VALUE"""),46132.0)</f>
        <v>46132</v>
      </c>
      <c r="B88" s="33" t="str">
        <f>IFERROR(__xludf.DUMMYFUNCTION("""COMPUTED_VALUE"""),"2f705add1a4571e3dcc4eb1426edfaa372c9cee8")</f>
        <v>2f705add1a4571e3dcc4eb1426edfaa372c9cee8</v>
      </c>
      <c r="C88" s="33" t="str">
        <f>IFERROR(__xludf.DUMMYFUNCTION("""COMPUTED_VALUE"""),"Beggar Husband - Production Show_id")</f>
        <v>Beggar Husband - Production Show_id</v>
      </c>
      <c r="D88" s="33">
        <f>IFERROR(__xludf.DUMMYFUNCTION("""COMPUTED_VALUE"""),6.0)</f>
        <v>6</v>
      </c>
      <c r="E88" s="33">
        <f>IFERROR(__xludf.DUMMYFUNCTION("""COMPUTED_VALUE"""),12.0)</f>
        <v>12</v>
      </c>
      <c r="F88" s="33">
        <f>IFERROR(__xludf.DUMMYFUNCTION("""COMPUTED_VALUE"""),9.0)</f>
        <v>9</v>
      </c>
      <c r="G88" s="33">
        <f>IFERROR(__xludf.DUMMYFUNCTION("""COMPUTED_VALUE"""),8.0)</f>
        <v>8</v>
      </c>
      <c r="H88" s="33">
        <f>IFERROR(__xludf.DUMMYFUNCTION("""COMPUTED_VALUE"""),12.0)</f>
        <v>12</v>
      </c>
      <c r="I88" s="33">
        <f>IFERROR(__xludf.DUMMYFUNCTION("""COMPUTED_VALUE"""),4.0)</f>
        <v>4</v>
      </c>
      <c r="J88" s="33">
        <f>IFERROR(__xludf.DUMMYFUNCTION("""COMPUTED_VALUE"""),12.0)</f>
        <v>12</v>
      </c>
      <c r="K88" s="33">
        <f>IFERROR(__xludf.DUMMYFUNCTION("""COMPUTED_VALUE"""),1.0)</f>
        <v>1</v>
      </c>
      <c r="L88" s="33">
        <f>IFERROR(__xludf.DUMMYFUNCTION("""COMPUTED_VALUE"""),1.0)</f>
        <v>1</v>
      </c>
      <c r="M88" s="33">
        <f>IFERROR(__xludf.DUMMYFUNCTION("""COMPUTED_VALUE"""),12.0)</f>
        <v>12</v>
      </c>
      <c r="N88" s="33">
        <f>IFERROR(__xludf.DUMMYFUNCTION("""COMPUTED_VALUE"""),11.0)</f>
        <v>11</v>
      </c>
      <c r="O88" s="33">
        <f>IFERROR(__xludf.DUMMYFUNCTION("""COMPUTED_VALUE"""),5.0)</f>
        <v>5</v>
      </c>
      <c r="P88" s="33">
        <f>IFERROR(__xludf.DUMMYFUNCTION("""COMPUTED_VALUE"""),11.0)</f>
        <v>11</v>
      </c>
      <c r="Q88" s="33">
        <f>IFERROR(__xludf.DUMMYFUNCTION("""COMPUTED_VALUE"""),0.0)</f>
        <v>0</v>
      </c>
      <c r="R88" s="33">
        <f>IFERROR(__xludf.DUMMYFUNCTION("""COMPUTED_VALUE"""),13041.0)</f>
        <v>13041</v>
      </c>
      <c r="S88" s="33">
        <f>IFERROR(__xludf.DUMMYFUNCTION("""COMPUTED_VALUE"""),26566.0)</f>
        <v>26566</v>
      </c>
      <c r="T88" s="33">
        <f>IFERROR(__xludf.DUMMYFUNCTION("""COMPUTED_VALUE"""),1.71749999999999)</f>
        <v>1.7175</v>
      </c>
      <c r="U88" s="33">
        <f>IFERROR(__xludf.DUMMYFUNCTION("""COMPUTED_VALUE"""),1.93416666666666)</f>
        <v>1.934166667</v>
      </c>
      <c r="V88" s="33">
        <f>IFERROR(__xludf.DUMMYFUNCTION("""COMPUTED_VALUE"""),1.71138888888888)</f>
        <v>1.711388889</v>
      </c>
      <c r="W88" s="33">
        <f>IFERROR(__xludf.DUMMYFUNCTION("""COMPUTED_VALUE"""),2.56388888888888)</f>
        <v>2.563888889</v>
      </c>
      <c r="X88" s="33">
        <f>IFERROR(__xludf.DUMMYFUNCTION("""COMPUTED_VALUE"""),0.852499999999999)</f>
        <v>0.8525</v>
      </c>
      <c r="Y88" s="33">
        <f>IFERROR(__xludf.DUMMYFUNCTION("""COMPUTED_VALUE"""),2.56277777777777)</f>
        <v>2.562777778</v>
      </c>
      <c r="Z88" s="33">
        <f>IFERROR(__xludf.DUMMYFUNCTION("""COMPUTED_VALUE"""),0.211944444444444)</f>
        <v>0.2119444444</v>
      </c>
      <c r="AA88" s="33">
        <f>IFERROR(__xludf.DUMMYFUNCTION("""COMPUTED_VALUE"""),0.211944444444444)</f>
        <v>0.2119444444</v>
      </c>
      <c r="AB88" s="33">
        <f>IFERROR(__xludf.DUMMYFUNCTION("""COMPUTED_VALUE"""),2.56222222222222)</f>
        <v>2.562222222</v>
      </c>
      <c r="AC88" s="33">
        <f>IFERROR(__xludf.DUMMYFUNCTION("""COMPUTED_VALUE"""),2.35777777777777)</f>
        <v>2.357777778</v>
      </c>
      <c r="AD88" s="33">
        <f>IFERROR(__xludf.DUMMYFUNCTION("""COMPUTED_VALUE"""),1.12833333333333)</f>
        <v>1.128333333</v>
      </c>
      <c r="AE88" s="33">
        <f>IFERROR(__xludf.DUMMYFUNCTION("""COMPUTED_VALUE"""),2.35777777777777)</f>
        <v>2.357777778</v>
      </c>
      <c r="AF88" s="33">
        <f>IFERROR(__xludf.DUMMYFUNCTION("""COMPUTED_VALUE"""),8.0)</f>
        <v>8</v>
      </c>
    </row>
    <row r="89">
      <c r="A89" s="49">
        <f>IFERROR(__xludf.DUMMYFUNCTION("""COMPUTED_VALUE"""),46132.0)</f>
        <v>46132</v>
      </c>
      <c r="B89" s="33" t="str">
        <f>IFERROR(__xludf.DUMMYFUNCTION("""COMPUTED_VALUE"""),"37e68193f879e91ec362f75f4b46511110658e2b")</f>
        <v>37e68193f879e91ec362f75f4b46511110658e2b</v>
      </c>
      <c r="C89" s="33" t="str">
        <f>IFERROR(__xludf.DUMMYFUNCTION("""COMPUTED_VALUE"""),"Shiva : Ek Pretyodha")</f>
        <v>Shiva : Ek Pretyodha</v>
      </c>
      <c r="D89" s="33">
        <f>IFERROR(__xludf.DUMMYFUNCTION("""COMPUTED_VALUE"""),0.0)</f>
        <v>0</v>
      </c>
      <c r="E89" s="33">
        <f>IFERROR(__xludf.DUMMYFUNCTION("""COMPUTED_VALUE"""),0.0)</f>
        <v>0</v>
      </c>
      <c r="F89" s="33">
        <f>IFERROR(__xludf.DUMMYFUNCTION("""COMPUTED_VALUE"""),0.0)</f>
        <v>0</v>
      </c>
      <c r="G89" s="33">
        <f>IFERROR(__xludf.DUMMYFUNCTION("""COMPUTED_VALUE"""),0.0)</f>
        <v>0</v>
      </c>
      <c r="H89" s="33">
        <f>IFERROR(__xludf.DUMMYFUNCTION("""COMPUTED_VALUE"""),0.0)</f>
        <v>0</v>
      </c>
      <c r="I89" s="33">
        <f>IFERROR(__xludf.DUMMYFUNCTION("""COMPUTED_VALUE"""),0.0)</f>
        <v>0</v>
      </c>
      <c r="J89" s="33">
        <f>IFERROR(__xludf.DUMMYFUNCTION("""COMPUTED_VALUE"""),0.0)</f>
        <v>0</v>
      </c>
      <c r="K89" s="33">
        <f>IFERROR(__xludf.DUMMYFUNCTION("""COMPUTED_VALUE"""),0.0)</f>
        <v>0</v>
      </c>
      <c r="L89" s="33">
        <f>IFERROR(__xludf.DUMMYFUNCTION("""COMPUTED_VALUE"""),0.0)</f>
        <v>0</v>
      </c>
      <c r="M89" s="33">
        <f>IFERROR(__xludf.DUMMYFUNCTION("""COMPUTED_VALUE"""),0.0)</f>
        <v>0</v>
      </c>
      <c r="N89" s="33">
        <f>IFERROR(__xludf.DUMMYFUNCTION("""COMPUTED_VALUE"""),1.0)</f>
        <v>1</v>
      </c>
      <c r="O89" s="33">
        <f>IFERROR(__xludf.DUMMYFUNCTION("""COMPUTED_VALUE"""),29.0)</f>
        <v>29</v>
      </c>
      <c r="P89" s="33">
        <f>IFERROR(__xludf.DUMMYFUNCTION("""COMPUTED_VALUE"""),26.0)</f>
        <v>26</v>
      </c>
      <c r="Q89" s="33">
        <f>IFERROR(__xludf.DUMMYFUNCTION("""COMPUTED_VALUE"""),0.0)</f>
        <v>0</v>
      </c>
      <c r="R89" s="33">
        <f>IFERROR(__xludf.DUMMYFUNCTION("""COMPUTED_VALUE"""),0.0)</f>
        <v>0</v>
      </c>
      <c r="S89" s="33">
        <f>IFERROR(__xludf.DUMMYFUNCTION("""COMPUTED_VALUE"""),0.0)</f>
        <v>0</v>
      </c>
      <c r="T89" s="33">
        <f>IFERROR(__xludf.DUMMYFUNCTION("""COMPUTED_VALUE"""),0.0)</f>
        <v>0</v>
      </c>
      <c r="U89" s="33">
        <f>IFERROR(__xludf.DUMMYFUNCTION("""COMPUTED_VALUE"""),0.0)</f>
        <v>0</v>
      </c>
      <c r="V89" s="33">
        <f>IFERROR(__xludf.DUMMYFUNCTION("""COMPUTED_VALUE"""),0.0)</f>
        <v>0</v>
      </c>
      <c r="W89" s="33">
        <f>IFERROR(__xludf.DUMMYFUNCTION("""COMPUTED_VALUE"""),0.0)</f>
        <v>0</v>
      </c>
      <c r="X89" s="33">
        <f>IFERROR(__xludf.DUMMYFUNCTION("""COMPUTED_VALUE"""),0.0)</f>
        <v>0</v>
      </c>
      <c r="Y89" s="33">
        <f>IFERROR(__xludf.DUMMYFUNCTION("""COMPUTED_VALUE"""),0.0)</f>
        <v>0</v>
      </c>
      <c r="Z89" s="33">
        <f>IFERROR(__xludf.DUMMYFUNCTION("""COMPUTED_VALUE"""),0.0)</f>
        <v>0</v>
      </c>
      <c r="AA89" s="33">
        <f>IFERROR(__xludf.DUMMYFUNCTION("""COMPUTED_VALUE"""),0.0)</f>
        <v>0</v>
      </c>
      <c r="AB89" s="33">
        <f>IFERROR(__xludf.DUMMYFUNCTION("""COMPUTED_VALUE"""),0.0)</f>
        <v>0</v>
      </c>
      <c r="AC89" s="33">
        <f>IFERROR(__xludf.DUMMYFUNCTION("""COMPUTED_VALUE"""),0.0)</f>
        <v>0</v>
      </c>
      <c r="AD89" s="33">
        <f>IFERROR(__xludf.DUMMYFUNCTION("""COMPUTED_VALUE"""),2.70111111111111)</f>
        <v>2.701111111</v>
      </c>
      <c r="AE89" s="33">
        <f>IFERROR(__xludf.DUMMYFUNCTION("""COMPUTED_VALUE"""),2.32694444444444)</f>
        <v>2.326944444</v>
      </c>
      <c r="AF89" s="33">
        <f>IFERROR(__xludf.DUMMYFUNCTION("""COMPUTED_VALUE"""),0.0)</f>
        <v>0</v>
      </c>
    </row>
    <row r="90">
      <c r="A90" s="49">
        <f>IFERROR(__xludf.DUMMYFUNCTION("""COMPUTED_VALUE"""),46132.0)</f>
        <v>46132</v>
      </c>
      <c r="B90" s="33" t="str">
        <f>IFERROR(__xludf.DUMMYFUNCTION("""COMPUTED_VALUE"""),"394d109f7b50d9a46fb591dbaaba2d0aac90a696")</f>
        <v>394d109f7b50d9a46fb591dbaaba2d0aac90a696</v>
      </c>
      <c r="C90" s="33" t="str">
        <f>IFERROR(__xludf.DUMMYFUNCTION("""COMPUTED_VALUE"""),"Empire of Hidden King (SRGJ) - Production Show_id")</f>
        <v>Empire of Hidden King (SRGJ) - Production Show_id</v>
      </c>
      <c r="D90" s="33">
        <f>IFERROR(__xludf.DUMMYFUNCTION("""COMPUTED_VALUE"""),3.0)</f>
        <v>3</v>
      </c>
      <c r="E90" s="33">
        <f>IFERROR(__xludf.DUMMYFUNCTION("""COMPUTED_VALUE"""),4.0)</f>
        <v>4</v>
      </c>
      <c r="F90" s="33">
        <f>IFERROR(__xludf.DUMMYFUNCTION("""COMPUTED_VALUE"""),3.0)</f>
        <v>3</v>
      </c>
      <c r="G90" s="33">
        <f>IFERROR(__xludf.DUMMYFUNCTION("""COMPUTED_VALUE"""),3.0)</f>
        <v>3</v>
      </c>
      <c r="H90" s="33">
        <f>IFERROR(__xludf.DUMMYFUNCTION("""COMPUTED_VALUE"""),5.0)</f>
        <v>5</v>
      </c>
      <c r="I90" s="33">
        <f>IFERROR(__xludf.DUMMYFUNCTION("""COMPUTED_VALUE"""),2.0)</f>
        <v>2</v>
      </c>
      <c r="J90" s="33">
        <f>IFERROR(__xludf.DUMMYFUNCTION("""COMPUTED_VALUE"""),5.0)</f>
        <v>5</v>
      </c>
      <c r="K90" s="33">
        <f>IFERROR(__xludf.DUMMYFUNCTION("""COMPUTED_VALUE"""),5.0)</f>
        <v>5</v>
      </c>
      <c r="L90" s="33">
        <f>IFERROR(__xludf.DUMMYFUNCTION("""COMPUTED_VALUE"""),0.0)</f>
        <v>0</v>
      </c>
      <c r="M90" s="33">
        <f>IFERROR(__xludf.DUMMYFUNCTION("""COMPUTED_VALUE"""),4.0)</f>
        <v>4</v>
      </c>
      <c r="N90" s="33">
        <f>IFERROR(__xludf.DUMMYFUNCTION("""COMPUTED_VALUE"""),0.0)</f>
        <v>0</v>
      </c>
      <c r="O90" s="33">
        <f>IFERROR(__xludf.DUMMYFUNCTION("""COMPUTED_VALUE"""),5.0)</f>
        <v>5</v>
      </c>
      <c r="P90" s="33">
        <f>IFERROR(__xludf.DUMMYFUNCTION("""COMPUTED_VALUE"""),0.0)</f>
        <v>0</v>
      </c>
      <c r="Q90" s="33">
        <f>IFERROR(__xludf.DUMMYFUNCTION("""COMPUTED_VALUE"""),0.0)</f>
        <v>0</v>
      </c>
      <c r="R90" s="33">
        <f>IFERROR(__xludf.DUMMYFUNCTION("""COMPUTED_VALUE"""),7000.0)</f>
        <v>7000</v>
      </c>
      <c r="S90" s="33">
        <f>IFERROR(__xludf.DUMMYFUNCTION("""COMPUTED_VALUE"""),9086.0)</f>
        <v>9086</v>
      </c>
      <c r="T90" s="33">
        <f>IFERROR(__xludf.DUMMYFUNCTION("""COMPUTED_VALUE"""),1.14194444444444)</f>
        <v>1.141944444</v>
      </c>
      <c r="U90" s="33">
        <f>IFERROR(__xludf.DUMMYFUNCTION("""COMPUTED_VALUE"""),0.688888888888888)</f>
        <v>0.6888888889</v>
      </c>
      <c r="V90" s="33">
        <f>IFERROR(__xludf.DUMMYFUNCTION("""COMPUTED_VALUE"""),0.690555555555555)</f>
        <v>0.6905555556</v>
      </c>
      <c r="W90" s="33">
        <f>IFERROR(__xludf.DUMMYFUNCTION("""COMPUTED_VALUE"""),1.14361111111111)</f>
        <v>1.143611111</v>
      </c>
      <c r="X90" s="33">
        <f>IFERROR(__xludf.DUMMYFUNCTION("""COMPUTED_VALUE"""),0.453055555555555)</f>
        <v>0.4530555556</v>
      </c>
      <c r="Y90" s="33">
        <f>IFERROR(__xludf.DUMMYFUNCTION("""COMPUTED_VALUE"""),1.145)</f>
        <v>1.145</v>
      </c>
      <c r="Z90" s="33">
        <f>IFERROR(__xludf.DUMMYFUNCTION("""COMPUTED_VALUE"""),1.145)</f>
        <v>1.145</v>
      </c>
      <c r="AA90" s="33">
        <f>IFERROR(__xludf.DUMMYFUNCTION("""COMPUTED_VALUE"""),0.0)</f>
        <v>0</v>
      </c>
      <c r="AB90" s="33">
        <f>IFERROR(__xludf.DUMMYFUNCTION("""COMPUTED_VALUE"""),0.890277777777777)</f>
        <v>0.8902777778</v>
      </c>
      <c r="AC90" s="33">
        <f>IFERROR(__xludf.DUMMYFUNCTION("""COMPUTED_VALUE"""),0.0)</f>
        <v>0</v>
      </c>
      <c r="AD90" s="33">
        <f>IFERROR(__xludf.DUMMYFUNCTION("""COMPUTED_VALUE"""),1.3375)</f>
        <v>1.3375</v>
      </c>
      <c r="AE90" s="33">
        <f>IFERROR(__xludf.DUMMYFUNCTION("""COMPUTED_VALUE"""),0.0)</f>
        <v>0</v>
      </c>
      <c r="AF90" s="33">
        <f>IFERROR(__xludf.DUMMYFUNCTION("""COMPUTED_VALUE"""),5.0)</f>
        <v>5</v>
      </c>
    </row>
    <row r="91">
      <c r="A91" s="49">
        <f>IFERROR(__xludf.DUMMYFUNCTION("""COMPUTED_VALUE"""),46132.0)</f>
        <v>46132</v>
      </c>
      <c r="B91" s="33" t="str">
        <f>IFERROR(__xludf.DUMMYFUNCTION("""COMPUTED_VALUE"""),"4c7fcc2bad9d3ae4744be2bd73cd8a625a0277d5")</f>
        <v>4c7fcc2bad9d3ae4744be2bd73cd8a625a0277d5</v>
      </c>
      <c r="C91" s="33" t="str">
        <f>IFERROR(__xludf.DUMMYFUNCTION("""COMPUTED_VALUE"""),"Malang - Production Id")</f>
        <v>Malang - Production Id</v>
      </c>
      <c r="D91" s="33">
        <f>IFERROR(__xludf.DUMMYFUNCTION("""COMPUTED_VALUE"""),7.0)</f>
        <v>7</v>
      </c>
      <c r="E91" s="33">
        <f>IFERROR(__xludf.DUMMYFUNCTION("""COMPUTED_VALUE"""),7.0)</f>
        <v>7</v>
      </c>
      <c r="F91" s="33">
        <f>IFERROR(__xludf.DUMMYFUNCTION("""COMPUTED_VALUE"""),0.0)</f>
        <v>0</v>
      </c>
      <c r="G91" s="33">
        <f>IFERROR(__xludf.DUMMYFUNCTION("""COMPUTED_VALUE"""),0.0)</f>
        <v>0</v>
      </c>
      <c r="H91" s="33">
        <f>IFERROR(__xludf.DUMMYFUNCTION("""COMPUTED_VALUE"""),1.0)</f>
        <v>1</v>
      </c>
      <c r="I91" s="33">
        <f>IFERROR(__xludf.DUMMYFUNCTION("""COMPUTED_VALUE"""),0.0)</f>
        <v>0</v>
      </c>
      <c r="J91" s="33">
        <f>IFERROR(__xludf.DUMMYFUNCTION("""COMPUTED_VALUE"""),1.0)</f>
        <v>1</v>
      </c>
      <c r="K91" s="33">
        <f>IFERROR(__xludf.DUMMYFUNCTION("""COMPUTED_VALUE"""),2.0)</f>
        <v>2</v>
      </c>
      <c r="L91" s="33">
        <f>IFERROR(__xludf.DUMMYFUNCTION("""COMPUTED_VALUE"""),0.0)</f>
        <v>0</v>
      </c>
      <c r="M91" s="33">
        <f>IFERROR(__xludf.DUMMYFUNCTION("""COMPUTED_VALUE"""),0.0)</f>
        <v>0</v>
      </c>
      <c r="N91" s="33">
        <f>IFERROR(__xludf.DUMMYFUNCTION("""COMPUTED_VALUE"""),7.0)</f>
        <v>7</v>
      </c>
      <c r="O91" s="33">
        <f>IFERROR(__xludf.DUMMYFUNCTION("""COMPUTED_VALUE"""),0.0)</f>
        <v>0</v>
      </c>
      <c r="P91" s="33">
        <f>IFERROR(__xludf.DUMMYFUNCTION("""COMPUTED_VALUE"""),7.0)</f>
        <v>7</v>
      </c>
      <c r="Q91" s="33">
        <f>IFERROR(__xludf.DUMMYFUNCTION("""COMPUTED_VALUE"""),0.0)</f>
        <v>0</v>
      </c>
      <c r="R91" s="33">
        <f>IFERROR(__xludf.DUMMYFUNCTION("""COMPUTED_VALUE"""),13628.0)</f>
        <v>13628</v>
      </c>
      <c r="S91" s="33">
        <f>IFERROR(__xludf.DUMMYFUNCTION("""COMPUTED_VALUE"""),13628.0)</f>
        <v>13628</v>
      </c>
      <c r="T91" s="33">
        <f>IFERROR(__xludf.DUMMYFUNCTION("""COMPUTED_VALUE"""),0.0)</f>
        <v>0</v>
      </c>
      <c r="U91" s="33">
        <f>IFERROR(__xludf.DUMMYFUNCTION("""COMPUTED_VALUE"""),0.0)</f>
        <v>0</v>
      </c>
      <c r="V91" s="33">
        <f>IFERROR(__xludf.DUMMYFUNCTION("""COMPUTED_VALUE"""),0.0)</f>
        <v>0</v>
      </c>
      <c r="W91" s="33">
        <f>IFERROR(__xludf.DUMMYFUNCTION("""COMPUTED_VALUE"""),0.197777777777777)</f>
        <v>0.1977777778</v>
      </c>
      <c r="X91" s="33">
        <f>IFERROR(__xludf.DUMMYFUNCTION("""COMPUTED_VALUE"""),0.0)</f>
        <v>0</v>
      </c>
      <c r="Y91" s="33">
        <f>IFERROR(__xludf.DUMMYFUNCTION("""COMPUTED_VALUE"""),0.197777777777777)</f>
        <v>0.1977777778</v>
      </c>
      <c r="Z91" s="33">
        <f>IFERROR(__xludf.DUMMYFUNCTION("""COMPUTED_VALUE"""),0.393888888888888)</f>
        <v>0.3938888889</v>
      </c>
      <c r="AA91" s="33">
        <f>IFERROR(__xludf.DUMMYFUNCTION("""COMPUTED_VALUE"""),0.0)</f>
        <v>0</v>
      </c>
      <c r="AB91" s="33">
        <f>IFERROR(__xludf.DUMMYFUNCTION("""COMPUTED_VALUE"""),0.0)</f>
        <v>0</v>
      </c>
      <c r="AC91" s="33">
        <f>IFERROR(__xludf.DUMMYFUNCTION("""COMPUTED_VALUE"""),1.34611111111111)</f>
        <v>1.346111111</v>
      </c>
      <c r="AD91" s="33">
        <f>IFERROR(__xludf.DUMMYFUNCTION("""COMPUTED_VALUE"""),0.0)</f>
        <v>0</v>
      </c>
      <c r="AE91" s="33">
        <f>IFERROR(__xludf.DUMMYFUNCTION("""COMPUTED_VALUE"""),1.34611111111111)</f>
        <v>1.346111111</v>
      </c>
      <c r="AF91" s="33">
        <f>IFERROR(__xludf.DUMMYFUNCTION("""COMPUTED_VALUE"""),0.0)</f>
        <v>0</v>
      </c>
    </row>
    <row r="92">
      <c r="A92" s="49">
        <f>IFERROR(__xludf.DUMMYFUNCTION("""COMPUTED_VALUE"""),46132.0)</f>
        <v>46132</v>
      </c>
      <c r="B92" s="33" t="str">
        <f>IFERROR(__xludf.DUMMYFUNCTION("""COMPUTED_VALUE"""),"5066c0736f9e9444f2b4da840d6860b1f7f47d11")</f>
        <v>5066c0736f9e9444f2b4da840d6860b1f7f47d11</v>
      </c>
      <c r="C92" s="33" t="str">
        <f>IFERROR(__xludf.DUMMYFUNCTION("""COMPUTED_VALUE"""),"The Warrior | Author - Dayaram Prajapati - Replica (For Production Only)")</f>
        <v>The Warrior | Author - Dayaram Prajapati - Replica (For Production Only)</v>
      </c>
      <c r="D92" s="33">
        <f>IFERROR(__xludf.DUMMYFUNCTION("""COMPUTED_VALUE"""),27.0)</f>
        <v>27</v>
      </c>
      <c r="E92" s="33">
        <f>IFERROR(__xludf.DUMMYFUNCTION("""COMPUTED_VALUE"""),23.0)</f>
        <v>23</v>
      </c>
      <c r="F92" s="33">
        <f>IFERROR(__xludf.DUMMYFUNCTION("""COMPUTED_VALUE"""),22.0)</f>
        <v>22</v>
      </c>
      <c r="G92" s="33">
        <f>IFERROR(__xludf.DUMMYFUNCTION("""COMPUTED_VALUE"""),22.0)</f>
        <v>22</v>
      </c>
      <c r="H92" s="33">
        <f>IFERROR(__xludf.DUMMYFUNCTION("""COMPUTED_VALUE"""),22.0)</f>
        <v>22</v>
      </c>
      <c r="I92" s="33">
        <f>IFERROR(__xludf.DUMMYFUNCTION("""COMPUTED_VALUE"""),0.0)</f>
        <v>0</v>
      </c>
      <c r="J92" s="33">
        <f>IFERROR(__xludf.DUMMYFUNCTION("""COMPUTED_VALUE"""),23.0)</f>
        <v>23</v>
      </c>
      <c r="K92" s="33">
        <f>IFERROR(__xludf.DUMMYFUNCTION("""COMPUTED_VALUE"""),4.0)</f>
        <v>4</v>
      </c>
      <c r="L92" s="33">
        <f>IFERROR(__xludf.DUMMYFUNCTION("""COMPUTED_VALUE"""),4.0)</f>
        <v>4</v>
      </c>
      <c r="M92" s="33">
        <f>IFERROR(__xludf.DUMMYFUNCTION("""COMPUTED_VALUE"""),17.0)</f>
        <v>17</v>
      </c>
      <c r="N92" s="33">
        <f>IFERROR(__xludf.DUMMYFUNCTION("""COMPUTED_VALUE"""),25.0)</f>
        <v>25</v>
      </c>
      <c r="O92" s="33">
        <f>IFERROR(__xludf.DUMMYFUNCTION("""COMPUTED_VALUE"""),7.0)</f>
        <v>7</v>
      </c>
      <c r="P92" s="33">
        <f>IFERROR(__xludf.DUMMYFUNCTION("""COMPUTED_VALUE"""),25.0)</f>
        <v>25</v>
      </c>
      <c r="Q92" s="33">
        <f>IFERROR(__xludf.DUMMYFUNCTION("""COMPUTED_VALUE"""),0.0)</f>
        <v>0</v>
      </c>
      <c r="R92" s="33">
        <f>IFERROR(__xludf.DUMMYFUNCTION("""COMPUTED_VALUE"""),76018.0)</f>
        <v>76018</v>
      </c>
      <c r="S92" s="33">
        <f>IFERROR(__xludf.DUMMYFUNCTION("""COMPUTED_VALUE"""),70885.0)</f>
        <v>70885</v>
      </c>
      <c r="T92" s="33">
        <f>IFERROR(__xludf.DUMMYFUNCTION("""COMPUTED_VALUE"""),5.83027777777777)</f>
        <v>5.830277778</v>
      </c>
      <c r="U92" s="33">
        <f>IFERROR(__xludf.DUMMYFUNCTION("""COMPUTED_VALUE"""),6.42499999999999)</f>
        <v>6.425</v>
      </c>
      <c r="V92" s="33">
        <f>IFERROR(__xludf.DUMMYFUNCTION("""COMPUTED_VALUE"""),6.41083333333333)</f>
        <v>6.410833333</v>
      </c>
      <c r="W92" s="33">
        <f>IFERROR(__xludf.DUMMYFUNCTION("""COMPUTED_VALUE"""),6.41083333333333)</f>
        <v>6.410833333</v>
      </c>
      <c r="X92" s="33">
        <f>IFERROR(__xludf.DUMMYFUNCTION("""COMPUTED_VALUE"""),0.0)</f>
        <v>0</v>
      </c>
      <c r="Y92" s="33">
        <f>IFERROR(__xludf.DUMMYFUNCTION("""COMPUTED_VALUE"""),6.74277777777777)</f>
        <v>6.742777778</v>
      </c>
      <c r="Z92" s="33">
        <f>IFERROR(__xludf.DUMMYFUNCTION("""COMPUTED_VALUE"""),1.26805555555555)</f>
        <v>1.268055556</v>
      </c>
      <c r="AA92" s="33">
        <f>IFERROR(__xludf.DUMMYFUNCTION("""COMPUTED_VALUE"""),1.26805555555555)</f>
        <v>1.268055556</v>
      </c>
      <c r="AB92" s="33">
        <f>IFERROR(__xludf.DUMMYFUNCTION("""COMPUTED_VALUE"""),5.09111111111111)</f>
        <v>5.091111111</v>
      </c>
      <c r="AC92" s="33">
        <f>IFERROR(__xludf.DUMMYFUNCTION("""COMPUTED_VALUE"""),7.34888888888888)</f>
        <v>7.348888889</v>
      </c>
      <c r="AD92" s="33">
        <f>IFERROR(__xludf.DUMMYFUNCTION("""COMPUTED_VALUE"""),1.63166666666666)</f>
        <v>1.631666667</v>
      </c>
      <c r="AE92" s="33">
        <f>IFERROR(__xludf.DUMMYFUNCTION("""COMPUTED_VALUE"""),7.34888888888888)</f>
        <v>7.348888889</v>
      </c>
      <c r="AF92" s="33">
        <f>IFERROR(__xludf.DUMMYFUNCTION("""COMPUTED_VALUE"""),20.0)</f>
        <v>20</v>
      </c>
    </row>
    <row r="93">
      <c r="A93" s="49">
        <f>IFERROR(__xludf.DUMMYFUNCTION("""COMPUTED_VALUE"""),46132.0)</f>
        <v>46132</v>
      </c>
      <c r="B93" s="33" t="str">
        <f>IFERROR(__xludf.DUMMYFUNCTION("""COMPUTED_VALUE"""),"5a7d21f6ad9df12be70cd9439dd850c36627991d")</f>
        <v>5a7d21f6ad9df12be70cd9439dd850c36627991d</v>
      </c>
      <c r="C93" s="33" t="str">
        <f>IFERROR(__xludf.DUMMYFUNCTION("""COMPUTED_VALUE"""),"Ek Stranger Se Pyar- Production Id")</f>
        <v>Ek Stranger Se Pyar- Production Id</v>
      </c>
      <c r="D93" s="33">
        <f>IFERROR(__xludf.DUMMYFUNCTION("""COMPUTED_VALUE"""),36.0)</f>
        <v>36</v>
      </c>
      <c r="E93" s="33">
        <f>IFERROR(__xludf.DUMMYFUNCTION("""COMPUTED_VALUE"""),20.0)</f>
        <v>20</v>
      </c>
      <c r="F93" s="33">
        <f>IFERROR(__xludf.DUMMYFUNCTION("""COMPUTED_VALUE"""),5.0)</f>
        <v>5</v>
      </c>
      <c r="G93" s="33">
        <f>IFERROR(__xludf.DUMMYFUNCTION("""COMPUTED_VALUE"""),7.0)</f>
        <v>7</v>
      </c>
      <c r="H93" s="33">
        <f>IFERROR(__xludf.DUMMYFUNCTION("""COMPUTED_VALUE"""),11.0)</f>
        <v>11</v>
      </c>
      <c r="I93" s="33">
        <f>IFERROR(__xludf.DUMMYFUNCTION("""COMPUTED_VALUE"""),4.0)</f>
        <v>4</v>
      </c>
      <c r="J93" s="33">
        <f>IFERROR(__xludf.DUMMYFUNCTION("""COMPUTED_VALUE"""),11.0)</f>
        <v>11</v>
      </c>
      <c r="K93" s="33">
        <f>IFERROR(__xludf.DUMMYFUNCTION("""COMPUTED_VALUE"""),9.0)</f>
        <v>9</v>
      </c>
      <c r="L93" s="33">
        <f>IFERROR(__xludf.DUMMYFUNCTION("""COMPUTED_VALUE"""),3.0)</f>
        <v>3</v>
      </c>
      <c r="M93" s="33">
        <f>IFERROR(__xludf.DUMMYFUNCTION("""COMPUTED_VALUE"""),10.0)</f>
        <v>10</v>
      </c>
      <c r="N93" s="33">
        <f>IFERROR(__xludf.DUMMYFUNCTION("""COMPUTED_VALUE"""),5.0)</f>
        <v>5</v>
      </c>
      <c r="O93" s="33">
        <f>IFERROR(__xludf.DUMMYFUNCTION("""COMPUTED_VALUE"""),4.0)</f>
        <v>4</v>
      </c>
      <c r="P93" s="33">
        <f>IFERROR(__xludf.DUMMYFUNCTION("""COMPUTED_VALUE"""),5.0)</f>
        <v>5</v>
      </c>
      <c r="Q93" s="33">
        <f>IFERROR(__xludf.DUMMYFUNCTION("""COMPUTED_VALUE"""),0.0)</f>
        <v>0</v>
      </c>
      <c r="R93" s="33">
        <f>IFERROR(__xludf.DUMMYFUNCTION("""COMPUTED_VALUE"""),87457.0)</f>
        <v>87457</v>
      </c>
      <c r="S93" s="33">
        <f>IFERROR(__xludf.DUMMYFUNCTION("""COMPUTED_VALUE"""),47855.0)</f>
        <v>47855</v>
      </c>
      <c r="T93" s="33">
        <f>IFERROR(__xludf.DUMMYFUNCTION("""COMPUTED_VALUE"""),4.06888888888888)</f>
        <v>4.068888889</v>
      </c>
      <c r="U93" s="33">
        <f>IFERROR(__xludf.DUMMYFUNCTION("""COMPUTED_VALUE"""),1.1375)</f>
        <v>1.1375</v>
      </c>
      <c r="V93" s="33">
        <f>IFERROR(__xludf.DUMMYFUNCTION("""COMPUTED_VALUE"""),1.61361111111111)</f>
        <v>1.613611111</v>
      </c>
      <c r="W93" s="33">
        <f>IFERROR(__xludf.DUMMYFUNCTION("""COMPUTED_VALUE"""),2.51027777777777)</f>
        <v>2.510277778</v>
      </c>
      <c r="X93" s="33">
        <f>IFERROR(__xludf.DUMMYFUNCTION("""COMPUTED_VALUE"""),0.896666666666666)</f>
        <v>0.8966666667</v>
      </c>
      <c r="Y93" s="33">
        <f>IFERROR(__xludf.DUMMYFUNCTION("""COMPUTED_VALUE"""),2.55027777777777)</f>
        <v>2.550277778</v>
      </c>
      <c r="Z93" s="33">
        <f>IFERROR(__xludf.DUMMYFUNCTION("""COMPUTED_VALUE"""),2.05777777777777)</f>
        <v>2.057777778</v>
      </c>
      <c r="AA93" s="33">
        <f>IFERROR(__xludf.DUMMYFUNCTION("""COMPUTED_VALUE"""),0.6525)</f>
        <v>0.6525</v>
      </c>
      <c r="AB93" s="33">
        <f>IFERROR(__xludf.DUMMYFUNCTION("""COMPUTED_VALUE"""),2.27277777777777)</f>
        <v>2.272777778</v>
      </c>
      <c r="AC93" s="33">
        <f>IFERROR(__xludf.DUMMYFUNCTION("""COMPUTED_VALUE"""),1.08805555555555)</f>
        <v>1.088055556</v>
      </c>
      <c r="AD93" s="33">
        <f>IFERROR(__xludf.DUMMYFUNCTION("""COMPUTED_VALUE"""),0.878888888888888)</f>
        <v>0.8788888889</v>
      </c>
      <c r="AE93" s="33">
        <f>IFERROR(__xludf.DUMMYFUNCTION("""COMPUTED_VALUE"""),1.08805555555555)</f>
        <v>1.088055556</v>
      </c>
      <c r="AF93" s="33">
        <f>IFERROR(__xludf.DUMMYFUNCTION("""COMPUTED_VALUE"""),18.0)</f>
        <v>18</v>
      </c>
    </row>
    <row r="94">
      <c r="A94" s="49">
        <f>IFERROR(__xludf.DUMMYFUNCTION("""COMPUTED_VALUE"""),46132.0)</f>
        <v>46132</v>
      </c>
      <c r="B94" s="33" t="str">
        <f>IFERROR(__xludf.DUMMYFUNCTION("""COMPUTED_VALUE"""),"5baf4c80faf4b2d4eb9401a1d0081872e0158e89")</f>
        <v>5baf4c80faf4b2d4eb9401a1d0081872e0158e89</v>
      </c>
      <c r="C94" s="33" t="str">
        <f>IFERROR(__xludf.DUMMYFUNCTION("""COMPUTED_VALUE"""),"Brahmyodha : The Destroyer - Production showId")</f>
        <v>Brahmyodha : The Destroyer - Production showId</v>
      </c>
      <c r="D94" s="33">
        <f>IFERROR(__xludf.DUMMYFUNCTION("""COMPUTED_VALUE"""),13.0)</f>
        <v>13</v>
      </c>
      <c r="E94" s="33">
        <f>IFERROR(__xludf.DUMMYFUNCTION("""COMPUTED_VALUE"""),18.0)</f>
        <v>18</v>
      </c>
      <c r="F94" s="33">
        <f>IFERROR(__xludf.DUMMYFUNCTION("""COMPUTED_VALUE"""),16.0)</f>
        <v>16</v>
      </c>
      <c r="G94" s="33">
        <f>IFERROR(__xludf.DUMMYFUNCTION("""COMPUTED_VALUE"""),0.0)</f>
        <v>0</v>
      </c>
      <c r="H94" s="33">
        <f>IFERROR(__xludf.DUMMYFUNCTION("""COMPUTED_VALUE"""),23.0)</f>
        <v>23</v>
      </c>
      <c r="I94" s="33">
        <f>IFERROR(__xludf.DUMMYFUNCTION("""COMPUTED_VALUE"""),9.0)</f>
        <v>9</v>
      </c>
      <c r="J94" s="33">
        <f>IFERROR(__xludf.DUMMYFUNCTION("""COMPUTED_VALUE"""),25.0)</f>
        <v>25</v>
      </c>
      <c r="K94" s="33">
        <f>IFERROR(__xludf.DUMMYFUNCTION("""COMPUTED_VALUE"""),2.0)</f>
        <v>2</v>
      </c>
      <c r="L94" s="33">
        <f>IFERROR(__xludf.DUMMYFUNCTION("""COMPUTED_VALUE"""),0.0)</f>
        <v>0</v>
      </c>
      <c r="M94" s="33">
        <f>IFERROR(__xludf.DUMMYFUNCTION("""COMPUTED_VALUE"""),22.0)</f>
        <v>22</v>
      </c>
      <c r="N94" s="33">
        <f>IFERROR(__xludf.DUMMYFUNCTION("""COMPUTED_VALUE"""),22.0)</f>
        <v>22</v>
      </c>
      <c r="O94" s="33">
        <f>IFERROR(__xludf.DUMMYFUNCTION("""COMPUTED_VALUE"""),5.0)</f>
        <v>5</v>
      </c>
      <c r="P94" s="33">
        <f>IFERROR(__xludf.DUMMYFUNCTION("""COMPUTED_VALUE"""),22.0)</f>
        <v>22</v>
      </c>
      <c r="Q94" s="33">
        <f>IFERROR(__xludf.DUMMYFUNCTION("""COMPUTED_VALUE"""),0.0)</f>
        <v>0</v>
      </c>
      <c r="R94" s="33">
        <f>IFERROR(__xludf.DUMMYFUNCTION("""COMPUTED_VALUE"""),31061.0)</f>
        <v>31061</v>
      </c>
      <c r="S94" s="33">
        <f>IFERROR(__xludf.DUMMYFUNCTION("""COMPUTED_VALUE"""),42836.0)</f>
        <v>42836</v>
      </c>
      <c r="T94" s="33">
        <f>IFERROR(__xludf.DUMMYFUNCTION("""COMPUTED_VALUE"""),5.58083333333333)</f>
        <v>5.580833333</v>
      </c>
      <c r="U94" s="33">
        <f>IFERROR(__xludf.DUMMYFUNCTION("""COMPUTED_VALUE"""),3.60611111111111)</f>
        <v>3.606111111</v>
      </c>
      <c r="V94" s="33">
        <f>IFERROR(__xludf.DUMMYFUNCTION("""COMPUTED_VALUE"""),0.0)</f>
        <v>0</v>
      </c>
      <c r="W94" s="33">
        <f>IFERROR(__xludf.DUMMYFUNCTION("""COMPUTED_VALUE"""),5.1125)</f>
        <v>5.1125</v>
      </c>
      <c r="X94" s="33">
        <f>IFERROR(__xludf.DUMMYFUNCTION("""COMPUTED_VALUE"""),1.97472222222222)</f>
        <v>1.974722222</v>
      </c>
      <c r="Y94" s="33">
        <f>IFERROR(__xludf.DUMMYFUNCTION("""COMPUTED_VALUE"""),5.53027777777777)</f>
        <v>5.530277778</v>
      </c>
      <c r="Z94" s="33">
        <f>IFERROR(__xludf.DUMMYFUNCTION("""COMPUTED_VALUE"""),0.464444444444444)</f>
        <v>0.4644444444</v>
      </c>
      <c r="AA94" s="33">
        <f>IFERROR(__xludf.DUMMYFUNCTION("""COMPUTED_VALUE"""),0.0)</f>
        <v>0</v>
      </c>
      <c r="AB94" s="33">
        <f>IFERROR(__xludf.DUMMYFUNCTION("""COMPUTED_VALUE"""),4.87055555555555)</f>
        <v>4.870555556</v>
      </c>
      <c r="AC94" s="33">
        <f>IFERROR(__xludf.DUMMYFUNCTION("""COMPUTED_VALUE"""),4.87055555555555)</f>
        <v>4.870555556</v>
      </c>
      <c r="AD94" s="33">
        <f>IFERROR(__xludf.DUMMYFUNCTION("""COMPUTED_VALUE"""),1.02861111111111)</f>
        <v>1.028611111</v>
      </c>
      <c r="AE94" s="33">
        <f>IFERROR(__xludf.DUMMYFUNCTION("""COMPUTED_VALUE"""),4.87055555555555)</f>
        <v>4.870555556</v>
      </c>
      <c r="AF94" s="33">
        <f>IFERROR(__xludf.DUMMYFUNCTION("""COMPUTED_VALUE"""),25.0)</f>
        <v>25</v>
      </c>
    </row>
    <row r="95">
      <c r="A95" s="49">
        <f>IFERROR(__xludf.DUMMYFUNCTION("""COMPUTED_VALUE"""),46132.0)</f>
        <v>46132</v>
      </c>
      <c r="B95" s="33" t="str">
        <f>IFERROR(__xludf.DUMMYFUNCTION("""COMPUTED_VALUE"""),"641b6f77fd211e92df35a3bcbab67e6879e19a66")</f>
        <v>641b6f77fd211e92df35a3bcbab67e6879e19a66</v>
      </c>
      <c r="C95" s="33" t="str">
        <f>IFERROR(__xludf.DUMMYFUNCTION("""COMPUTED_VALUE"""),"Mahagatha | महागाथा | Author - S. Mauryavanshi")</f>
        <v>Mahagatha | महागाथा | Author - S. Mauryavanshi</v>
      </c>
      <c r="D95" s="33">
        <f>IFERROR(__xludf.DUMMYFUNCTION("""COMPUTED_VALUE"""),23.0)</f>
        <v>23</v>
      </c>
      <c r="E95" s="33">
        <f>IFERROR(__xludf.DUMMYFUNCTION("""COMPUTED_VALUE"""),33.0)</f>
        <v>33</v>
      </c>
      <c r="F95" s="33">
        <f>IFERROR(__xludf.DUMMYFUNCTION("""COMPUTED_VALUE"""),0.0)</f>
        <v>0</v>
      </c>
      <c r="G95" s="33">
        <f>IFERROR(__xludf.DUMMYFUNCTION("""COMPUTED_VALUE"""),0.0)</f>
        <v>0</v>
      </c>
      <c r="H95" s="33">
        <f>IFERROR(__xludf.DUMMYFUNCTION("""COMPUTED_VALUE"""),12.0)</f>
        <v>12</v>
      </c>
      <c r="I95" s="33">
        <f>IFERROR(__xludf.DUMMYFUNCTION("""COMPUTED_VALUE"""),12.0)</f>
        <v>12</v>
      </c>
      <c r="J95" s="33">
        <f>IFERROR(__xludf.DUMMYFUNCTION("""COMPUTED_VALUE"""),9.0)</f>
        <v>9</v>
      </c>
      <c r="K95" s="33">
        <f>IFERROR(__xludf.DUMMYFUNCTION("""COMPUTED_VALUE"""),5.0)</f>
        <v>5</v>
      </c>
      <c r="L95" s="33">
        <f>IFERROR(__xludf.DUMMYFUNCTION("""COMPUTED_VALUE"""),0.0)</f>
        <v>0</v>
      </c>
      <c r="M95" s="33">
        <f>IFERROR(__xludf.DUMMYFUNCTION("""COMPUTED_VALUE"""),9.0)</f>
        <v>9</v>
      </c>
      <c r="N95" s="33">
        <f>IFERROR(__xludf.DUMMYFUNCTION("""COMPUTED_VALUE"""),24.0)</f>
        <v>24</v>
      </c>
      <c r="O95" s="33">
        <f>IFERROR(__xludf.DUMMYFUNCTION("""COMPUTED_VALUE"""),6.0)</f>
        <v>6</v>
      </c>
      <c r="P95" s="33">
        <f>IFERROR(__xludf.DUMMYFUNCTION("""COMPUTED_VALUE"""),24.0)</f>
        <v>24</v>
      </c>
      <c r="Q95" s="33">
        <f>IFERROR(__xludf.DUMMYFUNCTION("""COMPUTED_VALUE"""),0.0)</f>
        <v>0</v>
      </c>
      <c r="R95" s="33">
        <f>IFERROR(__xludf.DUMMYFUNCTION("""COMPUTED_VALUE"""),54645.0)</f>
        <v>54645</v>
      </c>
      <c r="S95" s="33">
        <f>IFERROR(__xludf.DUMMYFUNCTION("""COMPUTED_VALUE"""),79028.0)</f>
        <v>79028</v>
      </c>
      <c r="T95" s="33">
        <f>IFERROR(__xludf.DUMMYFUNCTION("""COMPUTED_VALUE"""),2.69055555555555)</f>
        <v>2.690555556</v>
      </c>
      <c r="U95" s="33">
        <f>IFERROR(__xludf.DUMMYFUNCTION("""COMPUTED_VALUE"""),0.0)</f>
        <v>0</v>
      </c>
      <c r="V95" s="33">
        <f>IFERROR(__xludf.DUMMYFUNCTION("""COMPUTED_VALUE"""),0.0)</f>
        <v>0</v>
      </c>
      <c r="W95" s="33">
        <f>IFERROR(__xludf.DUMMYFUNCTION("""COMPUTED_VALUE"""),2.69055555555555)</f>
        <v>2.690555556</v>
      </c>
      <c r="X95" s="33">
        <f>IFERROR(__xludf.DUMMYFUNCTION("""COMPUTED_VALUE"""),2.69055555555555)</f>
        <v>2.690555556</v>
      </c>
      <c r="Y95" s="33">
        <f>IFERROR(__xludf.DUMMYFUNCTION("""COMPUTED_VALUE"""),2.02333333333333)</f>
        <v>2.023333333</v>
      </c>
      <c r="Z95" s="33">
        <f>IFERROR(__xludf.DUMMYFUNCTION("""COMPUTED_VALUE"""),1.14694444444444)</f>
        <v>1.146944444</v>
      </c>
      <c r="AA95" s="33">
        <f>IFERROR(__xludf.DUMMYFUNCTION("""COMPUTED_VALUE"""),0.0)</f>
        <v>0</v>
      </c>
      <c r="AB95" s="33">
        <f>IFERROR(__xludf.DUMMYFUNCTION("""COMPUTED_VALUE"""),2.02333333333333)</f>
        <v>2.023333333</v>
      </c>
      <c r="AC95" s="33">
        <f>IFERROR(__xludf.DUMMYFUNCTION("""COMPUTED_VALUE"""),6.86944444444444)</f>
        <v>6.869444444</v>
      </c>
      <c r="AD95" s="33">
        <f>IFERROR(__xludf.DUMMYFUNCTION("""COMPUTED_VALUE"""),1.38138888888888)</f>
        <v>1.381388889</v>
      </c>
      <c r="AE95" s="33">
        <f>IFERROR(__xludf.DUMMYFUNCTION("""COMPUTED_VALUE"""),5.4625)</f>
        <v>5.4625</v>
      </c>
      <c r="AF95" s="33">
        <f>IFERROR(__xludf.DUMMYFUNCTION("""COMPUTED_VALUE"""),12.0)</f>
        <v>12</v>
      </c>
    </row>
    <row r="96">
      <c r="A96" s="49">
        <f>IFERROR(__xludf.DUMMYFUNCTION("""COMPUTED_VALUE"""),46132.0)</f>
        <v>46132</v>
      </c>
      <c r="B96" s="33" t="str">
        <f>IFERROR(__xludf.DUMMYFUNCTION("""COMPUTED_VALUE"""),"661dba879cabc615ad2774813367b442a8ba7a6c")</f>
        <v>661dba879cabc615ad2774813367b442a8ba7a6c</v>
      </c>
      <c r="C96" s="33" t="str">
        <f>IFERROR(__xludf.DUMMYFUNCTION("""COMPUTED_VALUE"""),"My Devil Wife -Production Id")</f>
        <v>My Devil Wife -Production Id</v>
      </c>
      <c r="D96" s="33">
        <f>IFERROR(__xludf.DUMMYFUNCTION("""COMPUTED_VALUE"""),11.0)</f>
        <v>11</v>
      </c>
      <c r="E96" s="33">
        <f>IFERROR(__xludf.DUMMYFUNCTION("""COMPUTED_VALUE"""),0.0)</f>
        <v>0</v>
      </c>
      <c r="F96" s="33">
        <f>IFERROR(__xludf.DUMMYFUNCTION("""COMPUTED_VALUE"""),0.0)</f>
        <v>0</v>
      </c>
      <c r="G96" s="33">
        <f>IFERROR(__xludf.DUMMYFUNCTION("""COMPUTED_VALUE"""),0.0)</f>
        <v>0</v>
      </c>
      <c r="H96" s="33">
        <f>IFERROR(__xludf.DUMMYFUNCTION("""COMPUTED_VALUE"""),0.0)</f>
        <v>0</v>
      </c>
      <c r="I96" s="33">
        <f>IFERROR(__xludf.DUMMYFUNCTION("""COMPUTED_VALUE"""),0.0)</f>
        <v>0</v>
      </c>
      <c r="J96" s="33">
        <f>IFERROR(__xludf.DUMMYFUNCTION("""COMPUTED_VALUE"""),0.0)</f>
        <v>0</v>
      </c>
      <c r="K96" s="33">
        <f>IFERROR(__xludf.DUMMYFUNCTION("""COMPUTED_VALUE"""),0.0)</f>
        <v>0</v>
      </c>
      <c r="L96" s="33">
        <f>IFERROR(__xludf.DUMMYFUNCTION("""COMPUTED_VALUE"""),0.0)</f>
        <v>0</v>
      </c>
      <c r="M96" s="33">
        <f>IFERROR(__xludf.DUMMYFUNCTION("""COMPUTED_VALUE"""),0.0)</f>
        <v>0</v>
      </c>
      <c r="N96" s="33">
        <f>IFERROR(__xludf.DUMMYFUNCTION("""COMPUTED_VALUE"""),0.0)</f>
        <v>0</v>
      </c>
      <c r="O96" s="33">
        <f>IFERROR(__xludf.DUMMYFUNCTION("""COMPUTED_VALUE"""),0.0)</f>
        <v>0</v>
      </c>
      <c r="P96" s="33">
        <f>IFERROR(__xludf.DUMMYFUNCTION("""COMPUTED_VALUE"""),0.0)</f>
        <v>0</v>
      </c>
      <c r="Q96" s="33">
        <f>IFERROR(__xludf.DUMMYFUNCTION("""COMPUTED_VALUE"""),0.0)</f>
        <v>0</v>
      </c>
      <c r="R96" s="33">
        <f>IFERROR(__xludf.DUMMYFUNCTION("""COMPUTED_VALUE"""),23053.0)</f>
        <v>23053</v>
      </c>
      <c r="S96" s="33">
        <f>IFERROR(__xludf.DUMMYFUNCTION("""COMPUTED_VALUE"""),0.0)</f>
        <v>0</v>
      </c>
      <c r="T96" s="33">
        <f>IFERROR(__xludf.DUMMYFUNCTION("""COMPUTED_VALUE"""),0.0)</f>
        <v>0</v>
      </c>
      <c r="U96" s="33">
        <f>IFERROR(__xludf.DUMMYFUNCTION("""COMPUTED_VALUE"""),0.0)</f>
        <v>0</v>
      </c>
      <c r="V96" s="33">
        <f>IFERROR(__xludf.DUMMYFUNCTION("""COMPUTED_VALUE"""),0.0)</f>
        <v>0</v>
      </c>
      <c r="W96" s="33">
        <f>IFERROR(__xludf.DUMMYFUNCTION("""COMPUTED_VALUE"""),0.0)</f>
        <v>0</v>
      </c>
      <c r="X96" s="33">
        <f>IFERROR(__xludf.DUMMYFUNCTION("""COMPUTED_VALUE"""),0.0)</f>
        <v>0</v>
      </c>
      <c r="Y96" s="33">
        <f>IFERROR(__xludf.DUMMYFUNCTION("""COMPUTED_VALUE"""),0.0)</f>
        <v>0</v>
      </c>
      <c r="Z96" s="33">
        <f>IFERROR(__xludf.DUMMYFUNCTION("""COMPUTED_VALUE"""),0.0)</f>
        <v>0</v>
      </c>
      <c r="AA96" s="33">
        <f>IFERROR(__xludf.DUMMYFUNCTION("""COMPUTED_VALUE"""),0.0)</f>
        <v>0</v>
      </c>
      <c r="AB96" s="33">
        <f>IFERROR(__xludf.DUMMYFUNCTION("""COMPUTED_VALUE"""),0.0)</f>
        <v>0</v>
      </c>
      <c r="AC96" s="33">
        <f>IFERROR(__xludf.DUMMYFUNCTION("""COMPUTED_VALUE"""),0.0)</f>
        <v>0</v>
      </c>
      <c r="AD96" s="33">
        <f>IFERROR(__xludf.DUMMYFUNCTION("""COMPUTED_VALUE"""),0.0)</f>
        <v>0</v>
      </c>
      <c r="AE96" s="33">
        <f>IFERROR(__xludf.DUMMYFUNCTION("""COMPUTED_VALUE"""),0.0)</f>
        <v>0</v>
      </c>
      <c r="AF96" s="33">
        <f>IFERROR(__xludf.DUMMYFUNCTION("""COMPUTED_VALUE"""),0.0)</f>
        <v>0</v>
      </c>
    </row>
    <row r="97">
      <c r="A97" s="49">
        <f>IFERROR(__xludf.DUMMYFUNCTION("""COMPUTED_VALUE"""),46132.0)</f>
        <v>46132</v>
      </c>
      <c r="B97" s="33" t="str">
        <f>IFERROR(__xludf.DUMMYFUNCTION("""COMPUTED_VALUE"""),"6b246320a4c5853ce55127d5e00ee8805a97659a")</f>
        <v>6b246320a4c5853ce55127d5e00ee8805a97659a</v>
      </c>
      <c r="C97" s="33" t="str">
        <f>IFERROR(__xludf.DUMMYFUNCTION("""COMPUTED_VALUE"""),"Mystic Fate System - Production Show_id")</f>
        <v>Mystic Fate System - Production Show_id</v>
      </c>
      <c r="D97" s="33">
        <f>IFERROR(__xludf.DUMMYFUNCTION("""COMPUTED_VALUE"""),5.0)</f>
        <v>5</v>
      </c>
      <c r="E97" s="33">
        <f>IFERROR(__xludf.DUMMYFUNCTION("""COMPUTED_VALUE"""),3.0)</f>
        <v>3</v>
      </c>
      <c r="F97" s="33">
        <f>IFERROR(__xludf.DUMMYFUNCTION("""COMPUTED_VALUE"""),0.0)</f>
        <v>0</v>
      </c>
      <c r="G97" s="33">
        <f>IFERROR(__xludf.DUMMYFUNCTION("""COMPUTED_VALUE"""),0.0)</f>
        <v>0</v>
      </c>
      <c r="H97" s="33">
        <f>IFERROR(__xludf.DUMMYFUNCTION("""COMPUTED_VALUE"""),0.0)</f>
        <v>0</v>
      </c>
      <c r="I97" s="33">
        <f>IFERROR(__xludf.DUMMYFUNCTION("""COMPUTED_VALUE"""),0.0)</f>
        <v>0</v>
      </c>
      <c r="J97" s="33">
        <f>IFERROR(__xludf.DUMMYFUNCTION("""COMPUTED_VALUE"""),0.0)</f>
        <v>0</v>
      </c>
      <c r="K97" s="33">
        <f>IFERROR(__xludf.DUMMYFUNCTION("""COMPUTED_VALUE"""),1.0)</f>
        <v>1</v>
      </c>
      <c r="L97" s="33">
        <f>IFERROR(__xludf.DUMMYFUNCTION("""COMPUTED_VALUE"""),0.0)</f>
        <v>0</v>
      </c>
      <c r="M97" s="33">
        <f>IFERROR(__xludf.DUMMYFUNCTION("""COMPUTED_VALUE"""),1.0)</f>
        <v>1</v>
      </c>
      <c r="N97" s="33">
        <f>IFERROR(__xludf.DUMMYFUNCTION("""COMPUTED_VALUE"""),1.0)</f>
        <v>1</v>
      </c>
      <c r="O97" s="33">
        <f>IFERROR(__xludf.DUMMYFUNCTION("""COMPUTED_VALUE"""),6.0)</f>
        <v>6</v>
      </c>
      <c r="P97" s="33">
        <f>IFERROR(__xludf.DUMMYFUNCTION("""COMPUTED_VALUE"""),1.0)</f>
        <v>1</v>
      </c>
      <c r="Q97" s="33">
        <f>IFERROR(__xludf.DUMMYFUNCTION("""COMPUTED_VALUE"""),0.0)</f>
        <v>0</v>
      </c>
      <c r="R97" s="33">
        <f>IFERROR(__xludf.DUMMYFUNCTION("""COMPUTED_VALUE"""),11364.0)</f>
        <v>11364</v>
      </c>
      <c r="S97" s="33">
        <f>IFERROR(__xludf.DUMMYFUNCTION("""COMPUTED_VALUE"""),6987.0)</f>
        <v>6987</v>
      </c>
      <c r="T97" s="33">
        <f>IFERROR(__xludf.DUMMYFUNCTION("""COMPUTED_VALUE"""),0.0)</f>
        <v>0</v>
      </c>
      <c r="U97" s="33">
        <f>IFERROR(__xludf.DUMMYFUNCTION("""COMPUTED_VALUE"""),0.0)</f>
        <v>0</v>
      </c>
      <c r="V97" s="33">
        <f>IFERROR(__xludf.DUMMYFUNCTION("""COMPUTED_VALUE"""),0.0)</f>
        <v>0</v>
      </c>
      <c r="W97" s="33">
        <f>IFERROR(__xludf.DUMMYFUNCTION("""COMPUTED_VALUE"""),0.0)</f>
        <v>0</v>
      </c>
      <c r="X97" s="33">
        <f>IFERROR(__xludf.DUMMYFUNCTION("""COMPUTED_VALUE"""),0.0)</f>
        <v>0</v>
      </c>
      <c r="Y97" s="33">
        <f>IFERROR(__xludf.DUMMYFUNCTION("""COMPUTED_VALUE"""),0.0)</f>
        <v>0</v>
      </c>
      <c r="Z97" s="33">
        <f>IFERROR(__xludf.DUMMYFUNCTION("""COMPUTED_VALUE"""),0.223333333333333)</f>
        <v>0.2233333333</v>
      </c>
      <c r="AA97" s="33">
        <f>IFERROR(__xludf.DUMMYFUNCTION("""COMPUTED_VALUE"""),0.0)</f>
        <v>0</v>
      </c>
      <c r="AB97" s="33">
        <f>IFERROR(__xludf.DUMMYFUNCTION("""COMPUTED_VALUE"""),0.223333333333333)</f>
        <v>0.2233333333</v>
      </c>
      <c r="AC97" s="33">
        <f>IFERROR(__xludf.DUMMYFUNCTION("""COMPUTED_VALUE"""),0.223333333333333)</f>
        <v>0.2233333333</v>
      </c>
      <c r="AD97" s="33">
        <f>IFERROR(__xludf.DUMMYFUNCTION("""COMPUTED_VALUE"""),1.45555555555555)</f>
        <v>1.455555556</v>
      </c>
      <c r="AE97" s="33">
        <f>IFERROR(__xludf.DUMMYFUNCTION("""COMPUTED_VALUE"""),0.223333333333333)</f>
        <v>0.2233333333</v>
      </c>
      <c r="AF97" s="33">
        <f>IFERROR(__xludf.DUMMYFUNCTION("""COMPUTED_VALUE"""),0.0)</f>
        <v>0</v>
      </c>
    </row>
    <row r="98">
      <c r="A98" s="49">
        <f>IFERROR(__xludf.DUMMYFUNCTION("""COMPUTED_VALUE"""),46132.0)</f>
        <v>46132</v>
      </c>
      <c r="B98" s="33" t="str">
        <f>IFERROR(__xludf.DUMMYFUNCTION("""COMPUTED_VALUE"""),"773d29931b435627d0ca406e1ea1425e9a1dbcb6")</f>
        <v>773d29931b435627d0ca406e1ea1425e9a1dbcb6</v>
      </c>
      <c r="C98" s="33" t="str">
        <f>IFERROR(__xludf.DUMMYFUNCTION("""COMPUTED_VALUE"""),"Mahagatha - Production")</f>
        <v>Mahagatha - Production</v>
      </c>
      <c r="D98" s="33">
        <f>IFERROR(__xludf.DUMMYFUNCTION("""COMPUTED_VALUE"""),45.0)</f>
        <v>45</v>
      </c>
      <c r="E98" s="33">
        <f>IFERROR(__xludf.DUMMYFUNCTION("""COMPUTED_VALUE"""),32.0)</f>
        <v>32</v>
      </c>
      <c r="F98" s="33">
        <f>IFERROR(__xludf.DUMMYFUNCTION("""COMPUTED_VALUE"""),1.0)</f>
        <v>1</v>
      </c>
      <c r="G98" s="33">
        <f>IFERROR(__xludf.DUMMYFUNCTION("""COMPUTED_VALUE"""),0.0)</f>
        <v>0</v>
      </c>
      <c r="H98" s="33">
        <f>IFERROR(__xludf.DUMMYFUNCTION("""COMPUTED_VALUE"""),6.0)</f>
        <v>6</v>
      </c>
      <c r="I98" s="33">
        <f>IFERROR(__xludf.DUMMYFUNCTION("""COMPUTED_VALUE"""),6.0)</f>
        <v>6</v>
      </c>
      <c r="J98" s="33">
        <f>IFERROR(__xludf.DUMMYFUNCTION("""COMPUTED_VALUE"""),6.0)</f>
        <v>6</v>
      </c>
      <c r="K98" s="33">
        <f>IFERROR(__xludf.DUMMYFUNCTION("""COMPUTED_VALUE"""),8.0)</f>
        <v>8</v>
      </c>
      <c r="L98" s="33">
        <f>IFERROR(__xludf.DUMMYFUNCTION("""COMPUTED_VALUE"""),1.0)</f>
        <v>1</v>
      </c>
      <c r="M98" s="33">
        <f>IFERROR(__xludf.DUMMYFUNCTION("""COMPUTED_VALUE"""),11.0)</f>
        <v>11</v>
      </c>
      <c r="N98" s="33">
        <f>IFERROR(__xludf.DUMMYFUNCTION("""COMPUTED_VALUE"""),25.0)</f>
        <v>25</v>
      </c>
      <c r="O98" s="33">
        <f>IFERROR(__xludf.DUMMYFUNCTION("""COMPUTED_VALUE"""),2.0)</f>
        <v>2</v>
      </c>
      <c r="P98" s="33">
        <f>IFERROR(__xludf.DUMMYFUNCTION("""COMPUTED_VALUE"""),25.0)</f>
        <v>25</v>
      </c>
      <c r="Q98" s="33">
        <f>IFERROR(__xludf.DUMMYFUNCTION("""COMPUTED_VALUE"""),0.0)</f>
        <v>0</v>
      </c>
      <c r="R98" s="33">
        <f>IFERROR(__xludf.DUMMYFUNCTION("""COMPUTED_VALUE"""),100523.0)</f>
        <v>100523</v>
      </c>
      <c r="S98" s="33">
        <f>IFERROR(__xludf.DUMMYFUNCTION("""COMPUTED_VALUE"""),76006.0)</f>
        <v>76006</v>
      </c>
      <c r="T98" s="33">
        <f>IFERROR(__xludf.DUMMYFUNCTION("""COMPUTED_VALUE"""),3.14722222222222)</f>
        <v>3.147222222</v>
      </c>
      <c r="U98" s="33">
        <f>IFERROR(__xludf.DUMMYFUNCTION("""COMPUTED_VALUE"""),0.218888888888888)</f>
        <v>0.2188888889</v>
      </c>
      <c r="V98" s="33">
        <f>IFERROR(__xludf.DUMMYFUNCTION("""COMPUTED_VALUE"""),0.0)</f>
        <v>0</v>
      </c>
      <c r="W98" s="33">
        <f>IFERROR(__xludf.DUMMYFUNCTION("""COMPUTED_VALUE"""),1.35111111111111)</f>
        <v>1.351111111</v>
      </c>
      <c r="X98" s="33">
        <f>IFERROR(__xludf.DUMMYFUNCTION("""COMPUTED_VALUE"""),1.35111111111111)</f>
        <v>1.351111111</v>
      </c>
      <c r="Y98" s="33">
        <f>IFERROR(__xludf.DUMMYFUNCTION("""COMPUTED_VALUE"""),1.35527777777777)</f>
        <v>1.355277778</v>
      </c>
      <c r="Z98" s="33">
        <f>IFERROR(__xludf.DUMMYFUNCTION("""COMPUTED_VALUE"""),1.79805555555555)</f>
        <v>1.798055556</v>
      </c>
      <c r="AA98" s="33">
        <f>IFERROR(__xludf.DUMMYFUNCTION("""COMPUTED_VALUE"""),0.226388888888888)</f>
        <v>0.2263888889</v>
      </c>
      <c r="AB98" s="33">
        <f>IFERROR(__xludf.DUMMYFUNCTION("""COMPUTED_VALUE"""),2.45166666666666)</f>
        <v>2.451666667</v>
      </c>
      <c r="AC98" s="33">
        <f>IFERROR(__xludf.DUMMYFUNCTION("""COMPUTED_VALUE"""),5.75916666666666)</f>
        <v>5.759166667</v>
      </c>
      <c r="AD98" s="33">
        <f>IFERROR(__xludf.DUMMYFUNCTION("""COMPUTED_VALUE"""),0.477222222222222)</f>
        <v>0.4772222222</v>
      </c>
      <c r="AE98" s="33">
        <f>IFERROR(__xludf.DUMMYFUNCTION("""COMPUTED_VALUE"""),5.75916666666666)</f>
        <v>5.759166667</v>
      </c>
      <c r="AF98" s="33">
        <f>IFERROR(__xludf.DUMMYFUNCTION("""COMPUTED_VALUE"""),14.0)</f>
        <v>14</v>
      </c>
    </row>
    <row r="99">
      <c r="A99" s="49">
        <f>IFERROR(__xludf.DUMMYFUNCTION("""COMPUTED_VALUE"""),46132.0)</f>
        <v>46132</v>
      </c>
      <c r="B99" s="33" t="str">
        <f>IFERROR(__xludf.DUMMYFUNCTION("""COMPUTED_VALUE"""),"7ea3277f02ef13c60cfa72336d009bf7ee6c17e8")</f>
        <v>7ea3277f02ef13c60cfa72336d009bf7ee6c17e8</v>
      </c>
      <c r="C99" s="33" t="str">
        <f>IFERROR(__xludf.DUMMYFUNCTION("""COMPUTED_VALUE"""),"Saaya the Dark Love - Production Show_id")</f>
        <v>Saaya the Dark Love - Production Show_id</v>
      </c>
      <c r="D99" s="33">
        <f>IFERROR(__xludf.DUMMYFUNCTION("""COMPUTED_VALUE"""),8.0)</f>
        <v>8</v>
      </c>
      <c r="E99" s="33">
        <f>IFERROR(__xludf.DUMMYFUNCTION("""COMPUTED_VALUE"""),3.0)</f>
        <v>3</v>
      </c>
      <c r="F99" s="33">
        <f>IFERROR(__xludf.DUMMYFUNCTION("""COMPUTED_VALUE"""),0.0)</f>
        <v>0</v>
      </c>
      <c r="G99" s="33">
        <f>IFERROR(__xludf.DUMMYFUNCTION("""COMPUTED_VALUE"""),0.0)</f>
        <v>0</v>
      </c>
      <c r="H99" s="33">
        <f>IFERROR(__xludf.DUMMYFUNCTION("""COMPUTED_VALUE"""),5.0)</f>
        <v>5</v>
      </c>
      <c r="I99" s="33">
        <f>IFERROR(__xludf.DUMMYFUNCTION("""COMPUTED_VALUE"""),5.0)</f>
        <v>5</v>
      </c>
      <c r="J99" s="33">
        <f>IFERROR(__xludf.DUMMYFUNCTION("""COMPUTED_VALUE"""),9.0)</f>
        <v>9</v>
      </c>
      <c r="K99" s="33">
        <f>IFERROR(__xludf.DUMMYFUNCTION("""COMPUTED_VALUE"""),9.0)</f>
        <v>9</v>
      </c>
      <c r="L99" s="33">
        <f>IFERROR(__xludf.DUMMYFUNCTION("""COMPUTED_VALUE"""),4.0)</f>
        <v>4</v>
      </c>
      <c r="M99" s="33">
        <f>IFERROR(__xludf.DUMMYFUNCTION("""COMPUTED_VALUE"""),5.0)</f>
        <v>5</v>
      </c>
      <c r="N99" s="33">
        <f>IFERROR(__xludf.DUMMYFUNCTION("""COMPUTED_VALUE"""),0.0)</f>
        <v>0</v>
      </c>
      <c r="O99" s="33">
        <f>IFERROR(__xludf.DUMMYFUNCTION("""COMPUTED_VALUE"""),7.0)</f>
        <v>7</v>
      </c>
      <c r="P99" s="33">
        <f>IFERROR(__xludf.DUMMYFUNCTION("""COMPUTED_VALUE"""),0.0)</f>
        <v>0</v>
      </c>
      <c r="Q99" s="33">
        <f>IFERROR(__xludf.DUMMYFUNCTION("""COMPUTED_VALUE"""),0.0)</f>
        <v>0</v>
      </c>
      <c r="R99" s="33">
        <f>IFERROR(__xludf.DUMMYFUNCTION("""COMPUTED_VALUE"""),17862.0)</f>
        <v>17862</v>
      </c>
      <c r="S99" s="33">
        <f>IFERROR(__xludf.DUMMYFUNCTION("""COMPUTED_VALUE"""),6052.0)</f>
        <v>6052</v>
      </c>
      <c r="T99" s="33">
        <f>IFERROR(__xludf.DUMMYFUNCTION("""COMPUTED_VALUE"""),1.72944444444444)</f>
        <v>1.729444444</v>
      </c>
      <c r="U99" s="33">
        <f>IFERROR(__xludf.DUMMYFUNCTION("""COMPUTED_VALUE"""),0.0)</f>
        <v>0</v>
      </c>
      <c r="V99" s="33">
        <f>IFERROR(__xludf.DUMMYFUNCTION("""COMPUTED_VALUE"""),0.0)</f>
        <v>0</v>
      </c>
      <c r="W99" s="33">
        <f>IFERROR(__xludf.DUMMYFUNCTION("""COMPUTED_VALUE"""),1.30972222222222)</f>
        <v>1.309722222</v>
      </c>
      <c r="X99" s="33">
        <f>IFERROR(__xludf.DUMMYFUNCTION("""COMPUTED_VALUE"""),1.30972222222222)</f>
        <v>1.309722222</v>
      </c>
      <c r="Y99" s="33">
        <f>IFERROR(__xludf.DUMMYFUNCTION("""COMPUTED_VALUE"""),2.2425)</f>
        <v>2.2425</v>
      </c>
      <c r="Z99" s="33">
        <f>IFERROR(__xludf.DUMMYFUNCTION("""COMPUTED_VALUE"""),2.2425)</f>
        <v>2.2425</v>
      </c>
      <c r="AA99" s="33">
        <f>IFERROR(__xludf.DUMMYFUNCTION("""COMPUTED_VALUE"""),0.867222222222222)</f>
        <v>0.8672222222</v>
      </c>
      <c r="AB99" s="33">
        <f>IFERROR(__xludf.DUMMYFUNCTION("""COMPUTED_VALUE"""),1.10138888888888)</f>
        <v>1.101388889</v>
      </c>
      <c r="AC99" s="33">
        <f>IFERROR(__xludf.DUMMYFUNCTION("""COMPUTED_VALUE"""),0.0)</f>
        <v>0</v>
      </c>
      <c r="AD99" s="33">
        <f>IFERROR(__xludf.DUMMYFUNCTION("""COMPUTED_VALUE"""),1.71722222222222)</f>
        <v>1.717222222</v>
      </c>
      <c r="AE99" s="33">
        <f>IFERROR(__xludf.DUMMYFUNCTION("""COMPUTED_VALUE"""),0.0)</f>
        <v>0</v>
      </c>
      <c r="AF99" s="33">
        <f>IFERROR(__xludf.DUMMYFUNCTION("""COMPUTED_VALUE"""),7.0)</f>
        <v>7</v>
      </c>
    </row>
    <row r="100">
      <c r="A100" s="49">
        <f>IFERROR(__xludf.DUMMYFUNCTION("""COMPUTED_VALUE"""),46132.0)</f>
        <v>46132</v>
      </c>
      <c r="B100" s="33" t="str">
        <f>IFERROR(__xludf.DUMMYFUNCTION("""COMPUTED_VALUE"""),"859785ba4869b28dddcfcb0e75295d1e1ad9b5a9")</f>
        <v>859785ba4869b28dddcfcb0e75295d1e1ad9b5a9</v>
      </c>
      <c r="C100" s="33" t="str">
        <f>IFERROR(__xludf.DUMMYFUNCTION("""COMPUTED_VALUE"""),"King of Dragon | किंग ऑफ ड्रैगन | Author - Nitesh")</f>
        <v>King of Dragon | किंग ऑफ ड्रैगन | Author - Nitesh</v>
      </c>
      <c r="D100" s="33">
        <f>IFERROR(__xludf.DUMMYFUNCTION("""COMPUTED_VALUE"""),0.0)</f>
        <v>0</v>
      </c>
      <c r="E100" s="33">
        <f>IFERROR(__xludf.DUMMYFUNCTION("""COMPUTED_VALUE"""),0.0)</f>
        <v>0</v>
      </c>
      <c r="F100" s="33">
        <f>IFERROR(__xludf.DUMMYFUNCTION("""COMPUTED_VALUE"""),0.0)</f>
        <v>0</v>
      </c>
      <c r="G100" s="33">
        <f>IFERROR(__xludf.DUMMYFUNCTION("""COMPUTED_VALUE"""),0.0)</f>
        <v>0</v>
      </c>
      <c r="H100" s="33">
        <f>IFERROR(__xludf.DUMMYFUNCTION("""COMPUTED_VALUE"""),0.0)</f>
        <v>0</v>
      </c>
      <c r="I100" s="33">
        <f>IFERROR(__xludf.DUMMYFUNCTION("""COMPUTED_VALUE"""),0.0)</f>
        <v>0</v>
      </c>
      <c r="J100" s="33">
        <f>IFERROR(__xludf.DUMMYFUNCTION("""COMPUTED_VALUE"""),0.0)</f>
        <v>0</v>
      </c>
      <c r="K100" s="33">
        <f>IFERROR(__xludf.DUMMYFUNCTION("""COMPUTED_VALUE"""),0.0)</f>
        <v>0</v>
      </c>
      <c r="L100" s="33">
        <f>IFERROR(__xludf.DUMMYFUNCTION("""COMPUTED_VALUE"""),0.0)</f>
        <v>0</v>
      </c>
      <c r="M100" s="33">
        <f>IFERROR(__xludf.DUMMYFUNCTION("""COMPUTED_VALUE"""),0.0)</f>
        <v>0</v>
      </c>
      <c r="N100" s="33">
        <f>IFERROR(__xludf.DUMMYFUNCTION("""COMPUTED_VALUE"""),12.0)</f>
        <v>12</v>
      </c>
      <c r="O100" s="33">
        <f>IFERROR(__xludf.DUMMYFUNCTION("""COMPUTED_VALUE"""),8.0)</f>
        <v>8</v>
      </c>
      <c r="P100" s="33">
        <f>IFERROR(__xludf.DUMMYFUNCTION("""COMPUTED_VALUE"""),12.0)</f>
        <v>12</v>
      </c>
      <c r="Q100" s="33">
        <f>IFERROR(__xludf.DUMMYFUNCTION("""COMPUTED_VALUE"""),0.0)</f>
        <v>0</v>
      </c>
      <c r="R100" s="33">
        <f>IFERROR(__xludf.DUMMYFUNCTION("""COMPUTED_VALUE"""),0.0)</f>
        <v>0</v>
      </c>
      <c r="S100" s="33">
        <f>IFERROR(__xludf.DUMMYFUNCTION("""COMPUTED_VALUE"""),0.0)</f>
        <v>0</v>
      </c>
      <c r="T100" s="33">
        <f>IFERROR(__xludf.DUMMYFUNCTION("""COMPUTED_VALUE"""),0.0)</f>
        <v>0</v>
      </c>
      <c r="U100" s="33">
        <f>IFERROR(__xludf.DUMMYFUNCTION("""COMPUTED_VALUE"""),0.0)</f>
        <v>0</v>
      </c>
      <c r="V100" s="33">
        <f>IFERROR(__xludf.DUMMYFUNCTION("""COMPUTED_VALUE"""),0.0)</f>
        <v>0</v>
      </c>
      <c r="W100" s="33">
        <f>IFERROR(__xludf.DUMMYFUNCTION("""COMPUTED_VALUE"""),0.0)</f>
        <v>0</v>
      </c>
      <c r="X100" s="33">
        <f>IFERROR(__xludf.DUMMYFUNCTION("""COMPUTED_VALUE"""),0.0)</f>
        <v>0</v>
      </c>
      <c r="Y100" s="33">
        <f>IFERROR(__xludf.DUMMYFUNCTION("""COMPUTED_VALUE"""),0.0)</f>
        <v>0</v>
      </c>
      <c r="Z100" s="33">
        <f>IFERROR(__xludf.DUMMYFUNCTION("""COMPUTED_VALUE"""),0.0)</f>
        <v>0</v>
      </c>
      <c r="AA100" s="33">
        <f>IFERROR(__xludf.DUMMYFUNCTION("""COMPUTED_VALUE"""),0.0)</f>
        <v>0</v>
      </c>
      <c r="AB100" s="33">
        <f>IFERROR(__xludf.DUMMYFUNCTION("""COMPUTED_VALUE"""),0.0)</f>
        <v>0</v>
      </c>
      <c r="AC100" s="33">
        <f>IFERROR(__xludf.DUMMYFUNCTION("""COMPUTED_VALUE"""),2.5825)</f>
        <v>2.5825</v>
      </c>
      <c r="AD100" s="33">
        <f>IFERROR(__xludf.DUMMYFUNCTION("""COMPUTED_VALUE"""),2.13388888888888)</f>
        <v>2.133888889</v>
      </c>
      <c r="AE100" s="33">
        <f>IFERROR(__xludf.DUMMYFUNCTION("""COMPUTED_VALUE"""),3.195)</f>
        <v>3.195</v>
      </c>
      <c r="AF100" s="33">
        <f>IFERROR(__xludf.DUMMYFUNCTION("""COMPUTED_VALUE"""),0.0)</f>
        <v>0</v>
      </c>
    </row>
    <row r="101">
      <c r="A101" s="49">
        <f>IFERROR(__xludf.DUMMYFUNCTION("""COMPUTED_VALUE"""),46132.0)</f>
        <v>46132</v>
      </c>
      <c r="B101" s="33" t="str">
        <f>IFERROR(__xludf.DUMMYFUNCTION("""COMPUTED_VALUE"""),"96f1f89e4494e06fb7f9e3c4645563fa62ef9320")</f>
        <v>96f1f89e4494e06fb7f9e3c4645563fa62ef9320</v>
      </c>
      <c r="C101" s="33" t="str">
        <f>IFERROR(__xludf.DUMMYFUNCTION("""COMPUTED_VALUE"""),"King of Dragon - Production Show_id")</f>
        <v>King of Dragon - Production Show_id</v>
      </c>
      <c r="D101" s="33">
        <f>IFERROR(__xludf.DUMMYFUNCTION("""COMPUTED_VALUE"""),15.0)</f>
        <v>15</v>
      </c>
      <c r="E101" s="33">
        <f>IFERROR(__xludf.DUMMYFUNCTION("""COMPUTED_VALUE"""),16.0)</f>
        <v>16</v>
      </c>
      <c r="F101" s="33">
        <f>IFERROR(__xludf.DUMMYFUNCTION("""COMPUTED_VALUE"""),8.0)</f>
        <v>8</v>
      </c>
      <c r="G101" s="33">
        <f>IFERROR(__xludf.DUMMYFUNCTION("""COMPUTED_VALUE"""),12.0)</f>
        <v>12</v>
      </c>
      <c r="H101" s="33">
        <f>IFERROR(__xludf.DUMMYFUNCTION("""COMPUTED_VALUE"""),13.0)</f>
        <v>13</v>
      </c>
      <c r="I101" s="33">
        <f>IFERROR(__xludf.DUMMYFUNCTION("""COMPUTED_VALUE"""),1.0)</f>
        <v>1</v>
      </c>
      <c r="J101" s="33">
        <f>IFERROR(__xludf.DUMMYFUNCTION("""COMPUTED_VALUE"""),15.0)</f>
        <v>15</v>
      </c>
      <c r="K101" s="33">
        <f>IFERROR(__xludf.DUMMYFUNCTION("""COMPUTED_VALUE"""),11.0)</f>
        <v>11</v>
      </c>
      <c r="L101" s="33">
        <f>IFERROR(__xludf.DUMMYFUNCTION("""COMPUTED_VALUE"""),3.0)</f>
        <v>3</v>
      </c>
      <c r="M101" s="33">
        <f>IFERROR(__xludf.DUMMYFUNCTION("""COMPUTED_VALUE"""),15.0)</f>
        <v>15</v>
      </c>
      <c r="N101" s="33">
        <f>IFERROR(__xludf.DUMMYFUNCTION("""COMPUTED_VALUE"""),15.0)</f>
        <v>15</v>
      </c>
      <c r="O101" s="33">
        <f>IFERROR(__xludf.DUMMYFUNCTION("""COMPUTED_VALUE"""),6.0)</f>
        <v>6</v>
      </c>
      <c r="P101" s="33">
        <f>IFERROR(__xludf.DUMMYFUNCTION("""COMPUTED_VALUE"""),15.0)</f>
        <v>15</v>
      </c>
      <c r="Q101" s="33">
        <f>IFERROR(__xludf.DUMMYFUNCTION("""COMPUTED_VALUE"""),0.0)</f>
        <v>0</v>
      </c>
      <c r="R101" s="33">
        <f>IFERROR(__xludf.DUMMYFUNCTION("""COMPUTED_VALUE"""),32348.0)</f>
        <v>32348</v>
      </c>
      <c r="S101" s="33">
        <f>IFERROR(__xludf.DUMMYFUNCTION("""COMPUTED_VALUE"""),35021.0)</f>
        <v>35021</v>
      </c>
      <c r="T101" s="33">
        <f>IFERROR(__xludf.DUMMYFUNCTION("""COMPUTED_VALUE"""),3.23194444444444)</f>
        <v>3.231944444</v>
      </c>
      <c r="U101" s="33">
        <f>IFERROR(__xludf.DUMMYFUNCTION("""COMPUTED_VALUE"""),1.99)</f>
        <v>1.99</v>
      </c>
      <c r="V101" s="33">
        <f>IFERROR(__xludf.DUMMYFUNCTION("""COMPUTED_VALUE"""),3.00555555555555)</f>
        <v>3.005555556</v>
      </c>
      <c r="W101" s="33">
        <f>IFERROR(__xludf.DUMMYFUNCTION("""COMPUTED_VALUE"""),3.23333333333333)</f>
        <v>3.233333333</v>
      </c>
      <c r="X101" s="33">
        <f>IFERROR(__xludf.DUMMYFUNCTION("""COMPUTED_VALUE"""),0.227777777777777)</f>
        <v>0.2277777778</v>
      </c>
      <c r="Y101" s="33">
        <f>IFERROR(__xludf.DUMMYFUNCTION("""COMPUTED_VALUE"""),3.74611111111111)</f>
        <v>3.746111111</v>
      </c>
      <c r="Z101" s="33">
        <f>IFERROR(__xludf.DUMMYFUNCTION("""COMPUTED_VALUE"""),2.78861111111111)</f>
        <v>2.788611111</v>
      </c>
      <c r="AA101" s="33">
        <f>IFERROR(__xludf.DUMMYFUNCTION("""COMPUTED_VALUE"""),0.768611111111111)</f>
        <v>0.7686111111</v>
      </c>
      <c r="AB101" s="33">
        <f>IFERROR(__xludf.DUMMYFUNCTION("""COMPUTED_VALUE"""),3.78222222222222)</f>
        <v>3.782222222</v>
      </c>
      <c r="AC101" s="33">
        <f>IFERROR(__xludf.DUMMYFUNCTION("""COMPUTED_VALUE"""),3.78222222222222)</f>
        <v>3.782222222</v>
      </c>
      <c r="AD101" s="33">
        <f>IFERROR(__xludf.DUMMYFUNCTION("""COMPUTED_VALUE"""),1.85944444444444)</f>
        <v>1.859444444</v>
      </c>
      <c r="AE101" s="33">
        <f>IFERROR(__xludf.DUMMYFUNCTION("""COMPUTED_VALUE"""),3.78222222222222)</f>
        <v>3.782222222</v>
      </c>
      <c r="AF101" s="33">
        <f>IFERROR(__xludf.DUMMYFUNCTION("""COMPUTED_VALUE"""),13.0)</f>
        <v>13</v>
      </c>
    </row>
    <row r="102">
      <c r="A102" s="49">
        <f>IFERROR(__xludf.DUMMYFUNCTION("""COMPUTED_VALUE"""),46132.0)</f>
        <v>46132</v>
      </c>
      <c r="B102" s="33" t="str">
        <f>IFERROR(__xludf.DUMMYFUNCTION("""COMPUTED_VALUE"""),"9afaea00813dcb4fc57a46df70a2e3e1066af919")</f>
        <v>9afaea00813dcb4fc57a46df70a2e3e1066af919</v>
      </c>
      <c r="C102" s="33" t="str">
        <f>IFERROR(__xludf.DUMMYFUNCTION("""COMPUTED_VALUE"""),"My Millionaire System")</f>
        <v>My Millionaire System</v>
      </c>
      <c r="D102" s="33">
        <f>IFERROR(__xludf.DUMMYFUNCTION("""COMPUTED_VALUE"""),3.0)</f>
        <v>3</v>
      </c>
      <c r="E102" s="33">
        <f>IFERROR(__xludf.DUMMYFUNCTION("""COMPUTED_VALUE"""),3.0)</f>
        <v>3</v>
      </c>
      <c r="F102" s="33">
        <f>IFERROR(__xludf.DUMMYFUNCTION("""COMPUTED_VALUE"""),0.0)</f>
        <v>0</v>
      </c>
      <c r="G102" s="33">
        <f>IFERROR(__xludf.DUMMYFUNCTION("""COMPUTED_VALUE"""),0.0)</f>
        <v>0</v>
      </c>
      <c r="H102" s="33">
        <f>IFERROR(__xludf.DUMMYFUNCTION("""COMPUTED_VALUE"""),0.0)</f>
        <v>0</v>
      </c>
      <c r="I102" s="33">
        <f>IFERROR(__xludf.DUMMYFUNCTION("""COMPUTED_VALUE"""),0.0)</f>
        <v>0</v>
      </c>
      <c r="J102" s="33">
        <f>IFERROR(__xludf.DUMMYFUNCTION("""COMPUTED_VALUE"""),0.0)</f>
        <v>0</v>
      </c>
      <c r="K102" s="33">
        <f>IFERROR(__xludf.DUMMYFUNCTION("""COMPUTED_VALUE"""),0.0)</f>
        <v>0</v>
      </c>
      <c r="L102" s="33">
        <f>IFERROR(__xludf.DUMMYFUNCTION("""COMPUTED_VALUE"""),0.0)</f>
        <v>0</v>
      </c>
      <c r="M102" s="33">
        <f>IFERROR(__xludf.DUMMYFUNCTION("""COMPUTED_VALUE"""),0.0)</f>
        <v>0</v>
      </c>
      <c r="N102" s="33">
        <f>IFERROR(__xludf.DUMMYFUNCTION("""COMPUTED_VALUE"""),0.0)</f>
        <v>0</v>
      </c>
      <c r="O102" s="33">
        <f>IFERROR(__xludf.DUMMYFUNCTION("""COMPUTED_VALUE"""),0.0)</f>
        <v>0</v>
      </c>
      <c r="P102" s="33">
        <f>IFERROR(__xludf.DUMMYFUNCTION("""COMPUTED_VALUE"""),0.0)</f>
        <v>0</v>
      </c>
      <c r="Q102" s="33">
        <f>IFERROR(__xludf.DUMMYFUNCTION("""COMPUTED_VALUE"""),0.0)</f>
        <v>0</v>
      </c>
      <c r="R102" s="33">
        <f>IFERROR(__xludf.DUMMYFUNCTION("""COMPUTED_VALUE"""),6889.0)</f>
        <v>6889</v>
      </c>
      <c r="S102" s="33">
        <f>IFERROR(__xludf.DUMMYFUNCTION("""COMPUTED_VALUE"""),6889.0)</f>
        <v>6889</v>
      </c>
      <c r="T102" s="33">
        <f>IFERROR(__xludf.DUMMYFUNCTION("""COMPUTED_VALUE"""),0.0)</f>
        <v>0</v>
      </c>
      <c r="U102" s="33">
        <f>IFERROR(__xludf.DUMMYFUNCTION("""COMPUTED_VALUE"""),0.0)</f>
        <v>0</v>
      </c>
      <c r="V102" s="33">
        <f>IFERROR(__xludf.DUMMYFUNCTION("""COMPUTED_VALUE"""),0.0)</f>
        <v>0</v>
      </c>
      <c r="W102" s="33">
        <f>IFERROR(__xludf.DUMMYFUNCTION("""COMPUTED_VALUE"""),0.0)</f>
        <v>0</v>
      </c>
      <c r="X102" s="33">
        <f>IFERROR(__xludf.DUMMYFUNCTION("""COMPUTED_VALUE"""),0.0)</f>
        <v>0</v>
      </c>
      <c r="Y102" s="33">
        <f>IFERROR(__xludf.DUMMYFUNCTION("""COMPUTED_VALUE"""),0.0)</f>
        <v>0</v>
      </c>
      <c r="Z102" s="33">
        <f>IFERROR(__xludf.DUMMYFUNCTION("""COMPUTED_VALUE"""),0.0)</f>
        <v>0</v>
      </c>
      <c r="AA102" s="33">
        <f>IFERROR(__xludf.DUMMYFUNCTION("""COMPUTED_VALUE"""),0.0)</f>
        <v>0</v>
      </c>
      <c r="AB102" s="33">
        <f>IFERROR(__xludf.DUMMYFUNCTION("""COMPUTED_VALUE"""),0.0)</f>
        <v>0</v>
      </c>
      <c r="AC102" s="33">
        <f>IFERROR(__xludf.DUMMYFUNCTION("""COMPUTED_VALUE"""),0.0)</f>
        <v>0</v>
      </c>
      <c r="AD102" s="33">
        <f>IFERROR(__xludf.DUMMYFUNCTION("""COMPUTED_VALUE"""),0.0)</f>
        <v>0</v>
      </c>
      <c r="AE102" s="33">
        <f>IFERROR(__xludf.DUMMYFUNCTION("""COMPUTED_VALUE"""),0.0)</f>
        <v>0</v>
      </c>
      <c r="AF102" s="33">
        <f>IFERROR(__xludf.DUMMYFUNCTION("""COMPUTED_VALUE"""),0.0)</f>
        <v>0</v>
      </c>
    </row>
    <row r="103">
      <c r="A103" s="49">
        <f>IFERROR(__xludf.DUMMYFUNCTION("""COMPUTED_VALUE"""),46132.0)</f>
        <v>46132</v>
      </c>
      <c r="B103" s="33" t="str">
        <f>IFERROR(__xludf.DUMMYFUNCTION("""COMPUTED_VALUE"""),"a3ba65aa427077188e1ad7dbcbcafae266683ca9")</f>
        <v>a3ba65aa427077188e1ad7dbcbcafae266683ca9</v>
      </c>
      <c r="C103" s="33" t="str">
        <f>IFERROR(__xludf.DUMMYFUNCTION("""COMPUTED_VALUE"""),"The Warrior | Author - Dayaram Prajapati")</f>
        <v>The Warrior | Author - Dayaram Prajapati</v>
      </c>
      <c r="D103" s="33">
        <f>IFERROR(__xludf.DUMMYFUNCTION("""COMPUTED_VALUE"""),15.0)</f>
        <v>15</v>
      </c>
      <c r="E103" s="33">
        <f>IFERROR(__xludf.DUMMYFUNCTION("""COMPUTED_VALUE"""),30.0)</f>
        <v>30</v>
      </c>
      <c r="F103" s="33">
        <f>IFERROR(__xludf.DUMMYFUNCTION("""COMPUTED_VALUE"""),0.0)</f>
        <v>0</v>
      </c>
      <c r="G103" s="33">
        <f>IFERROR(__xludf.DUMMYFUNCTION("""COMPUTED_VALUE"""),0.0)</f>
        <v>0</v>
      </c>
      <c r="H103" s="33">
        <f>IFERROR(__xludf.DUMMYFUNCTION("""COMPUTED_VALUE"""),0.0)</f>
        <v>0</v>
      </c>
      <c r="I103" s="33">
        <f>IFERROR(__xludf.DUMMYFUNCTION("""COMPUTED_VALUE"""),0.0)</f>
        <v>0</v>
      </c>
      <c r="J103" s="33">
        <f>IFERROR(__xludf.DUMMYFUNCTION("""COMPUTED_VALUE"""),0.0)</f>
        <v>0</v>
      </c>
      <c r="K103" s="33">
        <f>IFERROR(__xludf.DUMMYFUNCTION("""COMPUTED_VALUE"""),0.0)</f>
        <v>0</v>
      </c>
      <c r="L103" s="33">
        <f>IFERROR(__xludf.DUMMYFUNCTION("""COMPUTED_VALUE"""),0.0)</f>
        <v>0</v>
      </c>
      <c r="M103" s="33">
        <f>IFERROR(__xludf.DUMMYFUNCTION("""COMPUTED_VALUE"""),15.0)</f>
        <v>15</v>
      </c>
      <c r="N103" s="33">
        <f>IFERROR(__xludf.DUMMYFUNCTION("""COMPUTED_VALUE"""),30.0)</f>
        <v>30</v>
      </c>
      <c r="O103" s="33">
        <f>IFERROR(__xludf.DUMMYFUNCTION("""COMPUTED_VALUE"""),4.0)</f>
        <v>4</v>
      </c>
      <c r="P103" s="33">
        <f>IFERROR(__xludf.DUMMYFUNCTION("""COMPUTED_VALUE"""),30.0)</f>
        <v>30</v>
      </c>
      <c r="Q103" s="33">
        <f>IFERROR(__xludf.DUMMYFUNCTION("""COMPUTED_VALUE"""),0.0)</f>
        <v>0</v>
      </c>
      <c r="R103" s="33">
        <f>IFERROR(__xludf.DUMMYFUNCTION("""COMPUTED_VALUE"""),39571.0)</f>
        <v>39571</v>
      </c>
      <c r="S103" s="33">
        <f>IFERROR(__xludf.DUMMYFUNCTION("""COMPUTED_VALUE"""),81806.0)</f>
        <v>81806</v>
      </c>
      <c r="T103" s="33">
        <f>IFERROR(__xludf.DUMMYFUNCTION("""COMPUTED_VALUE"""),0.0)</f>
        <v>0</v>
      </c>
      <c r="U103" s="33">
        <f>IFERROR(__xludf.DUMMYFUNCTION("""COMPUTED_VALUE"""),0.0)</f>
        <v>0</v>
      </c>
      <c r="V103" s="33">
        <f>IFERROR(__xludf.DUMMYFUNCTION("""COMPUTED_VALUE"""),0.0)</f>
        <v>0</v>
      </c>
      <c r="W103" s="33">
        <f>IFERROR(__xludf.DUMMYFUNCTION("""COMPUTED_VALUE"""),0.0)</f>
        <v>0</v>
      </c>
      <c r="X103" s="33">
        <f>IFERROR(__xludf.DUMMYFUNCTION("""COMPUTED_VALUE"""),0.0)</f>
        <v>0</v>
      </c>
      <c r="Y103" s="33">
        <f>IFERROR(__xludf.DUMMYFUNCTION("""COMPUTED_VALUE"""),0.0)</f>
        <v>0</v>
      </c>
      <c r="Z103" s="33">
        <f>IFERROR(__xludf.DUMMYFUNCTION("""COMPUTED_VALUE"""),0.0)</f>
        <v>0</v>
      </c>
      <c r="AA103" s="33">
        <f>IFERROR(__xludf.DUMMYFUNCTION("""COMPUTED_VALUE"""),0.0)</f>
        <v>0</v>
      </c>
      <c r="AB103" s="33">
        <f>IFERROR(__xludf.DUMMYFUNCTION("""COMPUTED_VALUE"""),4.04222222222222)</f>
        <v>4.042222222</v>
      </c>
      <c r="AC103" s="33">
        <f>IFERROR(__xludf.DUMMYFUNCTION("""COMPUTED_VALUE"""),8.20305555555555)</f>
        <v>8.203055556</v>
      </c>
      <c r="AD103" s="33">
        <f>IFERROR(__xludf.DUMMYFUNCTION("""COMPUTED_VALUE"""),0.952222222222222)</f>
        <v>0.9522222222</v>
      </c>
      <c r="AE103" s="33">
        <f>IFERROR(__xludf.DUMMYFUNCTION("""COMPUTED_VALUE"""),8.20305555555555)</f>
        <v>8.203055556</v>
      </c>
      <c r="AF103" s="33">
        <f>IFERROR(__xludf.DUMMYFUNCTION("""COMPUTED_VALUE"""),0.0)</f>
        <v>0</v>
      </c>
    </row>
    <row r="104">
      <c r="A104" s="49">
        <f>IFERROR(__xludf.DUMMYFUNCTION("""COMPUTED_VALUE"""),46132.0)</f>
        <v>46132</v>
      </c>
      <c r="B104" s="33" t="str">
        <f>IFERROR(__xludf.DUMMYFUNCTION("""COMPUTED_VALUE"""),"aa81f1feb820ed6f22bd7b22b55890db740929cb")</f>
        <v>aa81f1feb820ed6f22bd7b22b55890db740929cb</v>
      </c>
      <c r="C104" s="33" t="str">
        <f>IFERROR(__xludf.DUMMYFUNCTION("""COMPUTED_VALUE"""),"Shunya Samrat")</f>
        <v>Shunya Samrat</v>
      </c>
      <c r="D104" s="33">
        <f>IFERROR(__xludf.DUMMYFUNCTION("""COMPUTED_VALUE"""),2.0)</f>
        <v>2</v>
      </c>
      <c r="E104" s="33">
        <f>IFERROR(__xludf.DUMMYFUNCTION("""COMPUTED_VALUE"""),339.0)</f>
        <v>339</v>
      </c>
      <c r="F104" s="33">
        <f>IFERROR(__xludf.DUMMYFUNCTION("""COMPUTED_VALUE"""),0.0)</f>
        <v>0</v>
      </c>
      <c r="G104" s="33">
        <f>IFERROR(__xludf.DUMMYFUNCTION("""COMPUTED_VALUE"""),0.0)</f>
        <v>0</v>
      </c>
      <c r="H104" s="33">
        <f>IFERROR(__xludf.DUMMYFUNCTION("""COMPUTED_VALUE"""),0.0)</f>
        <v>0</v>
      </c>
      <c r="I104" s="33">
        <f>IFERROR(__xludf.DUMMYFUNCTION("""COMPUTED_VALUE"""),0.0)</f>
        <v>0</v>
      </c>
      <c r="J104" s="33">
        <f>IFERROR(__xludf.DUMMYFUNCTION("""COMPUTED_VALUE"""),0.0)</f>
        <v>0</v>
      </c>
      <c r="K104" s="33">
        <f>IFERROR(__xludf.DUMMYFUNCTION("""COMPUTED_VALUE"""),0.0)</f>
        <v>0</v>
      </c>
      <c r="L104" s="33">
        <f>IFERROR(__xludf.DUMMYFUNCTION("""COMPUTED_VALUE"""),0.0)</f>
        <v>0</v>
      </c>
      <c r="M104" s="33">
        <f>IFERROR(__xludf.DUMMYFUNCTION("""COMPUTED_VALUE"""),0.0)</f>
        <v>0</v>
      </c>
      <c r="N104" s="33">
        <f>IFERROR(__xludf.DUMMYFUNCTION("""COMPUTED_VALUE"""),170.0)</f>
        <v>170</v>
      </c>
      <c r="O104" s="33">
        <f>IFERROR(__xludf.DUMMYFUNCTION("""COMPUTED_VALUE"""),5.0)</f>
        <v>5</v>
      </c>
      <c r="P104" s="33">
        <f>IFERROR(__xludf.DUMMYFUNCTION("""COMPUTED_VALUE"""),170.0)</f>
        <v>170</v>
      </c>
      <c r="Q104" s="33">
        <f>IFERROR(__xludf.DUMMYFUNCTION("""COMPUTED_VALUE"""),0.0)</f>
        <v>0</v>
      </c>
      <c r="R104" s="33">
        <f>IFERROR(__xludf.DUMMYFUNCTION("""COMPUTED_VALUE"""),6961.0)</f>
        <v>6961</v>
      </c>
      <c r="S104" s="33">
        <f>IFERROR(__xludf.DUMMYFUNCTION("""COMPUTED_VALUE"""),810295.0)</f>
        <v>810295</v>
      </c>
      <c r="T104" s="33">
        <f>IFERROR(__xludf.DUMMYFUNCTION("""COMPUTED_VALUE"""),0.0)</f>
        <v>0</v>
      </c>
      <c r="U104" s="33">
        <f>IFERROR(__xludf.DUMMYFUNCTION("""COMPUTED_VALUE"""),0.0)</f>
        <v>0</v>
      </c>
      <c r="V104" s="33">
        <f>IFERROR(__xludf.DUMMYFUNCTION("""COMPUTED_VALUE"""),0.0)</f>
        <v>0</v>
      </c>
      <c r="W104" s="33">
        <f>IFERROR(__xludf.DUMMYFUNCTION("""COMPUTED_VALUE"""),0.0)</f>
        <v>0</v>
      </c>
      <c r="X104" s="33">
        <f>IFERROR(__xludf.DUMMYFUNCTION("""COMPUTED_VALUE"""),0.0)</f>
        <v>0</v>
      </c>
      <c r="Y104" s="33">
        <f>IFERROR(__xludf.DUMMYFUNCTION("""COMPUTED_VALUE"""),0.0)</f>
        <v>0</v>
      </c>
      <c r="Z104" s="33">
        <f>IFERROR(__xludf.DUMMYFUNCTION("""COMPUTED_VALUE"""),0.0)</f>
        <v>0</v>
      </c>
      <c r="AA104" s="33">
        <f>IFERROR(__xludf.DUMMYFUNCTION("""COMPUTED_VALUE"""),0.0)</f>
        <v>0</v>
      </c>
      <c r="AB104" s="33">
        <f>IFERROR(__xludf.DUMMYFUNCTION("""COMPUTED_VALUE"""),0.0)</f>
        <v>0</v>
      </c>
      <c r="AC104" s="33">
        <f>IFERROR(__xludf.DUMMYFUNCTION("""COMPUTED_VALUE"""),63.41)</f>
        <v>63.41</v>
      </c>
      <c r="AD104" s="33">
        <f>IFERROR(__xludf.DUMMYFUNCTION("""COMPUTED_VALUE"""),1.00305555555555)</f>
        <v>1.003055556</v>
      </c>
      <c r="AE104" s="33">
        <f>IFERROR(__xludf.DUMMYFUNCTION("""COMPUTED_VALUE"""),63.3930555555555)</f>
        <v>63.39305556</v>
      </c>
      <c r="AF104" s="33">
        <f>IFERROR(__xludf.DUMMYFUNCTION("""COMPUTED_VALUE"""),0.0)</f>
        <v>0</v>
      </c>
    </row>
    <row r="105">
      <c r="A105" s="49">
        <f>IFERROR(__xludf.DUMMYFUNCTION("""COMPUTED_VALUE"""),46132.0)</f>
        <v>46132</v>
      </c>
      <c r="B105" s="33" t="str">
        <f>IFERROR(__xludf.DUMMYFUNCTION("""COMPUTED_VALUE"""),"aab7b2fa6301b585dcebf9ec60cf4371307ad469")</f>
        <v>aab7b2fa6301b585dcebf9ec60cf4371307ad469</v>
      </c>
      <c r="C105" s="33" t="str">
        <f>IFERROR(__xludf.DUMMYFUNCTION("""COMPUTED_VALUE"""),"Tere Ishq Mein (OBH)  - Production Show_id")</f>
        <v>Tere Ishq Mein (OBH)  - Production Show_id</v>
      </c>
      <c r="D105" s="33">
        <f>IFERROR(__xludf.DUMMYFUNCTION("""COMPUTED_VALUE"""),6.0)</f>
        <v>6</v>
      </c>
      <c r="E105" s="33">
        <f>IFERROR(__xludf.DUMMYFUNCTION("""COMPUTED_VALUE"""),15.0)</f>
        <v>15</v>
      </c>
      <c r="F105" s="33">
        <f>IFERROR(__xludf.DUMMYFUNCTION("""COMPUTED_VALUE"""),11.0)</f>
        <v>11</v>
      </c>
      <c r="G105" s="33">
        <f>IFERROR(__xludf.DUMMYFUNCTION("""COMPUTED_VALUE"""),6.0)</f>
        <v>6</v>
      </c>
      <c r="H105" s="33">
        <f>IFERROR(__xludf.DUMMYFUNCTION("""COMPUTED_VALUE"""),11.0)</f>
        <v>11</v>
      </c>
      <c r="I105" s="33">
        <f>IFERROR(__xludf.DUMMYFUNCTION("""COMPUTED_VALUE"""),4.0)</f>
        <v>4</v>
      </c>
      <c r="J105" s="33">
        <f>IFERROR(__xludf.DUMMYFUNCTION("""COMPUTED_VALUE"""),12.0)</f>
        <v>12</v>
      </c>
      <c r="K105" s="33">
        <f>IFERROR(__xludf.DUMMYFUNCTION("""COMPUTED_VALUE"""),16.0)</f>
        <v>16</v>
      </c>
      <c r="L105" s="33">
        <f>IFERROR(__xludf.DUMMYFUNCTION("""COMPUTED_VALUE"""),1.0)</f>
        <v>1</v>
      </c>
      <c r="M105" s="33">
        <f>IFERROR(__xludf.DUMMYFUNCTION("""COMPUTED_VALUE"""),14.0)</f>
        <v>14</v>
      </c>
      <c r="N105" s="33">
        <f>IFERROR(__xludf.DUMMYFUNCTION("""COMPUTED_VALUE"""),9.0)</f>
        <v>9</v>
      </c>
      <c r="O105" s="33">
        <f>IFERROR(__xludf.DUMMYFUNCTION("""COMPUTED_VALUE"""),1.0)</f>
        <v>1</v>
      </c>
      <c r="P105" s="33">
        <f>IFERROR(__xludf.DUMMYFUNCTION("""COMPUTED_VALUE"""),9.0)</f>
        <v>9</v>
      </c>
      <c r="Q105" s="33">
        <f>IFERROR(__xludf.DUMMYFUNCTION("""COMPUTED_VALUE"""),0.0)</f>
        <v>0</v>
      </c>
      <c r="R105" s="33">
        <f>IFERROR(__xludf.DUMMYFUNCTION("""COMPUTED_VALUE"""),14799.0)</f>
        <v>14799</v>
      </c>
      <c r="S105" s="33">
        <f>IFERROR(__xludf.DUMMYFUNCTION("""COMPUTED_VALUE"""),34820.0)</f>
        <v>34820</v>
      </c>
      <c r="T105" s="33">
        <f>IFERROR(__xludf.DUMMYFUNCTION("""COMPUTED_VALUE"""),2.93083333333333)</f>
        <v>2.930833333</v>
      </c>
      <c r="U105" s="33">
        <f>IFERROR(__xludf.DUMMYFUNCTION("""COMPUTED_VALUE"""),2.50472222222222)</f>
        <v>2.504722222</v>
      </c>
      <c r="V105" s="33">
        <f>IFERROR(__xludf.DUMMYFUNCTION("""COMPUTED_VALUE"""),1.36666666666666)</f>
        <v>1.366666667</v>
      </c>
      <c r="W105" s="33">
        <f>IFERROR(__xludf.DUMMYFUNCTION("""COMPUTED_VALUE"""),2.49111111111111)</f>
        <v>2.491111111</v>
      </c>
      <c r="X105" s="33">
        <f>IFERROR(__xludf.DUMMYFUNCTION("""COMPUTED_VALUE"""),0.879444444444444)</f>
        <v>0.8794444444</v>
      </c>
      <c r="Y105" s="33">
        <f>IFERROR(__xludf.DUMMYFUNCTION("""COMPUTED_VALUE"""),2.78527777777777)</f>
        <v>2.785277778</v>
      </c>
      <c r="Z105" s="33">
        <f>IFERROR(__xludf.DUMMYFUNCTION("""COMPUTED_VALUE"""),3.70333333333333)</f>
        <v>3.703333333</v>
      </c>
      <c r="AA105" s="33">
        <f>IFERROR(__xludf.DUMMYFUNCTION("""COMPUTED_VALUE"""),0.217777777777777)</f>
        <v>0.2177777778</v>
      </c>
      <c r="AB105" s="33">
        <f>IFERROR(__xludf.DUMMYFUNCTION("""COMPUTED_VALUE"""),3.25194444444444)</f>
        <v>3.251944444</v>
      </c>
      <c r="AC105" s="33">
        <f>IFERROR(__xludf.DUMMYFUNCTION("""COMPUTED_VALUE"""),2.14305555555555)</f>
        <v>2.143055556</v>
      </c>
      <c r="AD105" s="33">
        <f>IFERROR(__xludf.DUMMYFUNCTION("""COMPUTED_VALUE"""),0.223333333333333)</f>
        <v>0.2233333333</v>
      </c>
      <c r="AE105" s="33">
        <f>IFERROR(__xludf.DUMMYFUNCTION("""COMPUTED_VALUE"""),2.14305555555555)</f>
        <v>2.143055556</v>
      </c>
      <c r="AF105" s="33">
        <f>IFERROR(__xludf.DUMMYFUNCTION("""COMPUTED_VALUE"""),13.0)</f>
        <v>13</v>
      </c>
    </row>
    <row r="106">
      <c r="A106" s="49">
        <f>IFERROR(__xludf.DUMMYFUNCTION("""COMPUTED_VALUE"""),46132.0)</f>
        <v>46132</v>
      </c>
      <c r="B106" s="33" t="str">
        <f>IFERROR(__xludf.DUMMYFUNCTION("""COMPUTED_VALUE"""),"b19f613216d474cd2927d5f4832a949dca2dc33e")</f>
        <v>b19f613216d474cd2927d5f4832a949dca2dc33e</v>
      </c>
      <c r="C106" s="33" t="str">
        <f>IFERROR(__xludf.DUMMYFUNCTION("""COMPUTED_VALUE"""),"The Immortal (Production)")</f>
        <v>The Immortal (Production)</v>
      </c>
      <c r="D106" s="33">
        <f>IFERROR(__xludf.DUMMYFUNCTION("""COMPUTED_VALUE"""),0.0)</f>
        <v>0</v>
      </c>
      <c r="E106" s="33">
        <f>IFERROR(__xludf.DUMMYFUNCTION("""COMPUTED_VALUE"""),5.0)</f>
        <v>5</v>
      </c>
      <c r="F106" s="33">
        <f>IFERROR(__xludf.DUMMYFUNCTION("""COMPUTED_VALUE"""),0.0)</f>
        <v>0</v>
      </c>
      <c r="G106" s="33">
        <f>IFERROR(__xludf.DUMMYFUNCTION("""COMPUTED_VALUE"""),0.0)</f>
        <v>0</v>
      </c>
      <c r="H106" s="33">
        <f>IFERROR(__xludf.DUMMYFUNCTION("""COMPUTED_VALUE"""),5.0)</f>
        <v>5</v>
      </c>
      <c r="I106" s="33">
        <f>IFERROR(__xludf.DUMMYFUNCTION("""COMPUTED_VALUE"""),5.0)</f>
        <v>5</v>
      </c>
      <c r="J106" s="33">
        <f>IFERROR(__xludf.DUMMYFUNCTION("""COMPUTED_VALUE"""),10.0)</f>
        <v>10</v>
      </c>
      <c r="K106" s="33">
        <f>IFERROR(__xludf.DUMMYFUNCTION("""COMPUTED_VALUE"""),10.0)</f>
        <v>10</v>
      </c>
      <c r="L106" s="33">
        <f>IFERROR(__xludf.DUMMYFUNCTION("""COMPUTED_VALUE"""),10.0)</f>
        <v>10</v>
      </c>
      <c r="M106" s="33">
        <f>IFERROR(__xludf.DUMMYFUNCTION("""COMPUTED_VALUE"""),13.0)</f>
        <v>13</v>
      </c>
      <c r="N106" s="33">
        <f>IFERROR(__xludf.DUMMYFUNCTION("""COMPUTED_VALUE"""),12.0)</f>
        <v>12</v>
      </c>
      <c r="O106" s="33">
        <f>IFERROR(__xludf.DUMMYFUNCTION("""COMPUTED_VALUE"""),5.0)</f>
        <v>5</v>
      </c>
      <c r="P106" s="33">
        <f>IFERROR(__xludf.DUMMYFUNCTION("""COMPUTED_VALUE"""),12.0)</f>
        <v>12</v>
      </c>
      <c r="Q106" s="33">
        <f>IFERROR(__xludf.DUMMYFUNCTION("""COMPUTED_VALUE"""),0.0)</f>
        <v>0</v>
      </c>
      <c r="R106" s="33">
        <f>IFERROR(__xludf.DUMMYFUNCTION("""COMPUTED_VALUE"""),0.0)</f>
        <v>0</v>
      </c>
      <c r="S106" s="33">
        <f>IFERROR(__xludf.DUMMYFUNCTION("""COMPUTED_VALUE"""),12433.0)</f>
        <v>12433</v>
      </c>
      <c r="T106" s="33">
        <f>IFERROR(__xludf.DUMMYFUNCTION("""COMPUTED_VALUE"""),1.1075)</f>
        <v>1.1075</v>
      </c>
      <c r="U106" s="33">
        <f>IFERROR(__xludf.DUMMYFUNCTION("""COMPUTED_VALUE"""),0.0)</f>
        <v>0</v>
      </c>
      <c r="V106" s="33">
        <f>IFERROR(__xludf.DUMMYFUNCTION("""COMPUTED_VALUE"""),0.0)</f>
        <v>0</v>
      </c>
      <c r="W106" s="33">
        <f>IFERROR(__xludf.DUMMYFUNCTION("""COMPUTED_VALUE"""),1.10416666666666)</f>
        <v>1.104166667</v>
      </c>
      <c r="X106" s="33">
        <f>IFERROR(__xludf.DUMMYFUNCTION("""COMPUTED_VALUE"""),1.10416666666666)</f>
        <v>1.104166667</v>
      </c>
      <c r="Y106" s="33">
        <f>IFERROR(__xludf.DUMMYFUNCTION("""COMPUTED_VALUE"""),2.11194444444444)</f>
        <v>2.111944444</v>
      </c>
      <c r="Z106" s="33">
        <f>IFERROR(__xludf.DUMMYFUNCTION("""COMPUTED_VALUE"""),2.07027777777777)</f>
        <v>2.070277778</v>
      </c>
      <c r="AA106" s="33">
        <f>IFERROR(__xludf.DUMMYFUNCTION("""COMPUTED_VALUE"""),2.07)</f>
        <v>2.07</v>
      </c>
      <c r="AB106" s="33">
        <f>IFERROR(__xludf.DUMMYFUNCTION("""COMPUTED_VALUE"""),2.66694444444444)</f>
        <v>2.666944444</v>
      </c>
      <c r="AC106" s="33">
        <f>IFERROR(__xludf.DUMMYFUNCTION("""COMPUTED_VALUE"""),2.45444444444444)</f>
        <v>2.454444444</v>
      </c>
      <c r="AD106" s="33">
        <f>IFERROR(__xludf.DUMMYFUNCTION("""COMPUTED_VALUE"""),0.766944444444444)</f>
        <v>0.7669444444</v>
      </c>
      <c r="AE106" s="33">
        <f>IFERROR(__xludf.DUMMYFUNCTION("""COMPUTED_VALUE"""),2.45444444444444)</f>
        <v>2.454444444</v>
      </c>
      <c r="AF106" s="33">
        <f>IFERROR(__xludf.DUMMYFUNCTION("""COMPUTED_VALUE"""),5.0)</f>
        <v>5</v>
      </c>
    </row>
    <row r="107">
      <c r="A107" s="49">
        <f>IFERROR(__xludf.DUMMYFUNCTION("""COMPUTED_VALUE"""),46132.0)</f>
        <v>46132</v>
      </c>
      <c r="B107" s="33" t="str">
        <f>IFERROR(__xludf.DUMMYFUNCTION("""COMPUTED_VALUE"""),"b9727274f880f47671ad54caad4904a491fad9c7")</f>
        <v>b9727274f880f47671ad54caad4904a491fad9c7</v>
      </c>
      <c r="C107" s="33" t="str">
        <f>IFERROR(__xludf.DUMMYFUNCTION("""COMPUTED_VALUE"""),"Brahmand Ka Rakshak - Production Show")</f>
        <v>Brahmand Ka Rakshak - Production Show</v>
      </c>
      <c r="D107" s="33">
        <f>IFERROR(__xludf.DUMMYFUNCTION("""COMPUTED_VALUE"""),30.0)</f>
        <v>30</v>
      </c>
      <c r="E107" s="33">
        <f>IFERROR(__xludf.DUMMYFUNCTION("""COMPUTED_VALUE"""),30.0)</f>
        <v>30</v>
      </c>
      <c r="F107" s="33">
        <f>IFERROR(__xludf.DUMMYFUNCTION("""COMPUTED_VALUE"""),11.0)</f>
        <v>11</v>
      </c>
      <c r="G107" s="33">
        <f>IFERROR(__xludf.DUMMYFUNCTION("""COMPUTED_VALUE"""),12.0)</f>
        <v>12</v>
      </c>
      <c r="H107" s="33">
        <f>IFERROR(__xludf.DUMMYFUNCTION("""COMPUTED_VALUE"""),35.0)</f>
        <v>35</v>
      </c>
      <c r="I107" s="33">
        <f>IFERROR(__xludf.DUMMYFUNCTION("""COMPUTED_VALUE"""),25.0)</f>
        <v>25</v>
      </c>
      <c r="J107" s="33">
        <f>IFERROR(__xludf.DUMMYFUNCTION("""COMPUTED_VALUE"""),37.0)</f>
        <v>37</v>
      </c>
      <c r="K107" s="33">
        <f>IFERROR(__xludf.DUMMYFUNCTION("""COMPUTED_VALUE"""),16.0)</f>
        <v>16</v>
      </c>
      <c r="L107" s="33">
        <f>IFERROR(__xludf.DUMMYFUNCTION("""COMPUTED_VALUE"""),2.0)</f>
        <v>2</v>
      </c>
      <c r="M107" s="33">
        <f>IFERROR(__xludf.DUMMYFUNCTION("""COMPUTED_VALUE"""),35.0)</f>
        <v>35</v>
      </c>
      <c r="N107" s="33">
        <f>IFERROR(__xludf.DUMMYFUNCTION("""COMPUTED_VALUE"""),35.0)</f>
        <v>35</v>
      </c>
      <c r="O107" s="33">
        <f>IFERROR(__xludf.DUMMYFUNCTION("""COMPUTED_VALUE"""),6.0)</f>
        <v>6</v>
      </c>
      <c r="P107" s="33">
        <f>IFERROR(__xludf.DUMMYFUNCTION("""COMPUTED_VALUE"""),35.0)</f>
        <v>35</v>
      </c>
      <c r="Q107" s="33">
        <f>IFERROR(__xludf.DUMMYFUNCTION("""COMPUTED_VALUE"""),0.0)</f>
        <v>0</v>
      </c>
      <c r="R107" s="33">
        <f>IFERROR(__xludf.DUMMYFUNCTION("""COMPUTED_VALUE"""),69991.0)</f>
        <v>69991</v>
      </c>
      <c r="S107" s="33">
        <f>IFERROR(__xludf.DUMMYFUNCTION("""COMPUTED_VALUE"""),65522.0)</f>
        <v>65522</v>
      </c>
      <c r="T107" s="33">
        <f>IFERROR(__xludf.DUMMYFUNCTION("""COMPUTED_VALUE"""),6.53972222222222)</f>
        <v>6.539722222</v>
      </c>
      <c r="U107" s="33">
        <f>IFERROR(__xludf.DUMMYFUNCTION("""COMPUTED_VALUE"""),2.03083333333333)</f>
        <v>2.030833333</v>
      </c>
      <c r="V107" s="33">
        <f>IFERROR(__xludf.DUMMYFUNCTION("""COMPUTED_VALUE"""),2.24583333333333)</f>
        <v>2.245833333</v>
      </c>
      <c r="W107" s="33">
        <f>IFERROR(__xludf.DUMMYFUNCTION("""COMPUTED_VALUE"""),6.55027777777777)</f>
        <v>6.550277778</v>
      </c>
      <c r="X107" s="33">
        <f>IFERROR(__xludf.DUMMYFUNCTION("""COMPUTED_VALUE"""),4.69055555555555)</f>
        <v>4.690555556</v>
      </c>
      <c r="Y107" s="33">
        <f>IFERROR(__xludf.DUMMYFUNCTION("""COMPUTED_VALUE"""),6.93555555555555)</f>
        <v>6.935555556</v>
      </c>
      <c r="Z107" s="33">
        <f>IFERROR(__xludf.DUMMYFUNCTION("""COMPUTED_VALUE"""),2.79388888888888)</f>
        <v>2.793888889</v>
      </c>
      <c r="AA107" s="33">
        <f>IFERROR(__xludf.DUMMYFUNCTION("""COMPUTED_VALUE"""),0.363611111111111)</f>
        <v>0.3636111111</v>
      </c>
      <c r="AB107" s="33">
        <f>IFERROR(__xludf.DUMMYFUNCTION("""COMPUTED_VALUE"""),6.58888888888889)</f>
        <v>6.588888889</v>
      </c>
      <c r="AC107" s="33">
        <f>IFERROR(__xludf.DUMMYFUNCTION("""COMPUTED_VALUE"""),6.58888888888888)</f>
        <v>6.588888889</v>
      </c>
      <c r="AD107" s="33">
        <f>IFERROR(__xludf.DUMMYFUNCTION("""COMPUTED_VALUE"""),1.09555555555555)</f>
        <v>1.095555556</v>
      </c>
      <c r="AE107" s="33">
        <f>IFERROR(__xludf.DUMMYFUNCTION("""COMPUTED_VALUE"""),6.58888888888888)</f>
        <v>6.588888889</v>
      </c>
      <c r="AF107" s="33">
        <f>IFERROR(__xludf.DUMMYFUNCTION("""COMPUTED_VALUE"""),35.0)</f>
        <v>35</v>
      </c>
    </row>
    <row r="108">
      <c r="A108" s="49">
        <f>IFERROR(__xludf.DUMMYFUNCTION("""COMPUTED_VALUE"""),46132.0)</f>
        <v>46132</v>
      </c>
      <c r="B108" s="33" t="str">
        <f>IFERROR(__xludf.DUMMYFUNCTION("""COMPUTED_VALUE"""),"bb6f447c782519839d8793fda0d35f90bad4421a")</f>
        <v>bb6f447c782519839d8793fda0d35f90bad4421a</v>
      </c>
      <c r="C108" s="33" t="str">
        <f>IFERROR(__xludf.DUMMYFUNCTION("""COMPUTED_VALUE"""),"Ruthless")</f>
        <v>Ruthless</v>
      </c>
      <c r="D108" s="33">
        <f>IFERROR(__xludf.DUMMYFUNCTION("""COMPUTED_VALUE"""),15.0)</f>
        <v>15</v>
      </c>
      <c r="E108" s="33">
        <f>IFERROR(__xludf.DUMMYFUNCTION("""COMPUTED_VALUE"""),16.0)</f>
        <v>16</v>
      </c>
      <c r="F108" s="33">
        <f>IFERROR(__xludf.DUMMYFUNCTION("""COMPUTED_VALUE"""),0.0)</f>
        <v>0</v>
      </c>
      <c r="G108" s="33">
        <f>IFERROR(__xludf.DUMMYFUNCTION("""COMPUTED_VALUE"""),0.0)</f>
        <v>0</v>
      </c>
      <c r="H108" s="33">
        <f>IFERROR(__xludf.DUMMYFUNCTION("""COMPUTED_VALUE"""),5.0)</f>
        <v>5</v>
      </c>
      <c r="I108" s="33">
        <f>IFERROR(__xludf.DUMMYFUNCTION("""COMPUTED_VALUE"""),5.0)</f>
        <v>5</v>
      </c>
      <c r="J108" s="33">
        <f>IFERROR(__xludf.DUMMYFUNCTION("""COMPUTED_VALUE"""),5.0)</f>
        <v>5</v>
      </c>
      <c r="K108" s="33">
        <f>IFERROR(__xludf.DUMMYFUNCTION("""COMPUTED_VALUE"""),4.0)</f>
        <v>4</v>
      </c>
      <c r="L108" s="33">
        <f>IFERROR(__xludf.DUMMYFUNCTION("""COMPUTED_VALUE"""),0.0)</f>
        <v>0</v>
      </c>
      <c r="M108" s="33">
        <f>IFERROR(__xludf.DUMMYFUNCTION("""COMPUTED_VALUE"""),2.0)</f>
        <v>2</v>
      </c>
      <c r="N108" s="33">
        <f>IFERROR(__xludf.DUMMYFUNCTION("""COMPUTED_VALUE"""),2.0)</f>
        <v>2</v>
      </c>
      <c r="O108" s="33">
        <f>IFERROR(__xludf.DUMMYFUNCTION("""COMPUTED_VALUE"""),6.0)</f>
        <v>6</v>
      </c>
      <c r="P108" s="33">
        <f>IFERROR(__xludf.DUMMYFUNCTION("""COMPUTED_VALUE"""),2.0)</f>
        <v>2</v>
      </c>
      <c r="Q108" s="33">
        <f>IFERROR(__xludf.DUMMYFUNCTION("""COMPUTED_VALUE"""),0.0)</f>
        <v>0</v>
      </c>
      <c r="R108" s="33">
        <f>IFERROR(__xludf.DUMMYFUNCTION("""COMPUTED_VALUE"""),33371.0)</f>
        <v>33371</v>
      </c>
      <c r="S108" s="33">
        <f>IFERROR(__xludf.DUMMYFUNCTION("""COMPUTED_VALUE"""),37052.0)</f>
        <v>37052</v>
      </c>
      <c r="T108" s="33">
        <f>IFERROR(__xludf.DUMMYFUNCTION("""COMPUTED_VALUE"""),1.31083333333333)</f>
        <v>1.310833333</v>
      </c>
      <c r="U108" s="33">
        <f>IFERROR(__xludf.DUMMYFUNCTION("""COMPUTED_VALUE"""),0.0)</f>
        <v>0</v>
      </c>
      <c r="V108" s="33">
        <f>IFERROR(__xludf.DUMMYFUNCTION("""COMPUTED_VALUE"""),0.0)</f>
        <v>0</v>
      </c>
      <c r="W108" s="33">
        <f>IFERROR(__xludf.DUMMYFUNCTION("""COMPUTED_VALUE"""),1.085)</f>
        <v>1.085</v>
      </c>
      <c r="X108" s="33">
        <f>IFERROR(__xludf.DUMMYFUNCTION("""COMPUTED_VALUE"""),1.085)</f>
        <v>1.085</v>
      </c>
      <c r="Y108" s="33">
        <f>IFERROR(__xludf.DUMMYFUNCTION("""COMPUTED_VALUE"""),1.09666666666666)</f>
        <v>1.096666667</v>
      </c>
      <c r="Z108" s="33">
        <f>IFERROR(__xludf.DUMMYFUNCTION("""COMPUTED_VALUE"""),0.870833333333333)</f>
        <v>0.8708333333</v>
      </c>
      <c r="AA108" s="33">
        <f>IFERROR(__xludf.DUMMYFUNCTION("""COMPUTED_VALUE"""),0.0)</f>
        <v>0</v>
      </c>
      <c r="AB108" s="33">
        <f>IFERROR(__xludf.DUMMYFUNCTION("""COMPUTED_VALUE"""),0.424722222222222)</f>
        <v>0.4247222222</v>
      </c>
      <c r="AC108" s="33">
        <f>IFERROR(__xludf.DUMMYFUNCTION("""COMPUTED_VALUE"""),0.424722222222222)</f>
        <v>0.4247222222</v>
      </c>
      <c r="AD108" s="33">
        <f>IFERROR(__xludf.DUMMYFUNCTION("""COMPUTED_VALUE"""),1.26416666666666)</f>
        <v>1.264166667</v>
      </c>
      <c r="AE108" s="33">
        <f>IFERROR(__xludf.DUMMYFUNCTION("""COMPUTED_VALUE"""),0.424722222222222)</f>
        <v>0.4247222222</v>
      </c>
      <c r="AF108" s="33">
        <f>IFERROR(__xludf.DUMMYFUNCTION("""COMPUTED_VALUE"""),6.0)</f>
        <v>6</v>
      </c>
    </row>
    <row r="109">
      <c r="A109" s="49">
        <f>IFERROR(__xludf.DUMMYFUNCTION("""COMPUTED_VALUE"""),46132.0)</f>
        <v>46132</v>
      </c>
      <c r="B109" s="33" t="str">
        <f>IFERROR(__xludf.DUMMYFUNCTION("""COMPUTED_VALUE"""),"dbbc7f35e9eb33b7562f0fd82896e827101bf13c")</f>
        <v>dbbc7f35e9eb33b7562f0fd82896e827101bf13c</v>
      </c>
      <c r="C109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109" s="33">
        <f>IFERROR(__xludf.DUMMYFUNCTION("""COMPUTED_VALUE"""),0.0)</f>
        <v>0</v>
      </c>
      <c r="E109" s="33">
        <f>IFERROR(__xludf.DUMMYFUNCTION("""COMPUTED_VALUE"""),0.0)</f>
        <v>0</v>
      </c>
      <c r="F109" s="33">
        <f>IFERROR(__xludf.DUMMYFUNCTION("""COMPUTED_VALUE"""),0.0)</f>
        <v>0</v>
      </c>
      <c r="G109" s="33">
        <f>IFERROR(__xludf.DUMMYFUNCTION("""COMPUTED_VALUE"""),0.0)</f>
        <v>0</v>
      </c>
      <c r="H109" s="33">
        <f>IFERROR(__xludf.DUMMYFUNCTION("""COMPUTED_VALUE"""),0.0)</f>
        <v>0</v>
      </c>
      <c r="I109" s="33">
        <f>IFERROR(__xludf.DUMMYFUNCTION("""COMPUTED_VALUE"""),0.0)</f>
        <v>0</v>
      </c>
      <c r="J109" s="33">
        <f>IFERROR(__xludf.DUMMYFUNCTION("""COMPUTED_VALUE"""),0.0)</f>
        <v>0</v>
      </c>
      <c r="K109" s="33">
        <f>IFERROR(__xludf.DUMMYFUNCTION("""COMPUTED_VALUE"""),0.0)</f>
        <v>0</v>
      </c>
      <c r="L109" s="33">
        <f>IFERROR(__xludf.DUMMYFUNCTION("""COMPUTED_VALUE"""),0.0)</f>
        <v>0</v>
      </c>
      <c r="M109" s="33">
        <f>IFERROR(__xludf.DUMMYFUNCTION("""COMPUTED_VALUE"""),0.0)</f>
        <v>0</v>
      </c>
      <c r="N109" s="33">
        <f>IFERROR(__xludf.DUMMYFUNCTION("""COMPUTED_VALUE"""),2.0)</f>
        <v>2</v>
      </c>
      <c r="O109" s="33">
        <f>IFERROR(__xludf.DUMMYFUNCTION("""COMPUTED_VALUE"""),4.0)</f>
        <v>4</v>
      </c>
      <c r="P109" s="33">
        <f>IFERROR(__xludf.DUMMYFUNCTION("""COMPUTED_VALUE"""),20.0)</f>
        <v>20</v>
      </c>
      <c r="Q109" s="33">
        <f>IFERROR(__xludf.DUMMYFUNCTION("""COMPUTED_VALUE"""),0.0)</f>
        <v>0</v>
      </c>
      <c r="R109" s="33">
        <f>IFERROR(__xludf.DUMMYFUNCTION("""COMPUTED_VALUE"""),0.0)</f>
        <v>0</v>
      </c>
      <c r="S109" s="33">
        <f>IFERROR(__xludf.DUMMYFUNCTION("""COMPUTED_VALUE"""),0.0)</f>
        <v>0</v>
      </c>
      <c r="T109" s="33">
        <f>IFERROR(__xludf.DUMMYFUNCTION("""COMPUTED_VALUE"""),0.0)</f>
        <v>0</v>
      </c>
      <c r="U109" s="33">
        <f>IFERROR(__xludf.DUMMYFUNCTION("""COMPUTED_VALUE"""),0.0)</f>
        <v>0</v>
      </c>
      <c r="V109" s="33">
        <f>IFERROR(__xludf.DUMMYFUNCTION("""COMPUTED_VALUE"""),0.0)</f>
        <v>0</v>
      </c>
      <c r="W109" s="33">
        <f>IFERROR(__xludf.DUMMYFUNCTION("""COMPUTED_VALUE"""),0.0)</f>
        <v>0</v>
      </c>
      <c r="X109" s="33">
        <f>IFERROR(__xludf.DUMMYFUNCTION("""COMPUTED_VALUE"""),0.0)</f>
        <v>0</v>
      </c>
      <c r="Y109" s="33">
        <f>IFERROR(__xludf.DUMMYFUNCTION("""COMPUTED_VALUE"""),0.0)</f>
        <v>0</v>
      </c>
      <c r="Z109" s="33">
        <f>IFERROR(__xludf.DUMMYFUNCTION("""COMPUTED_VALUE"""),0.0)</f>
        <v>0</v>
      </c>
      <c r="AA109" s="33">
        <f>IFERROR(__xludf.DUMMYFUNCTION("""COMPUTED_VALUE"""),0.0)</f>
        <v>0</v>
      </c>
      <c r="AB109" s="33">
        <f>IFERROR(__xludf.DUMMYFUNCTION("""COMPUTED_VALUE"""),0.0)</f>
        <v>0</v>
      </c>
      <c r="AC109" s="33">
        <f>IFERROR(__xludf.DUMMYFUNCTION("""COMPUTED_VALUE"""),0.0)</f>
        <v>0</v>
      </c>
      <c r="AD109" s="33">
        <f>IFERROR(__xludf.DUMMYFUNCTION("""COMPUTED_VALUE"""),0.780833333333333)</f>
        <v>0.7808333333</v>
      </c>
      <c r="AE109" s="33">
        <f>IFERROR(__xludf.DUMMYFUNCTION("""COMPUTED_VALUE"""),4.30333333333333)</f>
        <v>4.303333333</v>
      </c>
      <c r="AF109" s="33">
        <f>IFERROR(__xludf.DUMMYFUNCTION("""COMPUTED_VALUE"""),0.0)</f>
        <v>0</v>
      </c>
    </row>
    <row r="110">
      <c r="A110" s="49">
        <f>IFERROR(__xludf.DUMMYFUNCTION("""COMPUTED_VALUE"""),46132.0)</f>
        <v>46132</v>
      </c>
      <c r="B110" s="33" t="str">
        <f>IFERROR(__xludf.DUMMYFUNCTION("""COMPUTED_VALUE"""),"e493cee863483a057af12de782cd20043a19ed05")</f>
        <v>e493cee863483a057af12de782cd20043a19ed05</v>
      </c>
      <c r="C110" s="33" t="str">
        <f>IFERROR(__xludf.DUMMYFUNCTION("""COMPUTED_VALUE"""),"Malang")</f>
        <v>Malang</v>
      </c>
      <c r="D110" s="33">
        <f>IFERROR(__xludf.DUMMYFUNCTION("""COMPUTED_VALUE"""),50.0)</f>
        <v>50</v>
      </c>
      <c r="E110" s="33">
        <f>IFERROR(__xludf.DUMMYFUNCTION("""COMPUTED_VALUE"""),45.0)</f>
        <v>45</v>
      </c>
      <c r="F110" s="33">
        <f>IFERROR(__xludf.DUMMYFUNCTION("""COMPUTED_VALUE"""),0.0)</f>
        <v>0</v>
      </c>
      <c r="G110" s="33">
        <f>IFERROR(__xludf.DUMMYFUNCTION("""COMPUTED_VALUE"""),0.0)</f>
        <v>0</v>
      </c>
      <c r="H110" s="33">
        <f>IFERROR(__xludf.DUMMYFUNCTION("""COMPUTED_VALUE"""),3.0)</f>
        <v>3</v>
      </c>
      <c r="I110" s="33">
        <f>IFERROR(__xludf.DUMMYFUNCTION("""COMPUTED_VALUE"""),3.0)</f>
        <v>3</v>
      </c>
      <c r="J110" s="33">
        <f>IFERROR(__xludf.DUMMYFUNCTION("""COMPUTED_VALUE"""),3.0)</f>
        <v>3</v>
      </c>
      <c r="K110" s="33">
        <f>IFERROR(__xludf.DUMMYFUNCTION("""COMPUTED_VALUE"""),3.0)</f>
        <v>3</v>
      </c>
      <c r="L110" s="33">
        <f>IFERROR(__xludf.DUMMYFUNCTION("""COMPUTED_VALUE"""),0.0)</f>
        <v>0</v>
      </c>
      <c r="M110" s="33">
        <f>IFERROR(__xludf.DUMMYFUNCTION("""COMPUTED_VALUE"""),53.0)</f>
        <v>53</v>
      </c>
      <c r="N110" s="33">
        <f>IFERROR(__xludf.DUMMYFUNCTION("""COMPUTED_VALUE"""),51.0)</f>
        <v>51</v>
      </c>
      <c r="O110" s="33">
        <f>IFERROR(__xludf.DUMMYFUNCTION("""COMPUTED_VALUE"""),5.0)</f>
        <v>5</v>
      </c>
      <c r="P110" s="33">
        <f>IFERROR(__xludf.DUMMYFUNCTION("""COMPUTED_VALUE"""),51.0)</f>
        <v>51</v>
      </c>
      <c r="Q110" s="33">
        <f>IFERROR(__xludf.DUMMYFUNCTION("""COMPUTED_VALUE"""),0.0)</f>
        <v>0</v>
      </c>
      <c r="R110" s="33">
        <f>IFERROR(__xludf.DUMMYFUNCTION("""COMPUTED_VALUE"""),131024.0)</f>
        <v>131024</v>
      </c>
      <c r="S110" s="33">
        <f>IFERROR(__xludf.DUMMYFUNCTION("""COMPUTED_VALUE"""),116019.0)</f>
        <v>116019</v>
      </c>
      <c r="T110" s="33">
        <f>IFERROR(__xludf.DUMMYFUNCTION("""COMPUTED_VALUE"""),0.590833333333333)</f>
        <v>0.5908333333</v>
      </c>
      <c r="U110" s="33">
        <f>IFERROR(__xludf.DUMMYFUNCTION("""COMPUTED_VALUE"""),0.0)</f>
        <v>0</v>
      </c>
      <c r="V110" s="33">
        <f>IFERROR(__xludf.DUMMYFUNCTION("""COMPUTED_VALUE"""),0.0)</f>
        <v>0</v>
      </c>
      <c r="W110" s="33">
        <f>IFERROR(__xludf.DUMMYFUNCTION("""COMPUTED_VALUE"""),0.590833333333333)</f>
        <v>0.5908333333</v>
      </c>
      <c r="X110" s="33">
        <f>IFERROR(__xludf.DUMMYFUNCTION("""COMPUTED_VALUE"""),0.590833333333333)</f>
        <v>0.5908333333</v>
      </c>
      <c r="Y110" s="33">
        <f>IFERROR(__xludf.DUMMYFUNCTION("""COMPUTED_VALUE"""),0.586111111111111)</f>
        <v>0.5861111111</v>
      </c>
      <c r="Z110" s="33">
        <f>IFERROR(__xludf.DUMMYFUNCTION("""COMPUTED_VALUE"""),0.586111111111111)</f>
        <v>0.5861111111</v>
      </c>
      <c r="AA110" s="33">
        <f>IFERROR(__xludf.DUMMYFUNCTION("""COMPUTED_VALUE"""),0.0)</f>
        <v>0</v>
      </c>
      <c r="AB110" s="33">
        <f>IFERROR(__xludf.DUMMYFUNCTION("""COMPUTED_VALUE"""),12.8619444444444)</f>
        <v>12.86194444</v>
      </c>
      <c r="AC110" s="33">
        <f>IFERROR(__xludf.DUMMYFUNCTION("""COMPUTED_VALUE"""),11.9188888888888)</f>
        <v>11.91888889</v>
      </c>
      <c r="AD110" s="33">
        <f>IFERROR(__xludf.DUMMYFUNCTION("""COMPUTED_VALUE"""),0.989444444444444)</f>
        <v>0.9894444444</v>
      </c>
      <c r="AE110" s="33">
        <f>IFERROR(__xludf.DUMMYFUNCTION("""COMPUTED_VALUE"""),11.9188888888888)</f>
        <v>11.91888889</v>
      </c>
      <c r="AF110" s="33">
        <f>IFERROR(__xludf.DUMMYFUNCTION("""COMPUTED_VALUE"""),3.0)</f>
        <v>3</v>
      </c>
    </row>
    <row r="111">
      <c r="A111" s="49">
        <f>IFERROR(__xludf.DUMMYFUNCTION("""COMPUTED_VALUE"""),46132.0)</f>
        <v>46132</v>
      </c>
      <c r="B111" s="33" t="str">
        <f>IFERROR(__xludf.DUMMYFUNCTION("""COMPUTED_VALUE"""),"f43f4253dc3c596ff8f2e3cc9f3b677981a70310")</f>
        <v>f43f4253dc3c596ff8f2e3cc9f3b677981a70310</v>
      </c>
      <c r="C111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111" s="33">
        <f>IFERROR(__xludf.DUMMYFUNCTION("""COMPUTED_VALUE"""),66.0)</f>
        <v>66</v>
      </c>
      <c r="E111" s="33">
        <f>IFERROR(__xludf.DUMMYFUNCTION("""COMPUTED_VALUE"""),66.0)</f>
        <v>66</v>
      </c>
      <c r="F111" s="33">
        <f>IFERROR(__xludf.DUMMYFUNCTION("""COMPUTED_VALUE"""),0.0)</f>
        <v>0</v>
      </c>
      <c r="G111" s="33">
        <f>IFERROR(__xludf.DUMMYFUNCTION("""COMPUTED_VALUE"""),0.0)</f>
        <v>0</v>
      </c>
      <c r="H111" s="33">
        <f>IFERROR(__xludf.DUMMYFUNCTION("""COMPUTED_VALUE"""),0.0)</f>
        <v>0</v>
      </c>
      <c r="I111" s="33">
        <f>IFERROR(__xludf.DUMMYFUNCTION("""COMPUTED_VALUE"""),0.0)</f>
        <v>0</v>
      </c>
      <c r="J111" s="33">
        <f>IFERROR(__xludf.DUMMYFUNCTION("""COMPUTED_VALUE"""),0.0)</f>
        <v>0</v>
      </c>
      <c r="K111" s="33">
        <f>IFERROR(__xludf.DUMMYFUNCTION("""COMPUTED_VALUE"""),0.0)</f>
        <v>0</v>
      </c>
      <c r="L111" s="33">
        <f>IFERROR(__xludf.DUMMYFUNCTION("""COMPUTED_VALUE"""),0.0)</f>
        <v>0</v>
      </c>
      <c r="M111" s="33">
        <f>IFERROR(__xludf.DUMMYFUNCTION("""COMPUTED_VALUE"""),0.0)</f>
        <v>0</v>
      </c>
      <c r="N111" s="33">
        <f>IFERROR(__xludf.DUMMYFUNCTION("""COMPUTED_VALUE"""),55.0)</f>
        <v>55</v>
      </c>
      <c r="O111" s="33">
        <f>IFERROR(__xludf.DUMMYFUNCTION("""COMPUTED_VALUE"""),5.0)</f>
        <v>5</v>
      </c>
      <c r="P111" s="33">
        <f>IFERROR(__xludf.DUMMYFUNCTION("""COMPUTED_VALUE"""),65.0)</f>
        <v>65</v>
      </c>
      <c r="Q111" s="33">
        <f>IFERROR(__xludf.DUMMYFUNCTION("""COMPUTED_VALUE"""),0.0)</f>
        <v>0</v>
      </c>
      <c r="R111" s="33">
        <f>IFERROR(__xludf.DUMMYFUNCTION("""COMPUTED_VALUE"""),164272.0)</f>
        <v>164272</v>
      </c>
      <c r="S111" s="33">
        <f>IFERROR(__xludf.DUMMYFUNCTION("""COMPUTED_VALUE"""),164272.0)</f>
        <v>164272</v>
      </c>
      <c r="T111" s="33">
        <f>IFERROR(__xludf.DUMMYFUNCTION("""COMPUTED_VALUE"""),0.0)</f>
        <v>0</v>
      </c>
      <c r="U111" s="33">
        <f>IFERROR(__xludf.DUMMYFUNCTION("""COMPUTED_VALUE"""),0.0)</f>
        <v>0</v>
      </c>
      <c r="V111" s="33">
        <f>IFERROR(__xludf.DUMMYFUNCTION("""COMPUTED_VALUE"""),0.0)</f>
        <v>0</v>
      </c>
      <c r="W111" s="33">
        <f>IFERROR(__xludf.DUMMYFUNCTION("""COMPUTED_VALUE"""),0.0)</f>
        <v>0</v>
      </c>
      <c r="X111" s="33">
        <f>IFERROR(__xludf.DUMMYFUNCTION("""COMPUTED_VALUE"""),0.0)</f>
        <v>0</v>
      </c>
      <c r="Y111" s="33">
        <f>IFERROR(__xludf.DUMMYFUNCTION("""COMPUTED_VALUE"""),0.0)</f>
        <v>0</v>
      </c>
      <c r="Z111" s="33">
        <f>IFERROR(__xludf.DUMMYFUNCTION("""COMPUTED_VALUE"""),0.0)</f>
        <v>0</v>
      </c>
      <c r="AA111" s="33">
        <f>IFERROR(__xludf.DUMMYFUNCTION("""COMPUTED_VALUE"""),0.0)</f>
        <v>0</v>
      </c>
      <c r="AB111" s="33">
        <f>IFERROR(__xludf.DUMMYFUNCTION("""COMPUTED_VALUE"""),0.0)</f>
        <v>0</v>
      </c>
      <c r="AC111" s="33">
        <f>IFERROR(__xludf.DUMMYFUNCTION("""COMPUTED_VALUE"""),0.0)</f>
        <v>0</v>
      </c>
      <c r="AD111" s="33">
        <f>IFERROR(__xludf.DUMMYFUNCTION("""COMPUTED_VALUE"""),1.25194444444444)</f>
        <v>1.251944444</v>
      </c>
      <c r="AE111" s="33">
        <f>IFERROR(__xludf.DUMMYFUNCTION("""COMPUTED_VALUE"""),16.4008333333333)</f>
        <v>16.40083333</v>
      </c>
      <c r="AF111" s="33">
        <f>IFERROR(__xludf.DUMMYFUNCTION("""COMPUTED_VALUE"""),0.0)</f>
        <v>0</v>
      </c>
    </row>
    <row r="112">
      <c r="A112" s="49">
        <f>IFERROR(__xludf.DUMMYFUNCTION("""COMPUTED_VALUE"""),46132.0)</f>
        <v>46132</v>
      </c>
      <c r="B112" s="33" t="str">
        <f>IFERROR(__xludf.DUMMYFUNCTION("""COMPUTED_VALUE"""),"f8fbcb9a13d17d5888164fffc1bbb7cd5c6608b2")</f>
        <v>f8fbcb9a13d17d5888164fffc1bbb7cd5c6608b2</v>
      </c>
      <c r="C112" s="33" t="str">
        <f>IFERROR(__xludf.DUMMYFUNCTION("""COMPUTED_VALUE"""),"Empire of Hidden King | Author - Nitesh")</f>
        <v>Empire of Hidden King | Author - Nitesh</v>
      </c>
      <c r="D112" s="33">
        <f>IFERROR(__xludf.DUMMYFUNCTION("""COMPUTED_VALUE"""),0.0)</f>
        <v>0</v>
      </c>
      <c r="E112" s="33">
        <f>IFERROR(__xludf.DUMMYFUNCTION("""COMPUTED_VALUE"""),0.0)</f>
        <v>0</v>
      </c>
      <c r="F112" s="33">
        <f>IFERROR(__xludf.DUMMYFUNCTION("""COMPUTED_VALUE"""),0.0)</f>
        <v>0</v>
      </c>
      <c r="G112" s="33">
        <f>IFERROR(__xludf.DUMMYFUNCTION("""COMPUTED_VALUE"""),0.0)</f>
        <v>0</v>
      </c>
      <c r="H112" s="33">
        <f>IFERROR(__xludf.DUMMYFUNCTION("""COMPUTED_VALUE"""),0.0)</f>
        <v>0</v>
      </c>
      <c r="I112" s="33">
        <f>IFERROR(__xludf.DUMMYFUNCTION("""COMPUTED_VALUE"""),0.0)</f>
        <v>0</v>
      </c>
      <c r="J112" s="33">
        <f>IFERROR(__xludf.DUMMYFUNCTION("""COMPUTED_VALUE"""),0.0)</f>
        <v>0</v>
      </c>
      <c r="K112" s="33">
        <f>IFERROR(__xludf.DUMMYFUNCTION("""COMPUTED_VALUE"""),0.0)</f>
        <v>0</v>
      </c>
      <c r="L112" s="33">
        <f>IFERROR(__xludf.DUMMYFUNCTION("""COMPUTED_VALUE"""),0.0)</f>
        <v>0</v>
      </c>
      <c r="M112" s="33">
        <f>IFERROR(__xludf.DUMMYFUNCTION("""COMPUTED_VALUE"""),0.0)</f>
        <v>0</v>
      </c>
      <c r="N112" s="33">
        <f>IFERROR(__xludf.DUMMYFUNCTION("""COMPUTED_VALUE"""),10.0)</f>
        <v>10</v>
      </c>
      <c r="O112" s="33">
        <f>IFERROR(__xludf.DUMMYFUNCTION("""COMPUTED_VALUE"""),0.0)</f>
        <v>0</v>
      </c>
      <c r="P112" s="33">
        <f>IFERROR(__xludf.DUMMYFUNCTION("""COMPUTED_VALUE"""),10.0)</f>
        <v>10</v>
      </c>
      <c r="Q112" s="33">
        <f>IFERROR(__xludf.DUMMYFUNCTION("""COMPUTED_VALUE"""),0.0)</f>
        <v>0</v>
      </c>
      <c r="R112" s="33">
        <f>IFERROR(__xludf.DUMMYFUNCTION("""COMPUTED_VALUE"""),0.0)</f>
        <v>0</v>
      </c>
      <c r="S112" s="33">
        <f>IFERROR(__xludf.DUMMYFUNCTION("""COMPUTED_VALUE"""),0.0)</f>
        <v>0</v>
      </c>
      <c r="T112" s="33">
        <f>IFERROR(__xludf.DUMMYFUNCTION("""COMPUTED_VALUE"""),0.0)</f>
        <v>0</v>
      </c>
      <c r="U112" s="33">
        <f>IFERROR(__xludf.DUMMYFUNCTION("""COMPUTED_VALUE"""),0.0)</f>
        <v>0</v>
      </c>
      <c r="V112" s="33">
        <f>IFERROR(__xludf.DUMMYFUNCTION("""COMPUTED_VALUE"""),0.0)</f>
        <v>0</v>
      </c>
      <c r="W112" s="33">
        <f>IFERROR(__xludf.DUMMYFUNCTION("""COMPUTED_VALUE"""),0.0)</f>
        <v>0</v>
      </c>
      <c r="X112" s="33">
        <f>IFERROR(__xludf.DUMMYFUNCTION("""COMPUTED_VALUE"""),0.0)</f>
        <v>0</v>
      </c>
      <c r="Y112" s="33">
        <f>IFERROR(__xludf.DUMMYFUNCTION("""COMPUTED_VALUE"""),0.0)</f>
        <v>0</v>
      </c>
      <c r="Z112" s="33">
        <f>IFERROR(__xludf.DUMMYFUNCTION("""COMPUTED_VALUE"""),0.0)</f>
        <v>0</v>
      </c>
      <c r="AA112" s="33">
        <f>IFERROR(__xludf.DUMMYFUNCTION("""COMPUTED_VALUE"""),0.0)</f>
        <v>0</v>
      </c>
      <c r="AB112" s="33">
        <f>IFERROR(__xludf.DUMMYFUNCTION("""COMPUTED_VALUE"""),0.0)</f>
        <v>0</v>
      </c>
      <c r="AC112" s="33">
        <f>IFERROR(__xludf.DUMMYFUNCTION("""COMPUTED_VALUE"""),2.49138888888888)</f>
        <v>2.491388889</v>
      </c>
      <c r="AD112" s="33">
        <f>IFERROR(__xludf.DUMMYFUNCTION("""COMPUTED_VALUE"""),0.0)</f>
        <v>0</v>
      </c>
      <c r="AE112" s="33">
        <f>IFERROR(__xludf.DUMMYFUNCTION("""COMPUTED_VALUE"""),2.44777777777777)</f>
        <v>2.447777778</v>
      </c>
      <c r="AF112" s="33">
        <f>IFERROR(__xludf.DUMMYFUNCTION("""COMPUTED_VALUE"""),0.0)</f>
        <v>0</v>
      </c>
    </row>
    <row r="113">
      <c r="A113" s="49">
        <f>IFERROR(__xludf.DUMMYFUNCTION("""COMPUTED_VALUE"""),46125.0)</f>
        <v>46125</v>
      </c>
      <c r="B113" s="33" t="str">
        <f>IFERROR(__xludf.DUMMYFUNCTION("""COMPUTED_VALUE"""),"1b4ecb8a0d96b42675a2bbd2a9bd28ef4d28a0dd")</f>
        <v>1b4ecb8a0d96b42675a2bbd2a9bd28ef4d28a0dd</v>
      </c>
      <c r="C113" s="33" t="str">
        <f>IFERROR(__xludf.DUMMYFUNCTION("""COMPUTED_VALUE"""),"Doctor Mafia King")</f>
        <v>Doctor Mafia King</v>
      </c>
      <c r="D113" s="33">
        <f>IFERROR(__xludf.DUMMYFUNCTION("""COMPUTED_VALUE"""),0.0)</f>
        <v>0</v>
      </c>
      <c r="E113" s="33">
        <f>IFERROR(__xludf.DUMMYFUNCTION("""COMPUTED_VALUE"""),0.0)</f>
        <v>0</v>
      </c>
      <c r="F113" s="33">
        <f>IFERROR(__xludf.DUMMYFUNCTION("""COMPUTED_VALUE"""),0.0)</f>
        <v>0</v>
      </c>
      <c r="G113" s="33">
        <f>IFERROR(__xludf.DUMMYFUNCTION("""COMPUTED_VALUE"""),0.0)</f>
        <v>0</v>
      </c>
      <c r="H113" s="33">
        <f>IFERROR(__xludf.DUMMYFUNCTION("""COMPUTED_VALUE"""),8.0)</f>
        <v>8</v>
      </c>
      <c r="I113" s="33">
        <f>IFERROR(__xludf.DUMMYFUNCTION("""COMPUTED_VALUE"""),8.0)</f>
        <v>8</v>
      </c>
      <c r="J113" s="33">
        <f>IFERROR(__xludf.DUMMYFUNCTION("""COMPUTED_VALUE"""),8.0)</f>
        <v>8</v>
      </c>
      <c r="K113" s="33">
        <f>IFERROR(__xludf.DUMMYFUNCTION("""COMPUTED_VALUE"""),7.0)</f>
        <v>7</v>
      </c>
      <c r="L113" s="33">
        <f>IFERROR(__xludf.DUMMYFUNCTION("""COMPUTED_VALUE"""),0.0)</f>
        <v>0</v>
      </c>
      <c r="M113" s="33">
        <f>IFERROR(__xludf.DUMMYFUNCTION("""COMPUTED_VALUE"""),0.0)</f>
        <v>0</v>
      </c>
      <c r="N113" s="33">
        <f>IFERROR(__xludf.DUMMYFUNCTION("""COMPUTED_VALUE"""),0.0)</f>
        <v>0</v>
      </c>
      <c r="O113" s="33">
        <f>IFERROR(__xludf.DUMMYFUNCTION("""COMPUTED_VALUE"""),0.0)</f>
        <v>0</v>
      </c>
      <c r="P113" s="33">
        <f>IFERROR(__xludf.DUMMYFUNCTION("""COMPUTED_VALUE"""),0.0)</f>
        <v>0</v>
      </c>
      <c r="Q113" s="33">
        <f>IFERROR(__xludf.DUMMYFUNCTION("""COMPUTED_VALUE"""),0.0)</f>
        <v>0</v>
      </c>
      <c r="R113" s="33">
        <f>IFERROR(__xludf.DUMMYFUNCTION("""COMPUTED_VALUE"""),0.0)</f>
        <v>0</v>
      </c>
      <c r="S113" s="33">
        <f>IFERROR(__xludf.DUMMYFUNCTION("""COMPUTED_VALUE"""),0.0)</f>
        <v>0</v>
      </c>
      <c r="T113" s="33">
        <f>IFERROR(__xludf.DUMMYFUNCTION("""COMPUTED_VALUE"""),0.0)</f>
        <v>0</v>
      </c>
      <c r="U113" s="33">
        <f>IFERROR(__xludf.DUMMYFUNCTION("""COMPUTED_VALUE"""),0.0)</f>
        <v>0</v>
      </c>
      <c r="V113" s="33">
        <f>IFERROR(__xludf.DUMMYFUNCTION("""COMPUTED_VALUE"""),0.0)</f>
        <v>0</v>
      </c>
      <c r="W113" s="33">
        <f>IFERROR(__xludf.DUMMYFUNCTION("""COMPUTED_VALUE"""),1.15472222222222)</f>
        <v>1.154722222</v>
      </c>
      <c r="X113" s="33">
        <f>IFERROR(__xludf.DUMMYFUNCTION("""COMPUTED_VALUE"""),1.15472222222222)</f>
        <v>1.154722222</v>
      </c>
      <c r="Y113" s="33">
        <f>IFERROR(__xludf.DUMMYFUNCTION("""COMPUTED_VALUE"""),1.16055555555555)</f>
        <v>1.160555556</v>
      </c>
      <c r="Z113" s="33">
        <f>IFERROR(__xludf.DUMMYFUNCTION("""COMPUTED_VALUE"""),1.03166666666666)</f>
        <v>1.031666667</v>
      </c>
      <c r="AA113" s="33">
        <f>IFERROR(__xludf.DUMMYFUNCTION("""COMPUTED_VALUE"""),0.0)</f>
        <v>0</v>
      </c>
      <c r="AB113" s="33">
        <f>IFERROR(__xludf.DUMMYFUNCTION("""COMPUTED_VALUE"""),0.0)</f>
        <v>0</v>
      </c>
      <c r="AC113" s="33">
        <f>IFERROR(__xludf.DUMMYFUNCTION("""COMPUTED_VALUE"""),0.0)</f>
        <v>0</v>
      </c>
      <c r="AD113" s="33">
        <f>IFERROR(__xludf.DUMMYFUNCTION("""COMPUTED_VALUE"""),0.0)</f>
        <v>0</v>
      </c>
      <c r="AE113" s="33">
        <f>IFERROR(__xludf.DUMMYFUNCTION("""COMPUTED_VALUE"""),0.0)</f>
        <v>0</v>
      </c>
      <c r="AF113" s="33">
        <f>IFERROR(__xludf.DUMMYFUNCTION("""COMPUTED_VALUE"""),0.0)</f>
        <v>0</v>
      </c>
    </row>
    <row r="114">
      <c r="A114" s="49">
        <f>IFERROR(__xludf.DUMMYFUNCTION("""COMPUTED_VALUE"""),46125.0)</f>
        <v>46125</v>
      </c>
      <c r="B114" s="33" t="str">
        <f>IFERROR(__xludf.DUMMYFUNCTION("""COMPUTED_VALUE"""),"2549f1505a3739b3e90a0b63921ad55271440d40")</f>
        <v>2549f1505a3739b3e90a0b63921ad55271440d40</v>
      </c>
      <c r="C114" s="33" t="str">
        <f>IFERROR(__xludf.DUMMYFUNCTION("""COMPUTED_VALUE"""),"Reborn in Martial World ")</f>
        <v>Reborn in Martial World </v>
      </c>
      <c r="D114" s="33">
        <f>IFERROR(__xludf.DUMMYFUNCTION("""COMPUTED_VALUE"""),409.0)</f>
        <v>409</v>
      </c>
      <c r="E114" s="33">
        <f>IFERROR(__xludf.DUMMYFUNCTION("""COMPUTED_VALUE"""),164.0)</f>
        <v>164</v>
      </c>
      <c r="F114" s="33">
        <f>IFERROR(__xludf.DUMMYFUNCTION("""COMPUTED_VALUE"""),0.0)</f>
        <v>0</v>
      </c>
      <c r="G114" s="33">
        <f>IFERROR(__xludf.DUMMYFUNCTION("""COMPUTED_VALUE"""),0.0)</f>
        <v>0</v>
      </c>
      <c r="H114" s="33">
        <f>IFERROR(__xludf.DUMMYFUNCTION("""COMPUTED_VALUE"""),0.0)</f>
        <v>0</v>
      </c>
      <c r="I114" s="33">
        <f>IFERROR(__xludf.DUMMYFUNCTION("""COMPUTED_VALUE"""),0.0)</f>
        <v>0</v>
      </c>
      <c r="J114" s="33">
        <f>IFERROR(__xludf.DUMMYFUNCTION("""COMPUTED_VALUE"""),0.0)</f>
        <v>0</v>
      </c>
      <c r="K114" s="33">
        <f>IFERROR(__xludf.DUMMYFUNCTION("""COMPUTED_VALUE"""),0.0)</f>
        <v>0</v>
      </c>
      <c r="L114" s="33">
        <f>IFERROR(__xludf.DUMMYFUNCTION("""COMPUTED_VALUE"""),0.0)</f>
        <v>0</v>
      </c>
      <c r="M114" s="33">
        <f>IFERROR(__xludf.DUMMYFUNCTION("""COMPUTED_VALUE"""),349.0)</f>
        <v>349</v>
      </c>
      <c r="N114" s="33">
        <f>IFERROR(__xludf.DUMMYFUNCTION("""COMPUTED_VALUE"""),164.0)</f>
        <v>164</v>
      </c>
      <c r="O114" s="33">
        <f>IFERROR(__xludf.DUMMYFUNCTION("""COMPUTED_VALUE"""),6.0)</f>
        <v>6</v>
      </c>
      <c r="P114" s="33">
        <f>IFERROR(__xludf.DUMMYFUNCTION("""COMPUTED_VALUE"""),164.0)</f>
        <v>164</v>
      </c>
      <c r="Q114" s="33">
        <f>IFERROR(__xludf.DUMMYFUNCTION("""COMPUTED_VALUE"""),0.0)</f>
        <v>0</v>
      </c>
      <c r="R114" s="33">
        <f>IFERROR(__xludf.DUMMYFUNCTION("""COMPUTED_VALUE"""),641903.0)</f>
        <v>641903</v>
      </c>
      <c r="S114" s="33">
        <f>IFERROR(__xludf.DUMMYFUNCTION("""COMPUTED_VALUE"""),337397.0)</f>
        <v>337397</v>
      </c>
      <c r="T114" s="33">
        <f>IFERROR(__xludf.DUMMYFUNCTION("""COMPUTED_VALUE"""),0.0)</f>
        <v>0</v>
      </c>
      <c r="U114" s="33">
        <f>IFERROR(__xludf.DUMMYFUNCTION("""COMPUTED_VALUE"""),0.0)</f>
        <v>0</v>
      </c>
      <c r="V114" s="33">
        <f>IFERROR(__xludf.DUMMYFUNCTION("""COMPUTED_VALUE"""),0.0)</f>
        <v>0</v>
      </c>
      <c r="W114" s="33">
        <f>IFERROR(__xludf.DUMMYFUNCTION("""COMPUTED_VALUE"""),0.0)</f>
        <v>0</v>
      </c>
      <c r="X114" s="33">
        <f>IFERROR(__xludf.DUMMYFUNCTION("""COMPUTED_VALUE"""),0.0)</f>
        <v>0</v>
      </c>
      <c r="Y114" s="33">
        <f>IFERROR(__xludf.DUMMYFUNCTION("""COMPUTED_VALUE"""),0.0)</f>
        <v>0</v>
      </c>
      <c r="Z114" s="33">
        <f>IFERROR(__xludf.DUMMYFUNCTION("""COMPUTED_VALUE"""),0.0)</f>
        <v>0</v>
      </c>
      <c r="AA114" s="33">
        <f>IFERROR(__xludf.DUMMYFUNCTION("""COMPUTED_VALUE"""),0.0)</f>
        <v>0</v>
      </c>
      <c r="AB114" s="33">
        <f>IFERROR(__xludf.DUMMYFUNCTION("""COMPUTED_VALUE"""),97.9608333333333)</f>
        <v>97.96083333</v>
      </c>
      <c r="AC114" s="33">
        <f>IFERROR(__xludf.DUMMYFUNCTION("""COMPUTED_VALUE"""),46.2666666666666)</f>
        <v>46.26666667</v>
      </c>
      <c r="AD114" s="33">
        <f>IFERROR(__xludf.DUMMYFUNCTION("""COMPUTED_VALUE"""),1.18277777777777)</f>
        <v>1.182777778</v>
      </c>
      <c r="AE114" s="33">
        <f>IFERROR(__xludf.DUMMYFUNCTION("""COMPUTED_VALUE"""),46.2644444444444)</f>
        <v>46.26444444</v>
      </c>
      <c r="AF114" s="33">
        <f>IFERROR(__xludf.DUMMYFUNCTION("""COMPUTED_VALUE"""),0.0)</f>
        <v>0</v>
      </c>
    </row>
    <row r="115">
      <c r="A115" s="49">
        <f>IFERROR(__xludf.DUMMYFUNCTION("""COMPUTED_VALUE"""),46125.0)</f>
        <v>46125</v>
      </c>
      <c r="B115" s="33" t="str">
        <f>IFERROR(__xludf.DUMMYFUNCTION("""COMPUTED_VALUE"""),"2f705add1a4571e3dcc4eb1426edfaa372c9cee8")</f>
        <v>2f705add1a4571e3dcc4eb1426edfaa372c9cee8</v>
      </c>
      <c r="C115" s="33" t="str">
        <f>IFERROR(__xludf.DUMMYFUNCTION("""COMPUTED_VALUE"""),"Beggar Husband - Production Show_id")</f>
        <v>Beggar Husband - Production Show_id</v>
      </c>
      <c r="D115" s="33">
        <f>IFERROR(__xludf.DUMMYFUNCTION("""COMPUTED_VALUE"""),12.0)</f>
        <v>12</v>
      </c>
      <c r="E115" s="33">
        <f>IFERROR(__xludf.DUMMYFUNCTION("""COMPUTED_VALUE"""),10.0)</f>
        <v>10</v>
      </c>
      <c r="F115" s="33">
        <f>IFERROR(__xludf.DUMMYFUNCTION("""COMPUTED_VALUE"""),3.0)</f>
        <v>3</v>
      </c>
      <c r="G115" s="33">
        <f>IFERROR(__xludf.DUMMYFUNCTION("""COMPUTED_VALUE"""),2.0)</f>
        <v>2</v>
      </c>
      <c r="H115" s="33">
        <f>IFERROR(__xludf.DUMMYFUNCTION("""COMPUTED_VALUE"""),9.0)</f>
        <v>9</v>
      </c>
      <c r="I115" s="33">
        <f>IFERROR(__xludf.DUMMYFUNCTION("""COMPUTED_VALUE"""),7.0)</f>
        <v>7</v>
      </c>
      <c r="J115" s="33">
        <f>IFERROR(__xludf.DUMMYFUNCTION("""COMPUTED_VALUE"""),9.0)</f>
        <v>9</v>
      </c>
      <c r="K115" s="33">
        <f>IFERROR(__xludf.DUMMYFUNCTION("""COMPUTED_VALUE"""),2.0)</f>
        <v>2</v>
      </c>
      <c r="L115" s="33">
        <f>IFERROR(__xludf.DUMMYFUNCTION("""COMPUTED_VALUE"""),2.0)</f>
        <v>2</v>
      </c>
      <c r="M115" s="33">
        <f>IFERROR(__xludf.DUMMYFUNCTION("""COMPUTED_VALUE"""),8.0)</f>
        <v>8</v>
      </c>
      <c r="N115" s="33">
        <f>IFERROR(__xludf.DUMMYFUNCTION("""COMPUTED_VALUE"""),7.0)</f>
        <v>7</v>
      </c>
      <c r="O115" s="33">
        <f>IFERROR(__xludf.DUMMYFUNCTION("""COMPUTED_VALUE"""),7.0)</f>
        <v>7</v>
      </c>
      <c r="P115" s="33">
        <f>IFERROR(__xludf.DUMMYFUNCTION("""COMPUTED_VALUE"""),7.0)</f>
        <v>7</v>
      </c>
      <c r="Q115" s="33">
        <f>IFERROR(__xludf.DUMMYFUNCTION("""COMPUTED_VALUE"""),0.0)</f>
        <v>0</v>
      </c>
      <c r="R115" s="33">
        <f>IFERROR(__xludf.DUMMYFUNCTION("""COMPUTED_VALUE"""),26877.0)</f>
        <v>26877</v>
      </c>
      <c r="S115" s="33">
        <f>IFERROR(__xludf.DUMMYFUNCTION("""COMPUTED_VALUE"""),22131.0)</f>
        <v>22131</v>
      </c>
      <c r="T115" s="33">
        <f>IFERROR(__xludf.DUMMYFUNCTION("""COMPUTED_VALUE"""),2.98444444444444)</f>
        <v>2.984444444</v>
      </c>
      <c r="U115" s="33">
        <f>IFERROR(__xludf.DUMMYFUNCTION("""COMPUTED_VALUE"""),0.629444444444444)</f>
        <v>0.6294444444</v>
      </c>
      <c r="V115" s="33">
        <f>IFERROR(__xludf.DUMMYFUNCTION("""COMPUTED_VALUE"""),0.426388888888888)</f>
        <v>0.4263888889</v>
      </c>
      <c r="W115" s="33">
        <f>IFERROR(__xludf.DUMMYFUNCTION("""COMPUTED_VALUE"""),1.92361111111111)</f>
        <v>1.923611111</v>
      </c>
      <c r="X115" s="33">
        <f>IFERROR(__xludf.DUMMYFUNCTION("""COMPUTED_VALUE"""),1.49722222222222)</f>
        <v>1.497222222</v>
      </c>
      <c r="Y115" s="33">
        <f>IFERROR(__xludf.DUMMYFUNCTION("""COMPUTED_VALUE"""),1.92555555555555)</f>
        <v>1.925555556</v>
      </c>
      <c r="Z115" s="33">
        <f>IFERROR(__xludf.DUMMYFUNCTION("""COMPUTED_VALUE"""),0.437222222222222)</f>
        <v>0.4372222222</v>
      </c>
      <c r="AA115" s="33">
        <f>IFERROR(__xludf.DUMMYFUNCTION("""COMPUTED_VALUE"""),0.435555555555555)</f>
        <v>0.4355555556</v>
      </c>
      <c r="AB115" s="33">
        <f>IFERROR(__xludf.DUMMYFUNCTION("""COMPUTED_VALUE"""),1.71194444444444)</f>
        <v>1.711944444</v>
      </c>
      <c r="AC115" s="33">
        <f>IFERROR(__xludf.DUMMYFUNCTION("""COMPUTED_VALUE"""),1.49861111111111)</f>
        <v>1.498611111</v>
      </c>
      <c r="AD115" s="33">
        <f>IFERROR(__xludf.DUMMYFUNCTION("""COMPUTED_VALUE"""),1.48944444444444)</f>
        <v>1.489444444</v>
      </c>
      <c r="AE115" s="33">
        <f>IFERROR(__xludf.DUMMYFUNCTION("""COMPUTED_VALUE"""),1.49861111111111)</f>
        <v>1.498611111</v>
      </c>
      <c r="AF115" s="33">
        <f>IFERROR(__xludf.DUMMYFUNCTION("""COMPUTED_VALUE"""),14.0)</f>
        <v>14</v>
      </c>
    </row>
    <row r="116">
      <c r="A116" s="49">
        <f>IFERROR(__xludf.DUMMYFUNCTION("""COMPUTED_VALUE"""),46125.0)</f>
        <v>46125</v>
      </c>
      <c r="B116" s="33" t="str">
        <f>IFERROR(__xludf.DUMMYFUNCTION("""COMPUTED_VALUE"""),"37e68193f879e91ec362f75f4b46511110658e2b")</f>
        <v>37e68193f879e91ec362f75f4b46511110658e2b</v>
      </c>
      <c r="C116" s="33" t="str">
        <f>IFERROR(__xludf.DUMMYFUNCTION("""COMPUTED_VALUE"""),"Shiva : Ek Pretyodha")</f>
        <v>Shiva : Ek Pretyodha</v>
      </c>
      <c r="D116" s="33">
        <f>IFERROR(__xludf.DUMMYFUNCTION("""COMPUTED_VALUE"""),0.0)</f>
        <v>0</v>
      </c>
      <c r="E116" s="33">
        <f>IFERROR(__xludf.DUMMYFUNCTION("""COMPUTED_VALUE"""),0.0)</f>
        <v>0</v>
      </c>
      <c r="F116" s="33">
        <f>IFERROR(__xludf.DUMMYFUNCTION("""COMPUTED_VALUE"""),0.0)</f>
        <v>0</v>
      </c>
      <c r="G116" s="33">
        <f>IFERROR(__xludf.DUMMYFUNCTION("""COMPUTED_VALUE"""),0.0)</f>
        <v>0</v>
      </c>
      <c r="H116" s="33">
        <f>IFERROR(__xludf.DUMMYFUNCTION("""COMPUTED_VALUE"""),0.0)</f>
        <v>0</v>
      </c>
      <c r="I116" s="33">
        <f>IFERROR(__xludf.DUMMYFUNCTION("""COMPUTED_VALUE"""),0.0)</f>
        <v>0</v>
      </c>
      <c r="J116" s="33">
        <f>IFERROR(__xludf.DUMMYFUNCTION("""COMPUTED_VALUE"""),0.0)</f>
        <v>0</v>
      </c>
      <c r="K116" s="33">
        <f>IFERROR(__xludf.DUMMYFUNCTION("""COMPUTED_VALUE"""),0.0)</f>
        <v>0</v>
      </c>
      <c r="L116" s="33">
        <f>IFERROR(__xludf.DUMMYFUNCTION("""COMPUTED_VALUE"""),0.0)</f>
        <v>0</v>
      </c>
      <c r="M116" s="33">
        <f>IFERROR(__xludf.DUMMYFUNCTION("""COMPUTED_VALUE"""),0.0)</f>
        <v>0</v>
      </c>
      <c r="N116" s="33">
        <f>IFERROR(__xludf.DUMMYFUNCTION("""COMPUTED_VALUE"""),1.0)</f>
        <v>1</v>
      </c>
      <c r="O116" s="33">
        <f>IFERROR(__xludf.DUMMYFUNCTION("""COMPUTED_VALUE"""),27.0)</f>
        <v>27</v>
      </c>
      <c r="P116" s="33">
        <f>IFERROR(__xludf.DUMMYFUNCTION("""COMPUTED_VALUE"""),30.0)</f>
        <v>30</v>
      </c>
      <c r="Q116" s="33">
        <f>IFERROR(__xludf.DUMMYFUNCTION("""COMPUTED_VALUE"""),0.0)</f>
        <v>0</v>
      </c>
      <c r="R116" s="33">
        <f>IFERROR(__xludf.DUMMYFUNCTION("""COMPUTED_VALUE"""),0.0)</f>
        <v>0</v>
      </c>
      <c r="S116" s="33">
        <f>IFERROR(__xludf.DUMMYFUNCTION("""COMPUTED_VALUE"""),0.0)</f>
        <v>0</v>
      </c>
      <c r="T116" s="33">
        <f>IFERROR(__xludf.DUMMYFUNCTION("""COMPUTED_VALUE"""),0.0)</f>
        <v>0</v>
      </c>
      <c r="U116" s="33">
        <f>IFERROR(__xludf.DUMMYFUNCTION("""COMPUTED_VALUE"""),0.0)</f>
        <v>0</v>
      </c>
      <c r="V116" s="33">
        <f>IFERROR(__xludf.DUMMYFUNCTION("""COMPUTED_VALUE"""),0.0)</f>
        <v>0</v>
      </c>
      <c r="W116" s="33">
        <f>IFERROR(__xludf.DUMMYFUNCTION("""COMPUTED_VALUE"""),0.0)</f>
        <v>0</v>
      </c>
      <c r="X116" s="33">
        <f>IFERROR(__xludf.DUMMYFUNCTION("""COMPUTED_VALUE"""),0.0)</f>
        <v>0</v>
      </c>
      <c r="Y116" s="33">
        <f>IFERROR(__xludf.DUMMYFUNCTION("""COMPUTED_VALUE"""),0.0)</f>
        <v>0</v>
      </c>
      <c r="Z116" s="33">
        <f>IFERROR(__xludf.DUMMYFUNCTION("""COMPUTED_VALUE"""),0.0)</f>
        <v>0</v>
      </c>
      <c r="AA116" s="33">
        <f>IFERROR(__xludf.DUMMYFUNCTION("""COMPUTED_VALUE"""),0.0)</f>
        <v>0</v>
      </c>
      <c r="AB116" s="33">
        <f>IFERROR(__xludf.DUMMYFUNCTION("""COMPUTED_VALUE"""),0.0)</f>
        <v>0</v>
      </c>
      <c r="AC116" s="33">
        <f>IFERROR(__xludf.DUMMYFUNCTION("""COMPUTED_VALUE"""),0.0)</f>
        <v>0</v>
      </c>
      <c r="AD116" s="33">
        <f>IFERROR(__xludf.DUMMYFUNCTION("""COMPUTED_VALUE"""),2.4375)</f>
        <v>2.4375</v>
      </c>
      <c r="AE116" s="33">
        <f>IFERROR(__xludf.DUMMYFUNCTION("""COMPUTED_VALUE"""),2.72194444444444)</f>
        <v>2.721944444</v>
      </c>
      <c r="AF116" s="33">
        <f>IFERROR(__xludf.DUMMYFUNCTION("""COMPUTED_VALUE"""),0.0)</f>
        <v>0</v>
      </c>
    </row>
    <row r="117">
      <c r="A117" s="49">
        <f>IFERROR(__xludf.DUMMYFUNCTION("""COMPUTED_VALUE"""),46125.0)</f>
        <v>46125</v>
      </c>
      <c r="B117" s="33" t="str">
        <f>IFERROR(__xludf.DUMMYFUNCTION("""COMPUTED_VALUE"""),"394d109f7b50d9a46fb591dbaaba2d0aac90a696")</f>
        <v>394d109f7b50d9a46fb591dbaaba2d0aac90a696</v>
      </c>
      <c r="C117" s="33" t="str">
        <f>IFERROR(__xludf.DUMMYFUNCTION("""COMPUTED_VALUE"""),"Empire of Hidden King (SRGJ) - Production Show_id")</f>
        <v>Empire of Hidden King (SRGJ) - Production Show_id</v>
      </c>
      <c r="D117" s="33">
        <f>IFERROR(__xludf.DUMMYFUNCTION("""COMPUTED_VALUE"""),4.0)</f>
        <v>4</v>
      </c>
      <c r="E117" s="33">
        <f>IFERROR(__xludf.DUMMYFUNCTION("""COMPUTED_VALUE"""),2.0)</f>
        <v>2</v>
      </c>
      <c r="F117" s="33">
        <f>IFERROR(__xludf.DUMMYFUNCTION("""COMPUTED_VALUE"""),4.0)</f>
        <v>4</v>
      </c>
      <c r="G117" s="33">
        <f>IFERROR(__xludf.DUMMYFUNCTION("""COMPUTED_VALUE"""),7.0)</f>
        <v>7</v>
      </c>
      <c r="H117" s="33">
        <f>IFERROR(__xludf.DUMMYFUNCTION("""COMPUTED_VALUE"""),7.0)</f>
        <v>7</v>
      </c>
      <c r="I117" s="33">
        <f>IFERROR(__xludf.DUMMYFUNCTION("""COMPUTED_VALUE"""),0.0)</f>
        <v>0</v>
      </c>
      <c r="J117" s="33">
        <f>IFERROR(__xludf.DUMMYFUNCTION("""COMPUTED_VALUE"""),7.0)</f>
        <v>7</v>
      </c>
      <c r="K117" s="33">
        <f>IFERROR(__xludf.DUMMYFUNCTION("""COMPUTED_VALUE"""),5.0)</f>
        <v>5</v>
      </c>
      <c r="L117" s="33">
        <f>IFERROR(__xludf.DUMMYFUNCTION("""COMPUTED_VALUE"""),1.0)</f>
        <v>1</v>
      </c>
      <c r="M117" s="33">
        <f>IFERROR(__xludf.DUMMYFUNCTION("""COMPUTED_VALUE"""),7.0)</f>
        <v>7</v>
      </c>
      <c r="N117" s="33">
        <f>IFERROR(__xludf.DUMMYFUNCTION("""COMPUTED_VALUE"""),7.0)</f>
        <v>7</v>
      </c>
      <c r="O117" s="33">
        <f>IFERROR(__xludf.DUMMYFUNCTION("""COMPUTED_VALUE"""),6.0)</f>
        <v>6</v>
      </c>
      <c r="P117" s="33">
        <f>IFERROR(__xludf.DUMMYFUNCTION("""COMPUTED_VALUE"""),7.0)</f>
        <v>7</v>
      </c>
      <c r="Q117" s="33">
        <f>IFERROR(__xludf.DUMMYFUNCTION("""COMPUTED_VALUE"""),0.0)</f>
        <v>0</v>
      </c>
      <c r="R117" s="33">
        <f>IFERROR(__xludf.DUMMYFUNCTION("""COMPUTED_VALUE"""),8681.0)</f>
        <v>8681</v>
      </c>
      <c r="S117" s="33">
        <f>IFERROR(__xludf.DUMMYFUNCTION("""COMPUTED_VALUE"""),4428.0)</f>
        <v>4428</v>
      </c>
      <c r="T117" s="33">
        <f>IFERROR(__xludf.DUMMYFUNCTION("""COMPUTED_VALUE"""),1.00527777777777)</f>
        <v>1.005277778</v>
      </c>
      <c r="U117" s="33">
        <f>IFERROR(__xludf.DUMMYFUNCTION("""COMPUTED_VALUE"""),1.00527777777777)</f>
        <v>1.005277778</v>
      </c>
      <c r="V117" s="33">
        <f>IFERROR(__xludf.DUMMYFUNCTION("""COMPUTED_VALUE"""),1.80555555555555)</f>
        <v>1.805555556</v>
      </c>
      <c r="W117" s="33">
        <f>IFERROR(__xludf.DUMMYFUNCTION("""COMPUTED_VALUE"""),1.80555555555555)</f>
        <v>1.805555556</v>
      </c>
      <c r="X117" s="33">
        <f>IFERROR(__xludf.DUMMYFUNCTION("""COMPUTED_VALUE"""),0.0)</f>
        <v>0</v>
      </c>
      <c r="Y117" s="33">
        <f>IFERROR(__xludf.DUMMYFUNCTION("""COMPUTED_VALUE"""),1.80555555555555)</f>
        <v>1.805555556</v>
      </c>
      <c r="Z117" s="33">
        <f>IFERROR(__xludf.DUMMYFUNCTION("""COMPUTED_VALUE"""),1.33611111111111)</f>
        <v>1.336111111</v>
      </c>
      <c r="AA117" s="33">
        <f>IFERROR(__xludf.DUMMYFUNCTION("""COMPUTED_VALUE"""),0.252777777777777)</f>
        <v>0.2527777778</v>
      </c>
      <c r="AB117" s="33">
        <f>IFERROR(__xludf.DUMMYFUNCTION("""COMPUTED_VALUE"""),1.80555555555555)</f>
        <v>1.805555556</v>
      </c>
      <c r="AC117" s="33">
        <f>IFERROR(__xludf.DUMMYFUNCTION("""COMPUTED_VALUE"""),1.80555555555555)</f>
        <v>1.805555556</v>
      </c>
      <c r="AD117" s="33">
        <f>IFERROR(__xludf.DUMMYFUNCTION("""COMPUTED_VALUE"""),1.53666666666666)</f>
        <v>1.536666667</v>
      </c>
      <c r="AE117" s="33">
        <f>IFERROR(__xludf.DUMMYFUNCTION("""COMPUTED_VALUE"""),1.80555555555555)</f>
        <v>1.805555556</v>
      </c>
      <c r="AF117" s="33">
        <f>IFERROR(__xludf.DUMMYFUNCTION("""COMPUTED_VALUE"""),4.0)</f>
        <v>4</v>
      </c>
    </row>
    <row r="118">
      <c r="A118" s="49">
        <f>IFERROR(__xludf.DUMMYFUNCTION("""COMPUTED_VALUE"""),46125.0)</f>
        <v>46125</v>
      </c>
      <c r="B118" s="33" t="str">
        <f>IFERROR(__xludf.DUMMYFUNCTION("""COMPUTED_VALUE"""),"4c7fcc2bad9d3ae4744be2bd73cd8a625a0277d5")</f>
        <v>4c7fcc2bad9d3ae4744be2bd73cd8a625a0277d5</v>
      </c>
      <c r="C118" s="33" t="str">
        <f>IFERROR(__xludf.DUMMYFUNCTION("""COMPUTED_VALUE"""),"Malang - Production Id")</f>
        <v>Malang - Production Id</v>
      </c>
      <c r="D118" s="33">
        <f>IFERROR(__xludf.DUMMYFUNCTION("""COMPUTED_VALUE"""),5.0)</f>
        <v>5</v>
      </c>
      <c r="E118" s="33">
        <f>IFERROR(__xludf.DUMMYFUNCTION("""COMPUTED_VALUE"""),446.0)</f>
        <v>446</v>
      </c>
      <c r="F118" s="33">
        <f>IFERROR(__xludf.DUMMYFUNCTION("""COMPUTED_VALUE"""),0.0)</f>
        <v>0</v>
      </c>
      <c r="G118" s="33">
        <f>IFERROR(__xludf.DUMMYFUNCTION("""COMPUTED_VALUE"""),0.0)</f>
        <v>0</v>
      </c>
      <c r="H118" s="33">
        <f>IFERROR(__xludf.DUMMYFUNCTION("""COMPUTED_VALUE"""),0.0)</f>
        <v>0</v>
      </c>
      <c r="I118" s="33">
        <f>IFERROR(__xludf.DUMMYFUNCTION("""COMPUTED_VALUE"""),0.0)</f>
        <v>0</v>
      </c>
      <c r="J118" s="33">
        <f>IFERROR(__xludf.DUMMYFUNCTION("""COMPUTED_VALUE"""),0.0)</f>
        <v>0</v>
      </c>
      <c r="K118" s="33">
        <f>IFERROR(__xludf.DUMMYFUNCTION("""COMPUTED_VALUE"""),0.0)</f>
        <v>0</v>
      </c>
      <c r="L118" s="33">
        <f>IFERROR(__xludf.DUMMYFUNCTION("""COMPUTED_VALUE"""),0.0)</f>
        <v>0</v>
      </c>
      <c r="M118" s="33">
        <f>IFERROR(__xludf.DUMMYFUNCTION("""COMPUTED_VALUE"""),0.0)</f>
        <v>0</v>
      </c>
      <c r="N118" s="33">
        <f>IFERROR(__xludf.DUMMYFUNCTION("""COMPUTED_VALUE"""),2.0)</f>
        <v>2</v>
      </c>
      <c r="O118" s="33">
        <f>IFERROR(__xludf.DUMMYFUNCTION("""COMPUTED_VALUE"""),0.0)</f>
        <v>0</v>
      </c>
      <c r="P118" s="33">
        <f>IFERROR(__xludf.DUMMYFUNCTION("""COMPUTED_VALUE"""),446.0)</f>
        <v>446</v>
      </c>
      <c r="Q118" s="33">
        <f>IFERROR(__xludf.DUMMYFUNCTION("""COMPUTED_VALUE"""),0.0)</f>
        <v>0</v>
      </c>
      <c r="R118" s="33">
        <f>IFERROR(__xludf.DUMMYFUNCTION("""COMPUTED_VALUE"""),9334.0)</f>
        <v>9334</v>
      </c>
      <c r="S118" s="33">
        <f>IFERROR(__xludf.DUMMYFUNCTION("""COMPUTED_VALUE"""),642974.0)</f>
        <v>642974</v>
      </c>
      <c r="T118" s="33">
        <f>IFERROR(__xludf.DUMMYFUNCTION("""COMPUTED_VALUE"""),0.0)</f>
        <v>0</v>
      </c>
      <c r="U118" s="33">
        <f>IFERROR(__xludf.DUMMYFUNCTION("""COMPUTED_VALUE"""),0.0)</f>
        <v>0</v>
      </c>
      <c r="V118" s="33">
        <f>IFERROR(__xludf.DUMMYFUNCTION("""COMPUTED_VALUE"""),0.0)</f>
        <v>0</v>
      </c>
      <c r="W118" s="33">
        <f>IFERROR(__xludf.DUMMYFUNCTION("""COMPUTED_VALUE"""),0.0)</f>
        <v>0</v>
      </c>
      <c r="X118" s="33">
        <f>IFERROR(__xludf.DUMMYFUNCTION("""COMPUTED_VALUE"""),0.0)</f>
        <v>0</v>
      </c>
      <c r="Y118" s="33">
        <f>IFERROR(__xludf.DUMMYFUNCTION("""COMPUTED_VALUE"""),0.0)</f>
        <v>0</v>
      </c>
      <c r="Z118" s="33">
        <f>IFERROR(__xludf.DUMMYFUNCTION("""COMPUTED_VALUE"""),0.0)</f>
        <v>0</v>
      </c>
      <c r="AA118" s="33">
        <f>IFERROR(__xludf.DUMMYFUNCTION("""COMPUTED_VALUE"""),0.0)</f>
        <v>0</v>
      </c>
      <c r="AB118" s="33">
        <f>IFERROR(__xludf.DUMMYFUNCTION("""COMPUTED_VALUE"""),0.0)</f>
        <v>0</v>
      </c>
      <c r="AC118" s="33">
        <f>IFERROR(__xludf.DUMMYFUNCTION("""COMPUTED_VALUE"""),0.384444444444444)</f>
        <v>0.3844444444</v>
      </c>
      <c r="AD118" s="33">
        <f>IFERROR(__xludf.DUMMYFUNCTION("""COMPUTED_VALUE"""),0.0)</f>
        <v>0</v>
      </c>
      <c r="AE118" s="33">
        <f>IFERROR(__xludf.DUMMYFUNCTION("""COMPUTED_VALUE"""),90.3094444444444)</f>
        <v>90.30944444</v>
      </c>
      <c r="AF118" s="33">
        <f>IFERROR(__xludf.DUMMYFUNCTION("""COMPUTED_VALUE"""),0.0)</f>
        <v>0</v>
      </c>
    </row>
    <row r="119">
      <c r="A119" s="49">
        <f>IFERROR(__xludf.DUMMYFUNCTION("""COMPUTED_VALUE"""),46125.0)</f>
        <v>46125</v>
      </c>
      <c r="B119" s="33" t="str">
        <f>IFERROR(__xludf.DUMMYFUNCTION("""COMPUTED_VALUE"""),"5066c0736f9e9444f2b4da840d6860b1f7f47d11")</f>
        <v>5066c0736f9e9444f2b4da840d6860b1f7f47d11</v>
      </c>
      <c r="C119" s="33" t="str">
        <f>IFERROR(__xludf.DUMMYFUNCTION("""COMPUTED_VALUE"""),"The Warrior | Author - Dayaram Prajapati - Replica (For Production Only)")</f>
        <v>The Warrior | Author - Dayaram Prajapati - Replica (For Production Only)</v>
      </c>
      <c r="D119" s="33">
        <f>IFERROR(__xludf.DUMMYFUNCTION("""COMPUTED_VALUE"""),12.0)</f>
        <v>12</v>
      </c>
      <c r="E119" s="33">
        <f>IFERROR(__xludf.DUMMYFUNCTION("""COMPUTED_VALUE"""),19.0)</f>
        <v>19</v>
      </c>
      <c r="F119" s="33">
        <f>IFERROR(__xludf.DUMMYFUNCTION("""COMPUTED_VALUE"""),18.0)</f>
        <v>18</v>
      </c>
      <c r="G119" s="33">
        <f>IFERROR(__xludf.DUMMYFUNCTION("""COMPUTED_VALUE"""),19.0)</f>
        <v>19</v>
      </c>
      <c r="H119" s="33">
        <f>IFERROR(__xludf.DUMMYFUNCTION("""COMPUTED_VALUE"""),20.0)</f>
        <v>20</v>
      </c>
      <c r="I119" s="33">
        <f>IFERROR(__xludf.DUMMYFUNCTION("""COMPUTED_VALUE"""),2.0)</f>
        <v>2</v>
      </c>
      <c r="J119" s="33">
        <f>IFERROR(__xludf.DUMMYFUNCTION("""COMPUTED_VALUE"""),21.0)</f>
        <v>21</v>
      </c>
      <c r="K119" s="33">
        <f>IFERROR(__xludf.DUMMYFUNCTION("""COMPUTED_VALUE"""),9.0)</f>
        <v>9</v>
      </c>
      <c r="L119" s="33">
        <f>IFERROR(__xludf.DUMMYFUNCTION("""COMPUTED_VALUE"""),4.0)</f>
        <v>4</v>
      </c>
      <c r="M119" s="33">
        <f>IFERROR(__xludf.DUMMYFUNCTION("""COMPUTED_VALUE"""),24.0)</f>
        <v>24</v>
      </c>
      <c r="N119" s="33">
        <f>IFERROR(__xludf.DUMMYFUNCTION("""COMPUTED_VALUE"""),22.0)</f>
        <v>22</v>
      </c>
      <c r="O119" s="33">
        <f>IFERROR(__xludf.DUMMYFUNCTION("""COMPUTED_VALUE"""),7.0)</f>
        <v>7</v>
      </c>
      <c r="P119" s="33">
        <f>IFERROR(__xludf.DUMMYFUNCTION("""COMPUTED_VALUE"""),22.0)</f>
        <v>22</v>
      </c>
      <c r="Q119" s="33">
        <f>IFERROR(__xludf.DUMMYFUNCTION("""COMPUTED_VALUE"""),0.0)</f>
        <v>0</v>
      </c>
      <c r="R119" s="33">
        <f>IFERROR(__xludf.DUMMYFUNCTION("""COMPUTED_VALUE"""),31387.0)</f>
        <v>31387</v>
      </c>
      <c r="S119" s="33">
        <f>IFERROR(__xludf.DUMMYFUNCTION("""COMPUTED_VALUE"""),54784.0)</f>
        <v>54784</v>
      </c>
      <c r="T119" s="33">
        <f>IFERROR(__xludf.DUMMYFUNCTION("""COMPUTED_VALUE"""),6.52472222222222)</f>
        <v>6.524722222</v>
      </c>
      <c r="U119" s="33">
        <f>IFERROR(__xludf.DUMMYFUNCTION("""COMPUTED_VALUE"""),5.69666666666666)</f>
        <v>5.696666667</v>
      </c>
      <c r="V119" s="33">
        <f>IFERROR(__xludf.DUMMYFUNCTION("""COMPUTED_VALUE"""),6.23083333333333)</f>
        <v>6.230833333</v>
      </c>
      <c r="W119" s="33">
        <f>IFERROR(__xludf.DUMMYFUNCTION("""COMPUTED_VALUE"""),6.46333333333333)</f>
        <v>6.463333333</v>
      </c>
      <c r="X119" s="33">
        <f>IFERROR(__xludf.DUMMYFUNCTION("""COMPUTED_VALUE"""),0.541944444444444)</f>
        <v>0.5419444444</v>
      </c>
      <c r="Y119" s="33">
        <f>IFERROR(__xludf.DUMMYFUNCTION("""COMPUTED_VALUE"""),6.65833333333333)</f>
        <v>6.658333333</v>
      </c>
      <c r="Z119" s="33">
        <f>IFERROR(__xludf.DUMMYFUNCTION("""COMPUTED_VALUE"""),2.88416666666666)</f>
        <v>2.884166667</v>
      </c>
      <c r="AA119" s="33">
        <f>IFERROR(__xludf.DUMMYFUNCTION("""COMPUTED_VALUE"""),1.28)</f>
        <v>1.28</v>
      </c>
      <c r="AB119" s="33">
        <f>IFERROR(__xludf.DUMMYFUNCTION("""COMPUTED_VALUE"""),7.55472222222222)</f>
        <v>7.554722222</v>
      </c>
      <c r="AC119" s="33">
        <f>IFERROR(__xludf.DUMMYFUNCTION("""COMPUTED_VALUE"""),6.94861111111111)</f>
        <v>6.948611111</v>
      </c>
      <c r="AD119" s="33">
        <f>IFERROR(__xludf.DUMMYFUNCTION("""COMPUTED_VALUE"""),1.61666666666666)</f>
        <v>1.616666667</v>
      </c>
      <c r="AE119" s="33">
        <f>IFERROR(__xludf.DUMMYFUNCTION("""COMPUTED_VALUE"""),6.94861111111111)</f>
        <v>6.948611111</v>
      </c>
      <c r="AF119" s="33">
        <f>IFERROR(__xludf.DUMMYFUNCTION("""COMPUTED_VALUE"""),21.0)</f>
        <v>21</v>
      </c>
    </row>
    <row r="120">
      <c r="A120" s="49">
        <f>IFERROR(__xludf.DUMMYFUNCTION("""COMPUTED_VALUE"""),46125.0)</f>
        <v>46125</v>
      </c>
      <c r="B120" s="33" t="str">
        <f>IFERROR(__xludf.DUMMYFUNCTION("""COMPUTED_VALUE"""),"54847eda0794e861da74c1034ace021b4643357b")</f>
        <v>54847eda0794e861da74c1034ace021b4643357b</v>
      </c>
      <c r="C120" s="33" t="str">
        <f>IFERROR(__xludf.DUMMYFUNCTION("""COMPUTED_VALUE"""),"Billionaire King's Love (Production)")</f>
        <v>Billionaire King's Love (Production)</v>
      </c>
      <c r="D120" s="33">
        <f>IFERROR(__xludf.DUMMYFUNCTION("""COMPUTED_VALUE"""),0.0)</f>
        <v>0</v>
      </c>
      <c r="E120" s="33">
        <f>IFERROR(__xludf.DUMMYFUNCTION("""COMPUTED_VALUE"""),0.0)</f>
        <v>0</v>
      </c>
      <c r="F120" s="33">
        <f>IFERROR(__xludf.DUMMYFUNCTION("""COMPUTED_VALUE"""),0.0)</f>
        <v>0</v>
      </c>
      <c r="G120" s="33">
        <f>IFERROR(__xludf.DUMMYFUNCTION("""COMPUTED_VALUE"""),6.0)</f>
        <v>6</v>
      </c>
      <c r="H120" s="33">
        <f>IFERROR(__xludf.DUMMYFUNCTION("""COMPUTED_VALUE"""),0.0)</f>
        <v>0</v>
      </c>
      <c r="I120" s="33">
        <f>IFERROR(__xludf.DUMMYFUNCTION("""COMPUTED_VALUE"""),0.0)</f>
        <v>0</v>
      </c>
      <c r="J120" s="33">
        <f>IFERROR(__xludf.DUMMYFUNCTION("""COMPUTED_VALUE"""),9.0)</f>
        <v>9</v>
      </c>
      <c r="K120" s="33">
        <f>IFERROR(__xludf.DUMMYFUNCTION("""COMPUTED_VALUE"""),2.0)</f>
        <v>2</v>
      </c>
      <c r="L120" s="33">
        <f>IFERROR(__xludf.DUMMYFUNCTION("""COMPUTED_VALUE"""),2.0)</f>
        <v>2</v>
      </c>
      <c r="M120" s="33">
        <f>IFERROR(__xludf.DUMMYFUNCTION("""COMPUTED_VALUE"""),9.0)</f>
        <v>9</v>
      </c>
      <c r="N120" s="33">
        <f>IFERROR(__xludf.DUMMYFUNCTION("""COMPUTED_VALUE"""),10.0)</f>
        <v>10</v>
      </c>
      <c r="O120" s="33">
        <f>IFERROR(__xludf.DUMMYFUNCTION("""COMPUTED_VALUE"""),5.0)</f>
        <v>5</v>
      </c>
      <c r="P120" s="33">
        <f>IFERROR(__xludf.DUMMYFUNCTION("""COMPUTED_VALUE"""),10.0)</f>
        <v>10</v>
      </c>
      <c r="Q120" s="33">
        <f>IFERROR(__xludf.DUMMYFUNCTION("""COMPUTED_VALUE"""),0.0)</f>
        <v>0</v>
      </c>
      <c r="R120" s="33">
        <f>IFERROR(__xludf.DUMMYFUNCTION("""COMPUTED_VALUE"""),0.0)</f>
        <v>0</v>
      </c>
      <c r="S120" s="33">
        <f>IFERROR(__xludf.DUMMYFUNCTION("""COMPUTED_VALUE"""),0.0)</f>
        <v>0</v>
      </c>
      <c r="T120" s="33">
        <f>IFERROR(__xludf.DUMMYFUNCTION("""COMPUTED_VALUE"""),0.0)</f>
        <v>0</v>
      </c>
      <c r="U120" s="33">
        <f>IFERROR(__xludf.DUMMYFUNCTION("""COMPUTED_VALUE"""),0.0)</f>
        <v>0</v>
      </c>
      <c r="V120" s="33">
        <f>IFERROR(__xludf.DUMMYFUNCTION("""COMPUTED_VALUE"""),1.25805555555555)</f>
        <v>1.258055556</v>
      </c>
      <c r="W120" s="33">
        <f>IFERROR(__xludf.DUMMYFUNCTION("""COMPUTED_VALUE"""),0.0)</f>
        <v>0</v>
      </c>
      <c r="X120" s="33">
        <f>IFERROR(__xludf.DUMMYFUNCTION("""COMPUTED_VALUE"""),0.0)</f>
        <v>0</v>
      </c>
      <c r="Y120" s="33">
        <f>IFERROR(__xludf.DUMMYFUNCTION("""COMPUTED_VALUE"""),1.89361111111111)</f>
        <v>1.893611111</v>
      </c>
      <c r="Z120" s="33">
        <f>IFERROR(__xludf.DUMMYFUNCTION("""COMPUTED_VALUE"""),0.411666666666666)</f>
        <v>0.4116666667</v>
      </c>
      <c r="AA120" s="33">
        <f>IFERROR(__xludf.DUMMYFUNCTION("""COMPUTED_VALUE"""),0.411666666666666)</f>
        <v>0.4116666667</v>
      </c>
      <c r="AB120" s="33">
        <f>IFERROR(__xludf.DUMMYFUNCTION("""COMPUTED_VALUE"""),1.89361111111111)</f>
        <v>1.893611111</v>
      </c>
      <c r="AC120" s="33">
        <f>IFERROR(__xludf.DUMMYFUNCTION("""COMPUTED_VALUE"""),2.08027777777777)</f>
        <v>2.080277778</v>
      </c>
      <c r="AD120" s="33">
        <f>IFERROR(__xludf.DUMMYFUNCTION("""COMPUTED_VALUE"""),1.03861111111111)</f>
        <v>1.038611111</v>
      </c>
      <c r="AE120" s="33">
        <f>IFERROR(__xludf.DUMMYFUNCTION("""COMPUTED_VALUE"""),2.08027777777777)</f>
        <v>2.080277778</v>
      </c>
      <c r="AF120" s="33">
        <f>IFERROR(__xludf.DUMMYFUNCTION("""COMPUTED_VALUE"""),0.0)</f>
        <v>0</v>
      </c>
    </row>
    <row r="121">
      <c r="A121" s="49">
        <f>IFERROR(__xludf.DUMMYFUNCTION("""COMPUTED_VALUE"""),46125.0)</f>
        <v>46125</v>
      </c>
      <c r="B121" s="33" t="str">
        <f>IFERROR(__xludf.DUMMYFUNCTION("""COMPUTED_VALUE"""),"5a7d21f6ad9df12be70cd9439dd850c36627991d")</f>
        <v>5a7d21f6ad9df12be70cd9439dd850c36627991d</v>
      </c>
      <c r="C121" s="33" t="str">
        <f>IFERROR(__xludf.DUMMYFUNCTION("""COMPUTED_VALUE"""),"Ek Stranger Se Pyar- Production Id")</f>
        <v>Ek Stranger Se Pyar- Production Id</v>
      </c>
      <c r="D121" s="33">
        <f>IFERROR(__xludf.DUMMYFUNCTION("""COMPUTED_VALUE"""),13.0)</f>
        <v>13</v>
      </c>
      <c r="E121" s="33">
        <f>IFERROR(__xludf.DUMMYFUNCTION("""COMPUTED_VALUE"""),4.0)</f>
        <v>4</v>
      </c>
      <c r="F121" s="33">
        <f>IFERROR(__xludf.DUMMYFUNCTION("""COMPUTED_VALUE"""),3.0)</f>
        <v>3</v>
      </c>
      <c r="G121" s="33">
        <f>IFERROR(__xludf.DUMMYFUNCTION("""COMPUTED_VALUE"""),1.0)</f>
        <v>1</v>
      </c>
      <c r="H121" s="33">
        <f>IFERROR(__xludf.DUMMYFUNCTION("""COMPUTED_VALUE"""),3.0)</f>
        <v>3</v>
      </c>
      <c r="I121" s="33">
        <f>IFERROR(__xludf.DUMMYFUNCTION("""COMPUTED_VALUE"""),2.0)</f>
        <v>2</v>
      </c>
      <c r="J121" s="33">
        <f>IFERROR(__xludf.DUMMYFUNCTION("""COMPUTED_VALUE"""),3.0)</f>
        <v>3</v>
      </c>
      <c r="K121" s="33">
        <f>IFERROR(__xludf.DUMMYFUNCTION("""COMPUTED_VALUE"""),1.0)</f>
        <v>1</v>
      </c>
      <c r="L121" s="33">
        <f>IFERROR(__xludf.DUMMYFUNCTION("""COMPUTED_VALUE"""),0.0)</f>
        <v>0</v>
      </c>
      <c r="M121" s="33">
        <f>IFERROR(__xludf.DUMMYFUNCTION("""COMPUTED_VALUE"""),1.0)</f>
        <v>1</v>
      </c>
      <c r="N121" s="33">
        <f>IFERROR(__xludf.DUMMYFUNCTION("""COMPUTED_VALUE"""),0.0)</f>
        <v>0</v>
      </c>
      <c r="O121" s="33">
        <f>IFERROR(__xludf.DUMMYFUNCTION("""COMPUTED_VALUE"""),0.0)</f>
        <v>0</v>
      </c>
      <c r="P121" s="33">
        <f>IFERROR(__xludf.DUMMYFUNCTION("""COMPUTED_VALUE"""),0.0)</f>
        <v>0</v>
      </c>
      <c r="Q121" s="33">
        <f>IFERROR(__xludf.DUMMYFUNCTION("""COMPUTED_VALUE"""),0.0)</f>
        <v>0</v>
      </c>
      <c r="R121" s="33">
        <f>IFERROR(__xludf.DUMMYFUNCTION("""COMPUTED_VALUE"""),30452.0)</f>
        <v>30452</v>
      </c>
      <c r="S121" s="33">
        <f>IFERROR(__xludf.DUMMYFUNCTION("""COMPUTED_VALUE"""),8851.0)</f>
        <v>8851</v>
      </c>
      <c r="T121" s="33">
        <f>IFERROR(__xludf.DUMMYFUNCTION("""COMPUTED_VALUE"""),1.09138888888888)</f>
        <v>1.091388889</v>
      </c>
      <c r="U121" s="33">
        <f>IFERROR(__xludf.DUMMYFUNCTION("""COMPUTED_VALUE"""),0.661111111111111)</f>
        <v>0.6611111111</v>
      </c>
      <c r="V121" s="33">
        <f>IFERROR(__xludf.DUMMYFUNCTION("""COMPUTED_VALUE"""),0.234444444444444)</f>
        <v>0.2344444444</v>
      </c>
      <c r="W121" s="33">
        <f>IFERROR(__xludf.DUMMYFUNCTION("""COMPUTED_VALUE"""),0.664722222222222)</f>
        <v>0.6647222222</v>
      </c>
      <c r="X121" s="33">
        <f>IFERROR(__xludf.DUMMYFUNCTION("""COMPUTED_VALUE"""),0.430277777777777)</f>
        <v>0.4302777778</v>
      </c>
      <c r="Y121" s="33">
        <f>IFERROR(__xludf.DUMMYFUNCTION("""COMPUTED_VALUE"""),0.663888888888888)</f>
        <v>0.6638888889</v>
      </c>
      <c r="Z121" s="33">
        <f>IFERROR(__xludf.DUMMYFUNCTION("""COMPUTED_VALUE"""),0.234444444444444)</f>
        <v>0.2344444444</v>
      </c>
      <c r="AA121" s="33">
        <f>IFERROR(__xludf.DUMMYFUNCTION("""COMPUTED_VALUE"""),0.0)</f>
        <v>0</v>
      </c>
      <c r="AB121" s="33">
        <f>IFERROR(__xludf.DUMMYFUNCTION("""COMPUTED_VALUE"""),0.234444444444444)</f>
        <v>0.2344444444</v>
      </c>
      <c r="AC121" s="33">
        <f>IFERROR(__xludf.DUMMYFUNCTION("""COMPUTED_VALUE"""),0.0)</f>
        <v>0</v>
      </c>
      <c r="AD121" s="33">
        <f>IFERROR(__xludf.DUMMYFUNCTION("""COMPUTED_VALUE"""),0.0)</f>
        <v>0</v>
      </c>
      <c r="AE121" s="33">
        <f>IFERROR(__xludf.DUMMYFUNCTION("""COMPUTED_VALUE"""),0.0)</f>
        <v>0</v>
      </c>
      <c r="AF121" s="33">
        <f>IFERROR(__xludf.DUMMYFUNCTION("""COMPUTED_VALUE"""),5.0)</f>
        <v>5</v>
      </c>
    </row>
    <row r="122">
      <c r="A122" s="49">
        <f>IFERROR(__xludf.DUMMYFUNCTION("""COMPUTED_VALUE"""),46125.0)</f>
        <v>46125</v>
      </c>
      <c r="B122" s="33" t="str">
        <f>IFERROR(__xludf.DUMMYFUNCTION("""COMPUTED_VALUE"""),"5baf4c80faf4b2d4eb9401a1d0081872e0158e89")</f>
        <v>5baf4c80faf4b2d4eb9401a1d0081872e0158e89</v>
      </c>
      <c r="C122" s="33" t="str">
        <f>IFERROR(__xludf.DUMMYFUNCTION("""COMPUTED_VALUE"""),"Brahmyodha : The Destroyer - Production showId")</f>
        <v>Brahmyodha : The Destroyer - Production showId</v>
      </c>
      <c r="D122" s="33">
        <f>IFERROR(__xludf.DUMMYFUNCTION("""COMPUTED_VALUE"""),12.0)</f>
        <v>12</v>
      </c>
      <c r="E122" s="33">
        <f>IFERROR(__xludf.DUMMYFUNCTION("""COMPUTED_VALUE"""),22.0)</f>
        <v>22</v>
      </c>
      <c r="F122" s="33">
        <f>IFERROR(__xludf.DUMMYFUNCTION("""COMPUTED_VALUE"""),9.0)</f>
        <v>9</v>
      </c>
      <c r="G122" s="33">
        <f>IFERROR(__xludf.DUMMYFUNCTION("""COMPUTED_VALUE"""),1.0)</f>
        <v>1</v>
      </c>
      <c r="H122" s="33">
        <f>IFERROR(__xludf.DUMMYFUNCTION("""COMPUTED_VALUE"""),27.0)</f>
        <v>27</v>
      </c>
      <c r="I122" s="33">
        <f>IFERROR(__xludf.DUMMYFUNCTION("""COMPUTED_VALUE"""),17.0)</f>
        <v>17</v>
      </c>
      <c r="J122" s="33">
        <f>IFERROR(__xludf.DUMMYFUNCTION("""COMPUTED_VALUE"""),25.0)</f>
        <v>25</v>
      </c>
      <c r="K122" s="33">
        <f>IFERROR(__xludf.DUMMYFUNCTION("""COMPUTED_VALUE"""),5.0)</f>
        <v>5</v>
      </c>
      <c r="L122" s="33">
        <f>IFERROR(__xludf.DUMMYFUNCTION("""COMPUTED_VALUE"""),0.0)</f>
        <v>0</v>
      </c>
      <c r="M122" s="33">
        <f>IFERROR(__xludf.DUMMYFUNCTION("""COMPUTED_VALUE"""),25.0)</f>
        <v>25</v>
      </c>
      <c r="N122" s="33">
        <f>IFERROR(__xludf.DUMMYFUNCTION("""COMPUTED_VALUE"""),25.0)</f>
        <v>25</v>
      </c>
      <c r="O122" s="33">
        <f>IFERROR(__xludf.DUMMYFUNCTION("""COMPUTED_VALUE"""),6.0)</f>
        <v>6</v>
      </c>
      <c r="P122" s="33">
        <f>IFERROR(__xludf.DUMMYFUNCTION("""COMPUTED_VALUE"""),25.0)</f>
        <v>25</v>
      </c>
      <c r="Q122" s="33">
        <f>IFERROR(__xludf.DUMMYFUNCTION("""COMPUTED_VALUE"""),0.0)</f>
        <v>0</v>
      </c>
      <c r="R122" s="33">
        <f>IFERROR(__xludf.DUMMYFUNCTION("""COMPUTED_VALUE"""),28907.0)</f>
        <v>28907</v>
      </c>
      <c r="S122" s="33">
        <f>IFERROR(__xludf.DUMMYFUNCTION("""COMPUTED_VALUE"""),50078.0)</f>
        <v>50078</v>
      </c>
      <c r="T122" s="33">
        <f>IFERROR(__xludf.DUMMYFUNCTION("""COMPUTED_VALUE"""),5.90194444444444)</f>
        <v>5.901944444</v>
      </c>
      <c r="U122" s="33">
        <f>IFERROR(__xludf.DUMMYFUNCTION("""COMPUTED_VALUE"""),2.07555555555555)</f>
        <v>2.075555556</v>
      </c>
      <c r="V122" s="33">
        <f>IFERROR(__xludf.DUMMYFUNCTION("""COMPUTED_VALUE"""),0.220833333333333)</f>
        <v>0.2208333333</v>
      </c>
      <c r="W122" s="33">
        <f>IFERROR(__xludf.DUMMYFUNCTION("""COMPUTED_VALUE"""),6.14361111111111)</f>
        <v>6.143611111</v>
      </c>
      <c r="X122" s="33">
        <f>IFERROR(__xludf.DUMMYFUNCTION("""COMPUTED_VALUE"""),3.82277777777777)</f>
        <v>3.822777778</v>
      </c>
      <c r="Y122" s="33">
        <f>IFERROR(__xludf.DUMMYFUNCTION("""COMPUTED_VALUE"""),5.70861111111111)</f>
        <v>5.708611111</v>
      </c>
      <c r="Z122" s="33">
        <f>IFERROR(__xludf.DUMMYFUNCTION("""COMPUTED_VALUE"""),1.19777777777777)</f>
        <v>1.197777778</v>
      </c>
      <c r="AA122" s="33">
        <f>IFERROR(__xludf.DUMMYFUNCTION("""COMPUTED_VALUE"""),0.0)</f>
        <v>0</v>
      </c>
      <c r="AB122" s="33">
        <f>IFERROR(__xludf.DUMMYFUNCTION("""COMPUTED_VALUE"""),5.70861111111111)</f>
        <v>5.708611111</v>
      </c>
      <c r="AC122" s="33">
        <f>IFERROR(__xludf.DUMMYFUNCTION("""COMPUTED_VALUE"""),5.70861111111111)</f>
        <v>5.708611111</v>
      </c>
      <c r="AD122" s="33">
        <f>IFERROR(__xludf.DUMMYFUNCTION("""COMPUTED_VALUE"""),1.18111111111111)</f>
        <v>1.181111111</v>
      </c>
      <c r="AE122" s="33">
        <f>IFERROR(__xludf.DUMMYFUNCTION("""COMPUTED_VALUE"""),5.70861111111111)</f>
        <v>5.708611111</v>
      </c>
      <c r="AF122" s="33">
        <f>IFERROR(__xludf.DUMMYFUNCTION("""COMPUTED_VALUE"""),26.0)</f>
        <v>26</v>
      </c>
    </row>
    <row r="123">
      <c r="A123" s="49">
        <f>IFERROR(__xludf.DUMMYFUNCTION("""COMPUTED_VALUE"""),46125.0)</f>
        <v>46125</v>
      </c>
      <c r="B123" s="33" t="str">
        <f>IFERROR(__xludf.DUMMYFUNCTION("""COMPUTED_VALUE"""),"641b6f77fd211e92df35a3bcbab67e6879e19a66")</f>
        <v>641b6f77fd211e92df35a3bcbab67e6879e19a66</v>
      </c>
      <c r="C123" s="33" t="str">
        <f>IFERROR(__xludf.DUMMYFUNCTION("""COMPUTED_VALUE"""),"Mahagatha | महागाथा | Author - S. Mauryavanshi")</f>
        <v>Mahagatha | महागाथा | Author - S. Mauryavanshi</v>
      </c>
      <c r="D123" s="33">
        <f>IFERROR(__xludf.DUMMYFUNCTION("""COMPUTED_VALUE"""),15.0)</f>
        <v>15</v>
      </c>
      <c r="E123" s="33">
        <f>IFERROR(__xludf.DUMMYFUNCTION("""COMPUTED_VALUE"""),12.0)</f>
        <v>12</v>
      </c>
      <c r="F123" s="33">
        <f>IFERROR(__xludf.DUMMYFUNCTION("""COMPUTED_VALUE"""),0.0)</f>
        <v>0</v>
      </c>
      <c r="G123" s="33">
        <f>IFERROR(__xludf.DUMMYFUNCTION("""COMPUTED_VALUE"""),0.0)</f>
        <v>0</v>
      </c>
      <c r="H123" s="33">
        <f>IFERROR(__xludf.DUMMYFUNCTION("""COMPUTED_VALUE"""),15.0)</f>
        <v>15</v>
      </c>
      <c r="I123" s="33">
        <f>IFERROR(__xludf.DUMMYFUNCTION("""COMPUTED_VALUE"""),15.0)</f>
        <v>15</v>
      </c>
      <c r="J123" s="33">
        <f>IFERROR(__xludf.DUMMYFUNCTION("""COMPUTED_VALUE"""),15.0)</f>
        <v>15</v>
      </c>
      <c r="K123" s="33">
        <f>IFERROR(__xludf.DUMMYFUNCTION("""COMPUTED_VALUE"""),11.0)</f>
        <v>11</v>
      </c>
      <c r="L123" s="33">
        <f>IFERROR(__xludf.DUMMYFUNCTION("""COMPUTED_VALUE"""),0.0)</f>
        <v>0</v>
      </c>
      <c r="M123" s="33">
        <f>IFERROR(__xludf.DUMMYFUNCTION("""COMPUTED_VALUE"""),15.0)</f>
        <v>15</v>
      </c>
      <c r="N123" s="33">
        <f>IFERROR(__xludf.DUMMYFUNCTION("""COMPUTED_VALUE"""),15.0)</f>
        <v>15</v>
      </c>
      <c r="O123" s="33">
        <f>IFERROR(__xludf.DUMMYFUNCTION("""COMPUTED_VALUE"""),5.0)</f>
        <v>5</v>
      </c>
      <c r="P123" s="33">
        <f>IFERROR(__xludf.DUMMYFUNCTION("""COMPUTED_VALUE"""),15.0)</f>
        <v>15</v>
      </c>
      <c r="Q123" s="33">
        <f>IFERROR(__xludf.DUMMYFUNCTION("""COMPUTED_VALUE"""),0.0)</f>
        <v>0</v>
      </c>
      <c r="R123" s="33">
        <f>IFERROR(__xludf.DUMMYFUNCTION("""COMPUTED_VALUE"""),36651.0)</f>
        <v>36651</v>
      </c>
      <c r="S123" s="33">
        <f>IFERROR(__xludf.DUMMYFUNCTION("""COMPUTED_VALUE"""),29558.0)</f>
        <v>29558</v>
      </c>
      <c r="T123" s="33">
        <f>IFERROR(__xludf.DUMMYFUNCTION("""COMPUTED_VALUE"""),3.56638888888888)</f>
        <v>3.566388889</v>
      </c>
      <c r="U123" s="33">
        <f>IFERROR(__xludf.DUMMYFUNCTION("""COMPUTED_VALUE"""),0.0)</f>
        <v>0</v>
      </c>
      <c r="V123" s="33">
        <f>IFERROR(__xludf.DUMMYFUNCTION("""COMPUTED_VALUE"""),0.0)</f>
        <v>0</v>
      </c>
      <c r="W123" s="33">
        <f>IFERROR(__xludf.DUMMYFUNCTION("""COMPUTED_VALUE"""),3.56638888888888)</f>
        <v>3.566388889</v>
      </c>
      <c r="X123" s="33">
        <f>IFERROR(__xludf.DUMMYFUNCTION("""COMPUTED_VALUE"""),3.56638888888888)</f>
        <v>3.566388889</v>
      </c>
      <c r="Y123" s="33">
        <f>IFERROR(__xludf.DUMMYFUNCTION("""COMPUTED_VALUE"""),3.5575)</f>
        <v>3.5575</v>
      </c>
      <c r="Z123" s="33">
        <f>IFERROR(__xludf.DUMMYFUNCTION("""COMPUTED_VALUE"""),2.64111111111111)</f>
        <v>2.641111111</v>
      </c>
      <c r="AA123" s="33">
        <f>IFERROR(__xludf.DUMMYFUNCTION("""COMPUTED_VALUE"""),0.0)</f>
        <v>0</v>
      </c>
      <c r="AB123" s="33">
        <f>IFERROR(__xludf.DUMMYFUNCTION("""COMPUTED_VALUE"""),3.5575)</f>
        <v>3.5575</v>
      </c>
      <c r="AC123" s="33">
        <f>IFERROR(__xludf.DUMMYFUNCTION("""COMPUTED_VALUE"""),3.55749999999999)</f>
        <v>3.5575</v>
      </c>
      <c r="AD123" s="33">
        <f>IFERROR(__xludf.DUMMYFUNCTION("""COMPUTED_VALUE"""),1.11277777777777)</f>
        <v>1.112777778</v>
      </c>
      <c r="AE123" s="33">
        <f>IFERROR(__xludf.DUMMYFUNCTION("""COMPUTED_VALUE"""),3.55749999999999)</f>
        <v>3.5575</v>
      </c>
      <c r="AF123" s="33">
        <f>IFERROR(__xludf.DUMMYFUNCTION("""COMPUTED_VALUE"""),15.0)</f>
        <v>15</v>
      </c>
    </row>
    <row r="124">
      <c r="A124" s="49">
        <f>IFERROR(__xludf.DUMMYFUNCTION("""COMPUTED_VALUE"""),46125.0)</f>
        <v>46125</v>
      </c>
      <c r="B124" s="33" t="str">
        <f>IFERROR(__xludf.DUMMYFUNCTION("""COMPUTED_VALUE"""),"6867922e795be5da6320ef1d28567452800209ba")</f>
        <v>6867922e795be5da6320ef1d28567452800209ba</v>
      </c>
      <c r="C124" s="33" t="str">
        <f>IFERROR(__xludf.DUMMYFUNCTION("""COMPUTED_VALUE"""),"The Dimension God - Production Id")</f>
        <v>The Dimension God - Production Id</v>
      </c>
      <c r="D124" s="33">
        <f>IFERROR(__xludf.DUMMYFUNCTION("""COMPUTED_VALUE"""),12.0)</f>
        <v>12</v>
      </c>
      <c r="E124" s="33">
        <f>IFERROR(__xludf.DUMMYFUNCTION("""COMPUTED_VALUE"""),0.0)</f>
        <v>0</v>
      </c>
      <c r="F124" s="33">
        <f>IFERROR(__xludf.DUMMYFUNCTION("""COMPUTED_VALUE"""),0.0)</f>
        <v>0</v>
      </c>
      <c r="G124" s="33">
        <f>IFERROR(__xludf.DUMMYFUNCTION("""COMPUTED_VALUE"""),0.0)</f>
        <v>0</v>
      </c>
      <c r="H124" s="33">
        <f>IFERROR(__xludf.DUMMYFUNCTION("""COMPUTED_VALUE"""),0.0)</f>
        <v>0</v>
      </c>
      <c r="I124" s="33">
        <f>IFERROR(__xludf.DUMMYFUNCTION("""COMPUTED_VALUE"""),0.0)</f>
        <v>0</v>
      </c>
      <c r="J124" s="33">
        <f>IFERROR(__xludf.DUMMYFUNCTION("""COMPUTED_VALUE"""),0.0)</f>
        <v>0</v>
      </c>
      <c r="K124" s="33">
        <f>IFERROR(__xludf.DUMMYFUNCTION("""COMPUTED_VALUE"""),0.0)</f>
        <v>0</v>
      </c>
      <c r="L124" s="33">
        <f>IFERROR(__xludf.DUMMYFUNCTION("""COMPUTED_VALUE"""),0.0)</f>
        <v>0</v>
      </c>
      <c r="M124" s="33">
        <f>IFERROR(__xludf.DUMMYFUNCTION("""COMPUTED_VALUE"""),0.0)</f>
        <v>0</v>
      </c>
      <c r="N124" s="33">
        <f>IFERROR(__xludf.DUMMYFUNCTION("""COMPUTED_VALUE"""),0.0)</f>
        <v>0</v>
      </c>
      <c r="O124" s="33">
        <f>IFERROR(__xludf.DUMMYFUNCTION("""COMPUTED_VALUE"""),0.0)</f>
        <v>0</v>
      </c>
      <c r="P124" s="33">
        <f>IFERROR(__xludf.DUMMYFUNCTION("""COMPUTED_VALUE"""),0.0)</f>
        <v>0</v>
      </c>
      <c r="Q124" s="33">
        <f>IFERROR(__xludf.DUMMYFUNCTION("""COMPUTED_VALUE"""),0.0)</f>
        <v>0</v>
      </c>
      <c r="R124" s="33">
        <f>IFERROR(__xludf.DUMMYFUNCTION("""COMPUTED_VALUE"""),29129.0)</f>
        <v>29129</v>
      </c>
      <c r="S124" s="33">
        <f>IFERROR(__xludf.DUMMYFUNCTION("""COMPUTED_VALUE"""),0.0)</f>
        <v>0</v>
      </c>
      <c r="T124" s="33">
        <f>IFERROR(__xludf.DUMMYFUNCTION("""COMPUTED_VALUE"""),0.0)</f>
        <v>0</v>
      </c>
      <c r="U124" s="33">
        <f>IFERROR(__xludf.DUMMYFUNCTION("""COMPUTED_VALUE"""),0.0)</f>
        <v>0</v>
      </c>
      <c r="V124" s="33">
        <f>IFERROR(__xludf.DUMMYFUNCTION("""COMPUTED_VALUE"""),0.0)</f>
        <v>0</v>
      </c>
      <c r="W124" s="33">
        <f>IFERROR(__xludf.DUMMYFUNCTION("""COMPUTED_VALUE"""),0.0)</f>
        <v>0</v>
      </c>
      <c r="X124" s="33">
        <f>IFERROR(__xludf.DUMMYFUNCTION("""COMPUTED_VALUE"""),0.0)</f>
        <v>0</v>
      </c>
      <c r="Y124" s="33">
        <f>IFERROR(__xludf.DUMMYFUNCTION("""COMPUTED_VALUE"""),0.0)</f>
        <v>0</v>
      </c>
      <c r="Z124" s="33">
        <f>IFERROR(__xludf.DUMMYFUNCTION("""COMPUTED_VALUE"""),0.0)</f>
        <v>0</v>
      </c>
      <c r="AA124" s="33">
        <f>IFERROR(__xludf.DUMMYFUNCTION("""COMPUTED_VALUE"""),0.0)</f>
        <v>0</v>
      </c>
      <c r="AB124" s="33">
        <f>IFERROR(__xludf.DUMMYFUNCTION("""COMPUTED_VALUE"""),0.0)</f>
        <v>0</v>
      </c>
      <c r="AC124" s="33">
        <f>IFERROR(__xludf.DUMMYFUNCTION("""COMPUTED_VALUE"""),0.0)</f>
        <v>0</v>
      </c>
      <c r="AD124" s="33">
        <f>IFERROR(__xludf.DUMMYFUNCTION("""COMPUTED_VALUE"""),0.0)</f>
        <v>0</v>
      </c>
      <c r="AE124" s="33">
        <f>IFERROR(__xludf.DUMMYFUNCTION("""COMPUTED_VALUE"""),0.0)</f>
        <v>0</v>
      </c>
      <c r="AF124" s="33">
        <f>IFERROR(__xludf.DUMMYFUNCTION("""COMPUTED_VALUE"""),0.0)</f>
        <v>0</v>
      </c>
    </row>
    <row r="125">
      <c r="A125" s="49">
        <f>IFERROR(__xludf.DUMMYFUNCTION("""COMPUTED_VALUE"""),46125.0)</f>
        <v>46125</v>
      </c>
      <c r="B125" s="33" t="str">
        <f>IFERROR(__xludf.DUMMYFUNCTION("""COMPUTED_VALUE"""),"6b246320a4c5853ce55127d5e00ee8805a97659a")</f>
        <v>6b246320a4c5853ce55127d5e00ee8805a97659a</v>
      </c>
      <c r="C125" s="33" t="str">
        <f>IFERROR(__xludf.DUMMYFUNCTION("""COMPUTED_VALUE"""),"Mystic Fate System - Production Show_id")</f>
        <v>Mystic Fate System - Production Show_id</v>
      </c>
      <c r="D125" s="33">
        <f>IFERROR(__xludf.DUMMYFUNCTION("""COMPUTED_VALUE"""),0.0)</f>
        <v>0</v>
      </c>
      <c r="E125" s="33">
        <f>IFERROR(__xludf.DUMMYFUNCTION("""COMPUTED_VALUE"""),5.0)</f>
        <v>5</v>
      </c>
      <c r="F125" s="33">
        <f>IFERROR(__xludf.DUMMYFUNCTION("""COMPUTED_VALUE"""),12.0)</f>
        <v>12</v>
      </c>
      <c r="G125" s="33">
        <f>IFERROR(__xludf.DUMMYFUNCTION("""COMPUTED_VALUE"""),15.0)</f>
        <v>15</v>
      </c>
      <c r="H125" s="33">
        <f>IFERROR(__xludf.DUMMYFUNCTION("""COMPUTED_VALUE"""),15.0)</f>
        <v>15</v>
      </c>
      <c r="I125" s="33">
        <f>IFERROR(__xludf.DUMMYFUNCTION("""COMPUTED_VALUE"""),0.0)</f>
        <v>0</v>
      </c>
      <c r="J125" s="33">
        <f>IFERROR(__xludf.DUMMYFUNCTION("""COMPUTED_VALUE"""),15.0)</f>
        <v>15</v>
      </c>
      <c r="K125" s="33">
        <f>IFERROR(__xludf.DUMMYFUNCTION("""COMPUTED_VALUE"""),9.0)</f>
        <v>9</v>
      </c>
      <c r="L125" s="33">
        <f>IFERROR(__xludf.DUMMYFUNCTION("""COMPUTED_VALUE"""),5.0)</f>
        <v>5</v>
      </c>
      <c r="M125" s="33">
        <f>IFERROR(__xludf.DUMMYFUNCTION("""COMPUTED_VALUE"""),14.0)</f>
        <v>14</v>
      </c>
      <c r="N125" s="33">
        <f>IFERROR(__xludf.DUMMYFUNCTION("""COMPUTED_VALUE"""),14.0)</f>
        <v>14</v>
      </c>
      <c r="O125" s="33">
        <f>IFERROR(__xludf.DUMMYFUNCTION("""COMPUTED_VALUE"""),6.0)</f>
        <v>6</v>
      </c>
      <c r="P125" s="33">
        <f>IFERROR(__xludf.DUMMYFUNCTION("""COMPUTED_VALUE"""),14.0)</f>
        <v>14</v>
      </c>
      <c r="Q125" s="33">
        <f>IFERROR(__xludf.DUMMYFUNCTION("""COMPUTED_VALUE"""),0.0)</f>
        <v>0</v>
      </c>
      <c r="R125" s="33">
        <f>IFERROR(__xludf.DUMMYFUNCTION("""COMPUTED_VALUE"""),0.0)</f>
        <v>0</v>
      </c>
      <c r="S125" s="33">
        <f>IFERROR(__xludf.DUMMYFUNCTION("""COMPUTED_VALUE"""),10439.0)</f>
        <v>10439</v>
      </c>
      <c r="T125" s="33">
        <f>IFERROR(__xludf.DUMMYFUNCTION("""COMPUTED_VALUE"""),3.06555555555555)</f>
        <v>3.065555556</v>
      </c>
      <c r="U125" s="33">
        <f>IFERROR(__xludf.DUMMYFUNCTION("""COMPUTED_VALUE"""),3.06555555555555)</f>
        <v>3.065555556</v>
      </c>
      <c r="V125" s="33">
        <f>IFERROR(__xludf.DUMMYFUNCTION("""COMPUTED_VALUE"""),3.59527777777777)</f>
        <v>3.595277778</v>
      </c>
      <c r="W125" s="33">
        <f>IFERROR(__xludf.DUMMYFUNCTION("""COMPUTED_VALUE"""),3.59527777777777)</f>
        <v>3.595277778</v>
      </c>
      <c r="X125" s="33">
        <f>IFERROR(__xludf.DUMMYFUNCTION("""COMPUTED_VALUE"""),0.0)</f>
        <v>0</v>
      </c>
      <c r="Y125" s="33">
        <f>IFERROR(__xludf.DUMMYFUNCTION("""COMPUTED_VALUE"""),3.59527777777777)</f>
        <v>3.595277778</v>
      </c>
      <c r="Z125" s="33">
        <f>IFERROR(__xludf.DUMMYFUNCTION("""COMPUTED_VALUE"""),2.17638888888888)</f>
        <v>2.176388889</v>
      </c>
      <c r="AA125" s="33">
        <f>IFERROR(__xludf.DUMMYFUNCTION("""COMPUTED_VALUE"""),1.20055555555555)</f>
        <v>1.200555556</v>
      </c>
      <c r="AB125" s="33">
        <f>IFERROR(__xludf.DUMMYFUNCTION("""COMPUTED_VALUE"""),3.37194444444444)</f>
        <v>3.371944444</v>
      </c>
      <c r="AC125" s="33">
        <f>IFERROR(__xludf.DUMMYFUNCTION("""COMPUTED_VALUE"""),3.37194444444444)</f>
        <v>3.371944444</v>
      </c>
      <c r="AD125" s="33">
        <f>IFERROR(__xludf.DUMMYFUNCTION("""COMPUTED_VALUE"""),1.42277777777777)</f>
        <v>1.422777778</v>
      </c>
      <c r="AE125" s="33">
        <f>IFERROR(__xludf.DUMMYFUNCTION("""COMPUTED_VALUE"""),3.37194444444444)</f>
        <v>3.371944444</v>
      </c>
      <c r="AF125" s="33">
        <f>IFERROR(__xludf.DUMMYFUNCTION("""COMPUTED_VALUE"""),12.0)</f>
        <v>12</v>
      </c>
    </row>
    <row r="126">
      <c r="A126" s="49">
        <f>IFERROR(__xludf.DUMMYFUNCTION("""COMPUTED_VALUE"""),46125.0)</f>
        <v>46125</v>
      </c>
      <c r="B126" s="33" t="str">
        <f>IFERROR(__xludf.DUMMYFUNCTION("""COMPUTED_VALUE"""),"773d29931b435627d0ca406e1ea1425e9a1dbcb6")</f>
        <v>773d29931b435627d0ca406e1ea1425e9a1dbcb6</v>
      </c>
      <c r="C126" s="33" t="str">
        <f>IFERROR(__xludf.DUMMYFUNCTION("""COMPUTED_VALUE"""),"Mahagatha - Production")</f>
        <v>Mahagatha - Production</v>
      </c>
      <c r="D126" s="33">
        <f>IFERROR(__xludf.DUMMYFUNCTION("""COMPUTED_VALUE"""),0.0)</f>
        <v>0</v>
      </c>
      <c r="E126" s="33">
        <f>IFERROR(__xludf.DUMMYFUNCTION("""COMPUTED_VALUE"""),967.0)</f>
        <v>967</v>
      </c>
      <c r="F126" s="33">
        <f>IFERROR(__xludf.DUMMYFUNCTION("""COMPUTED_VALUE"""),0.0)</f>
        <v>0</v>
      </c>
      <c r="G126" s="33">
        <f>IFERROR(__xludf.DUMMYFUNCTION("""COMPUTED_VALUE"""),0.0)</f>
        <v>0</v>
      </c>
      <c r="H126" s="33">
        <f>IFERROR(__xludf.DUMMYFUNCTION("""COMPUTED_VALUE"""),0.0)</f>
        <v>0</v>
      </c>
      <c r="I126" s="33">
        <f>IFERROR(__xludf.DUMMYFUNCTION("""COMPUTED_VALUE"""),0.0)</f>
        <v>0</v>
      </c>
      <c r="J126" s="33">
        <f>IFERROR(__xludf.DUMMYFUNCTION("""COMPUTED_VALUE"""),0.0)</f>
        <v>0</v>
      </c>
      <c r="K126" s="33">
        <f>IFERROR(__xludf.DUMMYFUNCTION("""COMPUTED_VALUE"""),0.0)</f>
        <v>0</v>
      </c>
      <c r="L126" s="33">
        <f>IFERROR(__xludf.DUMMYFUNCTION("""COMPUTED_VALUE"""),0.0)</f>
        <v>0</v>
      </c>
      <c r="M126" s="33">
        <f>IFERROR(__xludf.DUMMYFUNCTION("""COMPUTED_VALUE"""),0.0)</f>
        <v>0</v>
      </c>
      <c r="N126" s="33">
        <f>IFERROR(__xludf.DUMMYFUNCTION("""COMPUTED_VALUE"""),0.0)</f>
        <v>0</v>
      </c>
      <c r="O126" s="33">
        <f>IFERROR(__xludf.DUMMYFUNCTION("""COMPUTED_VALUE"""),0.0)</f>
        <v>0</v>
      </c>
      <c r="P126" s="33">
        <f>IFERROR(__xludf.DUMMYFUNCTION("""COMPUTED_VALUE"""),967.0)</f>
        <v>967</v>
      </c>
      <c r="Q126" s="33">
        <f>IFERROR(__xludf.DUMMYFUNCTION("""COMPUTED_VALUE"""),0.0)</f>
        <v>0</v>
      </c>
      <c r="R126" s="33">
        <f>IFERROR(__xludf.DUMMYFUNCTION("""COMPUTED_VALUE"""),0.0)</f>
        <v>0</v>
      </c>
      <c r="S126" s="33">
        <f>IFERROR(__xludf.DUMMYFUNCTION("""COMPUTED_VALUE"""),961183.0)</f>
        <v>961183</v>
      </c>
      <c r="T126" s="33">
        <f>IFERROR(__xludf.DUMMYFUNCTION("""COMPUTED_VALUE"""),0.0)</f>
        <v>0</v>
      </c>
      <c r="U126" s="33">
        <f>IFERROR(__xludf.DUMMYFUNCTION("""COMPUTED_VALUE"""),0.0)</f>
        <v>0</v>
      </c>
      <c r="V126" s="33">
        <f>IFERROR(__xludf.DUMMYFUNCTION("""COMPUTED_VALUE"""),0.0)</f>
        <v>0</v>
      </c>
      <c r="W126" s="33">
        <f>IFERROR(__xludf.DUMMYFUNCTION("""COMPUTED_VALUE"""),0.0)</f>
        <v>0</v>
      </c>
      <c r="X126" s="33">
        <f>IFERROR(__xludf.DUMMYFUNCTION("""COMPUTED_VALUE"""),0.0)</f>
        <v>0</v>
      </c>
      <c r="Y126" s="33">
        <f>IFERROR(__xludf.DUMMYFUNCTION("""COMPUTED_VALUE"""),0.0)</f>
        <v>0</v>
      </c>
      <c r="Z126" s="33">
        <f>IFERROR(__xludf.DUMMYFUNCTION("""COMPUTED_VALUE"""),0.0)</f>
        <v>0</v>
      </c>
      <c r="AA126" s="33">
        <f>IFERROR(__xludf.DUMMYFUNCTION("""COMPUTED_VALUE"""),0.0)</f>
        <v>0</v>
      </c>
      <c r="AB126" s="33">
        <f>IFERROR(__xludf.DUMMYFUNCTION("""COMPUTED_VALUE"""),0.0)</f>
        <v>0</v>
      </c>
      <c r="AC126" s="33">
        <f>IFERROR(__xludf.DUMMYFUNCTION("""COMPUTED_VALUE"""),0.0)</f>
        <v>0</v>
      </c>
      <c r="AD126" s="33">
        <f>IFERROR(__xludf.DUMMYFUNCTION("""COMPUTED_VALUE"""),0.0)</f>
        <v>0</v>
      </c>
      <c r="AE126" s="33">
        <f>IFERROR(__xludf.DUMMYFUNCTION("""COMPUTED_VALUE"""),222.504444444444)</f>
        <v>222.5044444</v>
      </c>
      <c r="AF126" s="33">
        <f>IFERROR(__xludf.DUMMYFUNCTION("""COMPUTED_VALUE"""),0.0)</f>
        <v>0</v>
      </c>
    </row>
    <row r="127">
      <c r="A127" s="49">
        <f>IFERROR(__xludf.DUMMYFUNCTION("""COMPUTED_VALUE"""),46125.0)</f>
        <v>46125</v>
      </c>
      <c r="B127" s="33" t="str">
        <f>IFERROR(__xludf.DUMMYFUNCTION("""COMPUTED_VALUE"""),"7ea3277f02ef13c60cfa72336d009bf7ee6c17e8")</f>
        <v>7ea3277f02ef13c60cfa72336d009bf7ee6c17e8</v>
      </c>
      <c r="C127" s="33" t="str">
        <f>IFERROR(__xludf.DUMMYFUNCTION("""COMPUTED_VALUE"""),"Saaya the Dark Love - Production Show_id")</f>
        <v>Saaya the Dark Love - Production Show_id</v>
      </c>
      <c r="D127" s="33">
        <f>IFERROR(__xludf.DUMMYFUNCTION("""COMPUTED_VALUE"""),10.0)</f>
        <v>10</v>
      </c>
      <c r="E127" s="33">
        <f>IFERROR(__xludf.DUMMYFUNCTION("""COMPUTED_VALUE"""),12.0)</f>
        <v>12</v>
      </c>
      <c r="F127" s="33">
        <f>IFERROR(__xludf.DUMMYFUNCTION("""COMPUTED_VALUE"""),0.0)</f>
        <v>0</v>
      </c>
      <c r="G127" s="33">
        <f>IFERROR(__xludf.DUMMYFUNCTION("""COMPUTED_VALUE"""),0.0)</f>
        <v>0</v>
      </c>
      <c r="H127" s="33">
        <f>IFERROR(__xludf.DUMMYFUNCTION("""COMPUTED_VALUE"""),13.0)</f>
        <v>13</v>
      </c>
      <c r="I127" s="33">
        <f>IFERROR(__xludf.DUMMYFUNCTION("""COMPUTED_VALUE"""),13.0)</f>
        <v>13</v>
      </c>
      <c r="J127" s="33">
        <f>IFERROR(__xludf.DUMMYFUNCTION("""COMPUTED_VALUE"""),9.0)</f>
        <v>9</v>
      </c>
      <c r="K127" s="33">
        <f>IFERROR(__xludf.DUMMYFUNCTION("""COMPUTED_VALUE"""),9.0)</f>
        <v>9</v>
      </c>
      <c r="L127" s="33">
        <f>IFERROR(__xludf.DUMMYFUNCTION("""COMPUTED_VALUE"""),6.0)</f>
        <v>6</v>
      </c>
      <c r="M127" s="33">
        <f>IFERROR(__xludf.DUMMYFUNCTION("""COMPUTED_VALUE"""),10.0)</f>
        <v>10</v>
      </c>
      <c r="N127" s="33">
        <f>IFERROR(__xludf.DUMMYFUNCTION("""COMPUTED_VALUE"""),10.0)</f>
        <v>10</v>
      </c>
      <c r="O127" s="33">
        <f>IFERROR(__xludf.DUMMYFUNCTION("""COMPUTED_VALUE"""),7.0)</f>
        <v>7</v>
      </c>
      <c r="P127" s="33">
        <f>IFERROR(__xludf.DUMMYFUNCTION("""COMPUTED_VALUE"""),10.0)</f>
        <v>10</v>
      </c>
      <c r="Q127" s="33">
        <f>IFERROR(__xludf.DUMMYFUNCTION("""COMPUTED_VALUE"""),0.0)</f>
        <v>0</v>
      </c>
      <c r="R127" s="33">
        <f>IFERROR(__xludf.DUMMYFUNCTION("""COMPUTED_VALUE"""),21916.0)</f>
        <v>21916</v>
      </c>
      <c r="S127" s="33">
        <f>IFERROR(__xludf.DUMMYFUNCTION("""COMPUTED_VALUE"""),26064.0)</f>
        <v>26064</v>
      </c>
      <c r="T127" s="33">
        <f>IFERROR(__xludf.DUMMYFUNCTION("""COMPUTED_VALUE"""),2.24611111111111)</f>
        <v>2.246111111</v>
      </c>
      <c r="U127" s="33">
        <f>IFERROR(__xludf.DUMMYFUNCTION("""COMPUTED_VALUE"""),0.0)</f>
        <v>0</v>
      </c>
      <c r="V127" s="33">
        <f>IFERROR(__xludf.DUMMYFUNCTION("""COMPUTED_VALUE"""),0.0)</f>
        <v>0</v>
      </c>
      <c r="W127" s="33">
        <f>IFERROR(__xludf.DUMMYFUNCTION("""COMPUTED_VALUE"""),2.97166666666666)</f>
        <v>2.971666667</v>
      </c>
      <c r="X127" s="33">
        <f>IFERROR(__xludf.DUMMYFUNCTION("""COMPUTED_VALUE"""),2.97166666666666)</f>
        <v>2.971666667</v>
      </c>
      <c r="Y127" s="33">
        <f>IFERROR(__xludf.DUMMYFUNCTION("""COMPUTED_VALUE"""),2.06861111111111)</f>
        <v>2.068611111</v>
      </c>
      <c r="Z127" s="33">
        <f>IFERROR(__xludf.DUMMYFUNCTION("""COMPUTED_VALUE"""),2.08166666666666)</f>
        <v>2.081666667</v>
      </c>
      <c r="AA127" s="33">
        <f>IFERROR(__xludf.DUMMYFUNCTION("""COMPUTED_VALUE"""),1.40249999999999)</f>
        <v>1.4025</v>
      </c>
      <c r="AB127" s="33">
        <f>IFERROR(__xludf.DUMMYFUNCTION("""COMPUTED_VALUE"""),2.30027777777777)</f>
        <v>2.300277778</v>
      </c>
      <c r="AC127" s="33">
        <f>IFERROR(__xludf.DUMMYFUNCTION("""COMPUTED_VALUE"""),2.30027777777777)</f>
        <v>2.300277778</v>
      </c>
      <c r="AD127" s="33">
        <f>IFERROR(__xludf.DUMMYFUNCTION("""COMPUTED_VALUE"""),1.73361111111111)</f>
        <v>1.733611111</v>
      </c>
      <c r="AE127" s="33">
        <f>IFERROR(__xludf.DUMMYFUNCTION("""COMPUTED_VALUE"""),2.30027777777777)</f>
        <v>2.300277778</v>
      </c>
      <c r="AF127" s="33">
        <f>IFERROR(__xludf.DUMMYFUNCTION("""COMPUTED_VALUE"""),10.0)</f>
        <v>10</v>
      </c>
    </row>
    <row r="128">
      <c r="A128" s="49">
        <f>IFERROR(__xludf.DUMMYFUNCTION("""COMPUTED_VALUE"""),46125.0)</f>
        <v>46125</v>
      </c>
      <c r="B128" s="33" t="str">
        <f>IFERROR(__xludf.DUMMYFUNCTION("""COMPUTED_VALUE"""),"859785ba4869b28dddcfcb0e75295d1e1ad9b5a9")</f>
        <v>859785ba4869b28dddcfcb0e75295d1e1ad9b5a9</v>
      </c>
      <c r="C128" s="33" t="str">
        <f>IFERROR(__xludf.DUMMYFUNCTION("""COMPUTED_VALUE"""),"King of Dragon | किंग ऑफ ड्रैगन | Author - Nitesh")</f>
        <v>King of Dragon | किंग ऑफ ड्रैगन | Author - Nitesh</v>
      </c>
      <c r="D128" s="33">
        <f>IFERROR(__xludf.DUMMYFUNCTION("""COMPUTED_VALUE"""),0.0)</f>
        <v>0</v>
      </c>
      <c r="E128" s="33">
        <f>IFERROR(__xludf.DUMMYFUNCTION("""COMPUTED_VALUE"""),0.0)</f>
        <v>0</v>
      </c>
      <c r="F128" s="33">
        <f>IFERROR(__xludf.DUMMYFUNCTION("""COMPUTED_VALUE"""),0.0)</f>
        <v>0</v>
      </c>
      <c r="G128" s="33">
        <f>IFERROR(__xludf.DUMMYFUNCTION("""COMPUTED_VALUE"""),0.0)</f>
        <v>0</v>
      </c>
      <c r="H128" s="33">
        <f>IFERROR(__xludf.DUMMYFUNCTION("""COMPUTED_VALUE"""),0.0)</f>
        <v>0</v>
      </c>
      <c r="I128" s="33">
        <f>IFERROR(__xludf.DUMMYFUNCTION("""COMPUTED_VALUE"""),0.0)</f>
        <v>0</v>
      </c>
      <c r="J128" s="33">
        <f>IFERROR(__xludf.DUMMYFUNCTION("""COMPUTED_VALUE"""),0.0)</f>
        <v>0</v>
      </c>
      <c r="K128" s="33">
        <f>IFERROR(__xludf.DUMMYFUNCTION("""COMPUTED_VALUE"""),0.0)</f>
        <v>0</v>
      </c>
      <c r="L128" s="33">
        <f>IFERROR(__xludf.DUMMYFUNCTION("""COMPUTED_VALUE"""),0.0)</f>
        <v>0</v>
      </c>
      <c r="M128" s="33">
        <f>IFERROR(__xludf.DUMMYFUNCTION("""COMPUTED_VALUE"""),0.0)</f>
        <v>0</v>
      </c>
      <c r="N128" s="33">
        <f>IFERROR(__xludf.DUMMYFUNCTION("""COMPUTED_VALUE"""),0.0)</f>
        <v>0</v>
      </c>
      <c r="O128" s="33">
        <f>IFERROR(__xludf.DUMMYFUNCTION("""COMPUTED_VALUE"""),2.0)</f>
        <v>2</v>
      </c>
      <c r="P128" s="33">
        <f>IFERROR(__xludf.DUMMYFUNCTION("""COMPUTED_VALUE"""),10.0)</f>
        <v>10</v>
      </c>
      <c r="Q128" s="33">
        <f>IFERROR(__xludf.DUMMYFUNCTION("""COMPUTED_VALUE"""),0.0)</f>
        <v>0</v>
      </c>
      <c r="R128" s="33">
        <f>IFERROR(__xludf.DUMMYFUNCTION("""COMPUTED_VALUE"""),0.0)</f>
        <v>0</v>
      </c>
      <c r="S128" s="33">
        <f>IFERROR(__xludf.DUMMYFUNCTION("""COMPUTED_VALUE"""),0.0)</f>
        <v>0</v>
      </c>
      <c r="T128" s="33">
        <f>IFERROR(__xludf.DUMMYFUNCTION("""COMPUTED_VALUE"""),0.0)</f>
        <v>0</v>
      </c>
      <c r="U128" s="33">
        <f>IFERROR(__xludf.DUMMYFUNCTION("""COMPUTED_VALUE"""),0.0)</f>
        <v>0</v>
      </c>
      <c r="V128" s="33">
        <f>IFERROR(__xludf.DUMMYFUNCTION("""COMPUTED_VALUE"""),0.0)</f>
        <v>0</v>
      </c>
      <c r="W128" s="33">
        <f>IFERROR(__xludf.DUMMYFUNCTION("""COMPUTED_VALUE"""),0.0)</f>
        <v>0</v>
      </c>
      <c r="X128" s="33">
        <f>IFERROR(__xludf.DUMMYFUNCTION("""COMPUTED_VALUE"""),0.0)</f>
        <v>0</v>
      </c>
      <c r="Y128" s="33">
        <f>IFERROR(__xludf.DUMMYFUNCTION("""COMPUTED_VALUE"""),0.0)</f>
        <v>0</v>
      </c>
      <c r="Z128" s="33">
        <f>IFERROR(__xludf.DUMMYFUNCTION("""COMPUTED_VALUE"""),0.0)</f>
        <v>0</v>
      </c>
      <c r="AA128" s="33">
        <f>IFERROR(__xludf.DUMMYFUNCTION("""COMPUTED_VALUE"""),0.0)</f>
        <v>0</v>
      </c>
      <c r="AB128" s="33">
        <f>IFERROR(__xludf.DUMMYFUNCTION("""COMPUTED_VALUE"""),0.0)</f>
        <v>0</v>
      </c>
      <c r="AC128" s="33">
        <f>IFERROR(__xludf.DUMMYFUNCTION("""COMPUTED_VALUE"""),0.0)</f>
        <v>0</v>
      </c>
      <c r="AD128" s="33">
        <f>IFERROR(__xludf.DUMMYFUNCTION("""COMPUTED_VALUE"""),0.485277777777777)</f>
        <v>0.4852777778</v>
      </c>
      <c r="AE128" s="33">
        <f>IFERROR(__xludf.DUMMYFUNCTION("""COMPUTED_VALUE"""),2.60444444444444)</f>
        <v>2.604444444</v>
      </c>
      <c r="AF128" s="33">
        <f>IFERROR(__xludf.DUMMYFUNCTION("""COMPUTED_VALUE"""),0.0)</f>
        <v>0</v>
      </c>
    </row>
    <row r="129">
      <c r="A129" s="49">
        <f>IFERROR(__xludf.DUMMYFUNCTION("""COMPUTED_VALUE"""),46125.0)</f>
        <v>46125</v>
      </c>
      <c r="B129" s="33" t="str">
        <f>IFERROR(__xludf.DUMMYFUNCTION("""COMPUTED_VALUE"""),"96f1f89e4494e06fb7f9e3c4645563fa62ef9320")</f>
        <v>96f1f89e4494e06fb7f9e3c4645563fa62ef9320</v>
      </c>
      <c r="C129" s="33" t="str">
        <f>IFERROR(__xludf.DUMMYFUNCTION("""COMPUTED_VALUE"""),"King of Dragon - Production Show_id")</f>
        <v>King of Dragon - Production Show_id</v>
      </c>
      <c r="D129" s="33">
        <f>IFERROR(__xludf.DUMMYFUNCTION("""COMPUTED_VALUE"""),17.0)</f>
        <v>17</v>
      </c>
      <c r="E129" s="33">
        <f>IFERROR(__xludf.DUMMYFUNCTION("""COMPUTED_VALUE"""),12.0)</f>
        <v>12</v>
      </c>
      <c r="F129" s="33">
        <f>IFERROR(__xludf.DUMMYFUNCTION("""COMPUTED_VALUE"""),15.0)</f>
        <v>15</v>
      </c>
      <c r="G129" s="33">
        <f>IFERROR(__xludf.DUMMYFUNCTION("""COMPUTED_VALUE"""),13.0)</f>
        <v>13</v>
      </c>
      <c r="H129" s="33">
        <f>IFERROR(__xludf.DUMMYFUNCTION("""COMPUTED_VALUE"""),17.0)</f>
        <v>17</v>
      </c>
      <c r="I129" s="33">
        <f>IFERROR(__xludf.DUMMYFUNCTION("""COMPUTED_VALUE"""),5.0)</f>
        <v>5</v>
      </c>
      <c r="J129" s="33">
        <f>IFERROR(__xludf.DUMMYFUNCTION("""COMPUTED_VALUE"""),15.0)</f>
        <v>15</v>
      </c>
      <c r="K129" s="33">
        <f>IFERROR(__xludf.DUMMYFUNCTION("""COMPUTED_VALUE"""),3.0)</f>
        <v>3</v>
      </c>
      <c r="L129" s="33">
        <f>IFERROR(__xludf.DUMMYFUNCTION("""COMPUTED_VALUE"""),3.0)</f>
        <v>3</v>
      </c>
      <c r="M129" s="33">
        <f>IFERROR(__xludf.DUMMYFUNCTION("""COMPUTED_VALUE"""),12.0)</f>
        <v>12</v>
      </c>
      <c r="N129" s="33">
        <f>IFERROR(__xludf.DUMMYFUNCTION("""COMPUTED_VALUE"""),12.0)</f>
        <v>12</v>
      </c>
      <c r="O129" s="33">
        <f>IFERROR(__xludf.DUMMYFUNCTION("""COMPUTED_VALUE"""),6.0)</f>
        <v>6</v>
      </c>
      <c r="P129" s="33">
        <f>IFERROR(__xludf.DUMMYFUNCTION("""COMPUTED_VALUE"""),12.0)</f>
        <v>12</v>
      </c>
      <c r="Q129" s="33">
        <f>IFERROR(__xludf.DUMMYFUNCTION("""COMPUTED_VALUE"""),0.0)</f>
        <v>0</v>
      </c>
      <c r="R129" s="33">
        <f>IFERROR(__xludf.DUMMYFUNCTION("""COMPUTED_VALUE"""),39873.0)</f>
        <v>39873</v>
      </c>
      <c r="S129" s="33">
        <f>IFERROR(__xludf.DUMMYFUNCTION("""COMPUTED_VALUE"""),27721.0)</f>
        <v>27721</v>
      </c>
      <c r="T129" s="33">
        <f>IFERROR(__xludf.DUMMYFUNCTION("""COMPUTED_VALUE"""),3.225)</f>
        <v>3.225</v>
      </c>
      <c r="U129" s="33">
        <f>IFERROR(__xludf.DUMMYFUNCTION("""COMPUTED_VALUE"""),3.83055555555555)</f>
        <v>3.830555556</v>
      </c>
      <c r="V129" s="33">
        <f>IFERROR(__xludf.DUMMYFUNCTION("""COMPUTED_VALUE"""),3.425)</f>
        <v>3.425</v>
      </c>
      <c r="W129" s="33">
        <f>IFERROR(__xludf.DUMMYFUNCTION("""COMPUTED_VALUE"""),4.42249999999999)</f>
        <v>4.4225</v>
      </c>
      <c r="X129" s="33">
        <f>IFERROR(__xludf.DUMMYFUNCTION("""COMPUTED_VALUE"""),1.22916666666666)</f>
        <v>1.229166667</v>
      </c>
      <c r="Y129" s="33">
        <f>IFERROR(__xludf.DUMMYFUNCTION("""COMPUTED_VALUE"""),3.95333333333333)</f>
        <v>3.953333333</v>
      </c>
      <c r="Z129" s="33">
        <f>IFERROR(__xludf.DUMMYFUNCTION("""COMPUTED_VALUE"""),0.745)</f>
        <v>0.745</v>
      </c>
      <c r="AA129" s="33">
        <f>IFERROR(__xludf.DUMMYFUNCTION("""COMPUTED_VALUE"""),0.745)</f>
        <v>0.745</v>
      </c>
      <c r="AB129" s="33">
        <f>IFERROR(__xludf.DUMMYFUNCTION("""COMPUTED_VALUE"""),3.19)</f>
        <v>3.19</v>
      </c>
      <c r="AC129" s="33">
        <f>IFERROR(__xludf.DUMMYFUNCTION("""COMPUTED_VALUE"""),3.19)</f>
        <v>3.19</v>
      </c>
      <c r="AD129" s="33">
        <f>IFERROR(__xludf.DUMMYFUNCTION("""COMPUTED_VALUE"""),1.76444444444444)</f>
        <v>1.764444444</v>
      </c>
      <c r="AE129" s="33">
        <f>IFERROR(__xludf.DUMMYFUNCTION("""COMPUTED_VALUE"""),3.19)</f>
        <v>3.19</v>
      </c>
      <c r="AF129" s="33">
        <f>IFERROR(__xludf.DUMMYFUNCTION("""COMPUTED_VALUE"""),13.0)</f>
        <v>13</v>
      </c>
    </row>
    <row r="130">
      <c r="A130" s="49">
        <f>IFERROR(__xludf.DUMMYFUNCTION("""COMPUTED_VALUE"""),46125.0)</f>
        <v>46125</v>
      </c>
      <c r="B130" s="33" t="str">
        <f>IFERROR(__xludf.DUMMYFUNCTION("""COMPUTED_VALUE"""),"a3ba65aa427077188e1ad7dbcbcafae266683ca9")</f>
        <v>a3ba65aa427077188e1ad7dbcbcafae266683ca9</v>
      </c>
      <c r="C130" s="33" t="str">
        <f>IFERROR(__xludf.DUMMYFUNCTION("""COMPUTED_VALUE"""),"The Warrior | Author - Dayaram Prajapati")</f>
        <v>The Warrior | Author - Dayaram Prajapati</v>
      </c>
      <c r="D130" s="33">
        <f>IFERROR(__xludf.DUMMYFUNCTION("""COMPUTED_VALUE"""),24.0)</f>
        <v>24</v>
      </c>
      <c r="E130" s="33">
        <f>IFERROR(__xludf.DUMMYFUNCTION("""COMPUTED_VALUE"""),20.0)</f>
        <v>20</v>
      </c>
      <c r="F130" s="33">
        <f>IFERROR(__xludf.DUMMYFUNCTION("""COMPUTED_VALUE"""),0.0)</f>
        <v>0</v>
      </c>
      <c r="G130" s="33">
        <f>IFERROR(__xludf.DUMMYFUNCTION("""COMPUTED_VALUE"""),0.0)</f>
        <v>0</v>
      </c>
      <c r="H130" s="33">
        <f>IFERROR(__xludf.DUMMYFUNCTION("""COMPUTED_VALUE"""),0.0)</f>
        <v>0</v>
      </c>
      <c r="I130" s="33">
        <f>IFERROR(__xludf.DUMMYFUNCTION("""COMPUTED_VALUE"""),0.0)</f>
        <v>0</v>
      </c>
      <c r="J130" s="33">
        <f>IFERROR(__xludf.DUMMYFUNCTION("""COMPUTED_VALUE"""),0.0)</f>
        <v>0</v>
      </c>
      <c r="K130" s="33">
        <f>IFERROR(__xludf.DUMMYFUNCTION("""COMPUTED_VALUE"""),0.0)</f>
        <v>0</v>
      </c>
      <c r="L130" s="33">
        <f>IFERROR(__xludf.DUMMYFUNCTION("""COMPUTED_VALUE"""),0.0)</f>
        <v>0</v>
      </c>
      <c r="M130" s="33">
        <f>IFERROR(__xludf.DUMMYFUNCTION("""COMPUTED_VALUE"""),24.0)</f>
        <v>24</v>
      </c>
      <c r="N130" s="33">
        <f>IFERROR(__xludf.DUMMYFUNCTION("""COMPUTED_VALUE"""),20.0)</f>
        <v>20</v>
      </c>
      <c r="O130" s="33">
        <f>IFERROR(__xludf.DUMMYFUNCTION("""COMPUTED_VALUE"""),5.0)</f>
        <v>5</v>
      </c>
      <c r="P130" s="33">
        <f>IFERROR(__xludf.DUMMYFUNCTION("""COMPUTED_VALUE"""),20.0)</f>
        <v>20</v>
      </c>
      <c r="Q130" s="33">
        <f>IFERROR(__xludf.DUMMYFUNCTION("""COMPUTED_VALUE"""),0.0)</f>
        <v>0</v>
      </c>
      <c r="R130" s="33">
        <f>IFERROR(__xludf.DUMMYFUNCTION("""COMPUTED_VALUE"""),66647.0)</f>
        <v>66647</v>
      </c>
      <c r="S130" s="33">
        <f>IFERROR(__xludf.DUMMYFUNCTION("""COMPUTED_VALUE"""),55863.0)</f>
        <v>55863</v>
      </c>
      <c r="T130" s="33">
        <f>IFERROR(__xludf.DUMMYFUNCTION("""COMPUTED_VALUE"""),0.0)</f>
        <v>0</v>
      </c>
      <c r="U130" s="33">
        <f>IFERROR(__xludf.DUMMYFUNCTION("""COMPUTED_VALUE"""),0.0)</f>
        <v>0</v>
      </c>
      <c r="V130" s="33">
        <f>IFERROR(__xludf.DUMMYFUNCTION("""COMPUTED_VALUE"""),0.0)</f>
        <v>0</v>
      </c>
      <c r="W130" s="33">
        <f>IFERROR(__xludf.DUMMYFUNCTION("""COMPUTED_VALUE"""),0.0)</f>
        <v>0</v>
      </c>
      <c r="X130" s="33">
        <f>IFERROR(__xludf.DUMMYFUNCTION("""COMPUTED_VALUE"""),0.0)</f>
        <v>0</v>
      </c>
      <c r="Y130" s="33">
        <f>IFERROR(__xludf.DUMMYFUNCTION("""COMPUTED_VALUE"""),0.0)</f>
        <v>0</v>
      </c>
      <c r="Z130" s="33">
        <f>IFERROR(__xludf.DUMMYFUNCTION("""COMPUTED_VALUE"""),0.0)</f>
        <v>0</v>
      </c>
      <c r="AA130" s="33">
        <f>IFERROR(__xludf.DUMMYFUNCTION("""COMPUTED_VALUE"""),0.0)</f>
        <v>0</v>
      </c>
      <c r="AB130" s="33">
        <f>IFERROR(__xludf.DUMMYFUNCTION("""COMPUTED_VALUE"""),6.60722222222222)</f>
        <v>6.607222222</v>
      </c>
      <c r="AC130" s="33">
        <f>IFERROR(__xludf.DUMMYFUNCTION("""COMPUTED_VALUE"""),5.62805555555555)</f>
        <v>5.628055556</v>
      </c>
      <c r="AD130" s="33">
        <f>IFERROR(__xludf.DUMMYFUNCTION("""COMPUTED_VALUE"""),1.1925)</f>
        <v>1.1925</v>
      </c>
      <c r="AE130" s="33">
        <f>IFERROR(__xludf.DUMMYFUNCTION("""COMPUTED_VALUE"""),5.62805555555555)</f>
        <v>5.628055556</v>
      </c>
      <c r="AF130" s="33">
        <f>IFERROR(__xludf.DUMMYFUNCTION("""COMPUTED_VALUE"""),0.0)</f>
        <v>0</v>
      </c>
    </row>
    <row r="131">
      <c r="A131" s="49">
        <f>IFERROR(__xludf.DUMMYFUNCTION("""COMPUTED_VALUE"""),46125.0)</f>
        <v>46125</v>
      </c>
      <c r="B131" s="33" t="str">
        <f>IFERROR(__xludf.DUMMYFUNCTION("""COMPUTED_VALUE"""),"aa81f1feb820ed6f22bd7b22b55890db740929cb")</f>
        <v>aa81f1feb820ed6f22bd7b22b55890db740929cb</v>
      </c>
      <c r="C131" s="33" t="str">
        <f>IFERROR(__xludf.DUMMYFUNCTION("""COMPUTED_VALUE"""),"Shunya Samrat")</f>
        <v>Shunya Samrat</v>
      </c>
      <c r="D131" s="33">
        <f>IFERROR(__xludf.DUMMYFUNCTION("""COMPUTED_VALUE"""),260.0)</f>
        <v>260</v>
      </c>
      <c r="E131" s="33">
        <f>IFERROR(__xludf.DUMMYFUNCTION("""COMPUTED_VALUE"""),226.0)</f>
        <v>226</v>
      </c>
      <c r="F131" s="33">
        <f>IFERROR(__xludf.DUMMYFUNCTION("""COMPUTED_VALUE"""),0.0)</f>
        <v>0</v>
      </c>
      <c r="G131" s="33">
        <f>IFERROR(__xludf.DUMMYFUNCTION("""COMPUTED_VALUE"""),0.0)</f>
        <v>0</v>
      </c>
      <c r="H131" s="33">
        <f>IFERROR(__xludf.DUMMYFUNCTION("""COMPUTED_VALUE"""),0.0)</f>
        <v>0</v>
      </c>
      <c r="I131" s="33">
        <f>IFERROR(__xludf.DUMMYFUNCTION("""COMPUTED_VALUE"""),0.0)</f>
        <v>0</v>
      </c>
      <c r="J131" s="33">
        <f>IFERROR(__xludf.DUMMYFUNCTION("""COMPUTED_VALUE"""),0.0)</f>
        <v>0</v>
      </c>
      <c r="K131" s="33">
        <f>IFERROR(__xludf.DUMMYFUNCTION("""COMPUTED_VALUE"""),0.0)</f>
        <v>0</v>
      </c>
      <c r="L131" s="33">
        <f>IFERROR(__xludf.DUMMYFUNCTION("""COMPUTED_VALUE"""),0.0)</f>
        <v>0</v>
      </c>
      <c r="M131" s="33">
        <f>IFERROR(__xludf.DUMMYFUNCTION("""COMPUTED_VALUE"""),0.0)</f>
        <v>0</v>
      </c>
      <c r="N131" s="33">
        <f>IFERROR(__xludf.DUMMYFUNCTION("""COMPUTED_VALUE"""),229.0)</f>
        <v>229</v>
      </c>
      <c r="O131" s="33">
        <f>IFERROR(__xludf.DUMMYFUNCTION("""COMPUTED_VALUE"""),5.0)</f>
        <v>5</v>
      </c>
      <c r="P131" s="33">
        <f>IFERROR(__xludf.DUMMYFUNCTION("""COMPUTED_VALUE"""),227.0)</f>
        <v>227</v>
      </c>
      <c r="Q131" s="33">
        <f>IFERROR(__xludf.DUMMYFUNCTION("""COMPUTED_VALUE"""),0.0)</f>
        <v>0</v>
      </c>
      <c r="R131" s="33">
        <f>IFERROR(__xludf.DUMMYFUNCTION("""COMPUTED_VALUE"""),747485.0)</f>
        <v>747485</v>
      </c>
      <c r="S131" s="33">
        <f>IFERROR(__xludf.DUMMYFUNCTION("""COMPUTED_VALUE"""),702283.0)</f>
        <v>702283</v>
      </c>
      <c r="T131" s="33">
        <f>IFERROR(__xludf.DUMMYFUNCTION("""COMPUTED_VALUE"""),0.0)</f>
        <v>0</v>
      </c>
      <c r="U131" s="33">
        <f>IFERROR(__xludf.DUMMYFUNCTION("""COMPUTED_VALUE"""),0.0)</f>
        <v>0</v>
      </c>
      <c r="V131" s="33">
        <f>IFERROR(__xludf.DUMMYFUNCTION("""COMPUTED_VALUE"""),0.0)</f>
        <v>0</v>
      </c>
      <c r="W131" s="33">
        <f>IFERROR(__xludf.DUMMYFUNCTION("""COMPUTED_VALUE"""),0.0)</f>
        <v>0</v>
      </c>
      <c r="X131" s="33">
        <f>IFERROR(__xludf.DUMMYFUNCTION("""COMPUTED_VALUE"""),0.0)</f>
        <v>0</v>
      </c>
      <c r="Y131" s="33">
        <f>IFERROR(__xludf.DUMMYFUNCTION("""COMPUTED_VALUE"""),0.0)</f>
        <v>0</v>
      </c>
      <c r="Z131" s="33">
        <f>IFERROR(__xludf.DUMMYFUNCTION("""COMPUTED_VALUE"""),0.0)</f>
        <v>0</v>
      </c>
      <c r="AA131" s="33">
        <f>IFERROR(__xludf.DUMMYFUNCTION("""COMPUTED_VALUE"""),0.0)</f>
        <v>0</v>
      </c>
      <c r="AB131" s="33">
        <f>IFERROR(__xludf.DUMMYFUNCTION("""COMPUTED_VALUE"""),0.0)</f>
        <v>0</v>
      </c>
      <c r="AC131" s="33">
        <f>IFERROR(__xludf.DUMMYFUNCTION("""COMPUTED_VALUE"""),78.4113888888889)</f>
        <v>78.41138889</v>
      </c>
      <c r="AD131" s="33">
        <f>IFERROR(__xludf.DUMMYFUNCTION("""COMPUTED_VALUE"""),0.998055555555555)</f>
        <v>0.9980555556</v>
      </c>
      <c r="AE131" s="33">
        <f>IFERROR(__xludf.DUMMYFUNCTION("""COMPUTED_VALUE"""),77.6997222222222)</f>
        <v>77.69972222</v>
      </c>
      <c r="AF131" s="33">
        <f>IFERROR(__xludf.DUMMYFUNCTION("""COMPUTED_VALUE"""),0.0)</f>
        <v>0</v>
      </c>
    </row>
    <row r="132">
      <c r="A132" s="49">
        <f>IFERROR(__xludf.DUMMYFUNCTION("""COMPUTED_VALUE"""),46125.0)</f>
        <v>46125</v>
      </c>
      <c r="B132" s="33" t="str">
        <f>IFERROR(__xludf.DUMMYFUNCTION("""COMPUTED_VALUE"""),"aab7b2fa6301b585dcebf9ec60cf4371307ad469")</f>
        <v>aab7b2fa6301b585dcebf9ec60cf4371307ad469</v>
      </c>
      <c r="C132" s="33" t="str">
        <f>IFERROR(__xludf.DUMMYFUNCTION("""COMPUTED_VALUE"""),"Tere Ishq Mein (OBH)  - Production Show_id")</f>
        <v>Tere Ishq Mein (OBH)  - Production Show_id</v>
      </c>
      <c r="D132" s="33">
        <f>IFERROR(__xludf.DUMMYFUNCTION("""COMPUTED_VALUE"""),13.0)</f>
        <v>13</v>
      </c>
      <c r="E132" s="33">
        <f>IFERROR(__xludf.DUMMYFUNCTION("""COMPUTED_VALUE"""),12.0)</f>
        <v>12</v>
      </c>
      <c r="F132" s="33">
        <f>IFERROR(__xludf.DUMMYFUNCTION("""COMPUTED_VALUE"""),3.0)</f>
        <v>3</v>
      </c>
      <c r="G132" s="33">
        <f>IFERROR(__xludf.DUMMYFUNCTION("""COMPUTED_VALUE"""),0.0)</f>
        <v>0</v>
      </c>
      <c r="H132" s="33">
        <f>IFERROR(__xludf.DUMMYFUNCTION("""COMPUTED_VALUE"""),7.0)</f>
        <v>7</v>
      </c>
      <c r="I132" s="33">
        <f>IFERROR(__xludf.DUMMYFUNCTION("""COMPUTED_VALUE"""),5.0)</f>
        <v>5</v>
      </c>
      <c r="J132" s="33">
        <f>IFERROR(__xludf.DUMMYFUNCTION("""COMPUTED_VALUE"""),4.0)</f>
        <v>4</v>
      </c>
      <c r="K132" s="33">
        <f>IFERROR(__xludf.DUMMYFUNCTION("""COMPUTED_VALUE"""),0.0)</f>
        <v>0</v>
      </c>
      <c r="L132" s="33">
        <f>IFERROR(__xludf.DUMMYFUNCTION("""COMPUTED_VALUE"""),0.0)</f>
        <v>0</v>
      </c>
      <c r="M132" s="33">
        <f>IFERROR(__xludf.DUMMYFUNCTION("""COMPUTED_VALUE"""),0.0)</f>
        <v>0</v>
      </c>
      <c r="N132" s="33">
        <f>IFERROR(__xludf.DUMMYFUNCTION("""COMPUTED_VALUE"""),0.0)</f>
        <v>0</v>
      </c>
      <c r="O132" s="33">
        <f>IFERROR(__xludf.DUMMYFUNCTION("""COMPUTED_VALUE"""),0.0)</f>
        <v>0</v>
      </c>
      <c r="P132" s="33">
        <f>IFERROR(__xludf.DUMMYFUNCTION("""COMPUTED_VALUE"""),0.0)</f>
        <v>0</v>
      </c>
      <c r="Q132" s="33">
        <f>IFERROR(__xludf.DUMMYFUNCTION("""COMPUTED_VALUE"""),0.0)</f>
        <v>0</v>
      </c>
      <c r="R132" s="33">
        <f>IFERROR(__xludf.DUMMYFUNCTION("""COMPUTED_VALUE"""),30347.0)</f>
        <v>30347</v>
      </c>
      <c r="S132" s="33">
        <f>IFERROR(__xludf.DUMMYFUNCTION("""COMPUTED_VALUE"""),24826.0)</f>
        <v>24826</v>
      </c>
      <c r="T132" s="33">
        <f>IFERROR(__xludf.DUMMYFUNCTION("""COMPUTED_VALUE"""),2.59444444444444)</f>
        <v>2.594444444</v>
      </c>
      <c r="U132" s="33">
        <f>IFERROR(__xludf.DUMMYFUNCTION("""COMPUTED_VALUE"""),0.723333333333333)</f>
        <v>0.7233333333</v>
      </c>
      <c r="V132" s="33">
        <f>IFERROR(__xludf.DUMMYFUNCTION("""COMPUTED_VALUE"""),0.0)</f>
        <v>0</v>
      </c>
      <c r="W132" s="33">
        <f>IFERROR(__xludf.DUMMYFUNCTION("""COMPUTED_VALUE"""),1.65611111111111)</f>
        <v>1.656111111</v>
      </c>
      <c r="X132" s="33">
        <f>IFERROR(__xludf.DUMMYFUNCTION("""COMPUTED_VALUE"""),1.1825)</f>
        <v>1.1825</v>
      </c>
      <c r="Y132" s="33">
        <f>IFERROR(__xludf.DUMMYFUNCTION("""COMPUTED_VALUE"""),0.938611111111111)</f>
        <v>0.9386111111</v>
      </c>
      <c r="Z132" s="33">
        <f>IFERROR(__xludf.DUMMYFUNCTION("""COMPUTED_VALUE"""),0.0)</f>
        <v>0</v>
      </c>
      <c r="AA132" s="33">
        <f>IFERROR(__xludf.DUMMYFUNCTION("""COMPUTED_VALUE"""),0.0)</f>
        <v>0</v>
      </c>
      <c r="AB132" s="33">
        <f>IFERROR(__xludf.DUMMYFUNCTION("""COMPUTED_VALUE"""),0.0)</f>
        <v>0</v>
      </c>
      <c r="AC132" s="33">
        <f>IFERROR(__xludf.DUMMYFUNCTION("""COMPUTED_VALUE"""),0.0)</f>
        <v>0</v>
      </c>
      <c r="AD132" s="33">
        <f>IFERROR(__xludf.DUMMYFUNCTION("""COMPUTED_VALUE"""),0.0)</f>
        <v>0</v>
      </c>
      <c r="AE132" s="33">
        <f>IFERROR(__xludf.DUMMYFUNCTION("""COMPUTED_VALUE"""),0.0)</f>
        <v>0</v>
      </c>
      <c r="AF132" s="33">
        <f>IFERROR(__xludf.DUMMYFUNCTION("""COMPUTED_VALUE"""),11.0)</f>
        <v>11</v>
      </c>
    </row>
    <row r="133">
      <c r="A133" s="49">
        <f>IFERROR(__xludf.DUMMYFUNCTION("""COMPUTED_VALUE"""),46125.0)</f>
        <v>46125</v>
      </c>
      <c r="B133" s="33" t="str">
        <f>IFERROR(__xludf.DUMMYFUNCTION("""COMPUTED_VALUE"""),"b19f613216d474cd2927d5f4832a949dca2dc33e")</f>
        <v>b19f613216d474cd2927d5f4832a949dca2dc33e</v>
      </c>
      <c r="C133" s="33" t="str">
        <f>IFERROR(__xludf.DUMMYFUNCTION("""COMPUTED_VALUE"""),"The Immortal (Production)")</f>
        <v>The Immortal (Production)</v>
      </c>
      <c r="D133" s="33">
        <f>IFERROR(__xludf.DUMMYFUNCTION("""COMPUTED_VALUE"""),9.0)</f>
        <v>9</v>
      </c>
      <c r="E133" s="33">
        <f>IFERROR(__xludf.DUMMYFUNCTION("""COMPUTED_VALUE"""),9.0)</f>
        <v>9</v>
      </c>
      <c r="F133" s="33">
        <f>IFERROR(__xludf.DUMMYFUNCTION("""COMPUTED_VALUE"""),0.0)</f>
        <v>0</v>
      </c>
      <c r="G133" s="33">
        <f>IFERROR(__xludf.DUMMYFUNCTION("""COMPUTED_VALUE"""),2.0)</f>
        <v>2</v>
      </c>
      <c r="H133" s="33">
        <f>IFERROR(__xludf.DUMMYFUNCTION("""COMPUTED_VALUE"""),16.0)</f>
        <v>16</v>
      </c>
      <c r="I133" s="33">
        <f>IFERROR(__xludf.DUMMYFUNCTION("""COMPUTED_VALUE"""),16.0)</f>
        <v>16</v>
      </c>
      <c r="J133" s="33">
        <f>IFERROR(__xludf.DUMMYFUNCTION("""COMPUTED_VALUE"""),15.0)</f>
        <v>15</v>
      </c>
      <c r="K133" s="33">
        <f>IFERROR(__xludf.DUMMYFUNCTION("""COMPUTED_VALUE"""),12.0)</f>
        <v>12</v>
      </c>
      <c r="L133" s="33">
        <f>IFERROR(__xludf.DUMMYFUNCTION("""COMPUTED_VALUE"""),10.0)</f>
        <v>10</v>
      </c>
      <c r="M133" s="33">
        <f>IFERROR(__xludf.DUMMYFUNCTION("""COMPUTED_VALUE"""),14.0)</f>
        <v>14</v>
      </c>
      <c r="N133" s="33">
        <f>IFERROR(__xludf.DUMMYFUNCTION("""COMPUTED_VALUE"""),15.0)</f>
        <v>15</v>
      </c>
      <c r="O133" s="33">
        <f>IFERROR(__xludf.DUMMYFUNCTION("""COMPUTED_VALUE"""),7.0)</f>
        <v>7</v>
      </c>
      <c r="P133" s="33">
        <f>IFERROR(__xludf.DUMMYFUNCTION("""COMPUTED_VALUE"""),15.0)</f>
        <v>15</v>
      </c>
      <c r="Q133" s="33">
        <f>IFERROR(__xludf.DUMMYFUNCTION("""COMPUTED_VALUE"""),0.0)</f>
        <v>0</v>
      </c>
      <c r="R133" s="33">
        <f>IFERROR(__xludf.DUMMYFUNCTION("""COMPUTED_VALUE"""),22238.0)</f>
        <v>22238</v>
      </c>
      <c r="S133" s="33">
        <f>IFERROR(__xludf.DUMMYFUNCTION("""COMPUTED_VALUE"""),21216.0)</f>
        <v>21216</v>
      </c>
      <c r="T133" s="33">
        <f>IFERROR(__xludf.DUMMYFUNCTION("""COMPUTED_VALUE"""),1.84611111111111)</f>
        <v>1.846111111</v>
      </c>
      <c r="U133" s="33">
        <f>IFERROR(__xludf.DUMMYFUNCTION("""COMPUTED_VALUE"""),0.0)</f>
        <v>0</v>
      </c>
      <c r="V133" s="33">
        <f>IFERROR(__xludf.DUMMYFUNCTION("""COMPUTED_VALUE"""),0.419444444444444)</f>
        <v>0.4194444444</v>
      </c>
      <c r="W133" s="33">
        <f>IFERROR(__xludf.DUMMYFUNCTION("""COMPUTED_VALUE"""),3.3175)</f>
        <v>3.3175</v>
      </c>
      <c r="X133" s="33">
        <f>IFERROR(__xludf.DUMMYFUNCTION("""COMPUTED_VALUE"""),3.3175)</f>
        <v>3.3175</v>
      </c>
      <c r="Y133" s="33">
        <f>IFERROR(__xludf.DUMMYFUNCTION("""COMPUTED_VALUE"""),3.01722222222222)</f>
        <v>3.017222222</v>
      </c>
      <c r="Z133" s="33">
        <f>IFERROR(__xludf.DUMMYFUNCTION("""COMPUTED_VALUE"""),2.41611111111111)</f>
        <v>2.416111111</v>
      </c>
      <c r="AA133" s="33">
        <f>IFERROR(__xludf.DUMMYFUNCTION("""COMPUTED_VALUE"""),2.03027777777777)</f>
        <v>2.030277778</v>
      </c>
      <c r="AB133" s="33">
        <f>IFERROR(__xludf.DUMMYFUNCTION("""COMPUTED_VALUE"""),2.79555555555555)</f>
        <v>2.795555556</v>
      </c>
      <c r="AC133" s="33">
        <f>IFERROR(__xludf.DUMMYFUNCTION("""COMPUTED_VALUE"""),3.01555555555555)</f>
        <v>3.015555556</v>
      </c>
      <c r="AD133" s="33">
        <f>IFERROR(__xludf.DUMMYFUNCTION("""COMPUTED_VALUE"""),1.03277777777777)</f>
        <v>1.032777778</v>
      </c>
      <c r="AE133" s="33">
        <f>IFERROR(__xludf.DUMMYFUNCTION("""COMPUTED_VALUE"""),3.01555555555555)</f>
        <v>3.015555556</v>
      </c>
      <c r="AF133" s="33">
        <f>IFERROR(__xludf.DUMMYFUNCTION("""COMPUTED_VALUE"""),9.0)</f>
        <v>9</v>
      </c>
    </row>
    <row r="134">
      <c r="A134" s="49">
        <f>IFERROR(__xludf.DUMMYFUNCTION("""COMPUTED_VALUE"""),46125.0)</f>
        <v>46125</v>
      </c>
      <c r="B134" s="33" t="str">
        <f>IFERROR(__xludf.DUMMYFUNCTION("""COMPUTED_VALUE"""),"b9727274f880f47671ad54caad4904a491fad9c7")</f>
        <v>b9727274f880f47671ad54caad4904a491fad9c7</v>
      </c>
      <c r="C134" s="33" t="str">
        <f>IFERROR(__xludf.DUMMYFUNCTION("""COMPUTED_VALUE"""),"Brahmand Ka Rakshak - Production Show")</f>
        <v>Brahmand Ka Rakshak - Production Show</v>
      </c>
      <c r="D134" s="33">
        <f>IFERROR(__xludf.DUMMYFUNCTION("""COMPUTED_VALUE"""),35.0)</f>
        <v>35</v>
      </c>
      <c r="E134" s="33">
        <f>IFERROR(__xludf.DUMMYFUNCTION("""COMPUTED_VALUE"""),30.0)</f>
        <v>30</v>
      </c>
      <c r="F134" s="33">
        <f>IFERROR(__xludf.DUMMYFUNCTION("""COMPUTED_VALUE"""),9.0)</f>
        <v>9</v>
      </c>
      <c r="G134" s="33">
        <f>IFERROR(__xludf.DUMMYFUNCTION("""COMPUTED_VALUE"""),8.0)</f>
        <v>8</v>
      </c>
      <c r="H134" s="33">
        <f>IFERROR(__xludf.DUMMYFUNCTION("""COMPUTED_VALUE"""),32.0)</f>
        <v>32</v>
      </c>
      <c r="I134" s="33">
        <f>IFERROR(__xludf.DUMMYFUNCTION("""COMPUTED_VALUE"""),24.0)</f>
        <v>24</v>
      </c>
      <c r="J134" s="33">
        <f>IFERROR(__xludf.DUMMYFUNCTION("""COMPUTED_VALUE"""),37.0)</f>
        <v>37</v>
      </c>
      <c r="K134" s="33">
        <f>IFERROR(__xludf.DUMMYFUNCTION("""COMPUTED_VALUE"""),8.0)</f>
        <v>8</v>
      </c>
      <c r="L134" s="33">
        <f>IFERROR(__xludf.DUMMYFUNCTION("""COMPUTED_VALUE"""),1.0)</f>
        <v>1</v>
      </c>
      <c r="M134" s="33">
        <f>IFERROR(__xludf.DUMMYFUNCTION("""COMPUTED_VALUE"""),37.0)</f>
        <v>37</v>
      </c>
      <c r="N134" s="33">
        <f>IFERROR(__xludf.DUMMYFUNCTION("""COMPUTED_VALUE"""),37.0)</f>
        <v>37</v>
      </c>
      <c r="O134" s="33">
        <f>IFERROR(__xludf.DUMMYFUNCTION("""COMPUTED_VALUE"""),6.0)</f>
        <v>6</v>
      </c>
      <c r="P134" s="33">
        <f>IFERROR(__xludf.DUMMYFUNCTION("""COMPUTED_VALUE"""),37.0)</f>
        <v>37</v>
      </c>
      <c r="Q134" s="33">
        <f>IFERROR(__xludf.DUMMYFUNCTION("""COMPUTED_VALUE"""),0.0)</f>
        <v>0</v>
      </c>
      <c r="R134" s="33">
        <f>IFERROR(__xludf.DUMMYFUNCTION("""COMPUTED_VALUE"""),79499.0)</f>
        <v>79499</v>
      </c>
      <c r="S134" s="33">
        <f>IFERROR(__xludf.DUMMYFUNCTION("""COMPUTED_VALUE"""),64598.0)</f>
        <v>64598</v>
      </c>
      <c r="T134" s="33">
        <f>IFERROR(__xludf.DUMMYFUNCTION("""COMPUTED_VALUE"""),5.7925)</f>
        <v>5.7925</v>
      </c>
      <c r="U134" s="33">
        <f>IFERROR(__xludf.DUMMYFUNCTION("""COMPUTED_VALUE"""),1.7525)</f>
        <v>1.7525</v>
      </c>
      <c r="V134" s="33">
        <f>IFERROR(__xludf.DUMMYFUNCTION("""COMPUTED_VALUE"""),1.55888888888888)</f>
        <v>1.558888889</v>
      </c>
      <c r="W134" s="33">
        <f>IFERROR(__xludf.DUMMYFUNCTION("""COMPUTED_VALUE"""),6.17861111111111)</f>
        <v>6.178611111</v>
      </c>
      <c r="X134" s="33">
        <f>IFERROR(__xludf.DUMMYFUNCTION("""COMPUTED_VALUE"""),4.61972222222222)</f>
        <v>4.619722222</v>
      </c>
      <c r="Y134" s="33">
        <f>IFERROR(__xludf.DUMMYFUNCTION("""COMPUTED_VALUE"""),7.27194444444444)</f>
        <v>7.271944444</v>
      </c>
      <c r="Z134" s="33">
        <f>IFERROR(__xludf.DUMMYFUNCTION("""COMPUTED_VALUE"""),1.44777777777777)</f>
        <v>1.447777778</v>
      </c>
      <c r="AA134" s="33">
        <f>IFERROR(__xludf.DUMMYFUNCTION("""COMPUTED_VALUE"""),0.198888888888888)</f>
        <v>0.1988888889</v>
      </c>
      <c r="AB134" s="33">
        <f>IFERROR(__xludf.DUMMYFUNCTION("""COMPUTED_VALUE"""),7.29)</f>
        <v>7.29</v>
      </c>
      <c r="AC134" s="33">
        <f>IFERROR(__xludf.DUMMYFUNCTION("""COMPUTED_VALUE"""),7.29)</f>
        <v>7.29</v>
      </c>
      <c r="AD134" s="33">
        <f>IFERROR(__xludf.DUMMYFUNCTION("""COMPUTED_VALUE"""),1.14694444444444)</f>
        <v>1.146944444</v>
      </c>
      <c r="AE134" s="33">
        <f>IFERROR(__xludf.DUMMYFUNCTION("""COMPUTED_VALUE"""),7.28999999999999)</f>
        <v>7.29</v>
      </c>
      <c r="AF134" s="33">
        <f>IFERROR(__xludf.DUMMYFUNCTION("""COMPUTED_VALUE"""),30.0)</f>
        <v>30</v>
      </c>
    </row>
    <row r="135">
      <c r="A135" s="49">
        <f>IFERROR(__xludf.DUMMYFUNCTION("""COMPUTED_VALUE"""),46125.0)</f>
        <v>46125</v>
      </c>
      <c r="B135" s="33" t="str">
        <f>IFERROR(__xludf.DUMMYFUNCTION("""COMPUTED_VALUE"""),"bb6f447c782519839d8793fda0d35f90bad4421a")</f>
        <v>bb6f447c782519839d8793fda0d35f90bad4421a</v>
      </c>
      <c r="C135" s="33" t="str">
        <f>IFERROR(__xludf.DUMMYFUNCTION("""COMPUTED_VALUE"""),"Ruthless")</f>
        <v>Ruthless</v>
      </c>
      <c r="D135" s="33">
        <f>IFERROR(__xludf.DUMMYFUNCTION("""COMPUTED_VALUE"""),16.0)</f>
        <v>16</v>
      </c>
      <c r="E135" s="33">
        <f>IFERROR(__xludf.DUMMYFUNCTION("""COMPUTED_VALUE"""),35.0)</f>
        <v>35</v>
      </c>
      <c r="F135" s="33">
        <f>IFERROR(__xludf.DUMMYFUNCTION("""COMPUTED_VALUE"""),0.0)</f>
        <v>0</v>
      </c>
      <c r="G135" s="33">
        <f>IFERROR(__xludf.DUMMYFUNCTION("""COMPUTED_VALUE"""),0.0)</f>
        <v>0</v>
      </c>
      <c r="H135" s="33">
        <f>IFERROR(__xludf.DUMMYFUNCTION("""COMPUTED_VALUE"""),13.0)</f>
        <v>13</v>
      </c>
      <c r="I135" s="33">
        <f>IFERROR(__xludf.DUMMYFUNCTION("""COMPUTED_VALUE"""),13.0)</f>
        <v>13</v>
      </c>
      <c r="J135" s="33">
        <f>IFERROR(__xludf.DUMMYFUNCTION("""COMPUTED_VALUE"""),13.0)</f>
        <v>13</v>
      </c>
      <c r="K135" s="33">
        <f>IFERROR(__xludf.DUMMYFUNCTION("""COMPUTED_VALUE"""),3.0)</f>
        <v>3</v>
      </c>
      <c r="L135" s="33">
        <f>IFERROR(__xludf.DUMMYFUNCTION("""COMPUTED_VALUE"""),0.0)</f>
        <v>0</v>
      </c>
      <c r="M135" s="33">
        <f>IFERROR(__xludf.DUMMYFUNCTION("""COMPUTED_VALUE"""),13.0)</f>
        <v>13</v>
      </c>
      <c r="N135" s="33">
        <f>IFERROR(__xludf.DUMMYFUNCTION("""COMPUTED_VALUE"""),13.0)</f>
        <v>13</v>
      </c>
      <c r="O135" s="33">
        <f>IFERROR(__xludf.DUMMYFUNCTION("""COMPUTED_VALUE"""),6.0)</f>
        <v>6</v>
      </c>
      <c r="P135" s="33">
        <f>IFERROR(__xludf.DUMMYFUNCTION("""COMPUTED_VALUE"""),13.0)</f>
        <v>13</v>
      </c>
      <c r="Q135" s="33">
        <f>IFERROR(__xludf.DUMMYFUNCTION("""COMPUTED_VALUE"""),0.0)</f>
        <v>0</v>
      </c>
      <c r="R135" s="33">
        <f>IFERROR(__xludf.DUMMYFUNCTION("""COMPUTED_VALUE"""),37310.0)</f>
        <v>37310</v>
      </c>
      <c r="S135" s="33">
        <f>IFERROR(__xludf.DUMMYFUNCTION("""COMPUTED_VALUE"""),85422.0)</f>
        <v>85422</v>
      </c>
      <c r="T135" s="33">
        <f>IFERROR(__xludf.DUMMYFUNCTION("""COMPUTED_VALUE"""),2.25055555555555)</f>
        <v>2.250555556</v>
      </c>
      <c r="U135" s="33">
        <f>IFERROR(__xludf.DUMMYFUNCTION("""COMPUTED_VALUE"""),0.0)</f>
        <v>0</v>
      </c>
      <c r="V135" s="33">
        <f>IFERROR(__xludf.DUMMYFUNCTION("""COMPUTED_VALUE"""),0.0)</f>
        <v>0</v>
      </c>
      <c r="W135" s="33">
        <f>IFERROR(__xludf.DUMMYFUNCTION("""COMPUTED_VALUE"""),2.6725)</f>
        <v>2.6725</v>
      </c>
      <c r="X135" s="33">
        <f>IFERROR(__xludf.DUMMYFUNCTION("""COMPUTED_VALUE"""),2.6725)</f>
        <v>2.6725</v>
      </c>
      <c r="Y135" s="33">
        <f>IFERROR(__xludf.DUMMYFUNCTION("""COMPUTED_VALUE"""),2.72333333333333)</f>
        <v>2.723333333</v>
      </c>
      <c r="Z135" s="33">
        <f>IFERROR(__xludf.DUMMYFUNCTION("""COMPUTED_VALUE"""),0.602222222222222)</f>
        <v>0.6022222222</v>
      </c>
      <c r="AA135" s="33">
        <f>IFERROR(__xludf.DUMMYFUNCTION("""COMPUTED_VALUE"""),0.0)</f>
        <v>0</v>
      </c>
      <c r="AB135" s="33">
        <f>IFERROR(__xludf.DUMMYFUNCTION("""COMPUTED_VALUE"""),2.72444444444444)</f>
        <v>2.724444444</v>
      </c>
      <c r="AC135" s="33">
        <f>IFERROR(__xludf.DUMMYFUNCTION("""COMPUTED_VALUE"""),2.72444444444444)</f>
        <v>2.724444444</v>
      </c>
      <c r="AD135" s="33">
        <f>IFERROR(__xludf.DUMMYFUNCTION("""COMPUTED_VALUE"""),1.20166666666666)</f>
        <v>1.201666667</v>
      </c>
      <c r="AE135" s="33">
        <f>IFERROR(__xludf.DUMMYFUNCTION("""COMPUTED_VALUE"""),2.72444444444444)</f>
        <v>2.724444444</v>
      </c>
      <c r="AF135" s="33">
        <f>IFERROR(__xludf.DUMMYFUNCTION("""COMPUTED_VALUE"""),11.0)</f>
        <v>11</v>
      </c>
    </row>
    <row r="136">
      <c r="A136" s="49">
        <f>IFERROR(__xludf.DUMMYFUNCTION("""COMPUTED_VALUE"""),46125.0)</f>
        <v>46125</v>
      </c>
      <c r="B136" s="33" t="str">
        <f>IFERROR(__xludf.DUMMYFUNCTION("""COMPUTED_VALUE"""),"dbbc7f35e9eb33b7562f0fd82896e827101bf13c")</f>
        <v>dbbc7f35e9eb33b7562f0fd82896e827101bf13c</v>
      </c>
      <c r="C136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136" s="33">
        <f>IFERROR(__xludf.DUMMYFUNCTION("""COMPUTED_VALUE"""),0.0)</f>
        <v>0</v>
      </c>
      <c r="E136" s="33">
        <f>IFERROR(__xludf.DUMMYFUNCTION("""COMPUTED_VALUE"""),0.0)</f>
        <v>0</v>
      </c>
      <c r="F136" s="33">
        <f>IFERROR(__xludf.DUMMYFUNCTION("""COMPUTED_VALUE"""),0.0)</f>
        <v>0</v>
      </c>
      <c r="G136" s="33">
        <f>IFERROR(__xludf.DUMMYFUNCTION("""COMPUTED_VALUE"""),0.0)</f>
        <v>0</v>
      </c>
      <c r="H136" s="33">
        <f>IFERROR(__xludf.DUMMYFUNCTION("""COMPUTED_VALUE"""),0.0)</f>
        <v>0</v>
      </c>
      <c r="I136" s="33">
        <f>IFERROR(__xludf.DUMMYFUNCTION("""COMPUTED_VALUE"""),0.0)</f>
        <v>0</v>
      </c>
      <c r="J136" s="33">
        <f>IFERROR(__xludf.DUMMYFUNCTION("""COMPUTED_VALUE"""),0.0)</f>
        <v>0</v>
      </c>
      <c r="K136" s="33">
        <f>IFERROR(__xludf.DUMMYFUNCTION("""COMPUTED_VALUE"""),0.0)</f>
        <v>0</v>
      </c>
      <c r="L136" s="33">
        <f>IFERROR(__xludf.DUMMYFUNCTION("""COMPUTED_VALUE"""),0.0)</f>
        <v>0</v>
      </c>
      <c r="M136" s="33">
        <f>IFERROR(__xludf.DUMMYFUNCTION("""COMPUTED_VALUE"""),0.0)</f>
        <v>0</v>
      </c>
      <c r="N136" s="33">
        <f>IFERROR(__xludf.DUMMYFUNCTION("""COMPUTED_VALUE"""),1.0)</f>
        <v>1</v>
      </c>
      <c r="O136" s="33">
        <f>IFERROR(__xludf.DUMMYFUNCTION("""COMPUTED_VALUE"""),5.0)</f>
        <v>5</v>
      </c>
      <c r="P136" s="33">
        <f>IFERROR(__xludf.DUMMYFUNCTION("""COMPUTED_VALUE"""),20.0)</f>
        <v>20</v>
      </c>
      <c r="Q136" s="33">
        <f>IFERROR(__xludf.DUMMYFUNCTION("""COMPUTED_VALUE"""),0.0)</f>
        <v>0</v>
      </c>
      <c r="R136" s="33">
        <f>IFERROR(__xludf.DUMMYFUNCTION("""COMPUTED_VALUE"""),0.0)</f>
        <v>0</v>
      </c>
      <c r="S136" s="33">
        <f>IFERROR(__xludf.DUMMYFUNCTION("""COMPUTED_VALUE"""),0.0)</f>
        <v>0</v>
      </c>
      <c r="T136" s="33">
        <f>IFERROR(__xludf.DUMMYFUNCTION("""COMPUTED_VALUE"""),0.0)</f>
        <v>0</v>
      </c>
      <c r="U136" s="33">
        <f>IFERROR(__xludf.DUMMYFUNCTION("""COMPUTED_VALUE"""),0.0)</f>
        <v>0</v>
      </c>
      <c r="V136" s="33">
        <f>IFERROR(__xludf.DUMMYFUNCTION("""COMPUTED_VALUE"""),0.0)</f>
        <v>0</v>
      </c>
      <c r="W136" s="33">
        <f>IFERROR(__xludf.DUMMYFUNCTION("""COMPUTED_VALUE"""),0.0)</f>
        <v>0</v>
      </c>
      <c r="X136" s="33">
        <f>IFERROR(__xludf.DUMMYFUNCTION("""COMPUTED_VALUE"""),0.0)</f>
        <v>0</v>
      </c>
      <c r="Y136" s="33">
        <f>IFERROR(__xludf.DUMMYFUNCTION("""COMPUTED_VALUE"""),0.0)</f>
        <v>0</v>
      </c>
      <c r="Z136" s="33">
        <f>IFERROR(__xludf.DUMMYFUNCTION("""COMPUTED_VALUE"""),0.0)</f>
        <v>0</v>
      </c>
      <c r="AA136" s="33">
        <f>IFERROR(__xludf.DUMMYFUNCTION("""COMPUTED_VALUE"""),0.0)</f>
        <v>0</v>
      </c>
      <c r="AB136" s="33">
        <f>IFERROR(__xludf.DUMMYFUNCTION("""COMPUTED_VALUE"""),0.0)</f>
        <v>0</v>
      </c>
      <c r="AC136" s="33">
        <f>IFERROR(__xludf.DUMMYFUNCTION("""COMPUTED_VALUE"""),0.258888888888888)</f>
        <v>0.2588888889</v>
      </c>
      <c r="AD136" s="33">
        <f>IFERROR(__xludf.DUMMYFUNCTION("""COMPUTED_VALUE"""),0.903888888888889)</f>
        <v>0.9038888889</v>
      </c>
      <c r="AE136" s="33">
        <f>IFERROR(__xludf.DUMMYFUNCTION("""COMPUTED_VALUE"""),5.06)</f>
        <v>5.06</v>
      </c>
      <c r="AF136" s="33">
        <f>IFERROR(__xludf.DUMMYFUNCTION("""COMPUTED_VALUE"""),0.0)</f>
        <v>0</v>
      </c>
    </row>
    <row r="137">
      <c r="A137" s="49">
        <f>IFERROR(__xludf.DUMMYFUNCTION("""COMPUTED_VALUE"""),46125.0)</f>
        <v>46125</v>
      </c>
      <c r="B137" s="33" t="str">
        <f>IFERROR(__xludf.DUMMYFUNCTION("""COMPUTED_VALUE"""),"e493cee863483a057af12de782cd20043a19ed05")</f>
        <v>e493cee863483a057af12de782cd20043a19ed05</v>
      </c>
      <c r="C137" s="33" t="str">
        <f>IFERROR(__xludf.DUMMYFUNCTION("""COMPUTED_VALUE"""),"Malang")</f>
        <v>Malang</v>
      </c>
      <c r="D137" s="33">
        <f>IFERROR(__xludf.DUMMYFUNCTION("""COMPUTED_VALUE"""),9.0)</f>
        <v>9</v>
      </c>
      <c r="E137" s="33">
        <f>IFERROR(__xludf.DUMMYFUNCTION("""COMPUTED_VALUE"""),0.0)</f>
        <v>0</v>
      </c>
      <c r="F137" s="33">
        <f>IFERROR(__xludf.DUMMYFUNCTION("""COMPUTED_VALUE"""),0.0)</f>
        <v>0</v>
      </c>
      <c r="G137" s="33">
        <f>IFERROR(__xludf.DUMMYFUNCTION("""COMPUTED_VALUE"""),0.0)</f>
        <v>0</v>
      </c>
      <c r="H137" s="33">
        <f>IFERROR(__xludf.DUMMYFUNCTION("""COMPUTED_VALUE"""),5.0)</f>
        <v>5</v>
      </c>
      <c r="I137" s="33">
        <f>IFERROR(__xludf.DUMMYFUNCTION("""COMPUTED_VALUE"""),5.0)</f>
        <v>5</v>
      </c>
      <c r="J137" s="33">
        <f>IFERROR(__xludf.DUMMYFUNCTION("""COMPUTED_VALUE"""),6.0)</f>
        <v>6</v>
      </c>
      <c r="K137" s="33">
        <f>IFERROR(__xludf.DUMMYFUNCTION("""COMPUTED_VALUE"""),5.0)</f>
        <v>5</v>
      </c>
      <c r="L137" s="33">
        <f>IFERROR(__xludf.DUMMYFUNCTION("""COMPUTED_VALUE"""),0.0)</f>
        <v>0</v>
      </c>
      <c r="M137" s="33">
        <f>IFERROR(__xludf.DUMMYFUNCTION("""COMPUTED_VALUE"""),16.0)</f>
        <v>16</v>
      </c>
      <c r="N137" s="33">
        <f>IFERROR(__xludf.DUMMYFUNCTION("""COMPUTED_VALUE"""),11.0)</f>
        <v>11</v>
      </c>
      <c r="O137" s="33">
        <f>IFERROR(__xludf.DUMMYFUNCTION("""COMPUTED_VALUE"""),4.0)</f>
        <v>4</v>
      </c>
      <c r="P137" s="33">
        <f>IFERROR(__xludf.DUMMYFUNCTION("""COMPUTED_VALUE"""),11.0)</f>
        <v>11</v>
      </c>
      <c r="Q137" s="33">
        <f>IFERROR(__xludf.DUMMYFUNCTION("""COMPUTED_VALUE"""),0.0)</f>
        <v>0</v>
      </c>
      <c r="R137" s="33">
        <f>IFERROR(__xludf.DUMMYFUNCTION("""COMPUTED_VALUE"""),21161.0)</f>
        <v>21161</v>
      </c>
      <c r="S137" s="33">
        <f>IFERROR(__xludf.DUMMYFUNCTION("""COMPUTED_VALUE"""),0.0)</f>
        <v>0</v>
      </c>
      <c r="T137" s="33">
        <f>IFERROR(__xludf.DUMMYFUNCTION("""COMPUTED_VALUE"""),0.976666666666666)</f>
        <v>0.9766666667</v>
      </c>
      <c r="U137" s="33">
        <f>IFERROR(__xludf.DUMMYFUNCTION("""COMPUTED_VALUE"""),0.0)</f>
        <v>0</v>
      </c>
      <c r="V137" s="33">
        <f>IFERROR(__xludf.DUMMYFUNCTION("""COMPUTED_VALUE"""),0.0)</f>
        <v>0</v>
      </c>
      <c r="W137" s="33">
        <f>IFERROR(__xludf.DUMMYFUNCTION("""COMPUTED_VALUE"""),0.976666666666666)</f>
        <v>0.9766666667</v>
      </c>
      <c r="X137" s="33">
        <f>IFERROR(__xludf.DUMMYFUNCTION("""COMPUTED_VALUE"""),0.976666666666666)</f>
        <v>0.9766666667</v>
      </c>
      <c r="Y137" s="33">
        <f>IFERROR(__xludf.DUMMYFUNCTION("""COMPUTED_VALUE"""),1.16388888888888)</f>
        <v>1.163888889</v>
      </c>
      <c r="Z137" s="33">
        <f>IFERROR(__xludf.DUMMYFUNCTION("""COMPUTED_VALUE"""),0.968055555555555)</f>
        <v>0.9680555556</v>
      </c>
      <c r="AA137" s="33">
        <f>IFERROR(__xludf.DUMMYFUNCTION("""COMPUTED_VALUE"""),0.0)</f>
        <v>0</v>
      </c>
      <c r="AB137" s="33">
        <f>IFERROR(__xludf.DUMMYFUNCTION("""COMPUTED_VALUE"""),3.2525)</f>
        <v>3.2525</v>
      </c>
      <c r="AC137" s="33">
        <f>IFERROR(__xludf.DUMMYFUNCTION("""COMPUTED_VALUE"""),2.11583333333333)</f>
        <v>2.115833333</v>
      </c>
      <c r="AD137" s="33">
        <f>IFERROR(__xludf.DUMMYFUNCTION("""COMPUTED_VALUE"""),0.794999999999999)</f>
        <v>0.795</v>
      </c>
      <c r="AE137" s="33">
        <f>IFERROR(__xludf.DUMMYFUNCTION("""COMPUTED_VALUE"""),2.11583333333333)</f>
        <v>2.115833333</v>
      </c>
      <c r="AF137" s="33">
        <f>IFERROR(__xludf.DUMMYFUNCTION("""COMPUTED_VALUE"""),5.0)</f>
        <v>5</v>
      </c>
    </row>
    <row r="138">
      <c r="A138" s="49">
        <f>IFERROR(__xludf.DUMMYFUNCTION("""COMPUTED_VALUE"""),46125.0)</f>
        <v>46125</v>
      </c>
      <c r="B138" s="33" t="str">
        <f>IFERROR(__xludf.DUMMYFUNCTION("""COMPUTED_VALUE"""),"f43f4253dc3c596ff8f2e3cc9f3b677981a70310")</f>
        <v>f43f4253dc3c596ff8f2e3cc9f3b677981a70310</v>
      </c>
      <c r="C138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138" s="33">
        <f>IFERROR(__xludf.DUMMYFUNCTION("""COMPUTED_VALUE"""),101.0)</f>
        <v>101</v>
      </c>
      <c r="E138" s="33">
        <f>IFERROR(__xludf.DUMMYFUNCTION("""COMPUTED_VALUE"""),101.0)</f>
        <v>101</v>
      </c>
      <c r="F138" s="33">
        <f>IFERROR(__xludf.DUMMYFUNCTION("""COMPUTED_VALUE"""),0.0)</f>
        <v>0</v>
      </c>
      <c r="G138" s="33">
        <f>IFERROR(__xludf.DUMMYFUNCTION("""COMPUTED_VALUE"""),0.0)</f>
        <v>0</v>
      </c>
      <c r="H138" s="33">
        <f>IFERROR(__xludf.DUMMYFUNCTION("""COMPUTED_VALUE"""),0.0)</f>
        <v>0</v>
      </c>
      <c r="I138" s="33">
        <f>IFERROR(__xludf.DUMMYFUNCTION("""COMPUTED_VALUE"""),0.0)</f>
        <v>0</v>
      </c>
      <c r="J138" s="33">
        <f>IFERROR(__xludf.DUMMYFUNCTION("""COMPUTED_VALUE"""),0.0)</f>
        <v>0</v>
      </c>
      <c r="K138" s="33">
        <f>IFERROR(__xludf.DUMMYFUNCTION("""COMPUTED_VALUE"""),0.0)</f>
        <v>0</v>
      </c>
      <c r="L138" s="33">
        <f>IFERROR(__xludf.DUMMYFUNCTION("""COMPUTED_VALUE"""),0.0)</f>
        <v>0</v>
      </c>
      <c r="M138" s="33">
        <f>IFERROR(__xludf.DUMMYFUNCTION("""COMPUTED_VALUE"""),0.0)</f>
        <v>0</v>
      </c>
      <c r="N138" s="33">
        <f>IFERROR(__xludf.DUMMYFUNCTION("""COMPUTED_VALUE"""),126.0)</f>
        <v>126</v>
      </c>
      <c r="O138" s="33">
        <f>IFERROR(__xludf.DUMMYFUNCTION("""COMPUTED_VALUE"""),5.0)</f>
        <v>5</v>
      </c>
      <c r="P138" s="33">
        <f>IFERROR(__xludf.DUMMYFUNCTION("""COMPUTED_VALUE"""),100.0)</f>
        <v>100</v>
      </c>
      <c r="Q138" s="33">
        <f>IFERROR(__xludf.DUMMYFUNCTION("""COMPUTED_VALUE"""),0.0)</f>
        <v>0</v>
      </c>
      <c r="R138" s="33">
        <f>IFERROR(__xludf.DUMMYFUNCTION("""COMPUTED_VALUE"""),241871.0)</f>
        <v>241871</v>
      </c>
      <c r="S138" s="33">
        <f>IFERROR(__xludf.DUMMYFUNCTION("""COMPUTED_VALUE"""),241871.0)</f>
        <v>241871</v>
      </c>
      <c r="T138" s="33">
        <f>IFERROR(__xludf.DUMMYFUNCTION("""COMPUTED_VALUE"""),0.0)</f>
        <v>0</v>
      </c>
      <c r="U138" s="33">
        <f>IFERROR(__xludf.DUMMYFUNCTION("""COMPUTED_VALUE"""),0.0)</f>
        <v>0</v>
      </c>
      <c r="V138" s="33">
        <f>IFERROR(__xludf.DUMMYFUNCTION("""COMPUTED_VALUE"""),0.0)</f>
        <v>0</v>
      </c>
      <c r="W138" s="33">
        <f>IFERROR(__xludf.DUMMYFUNCTION("""COMPUTED_VALUE"""),0.0)</f>
        <v>0</v>
      </c>
      <c r="X138" s="33">
        <f>IFERROR(__xludf.DUMMYFUNCTION("""COMPUTED_VALUE"""),0.0)</f>
        <v>0</v>
      </c>
      <c r="Y138" s="33">
        <f>IFERROR(__xludf.DUMMYFUNCTION("""COMPUTED_VALUE"""),0.0)</f>
        <v>0</v>
      </c>
      <c r="Z138" s="33">
        <f>IFERROR(__xludf.DUMMYFUNCTION("""COMPUTED_VALUE"""),0.0)</f>
        <v>0</v>
      </c>
      <c r="AA138" s="33">
        <f>IFERROR(__xludf.DUMMYFUNCTION("""COMPUTED_VALUE"""),0.0)</f>
        <v>0</v>
      </c>
      <c r="AB138" s="33">
        <f>IFERROR(__xludf.DUMMYFUNCTION("""COMPUTED_VALUE"""),0.0)</f>
        <v>0</v>
      </c>
      <c r="AC138" s="33">
        <f>IFERROR(__xludf.DUMMYFUNCTION("""COMPUTED_VALUE"""),0.694722222222222)</f>
        <v>0.6947222222</v>
      </c>
      <c r="AD138" s="33">
        <f>IFERROR(__xludf.DUMMYFUNCTION("""COMPUTED_VALUE"""),1.21944444444444)</f>
        <v>1.219444444</v>
      </c>
      <c r="AE138" s="33">
        <f>IFERROR(__xludf.DUMMYFUNCTION("""COMPUTED_VALUE"""),24.7838888888888)</f>
        <v>24.78388889</v>
      </c>
      <c r="AF138" s="33">
        <f>IFERROR(__xludf.DUMMYFUNCTION("""COMPUTED_VALUE"""),0.0)</f>
        <v>0</v>
      </c>
    </row>
    <row r="139">
      <c r="A139" s="49">
        <f>IFERROR(__xludf.DUMMYFUNCTION("""COMPUTED_VALUE"""),46125.0)</f>
        <v>46125</v>
      </c>
      <c r="B139" s="33" t="str">
        <f>IFERROR(__xludf.DUMMYFUNCTION("""COMPUTED_VALUE"""),"f8fbcb9a13d17d5888164fffc1bbb7cd5c6608b2")</f>
        <v>f8fbcb9a13d17d5888164fffc1bbb7cd5c6608b2</v>
      </c>
      <c r="C139" s="33" t="str">
        <f>IFERROR(__xludf.DUMMYFUNCTION("""COMPUTED_VALUE"""),"Empire of Hidden King | Author - Nitesh")</f>
        <v>Empire of Hidden King | Author - Nitesh</v>
      </c>
      <c r="D139" s="33">
        <f>IFERROR(__xludf.DUMMYFUNCTION("""COMPUTED_VALUE"""),0.0)</f>
        <v>0</v>
      </c>
      <c r="E139" s="33">
        <f>IFERROR(__xludf.DUMMYFUNCTION("""COMPUTED_VALUE"""),0.0)</f>
        <v>0</v>
      </c>
      <c r="F139" s="33">
        <f>IFERROR(__xludf.DUMMYFUNCTION("""COMPUTED_VALUE"""),0.0)</f>
        <v>0</v>
      </c>
      <c r="G139" s="33">
        <f>IFERROR(__xludf.DUMMYFUNCTION("""COMPUTED_VALUE"""),0.0)</f>
        <v>0</v>
      </c>
      <c r="H139" s="33">
        <f>IFERROR(__xludf.DUMMYFUNCTION("""COMPUTED_VALUE"""),0.0)</f>
        <v>0</v>
      </c>
      <c r="I139" s="33">
        <f>IFERROR(__xludf.DUMMYFUNCTION("""COMPUTED_VALUE"""),0.0)</f>
        <v>0</v>
      </c>
      <c r="J139" s="33">
        <f>IFERROR(__xludf.DUMMYFUNCTION("""COMPUTED_VALUE"""),0.0)</f>
        <v>0</v>
      </c>
      <c r="K139" s="33">
        <f>IFERROR(__xludf.DUMMYFUNCTION("""COMPUTED_VALUE"""),0.0)</f>
        <v>0</v>
      </c>
      <c r="L139" s="33">
        <f>IFERROR(__xludf.DUMMYFUNCTION("""COMPUTED_VALUE"""),0.0)</f>
        <v>0</v>
      </c>
      <c r="M139" s="33">
        <f>IFERROR(__xludf.DUMMYFUNCTION("""COMPUTED_VALUE"""),0.0)</f>
        <v>0</v>
      </c>
      <c r="N139" s="33">
        <f>IFERROR(__xludf.DUMMYFUNCTION("""COMPUTED_VALUE"""),2.0)</f>
        <v>2</v>
      </c>
      <c r="O139" s="33">
        <f>IFERROR(__xludf.DUMMYFUNCTION("""COMPUTED_VALUE"""),0.0)</f>
        <v>0</v>
      </c>
      <c r="P139" s="33">
        <f>IFERROR(__xludf.DUMMYFUNCTION("""COMPUTED_VALUE"""),2.0)</f>
        <v>2</v>
      </c>
      <c r="Q139" s="33">
        <f>IFERROR(__xludf.DUMMYFUNCTION("""COMPUTED_VALUE"""),0.0)</f>
        <v>0</v>
      </c>
      <c r="R139" s="33">
        <f>IFERROR(__xludf.DUMMYFUNCTION("""COMPUTED_VALUE"""),0.0)</f>
        <v>0</v>
      </c>
      <c r="S139" s="33">
        <f>IFERROR(__xludf.DUMMYFUNCTION("""COMPUTED_VALUE"""),0.0)</f>
        <v>0</v>
      </c>
      <c r="T139" s="33">
        <f>IFERROR(__xludf.DUMMYFUNCTION("""COMPUTED_VALUE"""),0.0)</f>
        <v>0</v>
      </c>
      <c r="U139" s="33">
        <f>IFERROR(__xludf.DUMMYFUNCTION("""COMPUTED_VALUE"""),0.0)</f>
        <v>0</v>
      </c>
      <c r="V139" s="33">
        <f>IFERROR(__xludf.DUMMYFUNCTION("""COMPUTED_VALUE"""),0.0)</f>
        <v>0</v>
      </c>
      <c r="W139" s="33">
        <f>IFERROR(__xludf.DUMMYFUNCTION("""COMPUTED_VALUE"""),0.0)</f>
        <v>0</v>
      </c>
      <c r="X139" s="33">
        <f>IFERROR(__xludf.DUMMYFUNCTION("""COMPUTED_VALUE"""),0.0)</f>
        <v>0</v>
      </c>
      <c r="Y139" s="33">
        <f>IFERROR(__xludf.DUMMYFUNCTION("""COMPUTED_VALUE"""),0.0)</f>
        <v>0</v>
      </c>
      <c r="Z139" s="33">
        <f>IFERROR(__xludf.DUMMYFUNCTION("""COMPUTED_VALUE"""),0.0)</f>
        <v>0</v>
      </c>
      <c r="AA139" s="33">
        <f>IFERROR(__xludf.DUMMYFUNCTION("""COMPUTED_VALUE"""),0.0)</f>
        <v>0</v>
      </c>
      <c r="AB139" s="33">
        <f>IFERROR(__xludf.DUMMYFUNCTION("""COMPUTED_VALUE"""),0.0)</f>
        <v>0</v>
      </c>
      <c r="AC139" s="33">
        <f>IFERROR(__xludf.DUMMYFUNCTION("""COMPUTED_VALUE"""),0.450833333333333)</f>
        <v>0.4508333333</v>
      </c>
      <c r="AD139" s="33">
        <f>IFERROR(__xludf.DUMMYFUNCTION("""COMPUTED_VALUE"""),0.0)</f>
        <v>0</v>
      </c>
      <c r="AE139" s="33">
        <f>IFERROR(__xludf.DUMMYFUNCTION("""COMPUTED_VALUE"""),0.45)</f>
        <v>0.45</v>
      </c>
      <c r="AF139" s="33">
        <f>IFERROR(__xludf.DUMMYFUNCTION("""COMPUTED_VALUE"""),0.0)</f>
        <v>0</v>
      </c>
    </row>
    <row r="140">
      <c r="A140" s="49">
        <f>IFERROR(__xludf.DUMMYFUNCTION("""COMPUTED_VALUE"""),46118.0)</f>
        <v>46118</v>
      </c>
      <c r="B140" s="33" t="str">
        <f>IFERROR(__xludf.DUMMYFUNCTION("""COMPUTED_VALUE"""),"1b4ecb8a0d96b42675a2bbd2a9bd28ef4d28a0dd")</f>
        <v>1b4ecb8a0d96b42675a2bbd2a9bd28ef4d28a0dd</v>
      </c>
      <c r="C140" s="33" t="str">
        <f>IFERROR(__xludf.DUMMYFUNCTION("""COMPUTED_VALUE"""),"Doctor Mafia King")</f>
        <v>Doctor Mafia King</v>
      </c>
      <c r="D140" s="33">
        <f>IFERROR(__xludf.DUMMYFUNCTION("""COMPUTED_VALUE"""),8.0)</f>
        <v>8</v>
      </c>
      <c r="E140" s="33">
        <f>IFERROR(__xludf.DUMMYFUNCTION("""COMPUTED_VALUE"""),8.0)</f>
        <v>8</v>
      </c>
      <c r="F140" s="33">
        <f>IFERROR(__xludf.DUMMYFUNCTION("""COMPUTED_VALUE"""),0.0)</f>
        <v>0</v>
      </c>
      <c r="G140" s="33">
        <f>IFERROR(__xludf.DUMMYFUNCTION("""COMPUTED_VALUE"""),0.0)</f>
        <v>0</v>
      </c>
      <c r="H140" s="33">
        <f>IFERROR(__xludf.DUMMYFUNCTION("""COMPUTED_VALUE"""),0.0)</f>
        <v>0</v>
      </c>
      <c r="I140" s="33">
        <f>IFERROR(__xludf.DUMMYFUNCTION("""COMPUTED_VALUE"""),0.0)</f>
        <v>0</v>
      </c>
      <c r="J140" s="33">
        <f>IFERROR(__xludf.DUMMYFUNCTION("""COMPUTED_VALUE"""),0.0)</f>
        <v>0</v>
      </c>
      <c r="K140" s="33">
        <f>IFERROR(__xludf.DUMMYFUNCTION("""COMPUTED_VALUE"""),0.0)</f>
        <v>0</v>
      </c>
      <c r="L140" s="33">
        <f>IFERROR(__xludf.DUMMYFUNCTION("""COMPUTED_VALUE"""),0.0)</f>
        <v>0</v>
      </c>
      <c r="M140" s="33">
        <f>IFERROR(__xludf.DUMMYFUNCTION("""COMPUTED_VALUE"""),0.0)</f>
        <v>0</v>
      </c>
      <c r="N140" s="33">
        <f>IFERROR(__xludf.DUMMYFUNCTION("""COMPUTED_VALUE"""),0.0)</f>
        <v>0</v>
      </c>
      <c r="O140" s="33">
        <f>IFERROR(__xludf.DUMMYFUNCTION("""COMPUTED_VALUE"""),0.0)</f>
        <v>0</v>
      </c>
      <c r="P140" s="33">
        <f>IFERROR(__xludf.DUMMYFUNCTION("""COMPUTED_VALUE"""),0.0)</f>
        <v>0</v>
      </c>
      <c r="Q140" s="33">
        <f>IFERROR(__xludf.DUMMYFUNCTION("""COMPUTED_VALUE"""),0.0)</f>
        <v>0</v>
      </c>
      <c r="R140" s="33">
        <f>IFERROR(__xludf.DUMMYFUNCTION("""COMPUTED_VALUE"""),10921.0)</f>
        <v>10921</v>
      </c>
      <c r="S140" s="33">
        <f>IFERROR(__xludf.DUMMYFUNCTION("""COMPUTED_VALUE"""),10921.0)</f>
        <v>10921</v>
      </c>
      <c r="T140" s="33">
        <f>IFERROR(__xludf.DUMMYFUNCTION("""COMPUTED_VALUE"""),1.15472222222222)</f>
        <v>1.154722222</v>
      </c>
      <c r="U140" s="33">
        <f>IFERROR(__xludf.DUMMYFUNCTION("""COMPUTED_VALUE"""),0.0)</f>
        <v>0</v>
      </c>
      <c r="V140" s="33">
        <f>IFERROR(__xludf.DUMMYFUNCTION("""COMPUTED_VALUE"""),0.0)</f>
        <v>0</v>
      </c>
      <c r="W140" s="33">
        <f>IFERROR(__xludf.DUMMYFUNCTION("""COMPUTED_VALUE"""),0.0)</f>
        <v>0</v>
      </c>
      <c r="X140" s="33">
        <f>IFERROR(__xludf.DUMMYFUNCTION("""COMPUTED_VALUE"""),0.0)</f>
        <v>0</v>
      </c>
      <c r="Y140" s="33">
        <f>IFERROR(__xludf.DUMMYFUNCTION("""COMPUTED_VALUE"""),0.0)</f>
        <v>0</v>
      </c>
      <c r="Z140" s="33">
        <f>IFERROR(__xludf.DUMMYFUNCTION("""COMPUTED_VALUE"""),0.0)</f>
        <v>0</v>
      </c>
      <c r="AA140" s="33">
        <f>IFERROR(__xludf.DUMMYFUNCTION("""COMPUTED_VALUE"""),0.0)</f>
        <v>0</v>
      </c>
      <c r="AB140" s="33">
        <f>IFERROR(__xludf.DUMMYFUNCTION("""COMPUTED_VALUE"""),0.0)</f>
        <v>0</v>
      </c>
      <c r="AC140" s="33">
        <f>IFERROR(__xludf.DUMMYFUNCTION("""COMPUTED_VALUE"""),0.0)</f>
        <v>0</v>
      </c>
      <c r="AD140" s="33">
        <f>IFERROR(__xludf.DUMMYFUNCTION("""COMPUTED_VALUE"""),0.0)</f>
        <v>0</v>
      </c>
      <c r="AE140" s="33">
        <f>IFERROR(__xludf.DUMMYFUNCTION("""COMPUTED_VALUE"""),0.0)</f>
        <v>0</v>
      </c>
      <c r="AF140" s="33">
        <f>IFERROR(__xludf.DUMMYFUNCTION("""COMPUTED_VALUE"""),8.0)</f>
        <v>8</v>
      </c>
    </row>
    <row r="141">
      <c r="A141" s="49">
        <f>IFERROR(__xludf.DUMMYFUNCTION("""COMPUTED_VALUE"""),46118.0)</f>
        <v>46118</v>
      </c>
      <c r="B141" s="33" t="str">
        <f>IFERROR(__xludf.DUMMYFUNCTION("""COMPUTED_VALUE"""),"2549f1505a3739b3e90a0b63921ad55271440d40")</f>
        <v>2549f1505a3739b3e90a0b63921ad55271440d40</v>
      </c>
      <c r="C141" s="33" t="str">
        <f>IFERROR(__xludf.DUMMYFUNCTION("""COMPUTED_VALUE"""),"Reborn in Martial World ")</f>
        <v>Reborn in Martial World </v>
      </c>
      <c r="D141" s="33">
        <f>IFERROR(__xludf.DUMMYFUNCTION("""COMPUTED_VALUE"""),0.0)</f>
        <v>0</v>
      </c>
      <c r="E141" s="33">
        <f>IFERROR(__xludf.DUMMYFUNCTION("""COMPUTED_VALUE"""),5.0)</f>
        <v>5</v>
      </c>
      <c r="F141" s="33">
        <f>IFERROR(__xludf.DUMMYFUNCTION("""COMPUTED_VALUE"""),0.0)</f>
        <v>0</v>
      </c>
      <c r="G141" s="33">
        <f>IFERROR(__xludf.DUMMYFUNCTION("""COMPUTED_VALUE"""),0.0)</f>
        <v>0</v>
      </c>
      <c r="H141" s="33">
        <f>IFERROR(__xludf.DUMMYFUNCTION("""COMPUTED_VALUE"""),0.0)</f>
        <v>0</v>
      </c>
      <c r="I141" s="33">
        <f>IFERROR(__xludf.DUMMYFUNCTION("""COMPUTED_VALUE"""),0.0)</f>
        <v>0</v>
      </c>
      <c r="J141" s="33">
        <f>IFERROR(__xludf.DUMMYFUNCTION("""COMPUTED_VALUE"""),0.0)</f>
        <v>0</v>
      </c>
      <c r="K141" s="33">
        <f>IFERROR(__xludf.DUMMYFUNCTION("""COMPUTED_VALUE"""),0.0)</f>
        <v>0</v>
      </c>
      <c r="L141" s="33">
        <f>IFERROR(__xludf.DUMMYFUNCTION("""COMPUTED_VALUE"""),0.0)</f>
        <v>0</v>
      </c>
      <c r="M141" s="33">
        <f>IFERROR(__xludf.DUMMYFUNCTION("""COMPUTED_VALUE"""),10.0)</f>
        <v>10</v>
      </c>
      <c r="N141" s="33">
        <f>IFERROR(__xludf.DUMMYFUNCTION("""COMPUTED_VALUE"""),5.0)</f>
        <v>5</v>
      </c>
      <c r="O141" s="33">
        <f>IFERROR(__xludf.DUMMYFUNCTION("""COMPUTED_VALUE"""),5.0)</f>
        <v>5</v>
      </c>
      <c r="P141" s="33">
        <f>IFERROR(__xludf.DUMMYFUNCTION("""COMPUTED_VALUE"""),5.0)</f>
        <v>5</v>
      </c>
      <c r="Q141" s="33">
        <f>IFERROR(__xludf.DUMMYFUNCTION("""COMPUTED_VALUE"""),0.0)</f>
        <v>0</v>
      </c>
      <c r="R141" s="33">
        <f>IFERROR(__xludf.DUMMYFUNCTION("""COMPUTED_VALUE"""),0.0)</f>
        <v>0</v>
      </c>
      <c r="S141" s="33">
        <f>IFERROR(__xludf.DUMMYFUNCTION("""COMPUTED_VALUE"""),12737.0)</f>
        <v>12737</v>
      </c>
      <c r="T141" s="33">
        <f>IFERROR(__xludf.DUMMYFUNCTION("""COMPUTED_VALUE"""),0.0)</f>
        <v>0</v>
      </c>
      <c r="U141" s="33">
        <f>IFERROR(__xludf.DUMMYFUNCTION("""COMPUTED_VALUE"""),0.0)</f>
        <v>0</v>
      </c>
      <c r="V141" s="33">
        <f>IFERROR(__xludf.DUMMYFUNCTION("""COMPUTED_VALUE"""),0.0)</f>
        <v>0</v>
      </c>
      <c r="W141" s="33">
        <f>IFERROR(__xludf.DUMMYFUNCTION("""COMPUTED_VALUE"""),0.0)</f>
        <v>0</v>
      </c>
      <c r="X141" s="33">
        <f>IFERROR(__xludf.DUMMYFUNCTION("""COMPUTED_VALUE"""),0.0)</f>
        <v>0</v>
      </c>
      <c r="Y141" s="33">
        <f>IFERROR(__xludf.DUMMYFUNCTION("""COMPUTED_VALUE"""),0.0)</f>
        <v>0</v>
      </c>
      <c r="Z141" s="33">
        <f>IFERROR(__xludf.DUMMYFUNCTION("""COMPUTED_VALUE"""),0.0)</f>
        <v>0</v>
      </c>
      <c r="AA141" s="33">
        <f>IFERROR(__xludf.DUMMYFUNCTION("""COMPUTED_VALUE"""),0.0)</f>
        <v>0</v>
      </c>
      <c r="AB141" s="33">
        <f>IFERROR(__xludf.DUMMYFUNCTION("""COMPUTED_VALUE"""),2.62555555555555)</f>
        <v>2.625555556</v>
      </c>
      <c r="AC141" s="33">
        <f>IFERROR(__xludf.DUMMYFUNCTION("""COMPUTED_VALUE"""),1.33055555555555)</f>
        <v>1.330555556</v>
      </c>
      <c r="AD141" s="33">
        <f>IFERROR(__xludf.DUMMYFUNCTION("""COMPUTED_VALUE"""),1.00722222222222)</f>
        <v>1.007222222</v>
      </c>
      <c r="AE141" s="33">
        <f>IFERROR(__xludf.DUMMYFUNCTION("""COMPUTED_VALUE"""),1.33055555555555)</f>
        <v>1.330555556</v>
      </c>
      <c r="AF141" s="33">
        <f>IFERROR(__xludf.DUMMYFUNCTION("""COMPUTED_VALUE"""),0.0)</f>
        <v>0</v>
      </c>
    </row>
    <row r="142">
      <c r="A142" s="49">
        <f>IFERROR(__xludf.DUMMYFUNCTION("""COMPUTED_VALUE"""),46118.0)</f>
        <v>46118</v>
      </c>
      <c r="B142" s="33" t="str">
        <f>IFERROR(__xludf.DUMMYFUNCTION("""COMPUTED_VALUE"""),"2f705add1a4571e3dcc4eb1426edfaa372c9cee8")</f>
        <v>2f705add1a4571e3dcc4eb1426edfaa372c9cee8</v>
      </c>
      <c r="C142" s="33" t="str">
        <f>IFERROR(__xludf.DUMMYFUNCTION("""COMPUTED_VALUE"""),"Beggar Husband - Production Show_id")</f>
        <v>Beggar Husband - Production Show_id</v>
      </c>
      <c r="D142" s="33">
        <f>IFERROR(__xludf.DUMMYFUNCTION("""COMPUTED_VALUE"""),12.0)</f>
        <v>12</v>
      </c>
      <c r="E142" s="33">
        <f>IFERROR(__xludf.DUMMYFUNCTION("""COMPUTED_VALUE"""),9.0)</f>
        <v>9</v>
      </c>
      <c r="F142" s="33">
        <f>IFERROR(__xludf.DUMMYFUNCTION("""COMPUTED_VALUE"""),7.0)</f>
        <v>7</v>
      </c>
      <c r="G142" s="33">
        <f>IFERROR(__xludf.DUMMYFUNCTION("""COMPUTED_VALUE"""),7.0)</f>
        <v>7</v>
      </c>
      <c r="H142" s="33">
        <f>IFERROR(__xludf.DUMMYFUNCTION("""COMPUTED_VALUE"""),15.0)</f>
        <v>15</v>
      </c>
      <c r="I142" s="33">
        <f>IFERROR(__xludf.DUMMYFUNCTION("""COMPUTED_VALUE"""),8.0)</f>
        <v>8</v>
      </c>
      <c r="J142" s="33">
        <f>IFERROR(__xludf.DUMMYFUNCTION("""COMPUTED_VALUE"""),19.0)</f>
        <v>19</v>
      </c>
      <c r="K142" s="33">
        <f>IFERROR(__xludf.DUMMYFUNCTION("""COMPUTED_VALUE"""),8.0)</f>
        <v>8</v>
      </c>
      <c r="L142" s="33">
        <f>IFERROR(__xludf.DUMMYFUNCTION("""COMPUTED_VALUE"""),7.0)</f>
        <v>7</v>
      </c>
      <c r="M142" s="33">
        <f>IFERROR(__xludf.DUMMYFUNCTION("""COMPUTED_VALUE"""),14.0)</f>
        <v>14</v>
      </c>
      <c r="N142" s="33">
        <f>IFERROR(__xludf.DUMMYFUNCTION("""COMPUTED_VALUE"""),23.0)</f>
        <v>23</v>
      </c>
      <c r="O142" s="33">
        <f>IFERROR(__xludf.DUMMYFUNCTION("""COMPUTED_VALUE"""),3.0)</f>
        <v>3</v>
      </c>
      <c r="P142" s="33">
        <f>IFERROR(__xludf.DUMMYFUNCTION("""COMPUTED_VALUE"""),23.0)</f>
        <v>23</v>
      </c>
      <c r="Q142" s="33">
        <f>IFERROR(__xludf.DUMMYFUNCTION("""COMPUTED_VALUE"""),0.0)</f>
        <v>0</v>
      </c>
      <c r="R142" s="33">
        <f>IFERROR(__xludf.DUMMYFUNCTION("""COMPUTED_VALUE"""),27025.0)</f>
        <v>27025</v>
      </c>
      <c r="S142" s="33">
        <f>IFERROR(__xludf.DUMMYFUNCTION("""COMPUTED_VALUE"""),20429.0)</f>
        <v>20429</v>
      </c>
      <c r="T142" s="33">
        <f>IFERROR(__xludf.DUMMYFUNCTION("""COMPUTED_VALUE"""),3.31805555555555)</f>
        <v>3.318055556</v>
      </c>
      <c r="U142" s="33">
        <f>IFERROR(__xludf.DUMMYFUNCTION("""COMPUTED_VALUE"""),1.55)</f>
        <v>1.55</v>
      </c>
      <c r="V142" s="33">
        <f>IFERROR(__xludf.DUMMYFUNCTION("""COMPUTED_VALUE"""),1.55277777777777)</f>
        <v>1.552777778</v>
      </c>
      <c r="W142" s="33">
        <f>IFERROR(__xludf.DUMMYFUNCTION("""COMPUTED_VALUE"""),3.32083333333333)</f>
        <v>3.320833333</v>
      </c>
      <c r="X142" s="33">
        <f>IFERROR(__xludf.DUMMYFUNCTION("""COMPUTED_VALUE"""),1.76805555555555)</f>
        <v>1.768055556</v>
      </c>
      <c r="Y142" s="33">
        <f>IFERROR(__xludf.DUMMYFUNCTION("""COMPUTED_VALUE"""),4.23777777777777)</f>
        <v>4.237777778</v>
      </c>
      <c r="Z142" s="33">
        <f>IFERROR(__xludf.DUMMYFUNCTION("""COMPUTED_VALUE"""),1.79388888888888)</f>
        <v>1.793888889</v>
      </c>
      <c r="AA142" s="33">
        <f>IFERROR(__xludf.DUMMYFUNCTION("""COMPUTED_VALUE"""),1.55444444444444)</f>
        <v>1.554444444</v>
      </c>
      <c r="AB142" s="33">
        <f>IFERROR(__xludf.DUMMYFUNCTION("""COMPUTED_VALUE"""),3.08305555555555)</f>
        <v>3.083055556</v>
      </c>
      <c r="AC142" s="33">
        <f>IFERROR(__xludf.DUMMYFUNCTION("""COMPUTED_VALUE"""),5.1025)</f>
        <v>5.1025</v>
      </c>
      <c r="AD142" s="33">
        <f>IFERROR(__xludf.DUMMYFUNCTION("""COMPUTED_VALUE"""),0.688611111111111)</f>
        <v>0.6886111111</v>
      </c>
      <c r="AE142" s="33">
        <f>IFERROR(__xludf.DUMMYFUNCTION("""COMPUTED_VALUE"""),5.1025)</f>
        <v>5.1025</v>
      </c>
      <c r="AF142" s="33">
        <f>IFERROR(__xludf.DUMMYFUNCTION("""COMPUTED_VALUE"""),15.0)</f>
        <v>15</v>
      </c>
    </row>
    <row r="143">
      <c r="A143" s="49">
        <f>IFERROR(__xludf.DUMMYFUNCTION("""COMPUTED_VALUE"""),46118.0)</f>
        <v>46118</v>
      </c>
      <c r="B143" s="33" t="str">
        <f>IFERROR(__xludf.DUMMYFUNCTION("""COMPUTED_VALUE"""),"37e68193f879e91ec362f75f4b46511110658e2b")</f>
        <v>37e68193f879e91ec362f75f4b46511110658e2b</v>
      </c>
      <c r="C143" s="33" t="str">
        <f>IFERROR(__xludf.DUMMYFUNCTION("""COMPUTED_VALUE"""),"Shiva : Ek Pretyodha")</f>
        <v>Shiva : Ek Pretyodha</v>
      </c>
      <c r="D143" s="33">
        <f>IFERROR(__xludf.DUMMYFUNCTION("""COMPUTED_VALUE"""),0.0)</f>
        <v>0</v>
      </c>
      <c r="E143" s="33">
        <f>IFERROR(__xludf.DUMMYFUNCTION("""COMPUTED_VALUE"""),0.0)</f>
        <v>0</v>
      </c>
      <c r="F143" s="33">
        <f>IFERROR(__xludf.DUMMYFUNCTION("""COMPUTED_VALUE"""),0.0)</f>
        <v>0</v>
      </c>
      <c r="G143" s="33">
        <f>IFERROR(__xludf.DUMMYFUNCTION("""COMPUTED_VALUE"""),0.0)</f>
        <v>0</v>
      </c>
      <c r="H143" s="33">
        <f>IFERROR(__xludf.DUMMYFUNCTION("""COMPUTED_VALUE"""),0.0)</f>
        <v>0</v>
      </c>
      <c r="I143" s="33">
        <f>IFERROR(__xludf.DUMMYFUNCTION("""COMPUTED_VALUE"""),0.0)</f>
        <v>0</v>
      </c>
      <c r="J143" s="33">
        <f>IFERROR(__xludf.DUMMYFUNCTION("""COMPUTED_VALUE"""),0.0)</f>
        <v>0</v>
      </c>
      <c r="K143" s="33">
        <f>IFERROR(__xludf.DUMMYFUNCTION("""COMPUTED_VALUE"""),0.0)</f>
        <v>0</v>
      </c>
      <c r="L143" s="33">
        <f>IFERROR(__xludf.DUMMYFUNCTION("""COMPUTED_VALUE"""),0.0)</f>
        <v>0</v>
      </c>
      <c r="M143" s="33">
        <f>IFERROR(__xludf.DUMMYFUNCTION("""COMPUTED_VALUE"""),0.0)</f>
        <v>0</v>
      </c>
      <c r="N143" s="33">
        <f>IFERROR(__xludf.DUMMYFUNCTION("""COMPUTED_VALUE"""),44.0)</f>
        <v>44</v>
      </c>
      <c r="O143" s="33">
        <f>IFERROR(__xludf.DUMMYFUNCTION("""COMPUTED_VALUE"""),25.0)</f>
        <v>25</v>
      </c>
      <c r="P143" s="33">
        <f>IFERROR(__xludf.DUMMYFUNCTION("""COMPUTED_VALUE"""),23.0)</f>
        <v>23</v>
      </c>
      <c r="Q143" s="33">
        <f>IFERROR(__xludf.DUMMYFUNCTION("""COMPUTED_VALUE"""),0.0)</f>
        <v>0</v>
      </c>
      <c r="R143" s="33">
        <f>IFERROR(__xludf.DUMMYFUNCTION("""COMPUTED_VALUE"""),0.0)</f>
        <v>0</v>
      </c>
      <c r="S143" s="33">
        <f>IFERROR(__xludf.DUMMYFUNCTION("""COMPUTED_VALUE"""),0.0)</f>
        <v>0</v>
      </c>
      <c r="T143" s="33">
        <f>IFERROR(__xludf.DUMMYFUNCTION("""COMPUTED_VALUE"""),0.0)</f>
        <v>0</v>
      </c>
      <c r="U143" s="33">
        <f>IFERROR(__xludf.DUMMYFUNCTION("""COMPUTED_VALUE"""),0.0)</f>
        <v>0</v>
      </c>
      <c r="V143" s="33">
        <f>IFERROR(__xludf.DUMMYFUNCTION("""COMPUTED_VALUE"""),0.0)</f>
        <v>0</v>
      </c>
      <c r="W143" s="33">
        <f>IFERROR(__xludf.DUMMYFUNCTION("""COMPUTED_VALUE"""),0.0)</f>
        <v>0</v>
      </c>
      <c r="X143" s="33">
        <f>IFERROR(__xludf.DUMMYFUNCTION("""COMPUTED_VALUE"""),0.0)</f>
        <v>0</v>
      </c>
      <c r="Y143" s="33">
        <f>IFERROR(__xludf.DUMMYFUNCTION("""COMPUTED_VALUE"""),0.0)</f>
        <v>0</v>
      </c>
      <c r="Z143" s="33">
        <f>IFERROR(__xludf.DUMMYFUNCTION("""COMPUTED_VALUE"""),0.0)</f>
        <v>0</v>
      </c>
      <c r="AA143" s="33">
        <f>IFERROR(__xludf.DUMMYFUNCTION("""COMPUTED_VALUE"""),0.0)</f>
        <v>0</v>
      </c>
      <c r="AB143" s="33">
        <f>IFERROR(__xludf.DUMMYFUNCTION("""COMPUTED_VALUE"""),0.0)</f>
        <v>0</v>
      </c>
      <c r="AC143" s="33">
        <f>IFERROR(__xludf.DUMMYFUNCTION("""COMPUTED_VALUE"""),5.14444444444444)</f>
        <v>5.144444444</v>
      </c>
      <c r="AD143" s="33">
        <f>IFERROR(__xludf.DUMMYFUNCTION("""COMPUTED_VALUE"""),2.21694444444444)</f>
        <v>2.216944444</v>
      </c>
      <c r="AE143" s="33">
        <f>IFERROR(__xludf.DUMMYFUNCTION("""COMPUTED_VALUE"""),2.04472222222222)</f>
        <v>2.044722222</v>
      </c>
      <c r="AF143" s="33">
        <f>IFERROR(__xludf.DUMMYFUNCTION("""COMPUTED_VALUE"""),0.0)</f>
        <v>0</v>
      </c>
    </row>
    <row r="144">
      <c r="A144" s="49">
        <f>IFERROR(__xludf.DUMMYFUNCTION("""COMPUTED_VALUE"""),46118.0)</f>
        <v>46118</v>
      </c>
      <c r="B144" s="33" t="str">
        <f>IFERROR(__xludf.DUMMYFUNCTION("""COMPUTED_VALUE"""),"394d109f7b50d9a46fb591dbaaba2d0aac90a696")</f>
        <v>394d109f7b50d9a46fb591dbaaba2d0aac90a696</v>
      </c>
      <c r="C144" s="33" t="str">
        <f>IFERROR(__xludf.DUMMYFUNCTION("""COMPUTED_VALUE"""),"Empire of Hidden King (SRGJ) - Production Show_id")</f>
        <v>Empire of Hidden King (SRGJ) - Production Show_id</v>
      </c>
      <c r="D144" s="33">
        <f>IFERROR(__xludf.DUMMYFUNCTION("""COMPUTED_VALUE"""),9.0)</f>
        <v>9</v>
      </c>
      <c r="E144" s="33">
        <f>IFERROR(__xludf.DUMMYFUNCTION("""COMPUTED_VALUE"""),9.0)</f>
        <v>9</v>
      </c>
      <c r="F144" s="33">
        <f>IFERROR(__xludf.DUMMYFUNCTION("""COMPUTED_VALUE"""),6.0)</f>
        <v>6</v>
      </c>
      <c r="G144" s="33">
        <f>IFERROR(__xludf.DUMMYFUNCTION("""COMPUTED_VALUE"""),9.0)</f>
        <v>9</v>
      </c>
      <c r="H144" s="33">
        <f>IFERROR(__xludf.DUMMYFUNCTION("""COMPUTED_VALUE"""),9.0)</f>
        <v>9</v>
      </c>
      <c r="I144" s="33">
        <f>IFERROR(__xludf.DUMMYFUNCTION("""COMPUTED_VALUE"""),0.0)</f>
        <v>0</v>
      </c>
      <c r="J144" s="33">
        <f>IFERROR(__xludf.DUMMYFUNCTION("""COMPUTED_VALUE"""),9.0)</f>
        <v>9</v>
      </c>
      <c r="K144" s="33">
        <f>IFERROR(__xludf.DUMMYFUNCTION("""COMPUTED_VALUE"""),8.0)</f>
        <v>8</v>
      </c>
      <c r="L144" s="33">
        <f>IFERROR(__xludf.DUMMYFUNCTION("""COMPUTED_VALUE"""),2.0)</f>
        <v>2</v>
      </c>
      <c r="M144" s="33">
        <f>IFERROR(__xludf.DUMMYFUNCTION("""COMPUTED_VALUE"""),12.0)</f>
        <v>12</v>
      </c>
      <c r="N144" s="33">
        <f>IFERROR(__xludf.DUMMYFUNCTION("""COMPUTED_VALUE"""),13.0)</f>
        <v>13</v>
      </c>
      <c r="O144" s="33">
        <f>IFERROR(__xludf.DUMMYFUNCTION("""COMPUTED_VALUE"""),5.0)</f>
        <v>5</v>
      </c>
      <c r="P144" s="33">
        <f>IFERROR(__xludf.DUMMYFUNCTION("""COMPUTED_VALUE"""),13.0)</f>
        <v>13</v>
      </c>
      <c r="Q144" s="33">
        <f>IFERROR(__xludf.DUMMYFUNCTION("""COMPUTED_VALUE"""),0.0)</f>
        <v>0</v>
      </c>
      <c r="R144" s="33">
        <f>IFERROR(__xludf.DUMMYFUNCTION("""COMPUTED_VALUE"""),24119.0)</f>
        <v>24119</v>
      </c>
      <c r="S144" s="33">
        <f>IFERROR(__xludf.DUMMYFUNCTION("""COMPUTED_VALUE"""),24119.0)</f>
        <v>24119</v>
      </c>
      <c r="T144" s="33">
        <f>IFERROR(__xludf.DUMMYFUNCTION("""COMPUTED_VALUE"""),1.58)</f>
        <v>1.58</v>
      </c>
      <c r="U144" s="33">
        <f>IFERROR(__xludf.DUMMYFUNCTION("""COMPUTED_VALUE"""),1.58)</f>
        <v>1.58</v>
      </c>
      <c r="V144" s="33">
        <f>IFERROR(__xludf.DUMMYFUNCTION("""COMPUTED_VALUE"""),2.27638888888888)</f>
        <v>2.276388889</v>
      </c>
      <c r="W144" s="33">
        <f>IFERROR(__xludf.DUMMYFUNCTION("""COMPUTED_VALUE"""),2.27638888888888)</f>
        <v>2.276388889</v>
      </c>
      <c r="X144" s="33">
        <f>IFERROR(__xludf.DUMMYFUNCTION("""COMPUTED_VALUE"""),0.0)</f>
        <v>0</v>
      </c>
      <c r="Y144" s="33">
        <f>IFERROR(__xludf.DUMMYFUNCTION("""COMPUTED_VALUE"""),2.27638888888888)</f>
        <v>2.276388889</v>
      </c>
      <c r="Z144" s="33">
        <f>IFERROR(__xludf.DUMMYFUNCTION("""COMPUTED_VALUE"""),1.99083333333333)</f>
        <v>1.990833333</v>
      </c>
      <c r="AA144" s="33">
        <f>IFERROR(__xludf.DUMMYFUNCTION("""COMPUTED_VALUE"""),0.479166666666666)</f>
        <v>0.4791666667</v>
      </c>
      <c r="AB144" s="33">
        <f>IFERROR(__xludf.DUMMYFUNCTION("""COMPUTED_VALUE"""),3.01472222222222)</f>
        <v>3.014722222</v>
      </c>
      <c r="AC144" s="33">
        <f>IFERROR(__xludf.DUMMYFUNCTION("""COMPUTED_VALUE"""),3.25)</f>
        <v>3.25</v>
      </c>
      <c r="AD144" s="33">
        <f>IFERROR(__xludf.DUMMYFUNCTION("""COMPUTED_VALUE"""),1.36972222222222)</f>
        <v>1.369722222</v>
      </c>
      <c r="AE144" s="33">
        <f>IFERROR(__xludf.DUMMYFUNCTION("""COMPUTED_VALUE"""),3.25)</f>
        <v>3.25</v>
      </c>
      <c r="AF144" s="33">
        <f>IFERROR(__xludf.DUMMYFUNCTION("""COMPUTED_VALUE"""),6.0)</f>
        <v>6</v>
      </c>
    </row>
    <row r="145">
      <c r="A145" s="49">
        <f>IFERROR(__xludf.DUMMYFUNCTION("""COMPUTED_VALUE"""),46118.0)</f>
        <v>46118</v>
      </c>
      <c r="B145" s="33" t="str">
        <f>IFERROR(__xludf.DUMMYFUNCTION("""COMPUTED_VALUE"""),"5066c0736f9e9444f2b4da840d6860b1f7f47d11")</f>
        <v>5066c0736f9e9444f2b4da840d6860b1f7f47d11</v>
      </c>
      <c r="C145" s="33" t="str">
        <f>IFERROR(__xludf.DUMMYFUNCTION("""COMPUTED_VALUE"""),"The Warrior | Author - Dayaram Prajapati - Replica (For Production Only)")</f>
        <v>The Warrior | Author - Dayaram Prajapati - Replica (For Production Only)</v>
      </c>
      <c r="D145" s="33">
        <f>IFERROR(__xludf.DUMMYFUNCTION("""COMPUTED_VALUE"""),21.0)</f>
        <v>21</v>
      </c>
      <c r="E145" s="33">
        <f>IFERROR(__xludf.DUMMYFUNCTION("""COMPUTED_VALUE"""),19.0)</f>
        <v>19</v>
      </c>
      <c r="F145" s="33">
        <f>IFERROR(__xludf.DUMMYFUNCTION("""COMPUTED_VALUE"""),14.0)</f>
        <v>14</v>
      </c>
      <c r="G145" s="33">
        <f>IFERROR(__xludf.DUMMYFUNCTION("""COMPUTED_VALUE"""),19.0)</f>
        <v>19</v>
      </c>
      <c r="H145" s="33">
        <f>IFERROR(__xludf.DUMMYFUNCTION("""COMPUTED_VALUE"""),24.0)</f>
        <v>24</v>
      </c>
      <c r="I145" s="33">
        <f>IFERROR(__xludf.DUMMYFUNCTION("""COMPUTED_VALUE"""),6.0)</f>
        <v>6</v>
      </c>
      <c r="J145" s="33">
        <f>IFERROR(__xludf.DUMMYFUNCTION("""COMPUTED_VALUE"""),22.0)</f>
        <v>22</v>
      </c>
      <c r="K145" s="33">
        <f>IFERROR(__xludf.DUMMYFUNCTION("""COMPUTED_VALUE"""),9.0)</f>
        <v>9</v>
      </c>
      <c r="L145" s="33">
        <f>IFERROR(__xludf.DUMMYFUNCTION("""COMPUTED_VALUE"""),1.0)</f>
        <v>1</v>
      </c>
      <c r="M145" s="33">
        <f>IFERROR(__xludf.DUMMYFUNCTION("""COMPUTED_VALUE"""),23.0)</f>
        <v>23</v>
      </c>
      <c r="N145" s="33">
        <f>IFERROR(__xludf.DUMMYFUNCTION("""COMPUTED_VALUE"""),24.0)</f>
        <v>24</v>
      </c>
      <c r="O145" s="33">
        <f>IFERROR(__xludf.DUMMYFUNCTION("""COMPUTED_VALUE"""),7.0)</f>
        <v>7</v>
      </c>
      <c r="P145" s="33">
        <f>IFERROR(__xludf.DUMMYFUNCTION("""COMPUTED_VALUE"""),24.0)</f>
        <v>24</v>
      </c>
      <c r="Q145" s="33">
        <f>IFERROR(__xludf.DUMMYFUNCTION("""COMPUTED_VALUE"""),0.0)</f>
        <v>0</v>
      </c>
      <c r="R145" s="33">
        <f>IFERROR(__xludf.DUMMYFUNCTION("""COMPUTED_VALUE"""),62437.0)</f>
        <v>62437</v>
      </c>
      <c r="S145" s="33">
        <f>IFERROR(__xludf.DUMMYFUNCTION("""COMPUTED_VALUE"""),58951.0)</f>
        <v>58951</v>
      </c>
      <c r="T145" s="33">
        <f>IFERROR(__xludf.DUMMYFUNCTION("""COMPUTED_VALUE"""),5.71861111111111)</f>
        <v>5.718611111</v>
      </c>
      <c r="U145" s="33">
        <f>IFERROR(__xludf.DUMMYFUNCTION("""COMPUTED_VALUE"""),4.30611111111111)</f>
        <v>4.306111111</v>
      </c>
      <c r="V145" s="33">
        <f>IFERROR(__xludf.DUMMYFUNCTION("""COMPUTED_VALUE"""),5.61027777777777)</f>
        <v>5.610277778</v>
      </c>
      <c r="W145" s="33">
        <f>IFERROR(__xludf.DUMMYFUNCTION("""COMPUTED_VALUE"""),7.02194444444444)</f>
        <v>7.021944444</v>
      </c>
      <c r="X145" s="33">
        <f>IFERROR(__xludf.DUMMYFUNCTION("""COMPUTED_VALUE"""),1.70972222222222)</f>
        <v>1.709722222</v>
      </c>
      <c r="Y145" s="33">
        <f>IFERROR(__xludf.DUMMYFUNCTION("""COMPUTED_VALUE"""),6.50083333333333)</f>
        <v>6.500833333</v>
      </c>
      <c r="Z145" s="33">
        <f>IFERROR(__xludf.DUMMYFUNCTION("""COMPUTED_VALUE"""),2.52222222222222)</f>
        <v>2.522222222</v>
      </c>
      <c r="AA145" s="33">
        <f>IFERROR(__xludf.DUMMYFUNCTION("""COMPUTED_VALUE"""),0.286944444444444)</f>
        <v>0.2869444444</v>
      </c>
      <c r="AB145" s="33">
        <f>IFERROR(__xludf.DUMMYFUNCTION("""COMPUTED_VALUE"""),6.77166666666666)</f>
        <v>6.771666667</v>
      </c>
      <c r="AC145" s="33">
        <f>IFERROR(__xludf.DUMMYFUNCTION("""COMPUTED_VALUE"""),7.04111111111111)</f>
        <v>7.041111111</v>
      </c>
      <c r="AD145" s="33">
        <f>IFERROR(__xludf.DUMMYFUNCTION("""COMPUTED_VALUE"""),1.68583333333333)</f>
        <v>1.685833333</v>
      </c>
      <c r="AE145" s="33">
        <f>IFERROR(__xludf.DUMMYFUNCTION("""COMPUTED_VALUE"""),7.04111111111111)</f>
        <v>7.041111111</v>
      </c>
      <c r="AF145" s="33">
        <f>IFERROR(__xludf.DUMMYFUNCTION("""COMPUTED_VALUE"""),19.0)</f>
        <v>19</v>
      </c>
    </row>
    <row r="146">
      <c r="A146" s="49">
        <f>IFERROR(__xludf.DUMMYFUNCTION("""COMPUTED_VALUE"""),46118.0)</f>
        <v>46118</v>
      </c>
      <c r="B146" s="33" t="str">
        <f>IFERROR(__xludf.DUMMYFUNCTION("""COMPUTED_VALUE"""),"54847eda0794e861da74c1034ace021b4643357b")</f>
        <v>54847eda0794e861da74c1034ace021b4643357b</v>
      </c>
      <c r="C146" s="33" t="str">
        <f>IFERROR(__xludf.DUMMYFUNCTION("""COMPUTED_VALUE"""),"Billionaire King's Love (Production)")</f>
        <v>Billionaire King's Love (Production)</v>
      </c>
      <c r="D146" s="33">
        <f>IFERROR(__xludf.DUMMYFUNCTION("""COMPUTED_VALUE"""),0.0)</f>
        <v>0</v>
      </c>
      <c r="E146" s="33">
        <f>IFERROR(__xludf.DUMMYFUNCTION("""COMPUTED_VALUE"""),7.0)</f>
        <v>7</v>
      </c>
      <c r="F146" s="33">
        <f>IFERROR(__xludf.DUMMYFUNCTION("""COMPUTED_VALUE"""),5.0)</f>
        <v>5</v>
      </c>
      <c r="G146" s="33">
        <f>IFERROR(__xludf.DUMMYFUNCTION("""COMPUTED_VALUE"""),10.0)</f>
        <v>10</v>
      </c>
      <c r="H146" s="33">
        <f>IFERROR(__xludf.DUMMYFUNCTION("""COMPUTED_VALUE"""),19.0)</f>
        <v>19</v>
      </c>
      <c r="I146" s="33">
        <f>IFERROR(__xludf.DUMMYFUNCTION("""COMPUTED_VALUE"""),13.0)</f>
        <v>13</v>
      </c>
      <c r="J146" s="33">
        <f>IFERROR(__xludf.DUMMYFUNCTION("""COMPUTED_VALUE"""),13.0)</f>
        <v>13</v>
      </c>
      <c r="K146" s="33">
        <f>IFERROR(__xludf.DUMMYFUNCTION("""COMPUTED_VALUE"""),3.0)</f>
        <v>3</v>
      </c>
      <c r="L146" s="33">
        <f>IFERROR(__xludf.DUMMYFUNCTION("""COMPUTED_VALUE"""),2.0)</f>
        <v>2</v>
      </c>
      <c r="M146" s="33">
        <f>IFERROR(__xludf.DUMMYFUNCTION("""COMPUTED_VALUE"""),16.0)</f>
        <v>16</v>
      </c>
      <c r="N146" s="33">
        <f>IFERROR(__xludf.DUMMYFUNCTION("""COMPUTED_VALUE"""),15.0)</f>
        <v>15</v>
      </c>
      <c r="O146" s="33">
        <f>IFERROR(__xludf.DUMMYFUNCTION("""COMPUTED_VALUE"""),7.0)</f>
        <v>7</v>
      </c>
      <c r="P146" s="33">
        <f>IFERROR(__xludf.DUMMYFUNCTION("""COMPUTED_VALUE"""),15.0)</f>
        <v>15</v>
      </c>
      <c r="Q146" s="33">
        <f>IFERROR(__xludf.DUMMYFUNCTION("""COMPUTED_VALUE"""),0.0)</f>
        <v>0</v>
      </c>
      <c r="R146" s="33">
        <f>IFERROR(__xludf.DUMMYFUNCTION("""COMPUTED_VALUE"""),0.0)</f>
        <v>0</v>
      </c>
      <c r="S146" s="33">
        <f>IFERROR(__xludf.DUMMYFUNCTION("""COMPUTED_VALUE"""),16950.0)</f>
        <v>16950</v>
      </c>
      <c r="T146" s="33">
        <f>IFERROR(__xludf.DUMMYFUNCTION("""COMPUTED_VALUE"""),1.05361111111111)</f>
        <v>1.053611111</v>
      </c>
      <c r="U146" s="33">
        <f>IFERROR(__xludf.DUMMYFUNCTION("""COMPUTED_VALUE"""),1.05361111111111)</f>
        <v>1.053611111</v>
      </c>
      <c r="V146" s="33">
        <f>IFERROR(__xludf.DUMMYFUNCTION("""COMPUTED_VALUE"""),1.91222222222222)</f>
        <v>1.912222222</v>
      </c>
      <c r="W146" s="33">
        <f>IFERROR(__xludf.DUMMYFUNCTION("""COMPUTED_VALUE"""),3.70277777777777)</f>
        <v>3.702777778</v>
      </c>
      <c r="X146" s="33">
        <f>IFERROR(__xludf.DUMMYFUNCTION("""COMPUTED_VALUE"""),2.61277777777777)</f>
        <v>2.612777778</v>
      </c>
      <c r="Y146" s="33">
        <f>IFERROR(__xludf.DUMMYFUNCTION("""COMPUTED_VALUE"""),2.36916666666666)</f>
        <v>2.369166667</v>
      </c>
      <c r="Z146" s="33">
        <f>IFERROR(__xludf.DUMMYFUNCTION("""COMPUTED_VALUE"""),0.554166666666666)</f>
        <v>0.5541666667</v>
      </c>
      <c r="AA146" s="33">
        <f>IFERROR(__xludf.DUMMYFUNCTION("""COMPUTED_VALUE"""),0.360277777777777)</f>
        <v>0.3602777778</v>
      </c>
      <c r="AB146" s="33">
        <f>IFERROR(__xludf.DUMMYFUNCTION("""COMPUTED_VALUE"""),2.96416666666666)</f>
        <v>2.964166667</v>
      </c>
      <c r="AC146" s="33">
        <f>IFERROR(__xludf.DUMMYFUNCTION("""COMPUTED_VALUE"""),2.7775)</f>
        <v>2.7775</v>
      </c>
      <c r="AD146" s="33">
        <f>IFERROR(__xludf.DUMMYFUNCTION("""COMPUTED_VALUE"""),1.52083333333333)</f>
        <v>1.520833333</v>
      </c>
      <c r="AE146" s="33">
        <f>IFERROR(__xludf.DUMMYFUNCTION("""COMPUTED_VALUE"""),2.7775)</f>
        <v>2.7775</v>
      </c>
      <c r="AF146" s="33">
        <f>IFERROR(__xludf.DUMMYFUNCTION("""COMPUTED_VALUE"""),5.0)</f>
        <v>5</v>
      </c>
    </row>
    <row r="147">
      <c r="A147" s="49">
        <f>IFERROR(__xludf.DUMMYFUNCTION("""COMPUTED_VALUE"""),46118.0)</f>
        <v>46118</v>
      </c>
      <c r="B147" s="33" t="str">
        <f>IFERROR(__xludf.DUMMYFUNCTION("""COMPUTED_VALUE"""),"5baf4c80faf4b2d4eb9401a1d0081872e0158e89")</f>
        <v>5baf4c80faf4b2d4eb9401a1d0081872e0158e89</v>
      </c>
      <c r="C147" s="33" t="str">
        <f>IFERROR(__xludf.DUMMYFUNCTION("""COMPUTED_VALUE"""),"Brahmyodha : The Destroyer - Production showId")</f>
        <v>Brahmyodha : The Destroyer - Production showId</v>
      </c>
      <c r="D147" s="33">
        <f>IFERROR(__xludf.DUMMYFUNCTION("""COMPUTED_VALUE"""),32.0)</f>
        <v>32</v>
      </c>
      <c r="E147" s="33">
        <f>IFERROR(__xludf.DUMMYFUNCTION("""COMPUTED_VALUE"""),34.0)</f>
        <v>34</v>
      </c>
      <c r="F147" s="33">
        <f>IFERROR(__xludf.DUMMYFUNCTION("""COMPUTED_VALUE"""),6.0)</f>
        <v>6</v>
      </c>
      <c r="G147" s="33">
        <f>IFERROR(__xludf.DUMMYFUNCTION("""COMPUTED_VALUE"""),0.0)</f>
        <v>0</v>
      </c>
      <c r="H147" s="33">
        <f>IFERROR(__xludf.DUMMYFUNCTION("""COMPUTED_VALUE"""),20.0)</f>
        <v>20</v>
      </c>
      <c r="I147" s="33">
        <f>IFERROR(__xludf.DUMMYFUNCTION("""COMPUTED_VALUE"""),15.0)</f>
        <v>15</v>
      </c>
      <c r="J147" s="33">
        <f>IFERROR(__xludf.DUMMYFUNCTION("""COMPUTED_VALUE"""),20.0)</f>
        <v>20</v>
      </c>
      <c r="K147" s="33">
        <f>IFERROR(__xludf.DUMMYFUNCTION("""COMPUTED_VALUE"""),4.0)</f>
        <v>4</v>
      </c>
      <c r="L147" s="33">
        <f>IFERROR(__xludf.DUMMYFUNCTION("""COMPUTED_VALUE"""),0.0)</f>
        <v>0</v>
      </c>
      <c r="M147" s="33">
        <f>IFERROR(__xludf.DUMMYFUNCTION("""COMPUTED_VALUE"""),22.0)</f>
        <v>22</v>
      </c>
      <c r="N147" s="33">
        <f>IFERROR(__xludf.DUMMYFUNCTION("""COMPUTED_VALUE"""),22.0)</f>
        <v>22</v>
      </c>
      <c r="O147" s="33">
        <f>IFERROR(__xludf.DUMMYFUNCTION("""COMPUTED_VALUE"""),6.0)</f>
        <v>6</v>
      </c>
      <c r="P147" s="33">
        <f>IFERROR(__xludf.DUMMYFUNCTION("""COMPUTED_VALUE"""),22.0)</f>
        <v>22</v>
      </c>
      <c r="Q147" s="33">
        <f>IFERROR(__xludf.DUMMYFUNCTION("""COMPUTED_VALUE"""),0.0)</f>
        <v>0</v>
      </c>
      <c r="R147" s="33">
        <f>IFERROR(__xludf.DUMMYFUNCTION("""COMPUTED_VALUE"""),71804.0)</f>
        <v>71804</v>
      </c>
      <c r="S147" s="33">
        <f>IFERROR(__xludf.DUMMYFUNCTION("""COMPUTED_VALUE"""),76453.0)</f>
        <v>76453</v>
      </c>
      <c r="T147" s="33">
        <f>IFERROR(__xludf.DUMMYFUNCTION("""COMPUTED_VALUE"""),4.07)</f>
        <v>4.07</v>
      </c>
      <c r="U147" s="33">
        <f>IFERROR(__xludf.DUMMYFUNCTION("""COMPUTED_VALUE"""),1.4025)</f>
        <v>1.4025</v>
      </c>
      <c r="V147" s="33">
        <f>IFERROR(__xludf.DUMMYFUNCTION("""COMPUTED_VALUE"""),0.0)</f>
        <v>0</v>
      </c>
      <c r="W147" s="33">
        <f>IFERROR(__xludf.DUMMYFUNCTION("""COMPUTED_VALUE"""),4.5225)</f>
        <v>4.5225</v>
      </c>
      <c r="X147" s="33">
        <f>IFERROR(__xludf.DUMMYFUNCTION("""COMPUTED_VALUE"""),3.37166666666666)</f>
        <v>3.371666667</v>
      </c>
      <c r="Y147" s="33">
        <f>IFERROR(__xludf.DUMMYFUNCTION("""COMPUTED_VALUE"""),4.54138888888888)</f>
        <v>4.541388889</v>
      </c>
      <c r="Z147" s="33">
        <f>IFERROR(__xludf.DUMMYFUNCTION("""COMPUTED_VALUE"""),0.926666666666666)</f>
        <v>0.9266666667</v>
      </c>
      <c r="AA147" s="33">
        <f>IFERROR(__xludf.DUMMYFUNCTION("""COMPUTED_VALUE"""),0.0)</f>
        <v>0</v>
      </c>
      <c r="AB147" s="33">
        <f>IFERROR(__xludf.DUMMYFUNCTION("""COMPUTED_VALUE"""),4.98055555555555)</f>
        <v>4.980555556</v>
      </c>
      <c r="AC147" s="33">
        <f>IFERROR(__xludf.DUMMYFUNCTION("""COMPUTED_VALUE"""),4.98055555555555)</f>
        <v>4.980555556</v>
      </c>
      <c r="AD147" s="33">
        <f>IFERROR(__xludf.DUMMYFUNCTION("""COMPUTED_VALUE"""),1.25861111111111)</f>
        <v>1.258611111</v>
      </c>
      <c r="AE147" s="33">
        <f>IFERROR(__xludf.DUMMYFUNCTION("""COMPUTED_VALUE"""),4.98055555555555)</f>
        <v>4.980555556</v>
      </c>
      <c r="AF147" s="33">
        <f>IFERROR(__xludf.DUMMYFUNCTION("""COMPUTED_VALUE"""),18.0)</f>
        <v>18</v>
      </c>
    </row>
    <row r="148">
      <c r="A148" s="49">
        <f>IFERROR(__xludf.DUMMYFUNCTION("""COMPUTED_VALUE"""),46118.0)</f>
        <v>46118</v>
      </c>
      <c r="B148" s="33" t="str">
        <f>IFERROR(__xludf.DUMMYFUNCTION("""COMPUTED_VALUE"""),"641b6f77fd211e92df35a3bcbab67e6879e19a66")</f>
        <v>641b6f77fd211e92df35a3bcbab67e6879e19a66</v>
      </c>
      <c r="C148" s="33" t="str">
        <f>IFERROR(__xludf.DUMMYFUNCTION("""COMPUTED_VALUE"""),"Mahagatha | महागाथा | Author - S. Mauryavanshi")</f>
        <v>Mahagatha | महागाथा | Author - S. Mauryavanshi</v>
      </c>
      <c r="D148" s="33">
        <f>IFERROR(__xludf.DUMMYFUNCTION("""COMPUTED_VALUE"""),15.0)</f>
        <v>15</v>
      </c>
      <c r="E148" s="33">
        <f>IFERROR(__xludf.DUMMYFUNCTION("""COMPUTED_VALUE"""),13.0)</f>
        <v>13</v>
      </c>
      <c r="F148" s="33">
        <f>IFERROR(__xludf.DUMMYFUNCTION("""COMPUTED_VALUE"""),4.0)</f>
        <v>4</v>
      </c>
      <c r="G148" s="33">
        <f>IFERROR(__xludf.DUMMYFUNCTION("""COMPUTED_VALUE"""),0.0)</f>
        <v>0</v>
      </c>
      <c r="H148" s="33">
        <f>IFERROR(__xludf.DUMMYFUNCTION("""COMPUTED_VALUE"""),15.0)</f>
        <v>15</v>
      </c>
      <c r="I148" s="33">
        <f>IFERROR(__xludf.DUMMYFUNCTION("""COMPUTED_VALUE"""),13.0)</f>
        <v>13</v>
      </c>
      <c r="J148" s="33">
        <f>IFERROR(__xludf.DUMMYFUNCTION("""COMPUTED_VALUE"""),15.0)</f>
        <v>15</v>
      </c>
      <c r="K148" s="33">
        <f>IFERROR(__xludf.DUMMYFUNCTION("""COMPUTED_VALUE"""),7.0)</f>
        <v>7</v>
      </c>
      <c r="L148" s="33">
        <f>IFERROR(__xludf.DUMMYFUNCTION("""COMPUTED_VALUE"""),0.0)</f>
        <v>0</v>
      </c>
      <c r="M148" s="33">
        <f>IFERROR(__xludf.DUMMYFUNCTION("""COMPUTED_VALUE"""),12.0)</f>
        <v>12</v>
      </c>
      <c r="N148" s="33">
        <f>IFERROR(__xludf.DUMMYFUNCTION("""COMPUTED_VALUE"""),15.0)</f>
        <v>15</v>
      </c>
      <c r="O148" s="33">
        <f>IFERROR(__xludf.DUMMYFUNCTION("""COMPUTED_VALUE"""),5.0)</f>
        <v>5</v>
      </c>
      <c r="P148" s="33">
        <f>IFERROR(__xludf.DUMMYFUNCTION("""COMPUTED_VALUE"""),15.0)</f>
        <v>15</v>
      </c>
      <c r="Q148" s="33">
        <f>IFERROR(__xludf.DUMMYFUNCTION("""COMPUTED_VALUE"""),0.0)</f>
        <v>0</v>
      </c>
      <c r="R148" s="33">
        <f>IFERROR(__xludf.DUMMYFUNCTION("""COMPUTED_VALUE"""),32045.0)</f>
        <v>32045</v>
      </c>
      <c r="S148" s="33">
        <f>IFERROR(__xludf.DUMMYFUNCTION("""COMPUTED_VALUE"""),32137.0)</f>
        <v>32137</v>
      </c>
      <c r="T148" s="33">
        <f>IFERROR(__xludf.DUMMYFUNCTION("""COMPUTED_VALUE"""),3.71388888888888)</f>
        <v>3.713888889</v>
      </c>
      <c r="U148" s="33">
        <f>IFERROR(__xludf.DUMMYFUNCTION("""COMPUTED_VALUE"""),1.015)</f>
        <v>1.015</v>
      </c>
      <c r="V148" s="33">
        <f>IFERROR(__xludf.DUMMYFUNCTION("""COMPUTED_VALUE"""),0.0)</f>
        <v>0</v>
      </c>
      <c r="W148" s="33">
        <f>IFERROR(__xludf.DUMMYFUNCTION("""COMPUTED_VALUE"""),3.71305555555555)</f>
        <v>3.713055556</v>
      </c>
      <c r="X148" s="33">
        <f>IFERROR(__xludf.DUMMYFUNCTION("""COMPUTED_VALUE"""),3.22749999999999)</f>
        <v>3.2275</v>
      </c>
      <c r="Y148" s="33">
        <f>IFERROR(__xludf.DUMMYFUNCTION("""COMPUTED_VALUE"""),3.70749999999999)</f>
        <v>3.7075</v>
      </c>
      <c r="Z148" s="33">
        <f>IFERROR(__xludf.DUMMYFUNCTION("""COMPUTED_VALUE"""),1.74888888888888)</f>
        <v>1.748888889</v>
      </c>
      <c r="AA148" s="33">
        <f>IFERROR(__xludf.DUMMYFUNCTION("""COMPUTED_VALUE"""),0.0)</f>
        <v>0</v>
      </c>
      <c r="AB148" s="33">
        <f>IFERROR(__xludf.DUMMYFUNCTION("""COMPUTED_VALUE"""),2.99777777777777)</f>
        <v>2.997777778</v>
      </c>
      <c r="AC148" s="33">
        <f>IFERROR(__xludf.DUMMYFUNCTION("""COMPUTED_VALUE"""),3.7075)</f>
        <v>3.7075</v>
      </c>
      <c r="AD148" s="33">
        <f>IFERROR(__xludf.DUMMYFUNCTION("""COMPUTED_VALUE"""),1.12722222222222)</f>
        <v>1.127222222</v>
      </c>
      <c r="AE148" s="33">
        <f>IFERROR(__xludf.DUMMYFUNCTION("""COMPUTED_VALUE"""),3.7075)</f>
        <v>3.7075</v>
      </c>
      <c r="AF148" s="33">
        <f>IFERROR(__xludf.DUMMYFUNCTION("""COMPUTED_VALUE"""),15.0)</f>
        <v>15</v>
      </c>
    </row>
    <row r="149">
      <c r="A149" s="49">
        <f>IFERROR(__xludf.DUMMYFUNCTION("""COMPUTED_VALUE"""),46118.0)</f>
        <v>46118</v>
      </c>
      <c r="B149" s="33" t="str">
        <f>IFERROR(__xludf.DUMMYFUNCTION("""COMPUTED_VALUE"""),"6b246320a4c5853ce55127d5e00ee8805a97659a")</f>
        <v>6b246320a4c5853ce55127d5e00ee8805a97659a</v>
      </c>
      <c r="C149" s="33" t="str">
        <f>IFERROR(__xludf.DUMMYFUNCTION("""COMPUTED_VALUE"""),"Mystic Fate System - Production Show_id")</f>
        <v>Mystic Fate System - Production Show_id</v>
      </c>
      <c r="D149" s="33">
        <f>IFERROR(__xludf.DUMMYFUNCTION("""COMPUTED_VALUE"""),0.0)</f>
        <v>0</v>
      </c>
      <c r="E149" s="33">
        <f>IFERROR(__xludf.DUMMYFUNCTION("""COMPUTED_VALUE"""),10.0)</f>
        <v>10</v>
      </c>
      <c r="F149" s="33">
        <f>IFERROR(__xludf.DUMMYFUNCTION("""COMPUTED_VALUE"""),14.0)</f>
        <v>14</v>
      </c>
      <c r="G149" s="33">
        <f>IFERROR(__xludf.DUMMYFUNCTION("""COMPUTED_VALUE"""),21.0)</f>
        <v>21</v>
      </c>
      <c r="H149" s="33">
        <f>IFERROR(__xludf.DUMMYFUNCTION("""COMPUTED_VALUE"""),21.0)</f>
        <v>21</v>
      </c>
      <c r="I149" s="33">
        <f>IFERROR(__xludf.DUMMYFUNCTION("""COMPUTED_VALUE"""),0.0)</f>
        <v>0</v>
      </c>
      <c r="J149" s="33">
        <f>IFERROR(__xludf.DUMMYFUNCTION("""COMPUTED_VALUE"""),21.0)</f>
        <v>21</v>
      </c>
      <c r="K149" s="33">
        <f>IFERROR(__xludf.DUMMYFUNCTION("""COMPUTED_VALUE"""),4.0)</f>
        <v>4</v>
      </c>
      <c r="L149" s="33">
        <f>IFERROR(__xludf.DUMMYFUNCTION("""COMPUTED_VALUE"""),3.0)</f>
        <v>3</v>
      </c>
      <c r="M149" s="33">
        <f>IFERROR(__xludf.DUMMYFUNCTION("""COMPUTED_VALUE"""),11.0)</f>
        <v>11</v>
      </c>
      <c r="N149" s="33">
        <f>IFERROR(__xludf.DUMMYFUNCTION("""COMPUTED_VALUE"""),21.0)</f>
        <v>21</v>
      </c>
      <c r="O149" s="33">
        <f>IFERROR(__xludf.DUMMYFUNCTION("""COMPUTED_VALUE"""),3.0)</f>
        <v>3</v>
      </c>
      <c r="P149" s="33">
        <f>IFERROR(__xludf.DUMMYFUNCTION("""COMPUTED_VALUE"""),21.0)</f>
        <v>21</v>
      </c>
      <c r="Q149" s="33">
        <f>IFERROR(__xludf.DUMMYFUNCTION("""COMPUTED_VALUE"""),0.0)</f>
        <v>0</v>
      </c>
      <c r="R149" s="33">
        <f>IFERROR(__xludf.DUMMYFUNCTION("""COMPUTED_VALUE"""),0.0)</f>
        <v>0</v>
      </c>
      <c r="S149" s="33">
        <f>IFERROR(__xludf.DUMMYFUNCTION("""COMPUTED_VALUE"""),20635.0)</f>
        <v>20635</v>
      </c>
      <c r="T149" s="33">
        <f>IFERROR(__xludf.DUMMYFUNCTION("""COMPUTED_VALUE"""),3.71611111111111)</f>
        <v>3.716111111</v>
      </c>
      <c r="U149" s="33">
        <f>IFERROR(__xludf.DUMMYFUNCTION("""COMPUTED_VALUE"""),3.71611111111111)</f>
        <v>3.716111111</v>
      </c>
      <c r="V149" s="33">
        <f>IFERROR(__xludf.DUMMYFUNCTION("""COMPUTED_VALUE"""),5.34722222222222)</f>
        <v>5.347222222</v>
      </c>
      <c r="W149" s="33">
        <f>IFERROR(__xludf.DUMMYFUNCTION("""COMPUTED_VALUE"""),5.34722222222222)</f>
        <v>5.347222222</v>
      </c>
      <c r="X149" s="33">
        <f>IFERROR(__xludf.DUMMYFUNCTION("""COMPUTED_VALUE"""),0.0)</f>
        <v>0</v>
      </c>
      <c r="Y149" s="33">
        <f>IFERROR(__xludf.DUMMYFUNCTION("""COMPUTED_VALUE"""),5.35305555555555)</f>
        <v>5.353055556</v>
      </c>
      <c r="Z149" s="33">
        <f>IFERROR(__xludf.DUMMYFUNCTION("""COMPUTED_VALUE"""),0.998333333333333)</f>
        <v>0.9983333333</v>
      </c>
      <c r="AA149" s="33">
        <f>IFERROR(__xludf.DUMMYFUNCTION("""COMPUTED_VALUE"""),0.682222222222222)</f>
        <v>0.6822222222</v>
      </c>
      <c r="AB149" s="33">
        <f>IFERROR(__xludf.DUMMYFUNCTION("""COMPUTED_VALUE"""),2.91305555555555)</f>
        <v>2.913055556</v>
      </c>
      <c r="AC149" s="33">
        <f>IFERROR(__xludf.DUMMYFUNCTION("""COMPUTED_VALUE"""),5.32805555555555)</f>
        <v>5.328055556</v>
      </c>
      <c r="AD149" s="33">
        <f>IFERROR(__xludf.DUMMYFUNCTION("""COMPUTED_VALUE"""),0.916111111111111)</f>
        <v>0.9161111111</v>
      </c>
      <c r="AE149" s="33">
        <f>IFERROR(__xludf.DUMMYFUNCTION("""COMPUTED_VALUE"""),5.32805555555555)</f>
        <v>5.328055556</v>
      </c>
      <c r="AF149" s="33">
        <f>IFERROR(__xludf.DUMMYFUNCTION("""COMPUTED_VALUE"""),14.0)</f>
        <v>14</v>
      </c>
    </row>
    <row r="150">
      <c r="A150" s="49">
        <f>IFERROR(__xludf.DUMMYFUNCTION("""COMPUTED_VALUE"""),46118.0)</f>
        <v>46118</v>
      </c>
      <c r="B150" s="33" t="str">
        <f>IFERROR(__xludf.DUMMYFUNCTION("""COMPUTED_VALUE"""),"7ea3277f02ef13c60cfa72336d009bf7ee6c17e8")</f>
        <v>7ea3277f02ef13c60cfa72336d009bf7ee6c17e8</v>
      </c>
      <c r="C150" s="33" t="str">
        <f>IFERROR(__xludf.DUMMYFUNCTION("""COMPUTED_VALUE"""),"Saaya the Dark Love - Production Show_id")</f>
        <v>Saaya the Dark Love - Production Show_id</v>
      </c>
      <c r="D150" s="33">
        <f>IFERROR(__xludf.DUMMYFUNCTION("""COMPUTED_VALUE"""),11.0)</f>
        <v>11</v>
      </c>
      <c r="E150" s="33">
        <f>IFERROR(__xludf.DUMMYFUNCTION("""COMPUTED_VALUE"""),8.0)</f>
        <v>8</v>
      </c>
      <c r="F150" s="33">
        <f>IFERROR(__xludf.DUMMYFUNCTION("""COMPUTED_VALUE"""),3.0)</f>
        <v>3</v>
      </c>
      <c r="G150" s="33">
        <f>IFERROR(__xludf.DUMMYFUNCTION("""COMPUTED_VALUE"""),0.0)</f>
        <v>0</v>
      </c>
      <c r="H150" s="33">
        <f>IFERROR(__xludf.DUMMYFUNCTION("""COMPUTED_VALUE"""),5.0)</f>
        <v>5</v>
      </c>
      <c r="I150" s="33">
        <f>IFERROR(__xludf.DUMMYFUNCTION("""COMPUTED_VALUE"""),5.0)</f>
        <v>5</v>
      </c>
      <c r="J150" s="33">
        <f>IFERROR(__xludf.DUMMYFUNCTION("""COMPUTED_VALUE"""),5.0)</f>
        <v>5</v>
      </c>
      <c r="K150" s="33">
        <f>IFERROR(__xludf.DUMMYFUNCTION("""COMPUTED_VALUE"""),1.0)</f>
        <v>1</v>
      </c>
      <c r="L150" s="33">
        <f>IFERROR(__xludf.DUMMYFUNCTION("""COMPUTED_VALUE"""),0.0)</f>
        <v>0</v>
      </c>
      <c r="M150" s="33">
        <f>IFERROR(__xludf.DUMMYFUNCTION("""COMPUTED_VALUE"""),1.0)</f>
        <v>1</v>
      </c>
      <c r="N150" s="33">
        <f>IFERROR(__xludf.DUMMYFUNCTION("""COMPUTED_VALUE"""),1.0)</f>
        <v>1</v>
      </c>
      <c r="O150" s="33">
        <f>IFERROR(__xludf.DUMMYFUNCTION("""COMPUTED_VALUE"""),7.0)</f>
        <v>7</v>
      </c>
      <c r="P150" s="33">
        <f>IFERROR(__xludf.DUMMYFUNCTION("""COMPUTED_VALUE"""),1.0)</f>
        <v>1</v>
      </c>
      <c r="Q150" s="33">
        <f>IFERROR(__xludf.DUMMYFUNCTION("""COMPUTED_VALUE"""),0.0)</f>
        <v>0</v>
      </c>
      <c r="R150" s="33">
        <f>IFERROR(__xludf.DUMMYFUNCTION("""COMPUTED_VALUE"""),23106.0)</f>
        <v>23106</v>
      </c>
      <c r="S150" s="33">
        <f>IFERROR(__xludf.DUMMYFUNCTION("""COMPUTED_VALUE"""),17385.0)</f>
        <v>17385</v>
      </c>
      <c r="T150" s="33">
        <f>IFERROR(__xludf.DUMMYFUNCTION("""COMPUTED_VALUE"""),1.83388888888888)</f>
        <v>1.833888889</v>
      </c>
      <c r="U150" s="33">
        <f>IFERROR(__xludf.DUMMYFUNCTION("""COMPUTED_VALUE"""),0.67)</f>
        <v>0.67</v>
      </c>
      <c r="V150" s="33">
        <f>IFERROR(__xludf.DUMMYFUNCTION("""COMPUTED_VALUE"""),0.0)</f>
        <v>0</v>
      </c>
      <c r="W150" s="33">
        <f>IFERROR(__xludf.DUMMYFUNCTION("""COMPUTED_VALUE"""),1.10833333333333)</f>
        <v>1.108333333</v>
      </c>
      <c r="X150" s="33">
        <f>IFERROR(__xludf.DUMMYFUNCTION("""COMPUTED_VALUE"""),1.10833333333333)</f>
        <v>1.108333333</v>
      </c>
      <c r="Y150" s="33">
        <f>IFERROR(__xludf.DUMMYFUNCTION("""COMPUTED_VALUE"""),1.115)</f>
        <v>1.115</v>
      </c>
      <c r="Z150" s="33">
        <f>IFERROR(__xludf.DUMMYFUNCTION("""COMPUTED_VALUE"""),0.223055555555555)</f>
        <v>0.2230555556</v>
      </c>
      <c r="AA150" s="33">
        <f>IFERROR(__xludf.DUMMYFUNCTION("""COMPUTED_VALUE"""),0.0)</f>
        <v>0</v>
      </c>
      <c r="AB150" s="33">
        <f>IFERROR(__xludf.DUMMYFUNCTION("""COMPUTED_VALUE"""),0.2175)</f>
        <v>0.2175</v>
      </c>
      <c r="AC150" s="33">
        <f>IFERROR(__xludf.DUMMYFUNCTION("""COMPUTED_VALUE"""),0.2175)</f>
        <v>0.2175</v>
      </c>
      <c r="AD150" s="33">
        <f>IFERROR(__xludf.DUMMYFUNCTION("""COMPUTED_VALUE"""),1.77916666666666)</f>
        <v>1.779166667</v>
      </c>
      <c r="AE150" s="33">
        <f>IFERROR(__xludf.DUMMYFUNCTION("""COMPUTED_VALUE"""),0.2175)</f>
        <v>0.2175</v>
      </c>
      <c r="AF150" s="33">
        <f>IFERROR(__xludf.DUMMYFUNCTION("""COMPUTED_VALUE"""),8.0)</f>
        <v>8</v>
      </c>
    </row>
    <row r="151">
      <c r="A151" s="49">
        <f>IFERROR(__xludf.DUMMYFUNCTION("""COMPUTED_VALUE"""),46118.0)</f>
        <v>46118</v>
      </c>
      <c r="B151" s="33" t="str">
        <f>IFERROR(__xludf.DUMMYFUNCTION("""COMPUTED_VALUE"""),"859785ba4869b28dddcfcb0e75295d1e1ad9b5a9")</f>
        <v>859785ba4869b28dddcfcb0e75295d1e1ad9b5a9</v>
      </c>
      <c r="C151" s="33" t="str">
        <f>IFERROR(__xludf.DUMMYFUNCTION("""COMPUTED_VALUE"""),"King of Dragon | किंग ऑफ ड्रैगन | Author - Nitesh")</f>
        <v>King of Dragon | किंग ऑफ ड्रैगन | Author - Nitesh</v>
      </c>
      <c r="D151" s="33">
        <f>IFERROR(__xludf.DUMMYFUNCTION("""COMPUTED_VALUE"""),0.0)</f>
        <v>0</v>
      </c>
      <c r="E151" s="33">
        <f>IFERROR(__xludf.DUMMYFUNCTION("""COMPUTED_VALUE"""),0.0)</f>
        <v>0</v>
      </c>
      <c r="F151" s="33">
        <f>IFERROR(__xludf.DUMMYFUNCTION("""COMPUTED_VALUE"""),0.0)</f>
        <v>0</v>
      </c>
      <c r="G151" s="33">
        <f>IFERROR(__xludf.DUMMYFUNCTION("""COMPUTED_VALUE"""),0.0)</f>
        <v>0</v>
      </c>
      <c r="H151" s="33">
        <f>IFERROR(__xludf.DUMMYFUNCTION("""COMPUTED_VALUE"""),0.0)</f>
        <v>0</v>
      </c>
      <c r="I151" s="33">
        <f>IFERROR(__xludf.DUMMYFUNCTION("""COMPUTED_VALUE"""),0.0)</f>
        <v>0</v>
      </c>
      <c r="J151" s="33">
        <f>IFERROR(__xludf.DUMMYFUNCTION("""COMPUTED_VALUE"""),0.0)</f>
        <v>0</v>
      </c>
      <c r="K151" s="33">
        <f>IFERROR(__xludf.DUMMYFUNCTION("""COMPUTED_VALUE"""),0.0)</f>
        <v>0</v>
      </c>
      <c r="L151" s="33">
        <f>IFERROR(__xludf.DUMMYFUNCTION("""COMPUTED_VALUE"""),0.0)</f>
        <v>0</v>
      </c>
      <c r="M151" s="33">
        <f>IFERROR(__xludf.DUMMYFUNCTION("""COMPUTED_VALUE"""),0.0)</f>
        <v>0</v>
      </c>
      <c r="N151" s="33">
        <f>IFERROR(__xludf.DUMMYFUNCTION("""COMPUTED_VALUE"""),45.0)</f>
        <v>45</v>
      </c>
      <c r="O151" s="33">
        <f>IFERROR(__xludf.DUMMYFUNCTION("""COMPUTED_VALUE"""),10.0)</f>
        <v>10</v>
      </c>
      <c r="P151" s="33">
        <f>IFERROR(__xludf.DUMMYFUNCTION("""COMPUTED_VALUE"""),10.0)</f>
        <v>10</v>
      </c>
      <c r="Q151" s="33">
        <f>IFERROR(__xludf.DUMMYFUNCTION("""COMPUTED_VALUE"""),0.0)</f>
        <v>0</v>
      </c>
      <c r="R151" s="33">
        <f>IFERROR(__xludf.DUMMYFUNCTION("""COMPUTED_VALUE"""),0.0)</f>
        <v>0</v>
      </c>
      <c r="S151" s="33">
        <f>IFERROR(__xludf.DUMMYFUNCTION("""COMPUTED_VALUE"""),0.0)</f>
        <v>0</v>
      </c>
      <c r="T151" s="33">
        <f>IFERROR(__xludf.DUMMYFUNCTION("""COMPUTED_VALUE"""),0.0)</f>
        <v>0</v>
      </c>
      <c r="U151" s="33">
        <f>IFERROR(__xludf.DUMMYFUNCTION("""COMPUTED_VALUE"""),0.0)</f>
        <v>0</v>
      </c>
      <c r="V151" s="33">
        <f>IFERROR(__xludf.DUMMYFUNCTION("""COMPUTED_VALUE"""),0.0)</f>
        <v>0</v>
      </c>
      <c r="W151" s="33">
        <f>IFERROR(__xludf.DUMMYFUNCTION("""COMPUTED_VALUE"""),0.0)</f>
        <v>0</v>
      </c>
      <c r="X151" s="33">
        <f>IFERROR(__xludf.DUMMYFUNCTION("""COMPUTED_VALUE"""),0.0)</f>
        <v>0</v>
      </c>
      <c r="Y151" s="33">
        <f>IFERROR(__xludf.DUMMYFUNCTION("""COMPUTED_VALUE"""),0.0)</f>
        <v>0</v>
      </c>
      <c r="Z151" s="33">
        <f>IFERROR(__xludf.DUMMYFUNCTION("""COMPUTED_VALUE"""),0.0)</f>
        <v>0</v>
      </c>
      <c r="AA151" s="33">
        <f>IFERROR(__xludf.DUMMYFUNCTION("""COMPUTED_VALUE"""),0.0)</f>
        <v>0</v>
      </c>
      <c r="AB151" s="33">
        <f>IFERROR(__xludf.DUMMYFUNCTION("""COMPUTED_VALUE"""),0.0)</f>
        <v>0</v>
      </c>
      <c r="AC151" s="33">
        <f>IFERROR(__xludf.DUMMYFUNCTION("""COMPUTED_VALUE"""),11.9697222222222)</f>
        <v>11.96972222</v>
      </c>
      <c r="AD151" s="33">
        <f>IFERROR(__xludf.DUMMYFUNCTION("""COMPUTED_VALUE"""),2.31833333333333)</f>
        <v>2.318333333</v>
      </c>
      <c r="AE151" s="33">
        <f>IFERROR(__xludf.DUMMYFUNCTION("""COMPUTED_VALUE"""),2.26916666666666)</f>
        <v>2.269166667</v>
      </c>
      <c r="AF151" s="33">
        <f>IFERROR(__xludf.DUMMYFUNCTION("""COMPUTED_VALUE"""),0.0)</f>
        <v>0</v>
      </c>
    </row>
    <row r="152">
      <c r="A152" s="49">
        <f>IFERROR(__xludf.DUMMYFUNCTION("""COMPUTED_VALUE"""),46118.0)</f>
        <v>46118</v>
      </c>
      <c r="B152" s="33" t="str">
        <f>IFERROR(__xludf.DUMMYFUNCTION("""COMPUTED_VALUE"""),"96f1f89e4494e06fb7f9e3c4645563fa62ef9320")</f>
        <v>96f1f89e4494e06fb7f9e3c4645563fa62ef9320</v>
      </c>
      <c r="C152" s="33" t="str">
        <f>IFERROR(__xludf.DUMMYFUNCTION("""COMPUTED_VALUE"""),"King of Dragon - Production Show_id")</f>
        <v>King of Dragon - Production Show_id</v>
      </c>
      <c r="D152" s="33">
        <f>IFERROR(__xludf.DUMMYFUNCTION("""COMPUTED_VALUE"""),10.0)</f>
        <v>10</v>
      </c>
      <c r="E152" s="33">
        <f>IFERROR(__xludf.DUMMYFUNCTION("""COMPUTED_VALUE"""),9.0)</f>
        <v>9</v>
      </c>
      <c r="F152" s="33">
        <f>IFERROR(__xludf.DUMMYFUNCTION("""COMPUTED_VALUE"""),16.0)</f>
        <v>16</v>
      </c>
      <c r="G152" s="33">
        <f>IFERROR(__xludf.DUMMYFUNCTION("""COMPUTED_VALUE"""),15.0)</f>
        <v>15</v>
      </c>
      <c r="H152" s="33">
        <f>IFERROR(__xludf.DUMMYFUNCTION("""COMPUTED_VALUE"""),16.0)</f>
        <v>16</v>
      </c>
      <c r="I152" s="33">
        <f>IFERROR(__xludf.DUMMYFUNCTION("""COMPUTED_VALUE"""),1.0)</f>
        <v>1</v>
      </c>
      <c r="J152" s="33">
        <f>IFERROR(__xludf.DUMMYFUNCTION("""COMPUTED_VALUE"""),15.0)</f>
        <v>15</v>
      </c>
      <c r="K152" s="33">
        <f>IFERROR(__xludf.DUMMYFUNCTION("""COMPUTED_VALUE"""),17.0)</f>
        <v>17</v>
      </c>
      <c r="L152" s="33">
        <f>IFERROR(__xludf.DUMMYFUNCTION("""COMPUTED_VALUE"""),3.0)</f>
        <v>3</v>
      </c>
      <c r="M152" s="33">
        <f>IFERROR(__xludf.DUMMYFUNCTION("""COMPUTED_VALUE"""),21.0)</f>
        <v>21</v>
      </c>
      <c r="N152" s="33">
        <f>IFERROR(__xludf.DUMMYFUNCTION("""COMPUTED_VALUE"""),21.0)</f>
        <v>21</v>
      </c>
      <c r="O152" s="33">
        <f>IFERROR(__xludf.DUMMYFUNCTION("""COMPUTED_VALUE"""),7.0)</f>
        <v>7</v>
      </c>
      <c r="P152" s="33">
        <f>IFERROR(__xludf.DUMMYFUNCTION("""COMPUTED_VALUE"""),21.0)</f>
        <v>21</v>
      </c>
      <c r="Q152" s="33">
        <f>IFERROR(__xludf.DUMMYFUNCTION("""COMPUTED_VALUE"""),0.0)</f>
        <v>0</v>
      </c>
      <c r="R152" s="33">
        <f>IFERROR(__xludf.DUMMYFUNCTION("""COMPUTED_VALUE"""),23022.0)</f>
        <v>23022</v>
      </c>
      <c r="S152" s="33">
        <f>IFERROR(__xludf.DUMMYFUNCTION("""COMPUTED_VALUE"""),21107.0)</f>
        <v>21107</v>
      </c>
      <c r="T152" s="33">
        <f>IFERROR(__xludf.DUMMYFUNCTION("""COMPUTED_VALUE"""),3.23305555555555)</f>
        <v>3.233055556</v>
      </c>
      <c r="U152" s="33">
        <f>IFERROR(__xludf.DUMMYFUNCTION("""COMPUTED_VALUE"""),4.51083333333333)</f>
        <v>4.510833333</v>
      </c>
      <c r="V152" s="33">
        <f>IFERROR(__xludf.DUMMYFUNCTION("""COMPUTED_VALUE"""),4.22166666666666)</f>
        <v>4.221666667</v>
      </c>
      <c r="W152" s="33">
        <f>IFERROR(__xludf.DUMMYFUNCTION("""COMPUTED_VALUE"""),4.49388888888888)</f>
        <v>4.493888889</v>
      </c>
      <c r="X152" s="33">
        <f>IFERROR(__xludf.DUMMYFUNCTION("""COMPUTED_VALUE"""),0.272222222222222)</f>
        <v>0.2722222222</v>
      </c>
      <c r="Y152" s="33">
        <f>IFERROR(__xludf.DUMMYFUNCTION("""COMPUTED_VALUE"""),4.22388888888888)</f>
        <v>4.223888889</v>
      </c>
      <c r="Z152" s="33">
        <f>IFERROR(__xludf.DUMMYFUNCTION("""COMPUTED_VALUE"""),4.88083333333333)</f>
        <v>4.880833333</v>
      </c>
      <c r="AA152" s="33">
        <f>IFERROR(__xludf.DUMMYFUNCTION("""COMPUTED_VALUE"""),0.846666666666666)</f>
        <v>0.8466666667</v>
      </c>
      <c r="AB152" s="33">
        <f>IFERROR(__xludf.DUMMYFUNCTION("""COMPUTED_VALUE"""),6.00138888888888)</f>
        <v>6.001388889</v>
      </c>
      <c r="AC152" s="33">
        <f>IFERROR(__xludf.DUMMYFUNCTION("""COMPUTED_VALUE"""),6.00138888888888)</f>
        <v>6.001388889</v>
      </c>
      <c r="AD152" s="33">
        <f>IFERROR(__xludf.DUMMYFUNCTION("""COMPUTED_VALUE"""),1.94388888888888)</f>
        <v>1.943888889</v>
      </c>
      <c r="AE152" s="33">
        <f>IFERROR(__xludf.DUMMYFUNCTION("""COMPUTED_VALUE"""),6.00138888888888)</f>
        <v>6.001388889</v>
      </c>
      <c r="AF152" s="33">
        <f>IFERROR(__xludf.DUMMYFUNCTION("""COMPUTED_VALUE"""),12.0)</f>
        <v>12</v>
      </c>
    </row>
    <row r="153">
      <c r="A153" s="49">
        <f>IFERROR(__xludf.DUMMYFUNCTION("""COMPUTED_VALUE"""),46118.0)</f>
        <v>46118</v>
      </c>
      <c r="B153" s="33" t="str">
        <f>IFERROR(__xludf.DUMMYFUNCTION("""COMPUTED_VALUE"""),"a3ba65aa427077188e1ad7dbcbcafae266683ca9")</f>
        <v>a3ba65aa427077188e1ad7dbcbcafae266683ca9</v>
      </c>
      <c r="C153" s="33" t="str">
        <f>IFERROR(__xludf.DUMMYFUNCTION("""COMPUTED_VALUE"""),"The Warrior | Author - Dayaram Prajapati")</f>
        <v>The Warrior | Author - Dayaram Prajapati</v>
      </c>
      <c r="D153" s="33">
        <f>IFERROR(__xludf.DUMMYFUNCTION("""COMPUTED_VALUE"""),14.0)</f>
        <v>14</v>
      </c>
      <c r="E153" s="33">
        <f>IFERROR(__xludf.DUMMYFUNCTION("""COMPUTED_VALUE"""),22.0)</f>
        <v>22</v>
      </c>
      <c r="F153" s="33">
        <f>IFERROR(__xludf.DUMMYFUNCTION("""COMPUTED_VALUE"""),0.0)</f>
        <v>0</v>
      </c>
      <c r="G153" s="33">
        <f>IFERROR(__xludf.DUMMYFUNCTION("""COMPUTED_VALUE"""),0.0)</f>
        <v>0</v>
      </c>
      <c r="H153" s="33">
        <f>IFERROR(__xludf.DUMMYFUNCTION("""COMPUTED_VALUE"""),0.0)</f>
        <v>0</v>
      </c>
      <c r="I153" s="33">
        <f>IFERROR(__xludf.DUMMYFUNCTION("""COMPUTED_VALUE"""),0.0)</f>
        <v>0</v>
      </c>
      <c r="J153" s="33">
        <f>IFERROR(__xludf.DUMMYFUNCTION("""COMPUTED_VALUE"""),0.0)</f>
        <v>0</v>
      </c>
      <c r="K153" s="33">
        <f>IFERROR(__xludf.DUMMYFUNCTION("""COMPUTED_VALUE"""),0.0)</f>
        <v>0</v>
      </c>
      <c r="L153" s="33">
        <f>IFERROR(__xludf.DUMMYFUNCTION("""COMPUTED_VALUE"""),0.0)</f>
        <v>0</v>
      </c>
      <c r="M153" s="33">
        <f>IFERROR(__xludf.DUMMYFUNCTION("""COMPUTED_VALUE"""),14.0)</f>
        <v>14</v>
      </c>
      <c r="N153" s="33">
        <f>IFERROR(__xludf.DUMMYFUNCTION("""COMPUTED_VALUE"""),22.0)</f>
        <v>22</v>
      </c>
      <c r="O153" s="33">
        <f>IFERROR(__xludf.DUMMYFUNCTION("""COMPUTED_VALUE"""),5.0)</f>
        <v>5</v>
      </c>
      <c r="P153" s="33">
        <f>IFERROR(__xludf.DUMMYFUNCTION("""COMPUTED_VALUE"""),22.0)</f>
        <v>22</v>
      </c>
      <c r="Q153" s="33">
        <f>IFERROR(__xludf.DUMMYFUNCTION("""COMPUTED_VALUE"""),0.0)</f>
        <v>0</v>
      </c>
      <c r="R153" s="33">
        <f>IFERROR(__xludf.DUMMYFUNCTION("""COMPUTED_VALUE"""),39224.0)</f>
        <v>39224</v>
      </c>
      <c r="S153" s="33">
        <f>IFERROR(__xludf.DUMMYFUNCTION("""COMPUTED_VALUE"""),65385.0)</f>
        <v>65385</v>
      </c>
      <c r="T153" s="33">
        <f>IFERROR(__xludf.DUMMYFUNCTION("""COMPUTED_VALUE"""),0.0)</f>
        <v>0</v>
      </c>
      <c r="U153" s="33">
        <f>IFERROR(__xludf.DUMMYFUNCTION("""COMPUTED_VALUE"""),0.0)</f>
        <v>0</v>
      </c>
      <c r="V153" s="33">
        <f>IFERROR(__xludf.DUMMYFUNCTION("""COMPUTED_VALUE"""),0.0)</f>
        <v>0</v>
      </c>
      <c r="W153" s="33">
        <f>IFERROR(__xludf.DUMMYFUNCTION("""COMPUTED_VALUE"""),0.0)</f>
        <v>0</v>
      </c>
      <c r="X153" s="33">
        <f>IFERROR(__xludf.DUMMYFUNCTION("""COMPUTED_VALUE"""),0.0)</f>
        <v>0</v>
      </c>
      <c r="Y153" s="33">
        <f>IFERROR(__xludf.DUMMYFUNCTION("""COMPUTED_VALUE"""),0.0)</f>
        <v>0</v>
      </c>
      <c r="Z153" s="33">
        <f>IFERROR(__xludf.DUMMYFUNCTION("""COMPUTED_VALUE"""),0.0)</f>
        <v>0</v>
      </c>
      <c r="AA153" s="33">
        <f>IFERROR(__xludf.DUMMYFUNCTION("""COMPUTED_VALUE"""),0.0)</f>
        <v>0</v>
      </c>
      <c r="AB153" s="33">
        <f>IFERROR(__xludf.DUMMYFUNCTION("""COMPUTED_VALUE"""),4.00527777777777)</f>
        <v>4.005277778</v>
      </c>
      <c r="AC153" s="33">
        <f>IFERROR(__xludf.DUMMYFUNCTION("""COMPUTED_VALUE"""),6.75861111111111)</f>
        <v>6.758611111</v>
      </c>
      <c r="AD153" s="33">
        <f>IFERROR(__xludf.DUMMYFUNCTION("""COMPUTED_VALUE"""),1.16527777777777)</f>
        <v>1.165277778</v>
      </c>
      <c r="AE153" s="33">
        <f>IFERROR(__xludf.DUMMYFUNCTION("""COMPUTED_VALUE"""),6.75861111111111)</f>
        <v>6.758611111</v>
      </c>
      <c r="AF153" s="33">
        <f>IFERROR(__xludf.DUMMYFUNCTION("""COMPUTED_VALUE"""),0.0)</f>
        <v>0</v>
      </c>
    </row>
    <row r="154">
      <c r="A154" s="49">
        <f>IFERROR(__xludf.DUMMYFUNCTION("""COMPUTED_VALUE"""),46118.0)</f>
        <v>46118</v>
      </c>
      <c r="B154" s="33" t="str">
        <f>IFERROR(__xludf.DUMMYFUNCTION("""COMPUTED_VALUE"""),"aa81f1feb820ed6f22bd7b22b55890db740929cb")</f>
        <v>aa81f1feb820ed6f22bd7b22b55890db740929cb</v>
      </c>
      <c r="C154" s="33" t="str">
        <f>IFERROR(__xludf.DUMMYFUNCTION("""COMPUTED_VALUE"""),"Shunya Samrat")</f>
        <v>Shunya Samrat</v>
      </c>
      <c r="D154" s="33">
        <f>IFERROR(__xludf.DUMMYFUNCTION("""COMPUTED_VALUE"""),50.0)</f>
        <v>50</v>
      </c>
      <c r="E154" s="33">
        <f>IFERROR(__xludf.DUMMYFUNCTION("""COMPUTED_VALUE"""),50.0)</f>
        <v>50</v>
      </c>
      <c r="F154" s="33">
        <f>IFERROR(__xludf.DUMMYFUNCTION("""COMPUTED_VALUE"""),0.0)</f>
        <v>0</v>
      </c>
      <c r="G154" s="33">
        <f>IFERROR(__xludf.DUMMYFUNCTION("""COMPUTED_VALUE"""),0.0)</f>
        <v>0</v>
      </c>
      <c r="H154" s="33">
        <f>IFERROR(__xludf.DUMMYFUNCTION("""COMPUTED_VALUE"""),0.0)</f>
        <v>0</v>
      </c>
      <c r="I154" s="33">
        <f>IFERROR(__xludf.DUMMYFUNCTION("""COMPUTED_VALUE"""),0.0)</f>
        <v>0</v>
      </c>
      <c r="J154" s="33">
        <f>IFERROR(__xludf.DUMMYFUNCTION("""COMPUTED_VALUE"""),0.0)</f>
        <v>0</v>
      </c>
      <c r="K154" s="33">
        <f>IFERROR(__xludf.DUMMYFUNCTION("""COMPUTED_VALUE"""),0.0)</f>
        <v>0</v>
      </c>
      <c r="L154" s="33">
        <f>IFERROR(__xludf.DUMMYFUNCTION("""COMPUTED_VALUE"""),0.0)</f>
        <v>0</v>
      </c>
      <c r="M154" s="33">
        <f>IFERROR(__xludf.DUMMYFUNCTION("""COMPUTED_VALUE"""),0.0)</f>
        <v>0</v>
      </c>
      <c r="N154" s="33">
        <f>IFERROR(__xludf.DUMMYFUNCTION("""COMPUTED_VALUE"""),50.0)</f>
        <v>50</v>
      </c>
      <c r="O154" s="33">
        <f>IFERROR(__xludf.DUMMYFUNCTION("""COMPUTED_VALUE"""),5.0)</f>
        <v>5</v>
      </c>
      <c r="P154" s="33">
        <f>IFERROR(__xludf.DUMMYFUNCTION("""COMPUTED_VALUE"""),50.0)</f>
        <v>50</v>
      </c>
      <c r="Q154" s="33">
        <f>IFERROR(__xludf.DUMMYFUNCTION("""COMPUTED_VALUE"""),0.0)</f>
        <v>0</v>
      </c>
      <c r="R154" s="33">
        <f>IFERROR(__xludf.DUMMYFUNCTION("""COMPUTED_VALUE"""),163869.0)</f>
        <v>163869</v>
      </c>
      <c r="S154" s="33">
        <f>IFERROR(__xludf.DUMMYFUNCTION("""COMPUTED_VALUE"""),163869.0)</f>
        <v>163869</v>
      </c>
      <c r="T154" s="33">
        <f>IFERROR(__xludf.DUMMYFUNCTION("""COMPUTED_VALUE"""),0.0)</f>
        <v>0</v>
      </c>
      <c r="U154" s="33">
        <f>IFERROR(__xludf.DUMMYFUNCTION("""COMPUTED_VALUE"""),0.0)</f>
        <v>0</v>
      </c>
      <c r="V154" s="33">
        <f>IFERROR(__xludf.DUMMYFUNCTION("""COMPUTED_VALUE"""),0.0)</f>
        <v>0</v>
      </c>
      <c r="W154" s="33">
        <f>IFERROR(__xludf.DUMMYFUNCTION("""COMPUTED_VALUE"""),0.0)</f>
        <v>0</v>
      </c>
      <c r="X154" s="33">
        <f>IFERROR(__xludf.DUMMYFUNCTION("""COMPUTED_VALUE"""),0.0)</f>
        <v>0</v>
      </c>
      <c r="Y154" s="33">
        <f>IFERROR(__xludf.DUMMYFUNCTION("""COMPUTED_VALUE"""),0.0)</f>
        <v>0</v>
      </c>
      <c r="Z154" s="33">
        <f>IFERROR(__xludf.DUMMYFUNCTION("""COMPUTED_VALUE"""),0.0)</f>
        <v>0</v>
      </c>
      <c r="AA154" s="33">
        <f>IFERROR(__xludf.DUMMYFUNCTION("""COMPUTED_VALUE"""),0.0)</f>
        <v>0</v>
      </c>
      <c r="AB154" s="33">
        <f>IFERROR(__xludf.DUMMYFUNCTION("""COMPUTED_VALUE"""),0.0)</f>
        <v>0</v>
      </c>
      <c r="AC154" s="33">
        <f>IFERROR(__xludf.DUMMYFUNCTION("""COMPUTED_VALUE"""),17.0022222222222)</f>
        <v>17.00222222</v>
      </c>
      <c r="AD154" s="33">
        <f>IFERROR(__xludf.DUMMYFUNCTION("""COMPUTED_VALUE"""),1.01611111111111)</f>
        <v>1.016111111</v>
      </c>
      <c r="AE154" s="33">
        <f>IFERROR(__xludf.DUMMYFUNCTION("""COMPUTED_VALUE"""),17.0022222222222)</f>
        <v>17.00222222</v>
      </c>
      <c r="AF154" s="33">
        <f>IFERROR(__xludf.DUMMYFUNCTION("""COMPUTED_VALUE"""),0.0)</f>
        <v>0</v>
      </c>
    </row>
    <row r="155">
      <c r="A155" s="49">
        <f>IFERROR(__xludf.DUMMYFUNCTION("""COMPUTED_VALUE"""),46118.0)</f>
        <v>46118</v>
      </c>
      <c r="B155" s="33" t="str">
        <f>IFERROR(__xludf.DUMMYFUNCTION("""COMPUTED_VALUE"""),"aab7b2fa6301b585dcebf9ec60cf4371307ad469")</f>
        <v>aab7b2fa6301b585dcebf9ec60cf4371307ad469</v>
      </c>
      <c r="C155" s="33" t="str">
        <f>IFERROR(__xludf.DUMMYFUNCTION("""COMPUTED_VALUE"""),"Tere Ishq Mein (OBH)  - Production Show_id")</f>
        <v>Tere Ishq Mein (OBH)  - Production Show_id</v>
      </c>
      <c r="D155" s="33">
        <f>IFERROR(__xludf.DUMMYFUNCTION("""COMPUTED_VALUE"""),14.0)</f>
        <v>14</v>
      </c>
      <c r="E155" s="33">
        <f>IFERROR(__xludf.DUMMYFUNCTION("""COMPUTED_VALUE"""),11.0)</f>
        <v>11</v>
      </c>
      <c r="F155" s="33">
        <f>IFERROR(__xludf.DUMMYFUNCTION("""COMPUTED_VALUE"""),0.0)</f>
        <v>0</v>
      </c>
      <c r="G155" s="33">
        <f>IFERROR(__xludf.DUMMYFUNCTION("""COMPUTED_VALUE"""),0.0)</f>
        <v>0</v>
      </c>
      <c r="H155" s="33">
        <f>IFERROR(__xludf.DUMMYFUNCTION("""COMPUTED_VALUE"""),0.0)</f>
        <v>0</v>
      </c>
      <c r="I155" s="33">
        <f>IFERROR(__xludf.DUMMYFUNCTION("""COMPUTED_VALUE"""),0.0)</f>
        <v>0</v>
      </c>
      <c r="J155" s="33">
        <f>IFERROR(__xludf.DUMMYFUNCTION("""COMPUTED_VALUE"""),0.0)</f>
        <v>0</v>
      </c>
      <c r="K155" s="33">
        <f>IFERROR(__xludf.DUMMYFUNCTION("""COMPUTED_VALUE"""),0.0)</f>
        <v>0</v>
      </c>
      <c r="L155" s="33">
        <f>IFERROR(__xludf.DUMMYFUNCTION("""COMPUTED_VALUE"""),0.0)</f>
        <v>0</v>
      </c>
      <c r="M155" s="33">
        <f>IFERROR(__xludf.DUMMYFUNCTION("""COMPUTED_VALUE"""),0.0)</f>
        <v>0</v>
      </c>
      <c r="N155" s="33">
        <f>IFERROR(__xludf.DUMMYFUNCTION("""COMPUTED_VALUE"""),0.0)</f>
        <v>0</v>
      </c>
      <c r="O155" s="33">
        <f>IFERROR(__xludf.DUMMYFUNCTION("""COMPUTED_VALUE"""),0.0)</f>
        <v>0</v>
      </c>
      <c r="P155" s="33">
        <f>IFERROR(__xludf.DUMMYFUNCTION("""COMPUTED_VALUE"""),0.0)</f>
        <v>0</v>
      </c>
      <c r="Q155" s="33">
        <f>IFERROR(__xludf.DUMMYFUNCTION("""COMPUTED_VALUE"""),0.0)</f>
        <v>0</v>
      </c>
      <c r="R155" s="33">
        <f>IFERROR(__xludf.DUMMYFUNCTION("""COMPUTED_VALUE"""),30293.0)</f>
        <v>30293</v>
      </c>
      <c r="S155" s="33">
        <f>IFERROR(__xludf.DUMMYFUNCTION("""COMPUTED_VALUE"""),22759.0)</f>
        <v>22759</v>
      </c>
      <c r="T155" s="33">
        <f>IFERROR(__xludf.DUMMYFUNCTION("""COMPUTED_VALUE"""),0.0)</f>
        <v>0</v>
      </c>
      <c r="U155" s="33">
        <f>IFERROR(__xludf.DUMMYFUNCTION("""COMPUTED_VALUE"""),0.0)</f>
        <v>0</v>
      </c>
      <c r="V155" s="33">
        <f>IFERROR(__xludf.DUMMYFUNCTION("""COMPUTED_VALUE"""),0.0)</f>
        <v>0</v>
      </c>
      <c r="W155" s="33">
        <f>IFERROR(__xludf.DUMMYFUNCTION("""COMPUTED_VALUE"""),0.0)</f>
        <v>0</v>
      </c>
      <c r="X155" s="33">
        <f>IFERROR(__xludf.DUMMYFUNCTION("""COMPUTED_VALUE"""),0.0)</f>
        <v>0</v>
      </c>
      <c r="Y155" s="33">
        <f>IFERROR(__xludf.DUMMYFUNCTION("""COMPUTED_VALUE"""),0.0)</f>
        <v>0</v>
      </c>
      <c r="Z155" s="33">
        <f>IFERROR(__xludf.DUMMYFUNCTION("""COMPUTED_VALUE"""),0.0)</f>
        <v>0</v>
      </c>
      <c r="AA155" s="33">
        <f>IFERROR(__xludf.DUMMYFUNCTION("""COMPUTED_VALUE"""),0.0)</f>
        <v>0</v>
      </c>
      <c r="AB155" s="33">
        <f>IFERROR(__xludf.DUMMYFUNCTION("""COMPUTED_VALUE"""),0.0)</f>
        <v>0</v>
      </c>
      <c r="AC155" s="33">
        <f>IFERROR(__xludf.DUMMYFUNCTION("""COMPUTED_VALUE"""),0.0)</f>
        <v>0</v>
      </c>
      <c r="AD155" s="33">
        <f>IFERROR(__xludf.DUMMYFUNCTION("""COMPUTED_VALUE"""),0.0)</f>
        <v>0</v>
      </c>
      <c r="AE155" s="33">
        <f>IFERROR(__xludf.DUMMYFUNCTION("""COMPUTED_VALUE"""),0.0)</f>
        <v>0</v>
      </c>
      <c r="AF155" s="33">
        <f>IFERROR(__xludf.DUMMYFUNCTION("""COMPUTED_VALUE"""),0.0)</f>
        <v>0</v>
      </c>
    </row>
    <row r="156">
      <c r="A156" s="49">
        <f>IFERROR(__xludf.DUMMYFUNCTION("""COMPUTED_VALUE"""),46118.0)</f>
        <v>46118</v>
      </c>
      <c r="B156" s="33" t="str">
        <f>IFERROR(__xludf.DUMMYFUNCTION("""COMPUTED_VALUE"""),"b19f613216d474cd2927d5f4832a949dca2dc33e")</f>
        <v>b19f613216d474cd2927d5f4832a949dca2dc33e</v>
      </c>
      <c r="C156" s="33" t="str">
        <f>IFERROR(__xludf.DUMMYFUNCTION("""COMPUTED_VALUE"""),"The Immortal (Production)")</f>
        <v>The Immortal (Production)</v>
      </c>
      <c r="D156" s="33">
        <f>IFERROR(__xludf.DUMMYFUNCTION("""COMPUTED_VALUE"""),0.0)</f>
        <v>0</v>
      </c>
      <c r="E156" s="33">
        <f>IFERROR(__xludf.DUMMYFUNCTION("""COMPUTED_VALUE"""),12.0)</f>
        <v>12</v>
      </c>
      <c r="F156" s="33">
        <f>IFERROR(__xludf.DUMMYFUNCTION("""COMPUTED_VALUE"""),11.0)</f>
        <v>11</v>
      </c>
      <c r="G156" s="33">
        <f>IFERROR(__xludf.DUMMYFUNCTION("""COMPUTED_VALUE"""),12.0)</f>
        <v>12</v>
      </c>
      <c r="H156" s="33">
        <f>IFERROR(__xludf.DUMMYFUNCTION("""COMPUTED_VALUE"""),20.0)</f>
        <v>20</v>
      </c>
      <c r="I156" s="33">
        <f>IFERROR(__xludf.DUMMYFUNCTION("""COMPUTED_VALUE"""),10.0)</f>
        <v>10</v>
      </c>
      <c r="J156" s="33">
        <f>IFERROR(__xludf.DUMMYFUNCTION("""COMPUTED_VALUE"""),18.0)</f>
        <v>18</v>
      </c>
      <c r="K156" s="33">
        <f>IFERROR(__xludf.DUMMYFUNCTION("""COMPUTED_VALUE"""),14.0)</f>
        <v>14</v>
      </c>
      <c r="L156" s="33">
        <f>IFERROR(__xludf.DUMMYFUNCTION("""COMPUTED_VALUE"""),10.0)</f>
        <v>10</v>
      </c>
      <c r="M156" s="33">
        <f>IFERROR(__xludf.DUMMYFUNCTION("""COMPUTED_VALUE"""),20.0)</f>
        <v>20</v>
      </c>
      <c r="N156" s="33">
        <f>IFERROR(__xludf.DUMMYFUNCTION("""COMPUTED_VALUE"""),19.0)</f>
        <v>19</v>
      </c>
      <c r="O156" s="33">
        <f>IFERROR(__xludf.DUMMYFUNCTION("""COMPUTED_VALUE"""),7.0)</f>
        <v>7</v>
      </c>
      <c r="P156" s="33">
        <f>IFERROR(__xludf.DUMMYFUNCTION("""COMPUTED_VALUE"""),19.0)</f>
        <v>19</v>
      </c>
      <c r="Q156" s="33">
        <f>IFERROR(__xludf.DUMMYFUNCTION("""COMPUTED_VALUE"""),0.0)</f>
        <v>0</v>
      </c>
      <c r="R156" s="33">
        <f>IFERROR(__xludf.DUMMYFUNCTION("""COMPUTED_VALUE"""),0.0)</f>
        <v>0</v>
      </c>
      <c r="S156" s="33">
        <f>IFERROR(__xludf.DUMMYFUNCTION("""COMPUTED_VALUE"""),27665.0)</f>
        <v>27665</v>
      </c>
      <c r="T156" s="33">
        <f>IFERROR(__xludf.DUMMYFUNCTION("""COMPUTED_VALUE"""),2.41972222222222)</f>
        <v>2.419722222</v>
      </c>
      <c r="U156" s="33">
        <f>IFERROR(__xludf.DUMMYFUNCTION("""COMPUTED_VALUE"""),2.12805555555555)</f>
        <v>2.128055556</v>
      </c>
      <c r="V156" s="33">
        <f>IFERROR(__xludf.DUMMYFUNCTION("""COMPUTED_VALUE"""),2.03)</f>
        <v>2.03</v>
      </c>
      <c r="W156" s="33">
        <f>IFERROR(__xludf.DUMMYFUNCTION("""COMPUTED_VALUE"""),3.62166666666666)</f>
        <v>3.621666667</v>
      </c>
      <c r="X156" s="33">
        <f>IFERROR(__xludf.DUMMYFUNCTION("""COMPUTED_VALUE"""),2.03749999999999)</f>
        <v>2.0375</v>
      </c>
      <c r="Y156" s="33">
        <f>IFERROR(__xludf.DUMMYFUNCTION("""COMPUTED_VALUE"""),3.10888888888888)</f>
        <v>3.108888889</v>
      </c>
      <c r="Z156" s="33">
        <f>IFERROR(__xludf.DUMMYFUNCTION("""COMPUTED_VALUE"""),2.26333333333333)</f>
        <v>2.263333333</v>
      </c>
      <c r="AA156" s="33">
        <f>IFERROR(__xludf.DUMMYFUNCTION("""COMPUTED_VALUE"""),1.59583333333333)</f>
        <v>1.595833333</v>
      </c>
      <c r="AB156" s="33">
        <f>IFERROR(__xludf.DUMMYFUNCTION("""COMPUTED_VALUE"""),3.29944444444444)</f>
        <v>3.299444444</v>
      </c>
      <c r="AC156" s="33">
        <f>IFERROR(__xludf.DUMMYFUNCTION("""COMPUTED_VALUE"""),3.07944444444444)</f>
        <v>3.079444444</v>
      </c>
      <c r="AD156" s="33">
        <f>IFERROR(__xludf.DUMMYFUNCTION("""COMPUTED_VALUE"""),1.11833333333333)</f>
        <v>1.118333333</v>
      </c>
      <c r="AE156" s="33">
        <f>IFERROR(__xludf.DUMMYFUNCTION("""COMPUTED_VALUE"""),3.07944444444444)</f>
        <v>3.079444444</v>
      </c>
      <c r="AF156" s="33">
        <f>IFERROR(__xludf.DUMMYFUNCTION("""COMPUTED_VALUE"""),12.0)</f>
        <v>12</v>
      </c>
    </row>
    <row r="157">
      <c r="A157" s="49">
        <f>IFERROR(__xludf.DUMMYFUNCTION("""COMPUTED_VALUE"""),46118.0)</f>
        <v>46118</v>
      </c>
      <c r="B157" s="33" t="str">
        <f>IFERROR(__xludf.DUMMYFUNCTION("""COMPUTED_VALUE"""),"b4277fe045604b0c31d4c58c59733d8d995662ff")</f>
        <v>b4277fe045604b0c31d4c58c59733d8d995662ff</v>
      </c>
      <c r="C157" s="33" t="str">
        <f>IFERROR(__xludf.DUMMYFUNCTION("""COMPUTED_VALUE"""),"Divine Power - Production Show_id")</f>
        <v>Divine Power - Production Show_id</v>
      </c>
      <c r="D157" s="33">
        <f>IFERROR(__xludf.DUMMYFUNCTION("""COMPUTED_VALUE"""),0.0)</f>
        <v>0</v>
      </c>
      <c r="E157" s="33">
        <f>IFERROR(__xludf.DUMMYFUNCTION("""COMPUTED_VALUE"""),0.0)</f>
        <v>0</v>
      </c>
      <c r="F157" s="33">
        <f>IFERROR(__xludf.DUMMYFUNCTION("""COMPUTED_VALUE"""),3.0)</f>
        <v>3</v>
      </c>
      <c r="G157" s="33">
        <f>IFERROR(__xludf.DUMMYFUNCTION("""COMPUTED_VALUE"""),4.0)</f>
        <v>4</v>
      </c>
      <c r="H157" s="33">
        <f>IFERROR(__xludf.DUMMYFUNCTION("""COMPUTED_VALUE"""),5.0)</f>
        <v>5</v>
      </c>
      <c r="I157" s="33">
        <f>IFERROR(__xludf.DUMMYFUNCTION("""COMPUTED_VALUE"""),1.0)</f>
        <v>1</v>
      </c>
      <c r="J157" s="33">
        <f>IFERROR(__xludf.DUMMYFUNCTION("""COMPUTED_VALUE"""),5.0)</f>
        <v>5</v>
      </c>
      <c r="K157" s="33">
        <f>IFERROR(__xludf.DUMMYFUNCTION("""COMPUTED_VALUE"""),4.0)</f>
        <v>4</v>
      </c>
      <c r="L157" s="33">
        <f>IFERROR(__xludf.DUMMYFUNCTION("""COMPUTED_VALUE"""),2.0)</f>
        <v>2</v>
      </c>
      <c r="M157" s="33">
        <f>IFERROR(__xludf.DUMMYFUNCTION("""COMPUTED_VALUE"""),5.0)</f>
        <v>5</v>
      </c>
      <c r="N157" s="33">
        <f>IFERROR(__xludf.DUMMYFUNCTION("""COMPUTED_VALUE"""),5.0)</f>
        <v>5</v>
      </c>
      <c r="O157" s="33">
        <f>IFERROR(__xludf.DUMMYFUNCTION("""COMPUTED_VALUE"""),5.0)</f>
        <v>5</v>
      </c>
      <c r="P157" s="33">
        <f>IFERROR(__xludf.DUMMYFUNCTION("""COMPUTED_VALUE"""),5.0)</f>
        <v>5</v>
      </c>
      <c r="Q157" s="33">
        <f>IFERROR(__xludf.DUMMYFUNCTION("""COMPUTED_VALUE"""),0.0)</f>
        <v>0</v>
      </c>
      <c r="R157" s="33">
        <f>IFERROR(__xludf.DUMMYFUNCTION("""COMPUTED_VALUE"""),0.0)</f>
        <v>0</v>
      </c>
      <c r="S157" s="33">
        <f>IFERROR(__xludf.DUMMYFUNCTION("""COMPUTED_VALUE"""),0.0)</f>
        <v>0</v>
      </c>
      <c r="T157" s="33">
        <f>IFERROR(__xludf.DUMMYFUNCTION("""COMPUTED_VALUE"""),0.943333333333333)</f>
        <v>0.9433333333</v>
      </c>
      <c r="U157" s="33">
        <f>IFERROR(__xludf.DUMMYFUNCTION("""COMPUTED_VALUE"""),0.685)</f>
        <v>0.685</v>
      </c>
      <c r="V157" s="33">
        <f>IFERROR(__xludf.DUMMYFUNCTION("""COMPUTED_VALUE"""),0.929722222222222)</f>
        <v>0.9297222222</v>
      </c>
      <c r="W157" s="33">
        <f>IFERROR(__xludf.DUMMYFUNCTION("""COMPUTED_VALUE"""),1.18805555555555)</f>
        <v>1.188055556</v>
      </c>
      <c r="X157" s="33">
        <f>IFERROR(__xludf.DUMMYFUNCTION("""COMPUTED_VALUE"""),0.258333333333333)</f>
        <v>0.2583333333</v>
      </c>
      <c r="Y157" s="33">
        <f>IFERROR(__xludf.DUMMYFUNCTION("""COMPUTED_VALUE"""),1.18805555555555)</f>
        <v>1.188055556</v>
      </c>
      <c r="Z157" s="33">
        <f>IFERROR(__xludf.DUMMYFUNCTION("""COMPUTED_VALUE"""),0.979722222222222)</f>
        <v>0.9797222222</v>
      </c>
      <c r="AA157" s="33">
        <f>IFERROR(__xludf.DUMMYFUNCTION("""COMPUTED_VALUE"""),0.472777777777777)</f>
        <v>0.4727777778</v>
      </c>
      <c r="AB157" s="33">
        <f>IFERROR(__xludf.DUMMYFUNCTION("""COMPUTED_VALUE"""),1.18888888888888)</f>
        <v>1.188888889</v>
      </c>
      <c r="AC157" s="33">
        <f>IFERROR(__xludf.DUMMYFUNCTION("""COMPUTED_VALUE"""),1.18888888888888)</f>
        <v>1.188888889</v>
      </c>
      <c r="AD157" s="33">
        <f>IFERROR(__xludf.DUMMYFUNCTION("""COMPUTED_VALUE"""),1.19361111111111)</f>
        <v>1.193611111</v>
      </c>
      <c r="AE157" s="33">
        <f>IFERROR(__xludf.DUMMYFUNCTION("""COMPUTED_VALUE"""),1.18888888888888)</f>
        <v>1.188888889</v>
      </c>
      <c r="AF157" s="33">
        <f>IFERROR(__xludf.DUMMYFUNCTION("""COMPUTED_VALUE"""),4.0)</f>
        <v>4</v>
      </c>
    </row>
    <row r="158">
      <c r="A158" s="49">
        <f>IFERROR(__xludf.DUMMYFUNCTION("""COMPUTED_VALUE"""),46118.0)</f>
        <v>46118</v>
      </c>
      <c r="B158" s="33" t="str">
        <f>IFERROR(__xludf.DUMMYFUNCTION("""COMPUTED_VALUE"""),"b9727274f880f47671ad54caad4904a491fad9c7")</f>
        <v>b9727274f880f47671ad54caad4904a491fad9c7</v>
      </c>
      <c r="C158" s="33" t="str">
        <f>IFERROR(__xludf.DUMMYFUNCTION("""COMPUTED_VALUE"""),"Brahmand Ka Rakshak - Production Show")</f>
        <v>Brahmand Ka Rakshak - Production Show</v>
      </c>
      <c r="D158" s="33">
        <f>IFERROR(__xludf.DUMMYFUNCTION("""COMPUTED_VALUE"""),30.0)</f>
        <v>30</v>
      </c>
      <c r="E158" s="33">
        <f>IFERROR(__xludf.DUMMYFUNCTION("""COMPUTED_VALUE"""),26.0)</f>
        <v>26</v>
      </c>
      <c r="F158" s="33">
        <f>IFERROR(__xludf.DUMMYFUNCTION("""COMPUTED_VALUE"""),6.0)</f>
        <v>6</v>
      </c>
      <c r="G158" s="33">
        <f>IFERROR(__xludf.DUMMYFUNCTION("""COMPUTED_VALUE"""),9.0)</f>
        <v>9</v>
      </c>
      <c r="H158" s="33">
        <f>IFERROR(__xludf.DUMMYFUNCTION("""COMPUTED_VALUE"""),31.0)</f>
        <v>31</v>
      </c>
      <c r="I158" s="33">
        <f>IFERROR(__xludf.DUMMYFUNCTION("""COMPUTED_VALUE"""),23.0)</f>
        <v>23</v>
      </c>
      <c r="J158" s="33">
        <f>IFERROR(__xludf.DUMMYFUNCTION("""COMPUTED_VALUE"""),30.0)</f>
        <v>30</v>
      </c>
      <c r="K158" s="33">
        <f>IFERROR(__xludf.DUMMYFUNCTION("""COMPUTED_VALUE"""),2.0)</f>
        <v>2</v>
      </c>
      <c r="L158" s="33">
        <f>IFERROR(__xludf.DUMMYFUNCTION("""COMPUTED_VALUE"""),2.0)</f>
        <v>2</v>
      </c>
      <c r="M158" s="33">
        <f>IFERROR(__xludf.DUMMYFUNCTION("""COMPUTED_VALUE"""),31.0)</f>
        <v>31</v>
      </c>
      <c r="N158" s="33">
        <f>IFERROR(__xludf.DUMMYFUNCTION("""COMPUTED_VALUE"""),36.0)</f>
        <v>36</v>
      </c>
      <c r="O158" s="33">
        <f>IFERROR(__xludf.DUMMYFUNCTION("""COMPUTED_VALUE"""),5.0)</f>
        <v>5</v>
      </c>
      <c r="P158" s="33">
        <f>IFERROR(__xludf.DUMMYFUNCTION("""COMPUTED_VALUE"""),36.0)</f>
        <v>36</v>
      </c>
      <c r="Q158" s="33">
        <f>IFERROR(__xludf.DUMMYFUNCTION("""COMPUTED_VALUE"""),0.0)</f>
        <v>0</v>
      </c>
      <c r="R158" s="33">
        <f>IFERROR(__xludf.DUMMYFUNCTION("""COMPUTED_VALUE"""),60712.0)</f>
        <v>60712</v>
      </c>
      <c r="S158" s="33">
        <f>IFERROR(__xludf.DUMMYFUNCTION("""COMPUTED_VALUE"""),57888.0)</f>
        <v>57888</v>
      </c>
      <c r="T158" s="33">
        <f>IFERROR(__xludf.DUMMYFUNCTION("""COMPUTED_VALUE"""),5.83416666666666)</f>
        <v>5.834166667</v>
      </c>
      <c r="U158" s="33">
        <f>IFERROR(__xludf.DUMMYFUNCTION("""COMPUTED_VALUE"""),1.13694444444444)</f>
        <v>1.136944444</v>
      </c>
      <c r="V158" s="33">
        <f>IFERROR(__xludf.DUMMYFUNCTION("""COMPUTED_VALUE"""),1.76333333333333)</f>
        <v>1.763333333</v>
      </c>
      <c r="W158" s="33">
        <f>IFERROR(__xludf.DUMMYFUNCTION("""COMPUTED_VALUE"""),6.08222222222222)</f>
        <v>6.082222222</v>
      </c>
      <c r="X158" s="33">
        <f>IFERROR(__xludf.DUMMYFUNCTION("""COMPUTED_VALUE"""),4.48777777777777)</f>
        <v>4.487777778</v>
      </c>
      <c r="Y158" s="33">
        <f>IFERROR(__xludf.DUMMYFUNCTION("""COMPUTED_VALUE"""),5.87277777777777)</f>
        <v>5.872777778</v>
      </c>
      <c r="Z158" s="33">
        <f>IFERROR(__xludf.DUMMYFUNCTION("""COMPUTED_VALUE"""),0.375)</f>
        <v>0.375</v>
      </c>
      <c r="AA158" s="33">
        <f>IFERROR(__xludf.DUMMYFUNCTION("""COMPUTED_VALUE"""),0.375)</f>
        <v>0.375</v>
      </c>
      <c r="AB158" s="33">
        <f>IFERROR(__xludf.DUMMYFUNCTION("""COMPUTED_VALUE"""),6.03277777777777)</f>
        <v>6.032777778</v>
      </c>
      <c r="AC158" s="33">
        <f>IFERROR(__xludf.DUMMYFUNCTION("""COMPUTED_VALUE"""),6.98444444444444)</f>
        <v>6.984444444</v>
      </c>
      <c r="AD158" s="33">
        <f>IFERROR(__xludf.DUMMYFUNCTION("""COMPUTED_VALUE"""),0.943333333333333)</f>
        <v>0.9433333333</v>
      </c>
      <c r="AE158" s="33">
        <f>IFERROR(__xludf.DUMMYFUNCTION("""COMPUTED_VALUE"""),6.98444444444444)</f>
        <v>6.984444444</v>
      </c>
      <c r="AF158" s="33">
        <f>IFERROR(__xludf.DUMMYFUNCTION("""COMPUTED_VALUE"""),30.0)</f>
        <v>30</v>
      </c>
    </row>
    <row r="159">
      <c r="A159" s="49">
        <f>IFERROR(__xludf.DUMMYFUNCTION("""COMPUTED_VALUE"""),46118.0)</f>
        <v>46118</v>
      </c>
      <c r="B159" s="33" t="str">
        <f>IFERROR(__xludf.DUMMYFUNCTION("""COMPUTED_VALUE"""),"bb6f447c782519839d8793fda0d35f90bad4421a")</f>
        <v>bb6f447c782519839d8793fda0d35f90bad4421a</v>
      </c>
      <c r="C159" s="33" t="str">
        <f>IFERROR(__xludf.DUMMYFUNCTION("""COMPUTED_VALUE"""),"Ruthless")</f>
        <v>Ruthless</v>
      </c>
      <c r="D159" s="33">
        <f>IFERROR(__xludf.DUMMYFUNCTION("""COMPUTED_VALUE"""),18.0)</f>
        <v>18</v>
      </c>
      <c r="E159" s="33">
        <f>IFERROR(__xludf.DUMMYFUNCTION("""COMPUTED_VALUE"""),3.0)</f>
        <v>3</v>
      </c>
      <c r="F159" s="33">
        <f>IFERROR(__xludf.DUMMYFUNCTION("""COMPUTED_VALUE"""),0.0)</f>
        <v>0</v>
      </c>
      <c r="G159" s="33">
        <f>IFERROR(__xludf.DUMMYFUNCTION("""COMPUTED_VALUE"""),0.0)</f>
        <v>0</v>
      </c>
      <c r="H159" s="33">
        <f>IFERROR(__xludf.DUMMYFUNCTION("""COMPUTED_VALUE"""),14.0)</f>
        <v>14</v>
      </c>
      <c r="I159" s="33">
        <f>IFERROR(__xludf.DUMMYFUNCTION("""COMPUTED_VALUE"""),13.0)</f>
        <v>13</v>
      </c>
      <c r="J159" s="33">
        <f>IFERROR(__xludf.DUMMYFUNCTION("""COMPUTED_VALUE"""),15.0)</f>
        <v>15</v>
      </c>
      <c r="K159" s="33">
        <f>IFERROR(__xludf.DUMMYFUNCTION("""COMPUTED_VALUE"""),3.0)</f>
        <v>3</v>
      </c>
      <c r="L159" s="33">
        <f>IFERROR(__xludf.DUMMYFUNCTION("""COMPUTED_VALUE"""),0.0)</f>
        <v>0</v>
      </c>
      <c r="M159" s="33">
        <f>IFERROR(__xludf.DUMMYFUNCTION("""COMPUTED_VALUE"""),17.0)</f>
        <v>17</v>
      </c>
      <c r="N159" s="33">
        <f>IFERROR(__xludf.DUMMYFUNCTION("""COMPUTED_VALUE"""),17.0)</f>
        <v>17</v>
      </c>
      <c r="O159" s="33">
        <f>IFERROR(__xludf.DUMMYFUNCTION("""COMPUTED_VALUE"""),7.0)</f>
        <v>7</v>
      </c>
      <c r="P159" s="33">
        <f>IFERROR(__xludf.DUMMYFUNCTION("""COMPUTED_VALUE"""),17.0)</f>
        <v>17</v>
      </c>
      <c r="Q159" s="33">
        <f>IFERROR(__xludf.DUMMYFUNCTION("""COMPUTED_VALUE"""),0.0)</f>
        <v>0</v>
      </c>
      <c r="R159" s="33">
        <f>IFERROR(__xludf.DUMMYFUNCTION("""COMPUTED_VALUE"""),43531.0)</f>
        <v>43531</v>
      </c>
      <c r="S159" s="33">
        <f>IFERROR(__xludf.DUMMYFUNCTION("""COMPUTED_VALUE"""),6380.0)</f>
        <v>6380</v>
      </c>
      <c r="T159" s="33">
        <f>IFERROR(__xludf.DUMMYFUNCTION("""COMPUTED_VALUE"""),3.45222222222222)</f>
        <v>3.452222222</v>
      </c>
      <c r="U159" s="33">
        <f>IFERROR(__xludf.DUMMYFUNCTION("""COMPUTED_VALUE"""),0.0)</f>
        <v>0</v>
      </c>
      <c r="V159" s="33">
        <f>IFERROR(__xludf.DUMMYFUNCTION("""COMPUTED_VALUE"""),0.0)</f>
        <v>0</v>
      </c>
      <c r="W159" s="33">
        <f>IFERROR(__xludf.DUMMYFUNCTION("""COMPUTED_VALUE"""),3.03)</f>
        <v>3.03</v>
      </c>
      <c r="X159" s="33">
        <f>IFERROR(__xludf.DUMMYFUNCTION("""COMPUTED_VALUE"""),2.81055555555555)</f>
        <v>2.810555556</v>
      </c>
      <c r="Y159" s="33">
        <f>IFERROR(__xludf.DUMMYFUNCTION("""COMPUTED_VALUE"""),3.25888888888888)</f>
        <v>3.258888889</v>
      </c>
      <c r="Z159" s="33">
        <f>IFERROR(__xludf.DUMMYFUNCTION("""COMPUTED_VALUE"""),0.693611111111111)</f>
        <v>0.6936111111</v>
      </c>
      <c r="AA159" s="33">
        <f>IFERROR(__xludf.DUMMYFUNCTION("""COMPUTED_VALUE"""),0.0)</f>
        <v>0</v>
      </c>
      <c r="AB159" s="33">
        <f>IFERROR(__xludf.DUMMYFUNCTION("""COMPUTED_VALUE"""),3.72138888888888)</f>
        <v>3.721388889</v>
      </c>
      <c r="AC159" s="33">
        <f>IFERROR(__xludf.DUMMYFUNCTION("""COMPUTED_VALUE"""),3.72138888888888)</f>
        <v>3.721388889</v>
      </c>
      <c r="AD159" s="33">
        <f>IFERROR(__xludf.DUMMYFUNCTION("""COMPUTED_VALUE"""),1.49361111111111)</f>
        <v>1.493611111</v>
      </c>
      <c r="AE159" s="33">
        <f>IFERROR(__xludf.DUMMYFUNCTION("""COMPUTED_VALUE"""),3.72138888888888)</f>
        <v>3.721388889</v>
      </c>
      <c r="AF159" s="33">
        <f>IFERROR(__xludf.DUMMYFUNCTION("""COMPUTED_VALUE"""),16.0)</f>
        <v>16</v>
      </c>
    </row>
    <row r="160">
      <c r="A160" s="49">
        <f>IFERROR(__xludf.DUMMYFUNCTION("""COMPUTED_VALUE"""),46118.0)</f>
        <v>46118</v>
      </c>
      <c r="B160" s="33" t="str">
        <f>IFERROR(__xludf.DUMMYFUNCTION("""COMPUTED_VALUE"""),"dbbc7f35e9eb33b7562f0fd82896e827101bf13c")</f>
        <v>dbbc7f35e9eb33b7562f0fd82896e827101bf13c</v>
      </c>
      <c r="C160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160" s="33">
        <f>IFERROR(__xludf.DUMMYFUNCTION("""COMPUTED_VALUE"""),0.0)</f>
        <v>0</v>
      </c>
      <c r="E160" s="33">
        <f>IFERROR(__xludf.DUMMYFUNCTION("""COMPUTED_VALUE"""),0.0)</f>
        <v>0</v>
      </c>
      <c r="F160" s="33">
        <f>IFERROR(__xludf.DUMMYFUNCTION("""COMPUTED_VALUE"""),0.0)</f>
        <v>0</v>
      </c>
      <c r="G160" s="33">
        <f>IFERROR(__xludf.DUMMYFUNCTION("""COMPUTED_VALUE"""),0.0)</f>
        <v>0</v>
      </c>
      <c r="H160" s="33">
        <f>IFERROR(__xludf.DUMMYFUNCTION("""COMPUTED_VALUE"""),0.0)</f>
        <v>0</v>
      </c>
      <c r="I160" s="33">
        <f>IFERROR(__xludf.DUMMYFUNCTION("""COMPUTED_VALUE"""),0.0)</f>
        <v>0</v>
      </c>
      <c r="J160" s="33">
        <f>IFERROR(__xludf.DUMMYFUNCTION("""COMPUTED_VALUE"""),0.0)</f>
        <v>0</v>
      </c>
      <c r="K160" s="33">
        <f>IFERROR(__xludf.DUMMYFUNCTION("""COMPUTED_VALUE"""),0.0)</f>
        <v>0</v>
      </c>
      <c r="L160" s="33">
        <f>IFERROR(__xludf.DUMMYFUNCTION("""COMPUTED_VALUE"""),0.0)</f>
        <v>0</v>
      </c>
      <c r="M160" s="33">
        <f>IFERROR(__xludf.DUMMYFUNCTION("""COMPUTED_VALUE"""),0.0)</f>
        <v>0</v>
      </c>
      <c r="N160" s="33">
        <f>IFERROR(__xludf.DUMMYFUNCTION("""COMPUTED_VALUE"""),20.0)</f>
        <v>20</v>
      </c>
      <c r="O160" s="33">
        <f>IFERROR(__xludf.DUMMYFUNCTION("""COMPUTED_VALUE"""),5.0)</f>
        <v>5</v>
      </c>
      <c r="P160" s="33">
        <f>IFERROR(__xludf.DUMMYFUNCTION("""COMPUTED_VALUE"""),20.0)</f>
        <v>20</v>
      </c>
      <c r="Q160" s="33">
        <f>IFERROR(__xludf.DUMMYFUNCTION("""COMPUTED_VALUE"""),0.0)</f>
        <v>0</v>
      </c>
      <c r="R160" s="33">
        <f>IFERROR(__xludf.DUMMYFUNCTION("""COMPUTED_VALUE"""),0.0)</f>
        <v>0</v>
      </c>
      <c r="S160" s="33">
        <f>IFERROR(__xludf.DUMMYFUNCTION("""COMPUTED_VALUE"""),0.0)</f>
        <v>0</v>
      </c>
      <c r="T160" s="33">
        <f>IFERROR(__xludf.DUMMYFUNCTION("""COMPUTED_VALUE"""),0.0)</f>
        <v>0</v>
      </c>
      <c r="U160" s="33">
        <f>IFERROR(__xludf.DUMMYFUNCTION("""COMPUTED_VALUE"""),0.0)</f>
        <v>0</v>
      </c>
      <c r="V160" s="33">
        <f>IFERROR(__xludf.DUMMYFUNCTION("""COMPUTED_VALUE"""),0.0)</f>
        <v>0</v>
      </c>
      <c r="W160" s="33">
        <f>IFERROR(__xludf.DUMMYFUNCTION("""COMPUTED_VALUE"""),0.0)</f>
        <v>0</v>
      </c>
      <c r="X160" s="33">
        <f>IFERROR(__xludf.DUMMYFUNCTION("""COMPUTED_VALUE"""),0.0)</f>
        <v>0</v>
      </c>
      <c r="Y160" s="33">
        <f>IFERROR(__xludf.DUMMYFUNCTION("""COMPUTED_VALUE"""),0.0)</f>
        <v>0</v>
      </c>
      <c r="Z160" s="33">
        <f>IFERROR(__xludf.DUMMYFUNCTION("""COMPUTED_VALUE"""),0.0)</f>
        <v>0</v>
      </c>
      <c r="AA160" s="33">
        <f>IFERROR(__xludf.DUMMYFUNCTION("""COMPUTED_VALUE"""),0.0)</f>
        <v>0</v>
      </c>
      <c r="AB160" s="33">
        <f>IFERROR(__xludf.DUMMYFUNCTION("""COMPUTED_VALUE"""),0.0)</f>
        <v>0</v>
      </c>
      <c r="AC160" s="33">
        <f>IFERROR(__xludf.DUMMYFUNCTION("""COMPUTED_VALUE"""),0.269444444444444)</f>
        <v>0.2694444444</v>
      </c>
      <c r="AD160" s="33">
        <f>IFERROR(__xludf.DUMMYFUNCTION("""COMPUTED_VALUE"""),0.902777777777777)</f>
        <v>0.9027777778</v>
      </c>
      <c r="AE160" s="33">
        <f>IFERROR(__xludf.DUMMYFUNCTION("""COMPUTED_VALUE"""),5.30055555555555)</f>
        <v>5.300555556</v>
      </c>
      <c r="AF160" s="33">
        <f>IFERROR(__xludf.DUMMYFUNCTION("""COMPUTED_VALUE"""),0.0)</f>
        <v>0</v>
      </c>
    </row>
    <row r="161">
      <c r="A161" s="49">
        <f>IFERROR(__xludf.DUMMYFUNCTION("""COMPUTED_VALUE"""),46118.0)</f>
        <v>46118</v>
      </c>
      <c r="B161" s="33" t="str">
        <f>IFERROR(__xludf.DUMMYFUNCTION("""COMPUTED_VALUE"""),"e493cee863483a057af12de782cd20043a19ed05")</f>
        <v>e493cee863483a057af12de782cd20043a19ed05</v>
      </c>
      <c r="C161" s="33" t="str">
        <f>IFERROR(__xludf.DUMMYFUNCTION("""COMPUTED_VALUE"""),"Malang")</f>
        <v>Malang</v>
      </c>
      <c r="D161" s="33">
        <f>IFERROR(__xludf.DUMMYFUNCTION("""COMPUTED_VALUE"""),0.0)</f>
        <v>0</v>
      </c>
      <c r="E161" s="33">
        <f>IFERROR(__xludf.DUMMYFUNCTION("""COMPUTED_VALUE"""),8.0)</f>
        <v>8</v>
      </c>
      <c r="F161" s="33">
        <f>IFERROR(__xludf.DUMMYFUNCTION("""COMPUTED_VALUE"""),0.0)</f>
        <v>0</v>
      </c>
      <c r="G161" s="33">
        <f>IFERROR(__xludf.DUMMYFUNCTION("""COMPUTED_VALUE"""),0.0)</f>
        <v>0</v>
      </c>
      <c r="H161" s="33">
        <f>IFERROR(__xludf.DUMMYFUNCTION("""COMPUTED_VALUE"""),8.0)</f>
        <v>8</v>
      </c>
      <c r="I161" s="33">
        <f>IFERROR(__xludf.DUMMYFUNCTION("""COMPUTED_VALUE"""),8.0)</f>
        <v>8</v>
      </c>
      <c r="J161" s="33">
        <f>IFERROR(__xludf.DUMMYFUNCTION("""COMPUTED_VALUE"""),7.0)</f>
        <v>7</v>
      </c>
      <c r="K161" s="33">
        <f>IFERROR(__xludf.DUMMYFUNCTION("""COMPUTED_VALUE"""),4.0)</f>
        <v>4</v>
      </c>
      <c r="L161" s="33">
        <f>IFERROR(__xludf.DUMMYFUNCTION("""COMPUTED_VALUE"""),0.0)</f>
        <v>0</v>
      </c>
      <c r="M161" s="33">
        <f>IFERROR(__xludf.DUMMYFUNCTION("""COMPUTED_VALUE"""),6.0)</f>
        <v>6</v>
      </c>
      <c r="N161" s="33">
        <f>IFERROR(__xludf.DUMMYFUNCTION("""COMPUTED_VALUE"""),2.0)</f>
        <v>2</v>
      </c>
      <c r="O161" s="33">
        <f>IFERROR(__xludf.DUMMYFUNCTION("""COMPUTED_VALUE"""),4.0)</f>
        <v>4</v>
      </c>
      <c r="P161" s="33">
        <f>IFERROR(__xludf.DUMMYFUNCTION("""COMPUTED_VALUE"""),2.0)</f>
        <v>2</v>
      </c>
      <c r="Q161" s="33">
        <f>IFERROR(__xludf.DUMMYFUNCTION("""COMPUTED_VALUE"""),0.0)</f>
        <v>0</v>
      </c>
      <c r="R161" s="33">
        <f>IFERROR(__xludf.DUMMYFUNCTION("""COMPUTED_VALUE"""),0.0)</f>
        <v>0</v>
      </c>
      <c r="S161" s="33">
        <f>IFERROR(__xludf.DUMMYFUNCTION("""COMPUTED_VALUE"""),16194.0)</f>
        <v>16194</v>
      </c>
      <c r="T161" s="33">
        <f>IFERROR(__xludf.DUMMYFUNCTION("""COMPUTED_VALUE"""),1.15305555555555)</f>
        <v>1.153055556</v>
      </c>
      <c r="U161" s="33">
        <f>IFERROR(__xludf.DUMMYFUNCTION("""COMPUTED_VALUE"""),0.0)</f>
        <v>0</v>
      </c>
      <c r="V161" s="33">
        <f>IFERROR(__xludf.DUMMYFUNCTION("""COMPUTED_VALUE"""),0.0)</f>
        <v>0</v>
      </c>
      <c r="W161" s="33">
        <f>IFERROR(__xludf.DUMMYFUNCTION("""COMPUTED_VALUE"""),1.54805555555555)</f>
        <v>1.548055556</v>
      </c>
      <c r="X161" s="33">
        <f>IFERROR(__xludf.DUMMYFUNCTION("""COMPUTED_VALUE"""),1.54805555555555)</f>
        <v>1.548055556</v>
      </c>
      <c r="Y161" s="33">
        <f>IFERROR(__xludf.DUMMYFUNCTION("""COMPUTED_VALUE"""),1.33583333333333)</f>
        <v>1.335833333</v>
      </c>
      <c r="Z161" s="33">
        <f>IFERROR(__xludf.DUMMYFUNCTION("""COMPUTED_VALUE"""),0.759444444444444)</f>
        <v>0.7594444444</v>
      </c>
      <c r="AA161" s="33">
        <f>IFERROR(__xludf.DUMMYFUNCTION("""COMPUTED_VALUE"""),0.0)</f>
        <v>0</v>
      </c>
      <c r="AB161" s="33">
        <f>IFERROR(__xludf.DUMMYFUNCTION("""COMPUTED_VALUE"""),1.15111111111111)</f>
        <v>1.151111111</v>
      </c>
      <c r="AC161" s="33">
        <f>IFERROR(__xludf.DUMMYFUNCTION("""COMPUTED_VALUE"""),0.385)</f>
        <v>0.385</v>
      </c>
      <c r="AD161" s="33">
        <f>IFERROR(__xludf.DUMMYFUNCTION("""COMPUTED_VALUE"""),0.784722222222222)</f>
        <v>0.7847222222</v>
      </c>
      <c r="AE161" s="33">
        <f>IFERROR(__xludf.DUMMYFUNCTION("""COMPUTED_VALUE"""),0.385)</f>
        <v>0.385</v>
      </c>
      <c r="AF161" s="33">
        <f>IFERROR(__xludf.DUMMYFUNCTION("""COMPUTED_VALUE"""),6.0)</f>
        <v>6</v>
      </c>
    </row>
    <row r="162">
      <c r="A162" s="49">
        <f>IFERROR(__xludf.DUMMYFUNCTION("""COMPUTED_VALUE"""),46118.0)</f>
        <v>46118</v>
      </c>
      <c r="B162" s="33" t="str">
        <f>IFERROR(__xludf.DUMMYFUNCTION("""COMPUTED_VALUE"""),"f43f4253dc3c596ff8f2e3cc9f3b677981a70310")</f>
        <v>f43f4253dc3c596ff8f2e3cc9f3b677981a70310</v>
      </c>
      <c r="C162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162" s="33">
        <f>IFERROR(__xludf.DUMMYFUNCTION("""COMPUTED_VALUE"""),102.0)</f>
        <v>102</v>
      </c>
      <c r="E162" s="33">
        <f>IFERROR(__xludf.DUMMYFUNCTION("""COMPUTED_VALUE"""),103.0)</f>
        <v>103</v>
      </c>
      <c r="F162" s="33">
        <f>IFERROR(__xludf.DUMMYFUNCTION("""COMPUTED_VALUE"""),0.0)</f>
        <v>0</v>
      </c>
      <c r="G162" s="33">
        <f>IFERROR(__xludf.DUMMYFUNCTION("""COMPUTED_VALUE"""),0.0)</f>
        <v>0</v>
      </c>
      <c r="H162" s="33">
        <f>IFERROR(__xludf.DUMMYFUNCTION("""COMPUTED_VALUE"""),0.0)</f>
        <v>0</v>
      </c>
      <c r="I162" s="33">
        <f>IFERROR(__xludf.DUMMYFUNCTION("""COMPUTED_VALUE"""),0.0)</f>
        <v>0</v>
      </c>
      <c r="J162" s="33">
        <f>IFERROR(__xludf.DUMMYFUNCTION("""COMPUTED_VALUE"""),0.0)</f>
        <v>0</v>
      </c>
      <c r="K162" s="33">
        <f>IFERROR(__xludf.DUMMYFUNCTION("""COMPUTED_VALUE"""),0.0)</f>
        <v>0</v>
      </c>
      <c r="L162" s="33">
        <f>IFERROR(__xludf.DUMMYFUNCTION("""COMPUTED_VALUE"""),0.0)</f>
        <v>0</v>
      </c>
      <c r="M162" s="33">
        <f>IFERROR(__xludf.DUMMYFUNCTION("""COMPUTED_VALUE"""),0.0)</f>
        <v>0</v>
      </c>
      <c r="N162" s="33">
        <f>IFERROR(__xludf.DUMMYFUNCTION("""COMPUTED_VALUE"""),119.0)</f>
        <v>119</v>
      </c>
      <c r="O162" s="33">
        <f>IFERROR(__xludf.DUMMYFUNCTION("""COMPUTED_VALUE"""),5.0)</f>
        <v>5</v>
      </c>
      <c r="P162" s="33">
        <f>IFERROR(__xludf.DUMMYFUNCTION("""COMPUTED_VALUE"""),100.0)</f>
        <v>100</v>
      </c>
      <c r="Q162" s="33">
        <f>IFERROR(__xludf.DUMMYFUNCTION("""COMPUTED_VALUE"""),0.0)</f>
        <v>0</v>
      </c>
      <c r="R162" s="33">
        <f>IFERROR(__xludf.DUMMYFUNCTION("""COMPUTED_VALUE"""),249570.0)</f>
        <v>249570</v>
      </c>
      <c r="S162" s="33">
        <f>IFERROR(__xludf.DUMMYFUNCTION("""COMPUTED_VALUE"""),252076.0)</f>
        <v>252076</v>
      </c>
      <c r="T162" s="33">
        <f>IFERROR(__xludf.DUMMYFUNCTION("""COMPUTED_VALUE"""),0.0)</f>
        <v>0</v>
      </c>
      <c r="U162" s="33">
        <f>IFERROR(__xludf.DUMMYFUNCTION("""COMPUTED_VALUE"""),0.0)</f>
        <v>0</v>
      </c>
      <c r="V162" s="33">
        <f>IFERROR(__xludf.DUMMYFUNCTION("""COMPUTED_VALUE"""),0.0)</f>
        <v>0</v>
      </c>
      <c r="W162" s="33">
        <f>IFERROR(__xludf.DUMMYFUNCTION("""COMPUTED_VALUE"""),0.0)</f>
        <v>0</v>
      </c>
      <c r="X162" s="33">
        <f>IFERROR(__xludf.DUMMYFUNCTION("""COMPUTED_VALUE"""),0.0)</f>
        <v>0</v>
      </c>
      <c r="Y162" s="33">
        <f>IFERROR(__xludf.DUMMYFUNCTION("""COMPUTED_VALUE"""),0.0)</f>
        <v>0</v>
      </c>
      <c r="Z162" s="33">
        <f>IFERROR(__xludf.DUMMYFUNCTION("""COMPUTED_VALUE"""),0.0)</f>
        <v>0</v>
      </c>
      <c r="AA162" s="33">
        <f>IFERROR(__xludf.DUMMYFUNCTION("""COMPUTED_VALUE"""),0.0)</f>
        <v>0</v>
      </c>
      <c r="AB162" s="33">
        <f>IFERROR(__xludf.DUMMYFUNCTION("""COMPUTED_VALUE"""),0.0)</f>
        <v>0</v>
      </c>
      <c r="AC162" s="33">
        <f>IFERROR(__xludf.DUMMYFUNCTION("""COMPUTED_VALUE"""),2.45388888888888)</f>
        <v>2.453888889</v>
      </c>
      <c r="AD162" s="33">
        <f>IFERROR(__xludf.DUMMYFUNCTION("""COMPUTED_VALUE"""),1.27472222222222)</f>
        <v>1.274722222</v>
      </c>
      <c r="AE162" s="33">
        <f>IFERROR(__xludf.DUMMYFUNCTION("""COMPUTED_VALUE"""),25.2419444444444)</f>
        <v>25.24194444</v>
      </c>
      <c r="AF162" s="33">
        <f>IFERROR(__xludf.DUMMYFUNCTION("""COMPUTED_VALUE"""),0.0)</f>
        <v>0</v>
      </c>
    </row>
    <row r="163">
      <c r="A163" s="49">
        <f>IFERROR(__xludf.DUMMYFUNCTION("""COMPUTED_VALUE"""),46118.0)</f>
        <v>46118</v>
      </c>
      <c r="B163" s="33" t="str">
        <f>IFERROR(__xludf.DUMMYFUNCTION("""COMPUTED_VALUE"""),"f8fbcb9a13d17d5888164fffc1bbb7cd5c6608b2")</f>
        <v>f8fbcb9a13d17d5888164fffc1bbb7cd5c6608b2</v>
      </c>
      <c r="C163" s="33" t="str">
        <f>IFERROR(__xludf.DUMMYFUNCTION("""COMPUTED_VALUE"""),"Empire of Hidden King | Author - Nitesh")</f>
        <v>Empire of Hidden King | Author - Nitesh</v>
      </c>
      <c r="D163" s="33">
        <f>IFERROR(__xludf.DUMMYFUNCTION("""COMPUTED_VALUE"""),0.0)</f>
        <v>0</v>
      </c>
      <c r="E163" s="33">
        <f>IFERROR(__xludf.DUMMYFUNCTION("""COMPUTED_VALUE"""),0.0)</f>
        <v>0</v>
      </c>
      <c r="F163" s="33">
        <f>IFERROR(__xludf.DUMMYFUNCTION("""COMPUTED_VALUE"""),0.0)</f>
        <v>0</v>
      </c>
      <c r="G163" s="33">
        <f>IFERROR(__xludf.DUMMYFUNCTION("""COMPUTED_VALUE"""),0.0)</f>
        <v>0</v>
      </c>
      <c r="H163" s="33">
        <f>IFERROR(__xludf.DUMMYFUNCTION("""COMPUTED_VALUE"""),0.0)</f>
        <v>0</v>
      </c>
      <c r="I163" s="33">
        <f>IFERROR(__xludf.DUMMYFUNCTION("""COMPUTED_VALUE"""),0.0)</f>
        <v>0</v>
      </c>
      <c r="J163" s="33">
        <f>IFERROR(__xludf.DUMMYFUNCTION("""COMPUTED_VALUE"""),0.0)</f>
        <v>0</v>
      </c>
      <c r="K163" s="33">
        <f>IFERROR(__xludf.DUMMYFUNCTION("""COMPUTED_VALUE"""),0.0)</f>
        <v>0</v>
      </c>
      <c r="L163" s="33">
        <f>IFERROR(__xludf.DUMMYFUNCTION("""COMPUTED_VALUE"""),0.0)</f>
        <v>0</v>
      </c>
      <c r="M163" s="33">
        <f>IFERROR(__xludf.DUMMYFUNCTION("""COMPUTED_VALUE"""),0.0)</f>
        <v>0</v>
      </c>
      <c r="N163" s="33">
        <f>IFERROR(__xludf.DUMMYFUNCTION("""COMPUTED_VALUE"""),3.0)</f>
        <v>3</v>
      </c>
      <c r="O163" s="33">
        <f>IFERROR(__xludf.DUMMYFUNCTION("""COMPUTED_VALUE"""),2.0)</f>
        <v>2</v>
      </c>
      <c r="P163" s="33">
        <f>IFERROR(__xludf.DUMMYFUNCTION("""COMPUTED_VALUE"""),3.0)</f>
        <v>3</v>
      </c>
      <c r="Q163" s="33">
        <f>IFERROR(__xludf.DUMMYFUNCTION("""COMPUTED_VALUE"""),0.0)</f>
        <v>0</v>
      </c>
      <c r="R163" s="33">
        <f>IFERROR(__xludf.DUMMYFUNCTION("""COMPUTED_VALUE"""),0.0)</f>
        <v>0</v>
      </c>
      <c r="S163" s="33">
        <f>IFERROR(__xludf.DUMMYFUNCTION("""COMPUTED_VALUE"""),0.0)</f>
        <v>0</v>
      </c>
      <c r="T163" s="33">
        <f>IFERROR(__xludf.DUMMYFUNCTION("""COMPUTED_VALUE"""),0.0)</f>
        <v>0</v>
      </c>
      <c r="U163" s="33">
        <f>IFERROR(__xludf.DUMMYFUNCTION("""COMPUTED_VALUE"""),0.0)</f>
        <v>0</v>
      </c>
      <c r="V163" s="33">
        <f>IFERROR(__xludf.DUMMYFUNCTION("""COMPUTED_VALUE"""),0.0)</f>
        <v>0</v>
      </c>
      <c r="W163" s="33">
        <f>IFERROR(__xludf.DUMMYFUNCTION("""COMPUTED_VALUE"""),0.0)</f>
        <v>0</v>
      </c>
      <c r="X163" s="33">
        <f>IFERROR(__xludf.DUMMYFUNCTION("""COMPUTED_VALUE"""),0.0)</f>
        <v>0</v>
      </c>
      <c r="Y163" s="33">
        <f>IFERROR(__xludf.DUMMYFUNCTION("""COMPUTED_VALUE"""),0.0)</f>
        <v>0</v>
      </c>
      <c r="Z163" s="33">
        <f>IFERROR(__xludf.DUMMYFUNCTION("""COMPUTED_VALUE"""),0.0)</f>
        <v>0</v>
      </c>
      <c r="AA163" s="33">
        <f>IFERROR(__xludf.DUMMYFUNCTION("""COMPUTED_VALUE"""),0.0)</f>
        <v>0</v>
      </c>
      <c r="AB163" s="33">
        <f>IFERROR(__xludf.DUMMYFUNCTION("""COMPUTED_VALUE"""),0.0)</f>
        <v>0</v>
      </c>
      <c r="AC163" s="33">
        <f>IFERROR(__xludf.DUMMYFUNCTION("""COMPUTED_VALUE"""),0.759722222222222)</f>
        <v>0.7597222222</v>
      </c>
      <c r="AD163" s="33">
        <f>IFERROR(__xludf.DUMMYFUNCTION("""COMPUTED_VALUE"""),0.450833333333333)</f>
        <v>0.4508333333</v>
      </c>
      <c r="AE163" s="33">
        <f>IFERROR(__xludf.DUMMYFUNCTION("""COMPUTED_VALUE"""),0.729722222222222)</f>
        <v>0.7297222222</v>
      </c>
      <c r="AF163" s="33">
        <f>IFERROR(__xludf.DUMMYFUNCTION("""COMPUTED_VALUE"""),0.0)</f>
        <v>0</v>
      </c>
    </row>
    <row r="164">
      <c r="A164" s="49">
        <f>IFERROR(__xludf.DUMMYFUNCTION("""COMPUTED_VALUE"""),46111.0)</f>
        <v>46111</v>
      </c>
      <c r="B164" s="33" t="str">
        <f>IFERROR(__xludf.DUMMYFUNCTION("""COMPUTED_VALUE"""),"2549f1505a3739b3e90a0b63921ad55271440d40")</f>
        <v>2549f1505a3739b3e90a0b63921ad55271440d40</v>
      </c>
      <c r="C164" s="33" t="str">
        <f>IFERROR(__xludf.DUMMYFUNCTION("""COMPUTED_VALUE"""),"Reborn in Martial World ")</f>
        <v>Reborn in Martial World </v>
      </c>
      <c r="D164" s="33">
        <f>IFERROR(__xludf.DUMMYFUNCTION("""COMPUTED_VALUE"""),0.0)</f>
        <v>0</v>
      </c>
      <c r="E164" s="33">
        <f>IFERROR(__xludf.DUMMYFUNCTION("""COMPUTED_VALUE"""),5.0)</f>
        <v>5</v>
      </c>
      <c r="F164" s="33">
        <f>IFERROR(__xludf.DUMMYFUNCTION("""COMPUTED_VALUE"""),0.0)</f>
        <v>0</v>
      </c>
      <c r="G164" s="33">
        <f>IFERROR(__xludf.DUMMYFUNCTION("""COMPUTED_VALUE"""),0.0)</f>
        <v>0</v>
      </c>
      <c r="H164" s="33">
        <f>IFERROR(__xludf.DUMMYFUNCTION("""COMPUTED_VALUE"""),0.0)</f>
        <v>0</v>
      </c>
      <c r="I164" s="33">
        <f>IFERROR(__xludf.DUMMYFUNCTION("""COMPUTED_VALUE"""),0.0)</f>
        <v>0</v>
      </c>
      <c r="J164" s="33">
        <f>IFERROR(__xludf.DUMMYFUNCTION("""COMPUTED_VALUE"""),0.0)</f>
        <v>0</v>
      </c>
      <c r="K164" s="33">
        <f>IFERROR(__xludf.DUMMYFUNCTION("""COMPUTED_VALUE"""),0.0)</f>
        <v>0</v>
      </c>
      <c r="L164" s="33">
        <f>IFERROR(__xludf.DUMMYFUNCTION("""COMPUTED_VALUE"""),0.0)</f>
        <v>0</v>
      </c>
      <c r="M164" s="33">
        <f>IFERROR(__xludf.DUMMYFUNCTION("""COMPUTED_VALUE"""),0.0)</f>
        <v>0</v>
      </c>
      <c r="N164" s="33">
        <f>IFERROR(__xludf.DUMMYFUNCTION("""COMPUTED_VALUE"""),5.0)</f>
        <v>5</v>
      </c>
      <c r="O164" s="33">
        <f>IFERROR(__xludf.DUMMYFUNCTION("""COMPUTED_VALUE"""),5.0)</f>
        <v>5</v>
      </c>
      <c r="P164" s="33">
        <f>IFERROR(__xludf.DUMMYFUNCTION("""COMPUTED_VALUE"""),5.0)</f>
        <v>5</v>
      </c>
      <c r="Q164" s="33">
        <f>IFERROR(__xludf.DUMMYFUNCTION("""COMPUTED_VALUE"""),0.0)</f>
        <v>0</v>
      </c>
      <c r="R164" s="33">
        <f>IFERROR(__xludf.DUMMYFUNCTION("""COMPUTED_VALUE"""),0.0)</f>
        <v>0</v>
      </c>
      <c r="S164" s="33">
        <f>IFERROR(__xludf.DUMMYFUNCTION("""COMPUTED_VALUE"""),12712.0)</f>
        <v>12712</v>
      </c>
      <c r="T164" s="33">
        <f>IFERROR(__xludf.DUMMYFUNCTION("""COMPUTED_VALUE"""),0.0)</f>
        <v>0</v>
      </c>
      <c r="U164" s="33">
        <f>IFERROR(__xludf.DUMMYFUNCTION("""COMPUTED_VALUE"""),0.0)</f>
        <v>0</v>
      </c>
      <c r="V164" s="33">
        <f>IFERROR(__xludf.DUMMYFUNCTION("""COMPUTED_VALUE"""),0.0)</f>
        <v>0</v>
      </c>
      <c r="W164" s="33">
        <f>IFERROR(__xludf.DUMMYFUNCTION("""COMPUTED_VALUE"""),0.0)</f>
        <v>0</v>
      </c>
      <c r="X164" s="33">
        <f>IFERROR(__xludf.DUMMYFUNCTION("""COMPUTED_VALUE"""),0.0)</f>
        <v>0</v>
      </c>
      <c r="Y164" s="33">
        <f>IFERROR(__xludf.DUMMYFUNCTION("""COMPUTED_VALUE"""),0.0)</f>
        <v>0</v>
      </c>
      <c r="Z164" s="33">
        <f>IFERROR(__xludf.DUMMYFUNCTION("""COMPUTED_VALUE"""),0.0)</f>
        <v>0</v>
      </c>
      <c r="AA164" s="33">
        <f>IFERROR(__xludf.DUMMYFUNCTION("""COMPUTED_VALUE"""),0.0)</f>
        <v>0</v>
      </c>
      <c r="AB164" s="33">
        <f>IFERROR(__xludf.DUMMYFUNCTION("""COMPUTED_VALUE"""),0.0)</f>
        <v>0</v>
      </c>
      <c r="AC164" s="33">
        <f>IFERROR(__xludf.DUMMYFUNCTION("""COMPUTED_VALUE"""),1.32694444444444)</f>
        <v>1.326944444</v>
      </c>
      <c r="AD164" s="33">
        <f>IFERROR(__xludf.DUMMYFUNCTION("""COMPUTED_VALUE"""),1.00722222222222)</f>
        <v>1.007222222</v>
      </c>
      <c r="AE164" s="33">
        <f>IFERROR(__xludf.DUMMYFUNCTION("""COMPUTED_VALUE"""),1.32694444444444)</f>
        <v>1.326944444</v>
      </c>
      <c r="AF164" s="33">
        <f>IFERROR(__xludf.DUMMYFUNCTION("""COMPUTED_VALUE"""),0.0)</f>
        <v>0</v>
      </c>
    </row>
    <row r="165">
      <c r="A165" s="49">
        <f>IFERROR(__xludf.DUMMYFUNCTION("""COMPUTED_VALUE"""),46111.0)</f>
        <v>46111</v>
      </c>
      <c r="B165" s="33" t="str">
        <f>IFERROR(__xludf.DUMMYFUNCTION("""COMPUTED_VALUE"""),"2f705add1a4571e3dcc4eb1426edfaa372c9cee8")</f>
        <v>2f705add1a4571e3dcc4eb1426edfaa372c9cee8</v>
      </c>
      <c r="C165" s="33" t="str">
        <f>IFERROR(__xludf.DUMMYFUNCTION("""COMPUTED_VALUE"""),"Beggar Husband - Production Show_id")</f>
        <v>Beggar Husband - Production Show_id</v>
      </c>
      <c r="D165" s="33">
        <f>IFERROR(__xludf.DUMMYFUNCTION("""COMPUTED_VALUE"""),11.0)</f>
        <v>11</v>
      </c>
      <c r="E165" s="33">
        <f>IFERROR(__xludf.DUMMYFUNCTION("""COMPUTED_VALUE"""),10.0)</f>
        <v>10</v>
      </c>
      <c r="F165" s="33">
        <f>IFERROR(__xludf.DUMMYFUNCTION("""COMPUTED_VALUE"""),4.0)</f>
        <v>4</v>
      </c>
      <c r="G165" s="33">
        <f>IFERROR(__xludf.DUMMYFUNCTION("""COMPUTED_VALUE"""),4.0)</f>
        <v>4</v>
      </c>
      <c r="H165" s="33">
        <f>IFERROR(__xludf.DUMMYFUNCTION("""COMPUTED_VALUE"""),9.0)</f>
        <v>9</v>
      </c>
      <c r="I165" s="33">
        <f>IFERROR(__xludf.DUMMYFUNCTION("""COMPUTED_VALUE"""),5.0)</f>
        <v>5</v>
      </c>
      <c r="J165" s="33">
        <f>IFERROR(__xludf.DUMMYFUNCTION("""COMPUTED_VALUE"""),5.0)</f>
        <v>5</v>
      </c>
      <c r="K165" s="33">
        <f>IFERROR(__xludf.DUMMYFUNCTION("""COMPUTED_VALUE"""),1.0)</f>
        <v>1</v>
      </c>
      <c r="L165" s="33">
        <f>IFERROR(__xludf.DUMMYFUNCTION("""COMPUTED_VALUE"""),0.0)</f>
        <v>0</v>
      </c>
      <c r="M165" s="33">
        <f>IFERROR(__xludf.DUMMYFUNCTION("""COMPUTED_VALUE"""),1.0)</f>
        <v>1</v>
      </c>
      <c r="N165" s="33">
        <f>IFERROR(__xludf.DUMMYFUNCTION("""COMPUTED_VALUE"""),1.0)</f>
        <v>1</v>
      </c>
      <c r="O165" s="33">
        <f>IFERROR(__xludf.DUMMYFUNCTION("""COMPUTED_VALUE"""),1.0)</f>
        <v>1</v>
      </c>
      <c r="P165" s="33">
        <f>IFERROR(__xludf.DUMMYFUNCTION("""COMPUTED_VALUE"""),1.0)</f>
        <v>1</v>
      </c>
      <c r="Q165" s="33">
        <f>IFERROR(__xludf.DUMMYFUNCTION("""COMPUTED_VALUE"""),0.0)</f>
        <v>0</v>
      </c>
      <c r="R165" s="33">
        <f>IFERROR(__xludf.DUMMYFUNCTION("""COMPUTED_VALUE"""),24207.0)</f>
        <v>24207</v>
      </c>
      <c r="S165" s="33">
        <f>IFERROR(__xludf.DUMMYFUNCTION("""COMPUTED_VALUE"""),22024.0)</f>
        <v>22024</v>
      </c>
      <c r="T165" s="33">
        <f>IFERROR(__xludf.DUMMYFUNCTION("""COMPUTED_VALUE"""),1.77277777777777)</f>
        <v>1.772777778</v>
      </c>
      <c r="U165" s="33">
        <f>IFERROR(__xludf.DUMMYFUNCTION("""COMPUTED_VALUE"""),0.971388888888889)</f>
        <v>0.9713888889</v>
      </c>
      <c r="V165" s="33">
        <f>IFERROR(__xludf.DUMMYFUNCTION("""COMPUTED_VALUE"""),0.975833333333333)</f>
        <v>0.9758333333</v>
      </c>
      <c r="W165" s="33">
        <f>IFERROR(__xludf.DUMMYFUNCTION("""COMPUTED_VALUE"""),2.03444444444444)</f>
        <v>2.034444444</v>
      </c>
      <c r="X165" s="33">
        <f>IFERROR(__xludf.DUMMYFUNCTION("""COMPUTED_VALUE"""),1.05861111111111)</f>
        <v>1.058611111</v>
      </c>
      <c r="Y165" s="33">
        <f>IFERROR(__xludf.DUMMYFUNCTION("""COMPUTED_VALUE"""),1.13)</f>
        <v>1.13</v>
      </c>
      <c r="Z165" s="33">
        <f>IFERROR(__xludf.DUMMYFUNCTION("""COMPUTED_VALUE"""),0.264444444444444)</f>
        <v>0.2644444444</v>
      </c>
      <c r="AA165" s="33">
        <f>IFERROR(__xludf.DUMMYFUNCTION("""COMPUTED_VALUE"""),0.0)</f>
        <v>0</v>
      </c>
      <c r="AB165" s="33">
        <f>IFERROR(__xludf.DUMMYFUNCTION("""COMPUTED_VALUE"""),0.264444444444444)</f>
        <v>0.2644444444</v>
      </c>
      <c r="AC165" s="33">
        <f>IFERROR(__xludf.DUMMYFUNCTION("""COMPUTED_VALUE"""),0.264444444444444)</f>
        <v>0.2644444444</v>
      </c>
      <c r="AD165" s="33">
        <f>IFERROR(__xludf.DUMMYFUNCTION("""COMPUTED_VALUE"""),0.264444444444444)</f>
        <v>0.2644444444</v>
      </c>
      <c r="AE165" s="33">
        <f>IFERROR(__xludf.DUMMYFUNCTION("""COMPUTED_VALUE"""),0.264444444444444)</f>
        <v>0.2644444444</v>
      </c>
      <c r="AF165" s="33">
        <f>IFERROR(__xludf.DUMMYFUNCTION("""COMPUTED_VALUE"""),8.0)</f>
        <v>8</v>
      </c>
    </row>
    <row r="166">
      <c r="A166" s="49">
        <f>IFERROR(__xludf.DUMMYFUNCTION("""COMPUTED_VALUE"""),46111.0)</f>
        <v>46111</v>
      </c>
      <c r="B166" s="33" t="str">
        <f>IFERROR(__xludf.DUMMYFUNCTION("""COMPUTED_VALUE"""),"37e68193f879e91ec362f75f4b46511110658e2b")</f>
        <v>37e68193f879e91ec362f75f4b46511110658e2b</v>
      </c>
      <c r="C166" s="33" t="str">
        <f>IFERROR(__xludf.DUMMYFUNCTION("""COMPUTED_VALUE"""),"Shiva : Ek Pretyodha")</f>
        <v>Shiva : Ek Pretyodha</v>
      </c>
      <c r="D166" s="33">
        <f>IFERROR(__xludf.DUMMYFUNCTION("""COMPUTED_VALUE"""),0.0)</f>
        <v>0</v>
      </c>
      <c r="E166" s="33">
        <f>IFERROR(__xludf.DUMMYFUNCTION("""COMPUTED_VALUE"""),0.0)</f>
        <v>0</v>
      </c>
      <c r="F166" s="33">
        <f>IFERROR(__xludf.DUMMYFUNCTION("""COMPUTED_VALUE"""),0.0)</f>
        <v>0</v>
      </c>
      <c r="G166" s="33">
        <f>IFERROR(__xludf.DUMMYFUNCTION("""COMPUTED_VALUE"""),0.0)</f>
        <v>0</v>
      </c>
      <c r="H166" s="33">
        <f>IFERROR(__xludf.DUMMYFUNCTION("""COMPUTED_VALUE"""),0.0)</f>
        <v>0</v>
      </c>
      <c r="I166" s="33">
        <f>IFERROR(__xludf.DUMMYFUNCTION("""COMPUTED_VALUE"""),0.0)</f>
        <v>0</v>
      </c>
      <c r="J166" s="33">
        <f>IFERROR(__xludf.DUMMYFUNCTION("""COMPUTED_VALUE"""),0.0)</f>
        <v>0</v>
      </c>
      <c r="K166" s="33">
        <f>IFERROR(__xludf.DUMMYFUNCTION("""COMPUTED_VALUE"""),0.0)</f>
        <v>0</v>
      </c>
      <c r="L166" s="33">
        <f>IFERROR(__xludf.DUMMYFUNCTION("""COMPUTED_VALUE"""),0.0)</f>
        <v>0</v>
      </c>
      <c r="M166" s="33">
        <f>IFERROR(__xludf.DUMMYFUNCTION("""COMPUTED_VALUE"""),0.0)</f>
        <v>0</v>
      </c>
      <c r="N166" s="33">
        <f>IFERROR(__xludf.DUMMYFUNCTION("""COMPUTED_VALUE"""),27.0)</f>
        <v>27</v>
      </c>
      <c r="O166" s="33">
        <f>IFERROR(__xludf.DUMMYFUNCTION("""COMPUTED_VALUE"""),22.0)</f>
        <v>22</v>
      </c>
      <c r="P166" s="33">
        <f>IFERROR(__xludf.DUMMYFUNCTION("""COMPUTED_VALUE"""),25.0)</f>
        <v>25</v>
      </c>
      <c r="Q166" s="33">
        <f>IFERROR(__xludf.DUMMYFUNCTION("""COMPUTED_VALUE"""),0.0)</f>
        <v>0</v>
      </c>
      <c r="R166" s="33">
        <f>IFERROR(__xludf.DUMMYFUNCTION("""COMPUTED_VALUE"""),0.0)</f>
        <v>0</v>
      </c>
      <c r="S166" s="33">
        <f>IFERROR(__xludf.DUMMYFUNCTION("""COMPUTED_VALUE"""),0.0)</f>
        <v>0</v>
      </c>
      <c r="T166" s="33">
        <f>IFERROR(__xludf.DUMMYFUNCTION("""COMPUTED_VALUE"""),0.0)</f>
        <v>0</v>
      </c>
      <c r="U166" s="33">
        <f>IFERROR(__xludf.DUMMYFUNCTION("""COMPUTED_VALUE"""),0.0)</f>
        <v>0</v>
      </c>
      <c r="V166" s="33">
        <f>IFERROR(__xludf.DUMMYFUNCTION("""COMPUTED_VALUE"""),0.0)</f>
        <v>0</v>
      </c>
      <c r="W166" s="33">
        <f>IFERROR(__xludf.DUMMYFUNCTION("""COMPUTED_VALUE"""),0.0)</f>
        <v>0</v>
      </c>
      <c r="X166" s="33">
        <f>IFERROR(__xludf.DUMMYFUNCTION("""COMPUTED_VALUE"""),0.0)</f>
        <v>0</v>
      </c>
      <c r="Y166" s="33">
        <f>IFERROR(__xludf.DUMMYFUNCTION("""COMPUTED_VALUE"""),0.0)</f>
        <v>0</v>
      </c>
      <c r="Z166" s="33">
        <f>IFERROR(__xludf.DUMMYFUNCTION("""COMPUTED_VALUE"""),0.0)</f>
        <v>0</v>
      </c>
      <c r="AA166" s="33">
        <f>IFERROR(__xludf.DUMMYFUNCTION("""COMPUTED_VALUE"""),0.0)</f>
        <v>0</v>
      </c>
      <c r="AB166" s="33">
        <f>IFERROR(__xludf.DUMMYFUNCTION("""COMPUTED_VALUE"""),0.0)</f>
        <v>0</v>
      </c>
      <c r="AC166" s="33">
        <f>IFERROR(__xludf.DUMMYFUNCTION("""COMPUTED_VALUE"""),4.2825)</f>
        <v>4.2825</v>
      </c>
      <c r="AD166" s="33">
        <f>IFERROR(__xludf.DUMMYFUNCTION("""COMPUTED_VALUE"""),1.99944444444444)</f>
        <v>1.999444444</v>
      </c>
      <c r="AE166" s="33">
        <f>IFERROR(__xludf.DUMMYFUNCTION("""COMPUTED_VALUE"""),2.285)</f>
        <v>2.285</v>
      </c>
      <c r="AF166" s="33">
        <f>IFERROR(__xludf.DUMMYFUNCTION("""COMPUTED_VALUE"""),0.0)</f>
        <v>0</v>
      </c>
    </row>
    <row r="167">
      <c r="A167" s="49">
        <f>IFERROR(__xludf.DUMMYFUNCTION("""COMPUTED_VALUE"""),46111.0)</f>
        <v>46111</v>
      </c>
      <c r="B167" s="33" t="str">
        <f>IFERROR(__xludf.DUMMYFUNCTION("""COMPUTED_VALUE"""),"394d109f7b50d9a46fb591dbaaba2d0aac90a696")</f>
        <v>394d109f7b50d9a46fb591dbaaba2d0aac90a696</v>
      </c>
      <c r="C167" s="33" t="str">
        <f>IFERROR(__xludf.DUMMYFUNCTION("""COMPUTED_VALUE"""),"Empire of Hidden King (SRGJ) - Production Show_id")</f>
        <v>Empire of Hidden King (SRGJ) - Production Show_id</v>
      </c>
      <c r="D167" s="33">
        <f>IFERROR(__xludf.DUMMYFUNCTION("""COMPUTED_VALUE"""),5.0)</f>
        <v>5</v>
      </c>
      <c r="E167" s="33">
        <f>IFERROR(__xludf.DUMMYFUNCTION("""COMPUTED_VALUE"""),7.0)</f>
        <v>7</v>
      </c>
      <c r="F167" s="33">
        <f>IFERROR(__xludf.DUMMYFUNCTION("""COMPUTED_VALUE"""),15.0)</f>
        <v>15</v>
      </c>
      <c r="G167" s="33">
        <f>IFERROR(__xludf.DUMMYFUNCTION("""COMPUTED_VALUE"""),14.0)</f>
        <v>14</v>
      </c>
      <c r="H167" s="33">
        <f>IFERROR(__xludf.DUMMYFUNCTION("""COMPUTED_VALUE"""),14.0)</f>
        <v>14</v>
      </c>
      <c r="I167" s="33">
        <f>IFERROR(__xludf.DUMMYFUNCTION("""COMPUTED_VALUE"""),0.0)</f>
        <v>0</v>
      </c>
      <c r="J167" s="33">
        <f>IFERROR(__xludf.DUMMYFUNCTION("""COMPUTED_VALUE"""),14.0)</f>
        <v>14</v>
      </c>
      <c r="K167" s="33">
        <f>IFERROR(__xludf.DUMMYFUNCTION("""COMPUTED_VALUE"""),9.0)</f>
        <v>9</v>
      </c>
      <c r="L167" s="33">
        <f>IFERROR(__xludf.DUMMYFUNCTION("""COMPUTED_VALUE"""),2.0)</f>
        <v>2</v>
      </c>
      <c r="M167" s="33">
        <f>IFERROR(__xludf.DUMMYFUNCTION("""COMPUTED_VALUE"""),12.0)</f>
        <v>12</v>
      </c>
      <c r="N167" s="33">
        <f>IFERROR(__xludf.DUMMYFUNCTION("""COMPUTED_VALUE"""),11.0)</f>
        <v>11</v>
      </c>
      <c r="O167" s="33">
        <f>IFERROR(__xludf.DUMMYFUNCTION("""COMPUTED_VALUE"""),5.0)</f>
        <v>5</v>
      </c>
      <c r="P167" s="33">
        <f>IFERROR(__xludf.DUMMYFUNCTION("""COMPUTED_VALUE"""),11.0)</f>
        <v>11</v>
      </c>
      <c r="Q167" s="33">
        <f>IFERROR(__xludf.DUMMYFUNCTION("""COMPUTED_VALUE"""),0.0)</f>
        <v>0</v>
      </c>
      <c r="R167" s="33">
        <f>IFERROR(__xludf.DUMMYFUNCTION("""COMPUTED_VALUE"""),13460.0)</f>
        <v>13460</v>
      </c>
      <c r="S167" s="33">
        <f>IFERROR(__xludf.DUMMYFUNCTION("""COMPUTED_VALUE"""),18774.0)</f>
        <v>18774</v>
      </c>
      <c r="T167" s="33">
        <f>IFERROR(__xludf.DUMMYFUNCTION("""COMPUTED_VALUE"""),3.68611111111111)</f>
        <v>3.686111111</v>
      </c>
      <c r="U167" s="33">
        <f>IFERROR(__xludf.DUMMYFUNCTION("""COMPUTED_VALUE"""),3.68611111111111)</f>
        <v>3.686111111</v>
      </c>
      <c r="V167" s="33">
        <f>IFERROR(__xludf.DUMMYFUNCTION("""COMPUTED_VALUE"""),3.45361111111111)</f>
        <v>3.453611111</v>
      </c>
      <c r="W167" s="33">
        <f>IFERROR(__xludf.DUMMYFUNCTION("""COMPUTED_VALUE"""),3.45361111111111)</f>
        <v>3.453611111</v>
      </c>
      <c r="X167" s="33">
        <f>IFERROR(__xludf.DUMMYFUNCTION("""COMPUTED_VALUE"""),0.0)</f>
        <v>0</v>
      </c>
      <c r="Y167" s="33">
        <f>IFERROR(__xludf.DUMMYFUNCTION("""COMPUTED_VALUE"""),3.45888888888888)</f>
        <v>3.458888889</v>
      </c>
      <c r="Z167" s="33">
        <f>IFERROR(__xludf.DUMMYFUNCTION("""COMPUTED_VALUE"""),2.23083333333333)</f>
        <v>2.230833333</v>
      </c>
      <c r="AA167" s="33">
        <f>IFERROR(__xludf.DUMMYFUNCTION("""COMPUTED_VALUE"""),0.494166666666666)</f>
        <v>0.4941666667</v>
      </c>
      <c r="AB167" s="33">
        <f>IFERROR(__xludf.DUMMYFUNCTION("""COMPUTED_VALUE"""),2.95555555555555)</f>
        <v>2.955555556</v>
      </c>
      <c r="AC167" s="33">
        <f>IFERROR(__xludf.DUMMYFUNCTION("""COMPUTED_VALUE"""),2.72027777777777)</f>
        <v>2.720277778</v>
      </c>
      <c r="AD167" s="33">
        <f>IFERROR(__xludf.DUMMYFUNCTION("""COMPUTED_VALUE"""),1.46583333333333)</f>
        <v>1.465833333</v>
      </c>
      <c r="AE167" s="33">
        <f>IFERROR(__xludf.DUMMYFUNCTION("""COMPUTED_VALUE"""),2.72027777777777)</f>
        <v>2.720277778</v>
      </c>
      <c r="AF167" s="33">
        <f>IFERROR(__xludf.DUMMYFUNCTION("""COMPUTED_VALUE"""),15.0)</f>
        <v>15</v>
      </c>
    </row>
    <row r="168">
      <c r="A168" s="49">
        <f>IFERROR(__xludf.DUMMYFUNCTION("""COMPUTED_VALUE"""),46111.0)</f>
        <v>46111</v>
      </c>
      <c r="B168" s="33" t="str">
        <f>IFERROR(__xludf.DUMMYFUNCTION("""COMPUTED_VALUE"""),"5066c0736f9e9444f2b4da840d6860b1f7f47d11")</f>
        <v>5066c0736f9e9444f2b4da840d6860b1f7f47d11</v>
      </c>
      <c r="C168" s="33" t="str">
        <f>IFERROR(__xludf.DUMMYFUNCTION("""COMPUTED_VALUE"""),"The Warrior | Author - Dayaram Prajapati - Replica (For Production Only)")</f>
        <v>The Warrior | Author - Dayaram Prajapati - Replica (For Production Only)</v>
      </c>
      <c r="D168" s="33">
        <f>IFERROR(__xludf.DUMMYFUNCTION("""COMPUTED_VALUE"""),22.0)</f>
        <v>22</v>
      </c>
      <c r="E168" s="33">
        <f>IFERROR(__xludf.DUMMYFUNCTION("""COMPUTED_VALUE"""),26.0)</f>
        <v>26</v>
      </c>
      <c r="F168" s="33">
        <f>IFERROR(__xludf.DUMMYFUNCTION("""COMPUTED_VALUE"""),20.0)</f>
        <v>20</v>
      </c>
      <c r="G168" s="33">
        <f>IFERROR(__xludf.DUMMYFUNCTION("""COMPUTED_VALUE"""),16.0)</f>
        <v>16</v>
      </c>
      <c r="H168" s="33">
        <f>IFERROR(__xludf.DUMMYFUNCTION("""COMPUTED_VALUE"""),16.0)</f>
        <v>16</v>
      </c>
      <c r="I168" s="33">
        <f>IFERROR(__xludf.DUMMYFUNCTION("""COMPUTED_VALUE"""),1.0)</f>
        <v>1</v>
      </c>
      <c r="J168" s="33">
        <f>IFERROR(__xludf.DUMMYFUNCTION("""COMPUTED_VALUE"""),22.0)</f>
        <v>22</v>
      </c>
      <c r="K168" s="33">
        <f>IFERROR(__xludf.DUMMYFUNCTION("""COMPUTED_VALUE"""),6.0)</f>
        <v>6</v>
      </c>
      <c r="L168" s="33">
        <f>IFERROR(__xludf.DUMMYFUNCTION("""COMPUTED_VALUE"""),5.0)</f>
        <v>5</v>
      </c>
      <c r="M168" s="33">
        <f>IFERROR(__xludf.DUMMYFUNCTION("""COMPUTED_VALUE"""),20.0)</f>
        <v>20</v>
      </c>
      <c r="N168" s="33">
        <f>IFERROR(__xludf.DUMMYFUNCTION("""COMPUTED_VALUE"""),19.0)</f>
        <v>19</v>
      </c>
      <c r="O168" s="33">
        <f>IFERROR(__xludf.DUMMYFUNCTION("""COMPUTED_VALUE"""),6.0)</f>
        <v>6</v>
      </c>
      <c r="P168" s="33">
        <f>IFERROR(__xludf.DUMMYFUNCTION("""COMPUTED_VALUE"""),19.0)</f>
        <v>19</v>
      </c>
      <c r="Q168" s="33">
        <f>IFERROR(__xludf.DUMMYFUNCTION("""COMPUTED_VALUE"""),0.0)</f>
        <v>0</v>
      </c>
      <c r="R168" s="33">
        <f>IFERROR(__xludf.DUMMYFUNCTION("""COMPUTED_VALUE"""),63173.0)</f>
        <v>63173</v>
      </c>
      <c r="S168" s="33">
        <f>IFERROR(__xludf.DUMMYFUNCTION("""COMPUTED_VALUE"""),75712.0)</f>
        <v>75712</v>
      </c>
      <c r="T168" s="33">
        <f>IFERROR(__xludf.DUMMYFUNCTION("""COMPUTED_VALUE"""),5.98777777777777)</f>
        <v>5.987777778</v>
      </c>
      <c r="U168" s="33">
        <f>IFERROR(__xludf.DUMMYFUNCTION("""COMPUTED_VALUE"""),5.71916666666666)</f>
        <v>5.719166667</v>
      </c>
      <c r="V168" s="33">
        <f>IFERROR(__xludf.DUMMYFUNCTION("""COMPUTED_VALUE"""),4.36333333333333)</f>
        <v>4.363333333</v>
      </c>
      <c r="W168" s="33">
        <f>IFERROR(__xludf.DUMMYFUNCTION("""COMPUTED_VALUE"""),4.35388888888888)</f>
        <v>4.353888889</v>
      </c>
      <c r="X168" s="33">
        <f>IFERROR(__xludf.DUMMYFUNCTION("""COMPUTED_VALUE"""),0.268611111111111)</f>
        <v>0.2686111111</v>
      </c>
      <c r="Y168" s="33">
        <f>IFERROR(__xludf.DUMMYFUNCTION("""COMPUTED_VALUE"""),6.00222222222222)</f>
        <v>6.002222222</v>
      </c>
      <c r="Z168" s="33">
        <f>IFERROR(__xludf.DUMMYFUNCTION("""COMPUTED_VALUE"""),1.69833333333333)</f>
        <v>1.698333333</v>
      </c>
      <c r="AA168" s="33">
        <f>IFERROR(__xludf.DUMMYFUNCTION("""COMPUTED_VALUE"""),1.41916666666666)</f>
        <v>1.419166667</v>
      </c>
      <c r="AB168" s="33">
        <f>IFERROR(__xludf.DUMMYFUNCTION("""COMPUTED_VALUE"""),5.43)</f>
        <v>5.43</v>
      </c>
      <c r="AC168" s="33">
        <f>IFERROR(__xludf.DUMMYFUNCTION("""COMPUTED_VALUE"""),5.16055555555555)</f>
        <v>5.160555556</v>
      </c>
      <c r="AD168" s="33">
        <f>IFERROR(__xludf.DUMMYFUNCTION("""COMPUTED_VALUE"""),1.41805555555555)</f>
        <v>1.418055556</v>
      </c>
      <c r="AE168" s="33">
        <f>IFERROR(__xludf.DUMMYFUNCTION("""COMPUTED_VALUE"""),5.16055555555555)</f>
        <v>5.160555556</v>
      </c>
      <c r="AF168" s="33">
        <f>IFERROR(__xludf.DUMMYFUNCTION("""COMPUTED_VALUE"""),21.0)</f>
        <v>21</v>
      </c>
    </row>
    <row r="169">
      <c r="A169" s="49">
        <f>IFERROR(__xludf.DUMMYFUNCTION("""COMPUTED_VALUE"""),46111.0)</f>
        <v>46111</v>
      </c>
      <c r="B169" s="33" t="str">
        <f>IFERROR(__xludf.DUMMYFUNCTION("""COMPUTED_VALUE"""),"54847eda0794e861da74c1034ace021b4643357b")</f>
        <v>54847eda0794e861da74c1034ace021b4643357b</v>
      </c>
      <c r="C169" s="33" t="str">
        <f>IFERROR(__xludf.DUMMYFUNCTION("""COMPUTED_VALUE"""),"Billionaire King's Love (Production)")</f>
        <v>Billionaire King's Love (Production)</v>
      </c>
      <c r="D169" s="33">
        <f>IFERROR(__xludf.DUMMYFUNCTION("""COMPUTED_VALUE"""),7.0)</f>
        <v>7</v>
      </c>
      <c r="E169" s="33">
        <f>IFERROR(__xludf.DUMMYFUNCTION("""COMPUTED_VALUE"""),14.0)</f>
        <v>14</v>
      </c>
      <c r="F169" s="33">
        <f>IFERROR(__xludf.DUMMYFUNCTION("""COMPUTED_VALUE"""),15.0)</f>
        <v>15</v>
      </c>
      <c r="G169" s="33">
        <f>IFERROR(__xludf.DUMMYFUNCTION("""COMPUTED_VALUE"""),6.0)</f>
        <v>6</v>
      </c>
      <c r="H169" s="33">
        <f>IFERROR(__xludf.DUMMYFUNCTION("""COMPUTED_VALUE"""),9.0)</f>
        <v>9</v>
      </c>
      <c r="I169" s="33">
        <f>IFERROR(__xludf.DUMMYFUNCTION("""COMPUTED_VALUE"""),3.0)</f>
        <v>3</v>
      </c>
      <c r="J169" s="33">
        <f>IFERROR(__xludf.DUMMYFUNCTION("""COMPUTED_VALUE"""),16.0)</f>
        <v>16</v>
      </c>
      <c r="K169" s="33">
        <f>IFERROR(__xludf.DUMMYFUNCTION("""COMPUTED_VALUE"""),2.0)</f>
        <v>2</v>
      </c>
      <c r="L169" s="33">
        <f>IFERROR(__xludf.DUMMYFUNCTION("""COMPUTED_VALUE"""),0.0)</f>
        <v>0</v>
      </c>
      <c r="M169" s="33">
        <f>IFERROR(__xludf.DUMMYFUNCTION("""COMPUTED_VALUE"""),15.0)</f>
        <v>15</v>
      </c>
      <c r="N169" s="33">
        <f>IFERROR(__xludf.DUMMYFUNCTION("""COMPUTED_VALUE"""),15.0)</f>
        <v>15</v>
      </c>
      <c r="O169" s="33">
        <f>IFERROR(__xludf.DUMMYFUNCTION("""COMPUTED_VALUE"""),5.0)</f>
        <v>5</v>
      </c>
      <c r="P169" s="33">
        <f>IFERROR(__xludf.DUMMYFUNCTION("""COMPUTED_VALUE"""),15.0)</f>
        <v>15</v>
      </c>
      <c r="Q169" s="33">
        <f>IFERROR(__xludf.DUMMYFUNCTION("""COMPUTED_VALUE"""),0.0)</f>
        <v>0</v>
      </c>
      <c r="R169" s="33">
        <f>IFERROR(__xludf.DUMMYFUNCTION("""COMPUTED_VALUE"""),16950.0)</f>
        <v>16950</v>
      </c>
      <c r="S169" s="33">
        <f>IFERROR(__xludf.DUMMYFUNCTION("""COMPUTED_VALUE"""),30476.0)</f>
        <v>30476</v>
      </c>
      <c r="T169" s="33">
        <f>IFERROR(__xludf.DUMMYFUNCTION("""COMPUTED_VALUE"""),2.64361111111111)</f>
        <v>2.643611111</v>
      </c>
      <c r="U169" s="33">
        <f>IFERROR(__xludf.DUMMYFUNCTION("""COMPUTED_VALUE"""),2.83916666666666)</f>
        <v>2.839166667</v>
      </c>
      <c r="V169" s="33">
        <f>IFERROR(__xludf.DUMMYFUNCTION("""COMPUTED_VALUE"""),1.31833333333333)</f>
        <v>1.318333333</v>
      </c>
      <c r="W169" s="33">
        <f>IFERROR(__xludf.DUMMYFUNCTION("""COMPUTED_VALUE"""),1.82222222222222)</f>
        <v>1.822222222</v>
      </c>
      <c r="X169" s="33">
        <f>IFERROR(__xludf.DUMMYFUNCTION("""COMPUTED_VALUE"""),0.533055555555555)</f>
        <v>0.5330555556</v>
      </c>
      <c r="Y169" s="33">
        <f>IFERROR(__xludf.DUMMYFUNCTION("""COMPUTED_VALUE"""),3.40333333333333)</f>
        <v>3.403333333</v>
      </c>
      <c r="Z169" s="33">
        <f>IFERROR(__xludf.DUMMYFUNCTION("""COMPUTED_VALUE"""),0.434166666666666)</f>
        <v>0.4341666667</v>
      </c>
      <c r="AA169" s="33">
        <f>IFERROR(__xludf.DUMMYFUNCTION("""COMPUTED_VALUE"""),0.0)</f>
        <v>0</v>
      </c>
      <c r="AB169" s="33">
        <f>IFERROR(__xludf.DUMMYFUNCTION("""COMPUTED_VALUE"""),3.18333333333333)</f>
        <v>3.183333333</v>
      </c>
      <c r="AC169" s="33">
        <f>IFERROR(__xludf.DUMMYFUNCTION("""COMPUTED_VALUE"""),3.18333333333333)</f>
        <v>3.183333333</v>
      </c>
      <c r="AD169" s="33">
        <f>IFERROR(__xludf.DUMMYFUNCTION("""COMPUTED_VALUE"""),1.02805555555555)</f>
        <v>1.028055556</v>
      </c>
      <c r="AE169" s="33">
        <f>IFERROR(__xludf.DUMMYFUNCTION("""COMPUTED_VALUE"""),3.18333333333333)</f>
        <v>3.183333333</v>
      </c>
      <c r="AF169" s="33">
        <f>IFERROR(__xludf.DUMMYFUNCTION("""COMPUTED_VALUE"""),14.0)</f>
        <v>14</v>
      </c>
    </row>
    <row r="170">
      <c r="A170" s="49">
        <f>IFERROR(__xludf.DUMMYFUNCTION("""COMPUTED_VALUE"""),46111.0)</f>
        <v>46111</v>
      </c>
      <c r="B170" s="33" t="str">
        <f>IFERROR(__xludf.DUMMYFUNCTION("""COMPUTED_VALUE"""),"5a7d21f6ad9df12be70cd9439dd850c36627991d")</f>
        <v>5a7d21f6ad9df12be70cd9439dd850c36627991d</v>
      </c>
      <c r="C170" s="33" t="str">
        <f>IFERROR(__xludf.DUMMYFUNCTION("""COMPUTED_VALUE"""),"Ek Stranger Se Pyar- Production Id")</f>
        <v>Ek Stranger Se Pyar- Production Id</v>
      </c>
      <c r="D170" s="33">
        <f>IFERROR(__xludf.DUMMYFUNCTION("""COMPUTED_VALUE"""),1.0)</f>
        <v>1</v>
      </c>
      <c r="E170" s="33">
        <f>IFERROR(__xludf.DUMMYFUNCTION("""COMPUTED_VALUE"""),1.0)</f>
        <v>1</v>
      </c>
      <c r="F170" s="33">
        <f>IFERROR(__xludf.DUMMYFUNCTION("""COMPUTED_VALUE"""),0.0)</f>
        <v>0</v>
      </c>
      <c r="G170" s="33">
        <f>IFERROR(__xludf.DUMMYFUNCTION("""COMPUTED_VALUE"""),0.0)</f>
        <v>0</v>
      </c>
      <c r="H170" s="33">
        <f>IFERROR(__xludf.DUMMYFUNCTION("""COMPUTED_VALUE"""),0.0)</f>
        <v>0</v>
      </c>
      <c r="I170" s="33">
        <f>IFERROR(__xludf.DUMMYFUNCTION("""COMPUTED_VALUE"""),0.0)</f>
        <v>0</v>
      </c>
      <c r="J170" s="33">
        <f>IFERROR(__xludf.DUMMYFUNCTION("""COMPUTED_VALUE"""),0.0)</f>
        <v>0</v>
      </c>
      <c r="K170" s="33">
        <f>IFERROR(__xludf.DUMMYFUNCTION("""COMPUTED_VALUE"""),0.0)</f>
        <v>0</v>
      </c>
      <c r="L170" s="33">
        <f>IFERROR(__xludf.DUMMYFUNCTION("""COMPUTED_VALUE"""),0.0)</f>
        <v>0</v>
      </c>
      <c r="M170" s="33">
        <f>IFERROR(__xludf.DUMMYFUNCTION("""COMPUTED_VALUE"""),0.0)</f>
        <v>0</v>
      </c>
      <c r="N170" s="33">
        <f>IFERROR(__xludf.DUMMYFUNCTION("""COMPUTED_VALUE"""),0.0)</f>
        <v>0</v>
      </c>
      <c r="O170" s="33">
        <f>IFERROR(__xludf.DUMMYFUNCTION("""COMPUTED_VALUE"""),0.0)</f>
        <v>0</v>
      </c>
      <c r="P170" s="33">
        <f>IFERROR(__xludf.DUMMYFUNCTION("""COMPUTED_VALUE"""),0.0)</f>
        <v>0</v>
      </c>
      <c r="Q170" s="33">
        <f>IFERROR(__xludf.DUMMYFUNCTION("""COMPUTED_VALUE"""),0.0)</f>
        <v>0</v>
      </c>
      <c r="R170" s="33">
        <f>IFERROR(__xludf.DUMMYFUNCTION("""COMPUTED_VALUE"""),2454.0)</f>
        <v>2454</v>
      </c>
      <c r="S170" s="33">
        <f>IFERROR(__xludf.DUMMYFUNCTION("""COMPUTED_VALUE"""),2454.0)</f>
        <v>2454</v>
      </c>
      <c r="T170" s="33">
        <f>IFERROR(__xludf.DUMMYFUNCTION("""COMPUTED_VALUE"""),0.0)</f>
        <v>0</v>
      </c>
      <c r="U170" s="33">
        <f>IFERROR(__xludf.DUMMYFUNCTION("""COMPUTED_VALUE"""),0.0)</f>
        <v>0</v>
      </c>
      <c r="V170" s="33">
        <f>IFERROR(__xludf.DUMMYFUNCTION("""COMPUTED_VALUE"""),0.0)</f>
        <v>0</v>
      </c>
      <c r="W170" s="33">
        <f>IFERROR(__xludf.DUMMYFUNCTION("""COMPUTED_VALUE"""),0.0)</f>
        <v>0</v>
      </c>
      <c r="X170" s="33">
        <f>IFERROR(__xludf.DUMMYFUNCTION("""COMPUTED_VALUE"""),0.0)</f>
        <v>0</v>
      </c>
      <c r="Y170" s="33">
        <f>IFERROR(__xludf.DUMMYFUNCTION("""COMPUTED_VALUE"""),0.0)</f>
        <v>0</v>
      </c>
      <c r="Z170" s="33">
        <f>IFERROR(__xludf.DUMMYFUNCTION("""COMPUTED_VALUE"""),0.0)</f>
        <v>0</v>
      </c>
      <c r="AA170" s="33">
        <f>IFERROR(__xludf.DUMMYFUNCTION("""COMPUTED_VALUE"""),0.0)</f>
        <v>0</v>
      </c>
      <c r="AB170" s="33">
        <f>IFERROR(__xludf.DUMMYFUNCTION("""COMPUTED_VALUE"""),0.0)</f>
        <v>0</v>
      </c>
      <c r="AC170" s="33">
        <f>IFERROR(__xludf.DUMMYFUNCTION("""COMPUTED_VALUE"""),0.0)</f>
        <v>0</v>
      </c>
      <c r="AD170" s="33">
        <f>IFERROR(__xludf.DUMMYFUNCTION("""COMPUTED_VALUE"""),0.0)</f>
        <v>0</v>
      </c>
      <c r="AE170" s="33">
        <f>IFERROR(__xludf.DUMMYFUNCTION("""COMPUTED_VALUE"""),0.0)</f>
        <v>0</v>
      </c>
      <c r="AF170" s="33">
        <f>IFERROR(__xludf.DUMMYFUNCTION("""COMPUTED_VALUE"""),0.0)</f>
        <v>0</v>
      </c>
    </row>
    <row r="171">
      <c r="A171" s="49">
        <f>IFERROR(__xludf.DUMMYFUNCTION("""COMPUTED_VALUE"""),46111.0)</f>
        <v>46111</v>
      </c>
      <c r="B171" s="33" t="str">
        <f>IFERROR(__xludf.DUMMYFUNCTION("""COMPUTED_VALUE"""),"5baf4c80faf4b2d4eb9401a1d0081872e0158e89")</f>
        <v>5baf4c80faf4b2d4eb9401a1d0081872e0158e89</v>
      </c>
      <c r="C171" s="33" t="str">
        <f>IFERROR(__xludf.DUMMYFUNCTION("""COMPUTED_VALUE"""),"Brahmyodha : The Destroyer - Production showId")</f>
        <v>Brahmyodha : The Destroyer - Production showId</v>
      </c>
      <c r="D171" s="33">
        <f>IFERROR(__xludf.DUMMYFUNCTION("""COMPUTED_VALUE"""),21.0)</f>
        <v>21</v>
      </c>
      <c r="E171" s="33">
        <f>IFERROR(__xludf.DUMMYFUNCTION("""COMPUTED_VALUE"""),11.0)</f>
        <v>11</v>
      </c>
      <c r="F171" s="33">
        <f>IFERROR(__xludf.DUMMYFUNCTION("""COMPUTED_VALUE"""),7.0)</f>
        <v>7</v>
      </c>
      <c r="G171" s="33">
        <f>IFERROR(__xludf.DUMMYFUNCTION("""COMPUTED_VALUE"""),0.0)</f>
        <v>0</v>
      </c>
      <c r="H171" s="33">
        <f>IFERROR(__xludf.DUMMYFUNCTION("""COMPUTED_VALUE"""),18.0)</f>
        <v>18</v>
      </c>
      <c r="I171" s="33">
        <f>IFERROR(__xludf.DUMMYFUNCTION("""COMPUTED_VALUE"""),11.0)</f>
        <v>11</v>
      </c>
      <c r="J171" s="33">
        <f>IFERROR(__xludf.DUMMYFUNCTION("""COMPUTED_VALUE"""),19.0)</f>
        <v>19</v>
      </c>
      <c r="K171" s="33">
        <f>IFERROR(__xludf.DUMMYFUNCTION("""COMPUTED_VALUE"""),4.0)</f>
        <v>4</v>
      </c>
      <c r="L171" s="33">
        <f>IFERROR(__xludf.DUMMYFUNCTION("""COMPUTED_VALUE"""),0.0)</f>
        <v>0</v>
      </c>
      <c r="M171" s="33">
        <f>IFERROR(__xludf.DUMMYFUNCTION("""COMPUTED_VALUE"""),17.0)</f>
        <v>17</v>
      </c>
      <c r="N171" s="33">
        <f>IFERROR(__xludf.DUMMYFUNCTION("""COMPUTED_VALUE"""),17.0)</f>
        <v>17</v>
      </c>
      <c r="O171" s="33">
        <f>IFERROR(__xludf.DUMMYFUNCTION("""COMPUTED_VALUE"""),6.0)</f>
        <v>6</v>
      </c>
      <c r="P171" s="33">
        <f>IFERROR(__xludf.DUMMYFUNCTION("""COMPUTED_VALUE"""),17.0)</f>
        <v>17</v>
      </c>
      <c r="Q171" s="33">
        <f>IFERROR(__xludf.DUMMYFUNCTION("""COMPUTED_VALUE"""),0.0)</f>
        <v>0</v>
      </c>
      <c r="R171" s="33">
        <f>IFERROR(__xludf.DUMMYFUNCTION("""COMPUTED_VALUE"""),46898.0)</f>
        <v>46898</v>
      </c>
      <c r="S171" s="33">
        <f>IFERROR(__xludf.DUMMYFUNCTION("""COMPUTED_VALUE"""),25837.0)</f>
        <v>25837</v>
      </c>
      <c r="T171" s="33">
        <f>IFERROR(__xludf.DUMMYFUNCTION("""COMPUTED_VALUE"""),4.83777777777777)</f>
        <v>4.837777778</v>
      </c>
      <c r="U171" s="33">
        <f>IFERROR(__xludf.DUMMYFUNCTION("""COMPUTED_VALUE"""),1.62694444444444)</f>
        <v>1.626944444</v>
      </c>
      <c r="V171" s="33">
        <f>IFERROR(__xludf.DUMMYFUNCTION("""COMPUTED_VALUE"""),0.0)</f>
        <v>0</v>
      </c>
      <c r="W171" s="33">
        <f>IFERROR(__xludf.DUMMYFUNCTION("""COMPUTED_VALUE"""),4.13861111111111)</f>
        <v>4.138611111</v>
      </c>
      <c r="X171" s="33">
        <f>IFERROR(__xludf.DUMMYFUNCTION("""COMPUTED_VALUE"""),2.51444444444444)</f>
        <v>2.514444444</v>
      </c>
      <c r="Y171" s="33">
        <f>IFERROR(__xludf.DUMMYFUNCTION("""COMPUTED_VALUE"""),4.38972222222222)</f>
        <v>4.389722222</v>
      </c>
      <c r="Z171" s="33">
        <f>IFERROR(__xludf.DUMMYFUNCTION("""COMPUTED_VALUE"""),0.920555555555555)</f>
        <v>0.9205555556</v>
      </c>
      <c r="AA171" s="33">
        <f>IFERROR(__xludf.DUMMYFUNCTION("""COMPUTED_VALUE"""),0.0)</f>
        <v>0</v>
      </c>
      <c r="AB171" s="33">
        <f>IFERROR(__xludf.DUMMYFUNCTION("""COMPUTED_VALUE"""),3.94277777777777)</f>
        <v>3.942777778</v>
      </c>
      <c r="AC171" s="33">
        <f>IFERROR(__xludf.DUMMYFUNCTION("""COMPUTED_VALUE"""),3.94277777777777)</f>
        <v>3.942777778</v>
      </c>
      <c r="AD171" s="33">
        <f>IFERROR(__xludf.DUMMYFUNCTION("""COMPUTED_VALUE"""),1.34861111111111)</f>
        <v>1.348611111</v>
      </c>
      <c r="AE171" s="33">
        <f>IFERROR(__xludf.DUMMYFUNCTION("""COMPUTED_VALUE"""),3.94277777777777)</f>
        <v>3.942777778</v>
      </c>
      <c r="AF171" s="33">
        <f>IFERROR(__xludf.DUMMYFUNCTION("""COMPUTED_VALUE"""),21.0)</f>
        <v>21</v>
      </c>
    </row>
    <row r="172">
      <c r="A172" s="49">
        <f>IFERROR(__xludf.DUMMYFUNCTION("""COMPUTED_VALUE"""),46111.0)</f>
        <v>46111</v>
      </c>
      <c r="B172" s="33" t="str">
        <f>IFERROR(__xludf.DUMMYFUNCTION("""COMPUTED_VALUE"""),"641b6f77fd211e92df35a3bcbab67e6879e19a66")</f>
        <v>641b6f77fd211e92df35a3bcbab67e6879e19a66</v>
      </c>
      <c r="C172" s="33" t="str">
        <f>IFERROR(__xludf.DUMMYFUNCTION("""COMPUTED_VALUE"""),"Mahagatha | महागाथा | Author - S. Mauryavanshi")</f>
        <v>Mahagatha | महागाथा | Author - S. Mauryavanshi</v>
      </c>
      <c r="D172" s="33">
        <f>IFERROR(__xludf.DUMMYFUNCTION("""COMPUTED_VALUE"""),10.0)</f>
        <v>10</v>
      </c>
      <c r="E172" s="33">
        <f>IFERROR(__xludf.DUMMYFUNCTION("""COMPUTED_VALUE"""),10.0)</f>
        <v>10</v>
      </c>
      <c r="F172" s="33">
        <f>IFERROR(__xludf.DUMMYFUNCTION("""COMPUTED_VALUE"""),5.0)</f>
        <v>5</v>
      </c>
      <c r="G172" s="33">
        <f>IFERROR(__xludf.DUMMYFUNCTION("""COMPUTED_VALUE"""),0.0)</f>
        <v>0</v>
      </c>
      <c r="H172" s="33">
        <f>IFERROR(__xludf.DUMMYFUNCTION("""COMPUTED_VALUE"""),12.0)</f>
        <v>12</v>
      </c>
      <c r="I172" s="33">
        <f>IFERROR(__xludf.DUMMYFUNCTION("""COMPUTED_VALUE"""),5.0)</f>
        <v>5</v>
      </c>
      <c r="J172" s="33">
        <f>IFERROR(__xludf.DUMMYFUNCTION("""COMPUTED_VALUE"""),12.0)</f>
        <v>12</v>
      </c>
      <c r="K172" s="33">
        <f>IFERROR(__xludf.DUMMYFUNCTION("""COMPUTED_VALUE"""),2.0)</f>
        <v>2</v>
      </c>
      <c r="L172" s="33">
        <f>IFERROR(__xludf.DUMMYFUNCTION("""COMPUTED_VALUE"""),0.0)</f>
        <v>0</v>
      </c>
      <c r="M172" s="33">
        <f>IFERROR(__xludf.DUMMYFUNCTION("""COMPUTED_VALUE"""),14.0)</f>
        <v>14</v>
      </c>
      <c r="N172" s="33">
        <f>IFERROR(__xludf.DUMMYFUNCTION("""COMPUTED_VALUE"""),14.0)</f>
        <v>14</v>
      </c>
      <c r="O172" s="33">
        <f>IFERROR(__xludf.DUMMYFUNCTION("""COMPUTED_VALUE"""),5.0)</f>
        <v>5</v>
      </c>
      <c r="P172" s="33">
        <f>IFERROR(__xludf.DUMMYFUNCTION("""COMPUTED_VALUE"""),14.0)</f>
        <v>14</v>
      </c>
      <c r="Q172" s="33">
        <f>IFERROR(__xludf.DUMMYFUNCTION("""COMPUTED_VALUE"""),0.0)</f>
        <v>0</v>
      </c>
      <c r="R172" s="33">
        <f>IFERROR(__xludf.DUMMYFUNCTION("""COMPUTED_VALUE"""),24841.0)</f>
        <v>24841</v>
      </c>
      <c r="S172" s="33">
        <f>IFERROR(__xludf.DUMMYFUNCTION("""COMPUTED_VALUE"""),25831.0)</f>
        <v>25831</v>
      </c>
      <c r="T172" s="33">
        <f>IFERROR(__xludf.DUMMYFUNCTION("""COMPUTED_VALUE"""),3.07638888888888)</f>
        <v>3.076388889</v>
      </c>
      <c r="U172" s="33">
        <f>IFERROR(__xludf.DUMMYFUNCTION("""COMPUTED_VALUE"""),1.32222222222222)</f>
        <v>1.322222222</v>
      </c>
      <c r="V172" s="33">
        <f>IFERROR(__xludf.DUMMYFUNCTION("""COMPUTED_VALUE"""),0.0)</f>
        <v>0</v>
      </c>
      <c r="W172" s="33">
        <f>IFERROR(__xludf.DUMMYFUNCTION("""COMPUTED_VALUE"""),3.07277777777777)</f>
        <v>3.072777778</v>
      </c>
      <c r="X172" s="33">
        <f>IFERROR(__xludf.DUMMYFUNCTION("""COMPUTED_VALUE"""),1.25555555555555)</f>
        <v>1.255555556</v>
      </c>
      <c r="Y172" s="33">
        <f>IFERROR(__xludf.DUMMYFUNCTION("""COMPUTED_VALUE"""),3.07055555555555)</f>
        <v>3.070555556</v>
      </c>
      <c r="Z172" s="33">
        <f>IFERROR(__xludf.DUMMYFUNCTION("""COMPUTED_VALUE"""),0.531111111111111)</f>
        <v>0.5311111111</v>
      </c>
      <c r="AA172" s="33">
        <f>IFERROR(__xludf.DUMMYFUNCTION("""COMPUTED_VALUE"""),0.0)</f>
        <v>0</v>
      </c>
      <c r="AB172" s="33">
        <f>IFERROR(__xludf.DUMMYFUNCTION("""COMPUTED_VALUE"""),3.60305555555555)</f>
        <v>3.603055556</v>
      </c>
      <c r="AC172" s="33">
        <f>IFERROR(__xludf.DUMMYFUNCTION("""COMPUTED_VALUE"""),3.60305555555555)</f>
        <v>3.603055556</v>
      </c>
      <c r="AD172" s="33">
        <f>IFERROR(__xludf.DUMMYFUNCTION("""COMPUTED_VALUE"""),1.10388888888888)</f>
        <v>1.103888889</v>
      </c>
      <c r="AE172" s="33">
        <f>IFERROR(__xludf.DUMMYFUNCTION("""COMPUTED_VALUE"""),3.60305555555555)</f>
        <v>3.603055556</v>
      </c>
      <c r="AF172" s="33">
        <f>IFERROR(__xludf.DUMMYFUNCTION("""COMPUTED_VALUE"""),12.0)</f>
        <v>12</v>
      </c>
    </row>
    <row r="173">
      <c r="A173" s="49">
        <f>IFERROR(__xludf.DUMMYFUNCTION("""COMPUTED_VALUE"""),46111.0)</f>
        <v>46111</v>
      </c>
      <c r="B173" s="33" t="str">
        <f>IFERROR(__xludf.DUMMYFUNCTION("""COMPUTED_VALUE"""),"6b246320a4c5853ce55127d5e00ee8805a97659a")</f>
        <v>6b246320a4c5853ce55127d5e00ee8805a97659a</v>
      </c>
      <c r="C173" s="33" t="str">
        <f>IFERROR(__xludf.DUMMYFUNCTION("""COMPUTED_VALUE"""),"Mystic Fate System - Production Show_id")</f>
        <v>Mystic Fate System - Production Show_id</v>
      </c>
      <c r="D173" s="33">
        <f>IFERROR(__xludf.DUMMYFUNCTION("""COMPUTED_VALUE"""),4.0)</f>
        <v>4</v>
      </c>
      <c r="E173" s="33">
        <f>IFERROR(__xludf.DUMMYFUNCTION("""COMPUTED_VALUE"""),17.0)</f>
        <v>17</v>
      </c>
      <c r="F173" s="33">
        <f>IFERROR(__xludf.DUMMYFUNCTION("""COMPUTED_VALUE"""),10.0)</f>
        <v>10</v>
      </c>
      <c r="G173" s="33">
        <f>IFERROR(__xludf.DUMMYFUNCTION("""COMPUTED_VALUE"""),0.0)</f>
        <v>0</v>
      </c>
      <c r="H173" s="33">
        <f>IFERROR(__xludf.DUMMYFUNCTION("""COMPUTED_VALUE"""),1.0)</f>
        <v>1</v>
      </c>
      <c r="I173" s="33">
        <f>IFERROR(__xludf.DUMMYFUNCTION("""COMPUTED_VALUE"""),0.0)</f>
        <v>0</v>
      </c>
      <c r="J173" s="33">
        <f>IFERROR(__xludf.DUMMYFUNCTION("""COMPUTED_VALUE"""),1.0)</f>
        <v>1</v>
      </c>
      <c r="K173" s="33">
        <f>IFERROR(__xludf.DUMMYFUNCTION("""COMPUTED_VALUE"""),0.0)</f>
        <v>0</v>
      </c>
      <c r="L173" s="33">
        <f>IFERROR(__xludf.DUMMYFUNCTION("""COMPUTED_VALUE"""),0.0)</f>
        <v>0</v>
      </c>
      <c r="M173" s="33">
        <f>IFERROR(__xludf.DUMMYFUNCTION("""COMPUTED_VALUE"""),1.0)</f>
        <v>1</v>
      </c>
      <c r="N173" s="33">
        <f>IFERROR(__xludf.DUMMYFUNCTION("""COMPUTED_VALUE"""),1.0)</f>
        <v>1</v>
      </c>
      <c r="O173" s="33">
        <f>IFERROR(__xludf.DUMMYFUNCTION("""COMPUTED_VALUE"""),1.0)</f>
        <v>1</v>
      </c>
      <c r="P173" s="33">
        <f>IFERROR(__xludf.DUMMYFUNCTION("""COMPUTED_VALUE"""),1.0)</f>
        <v>1</v>
      </c>
      <c r="Q173" s="33">
        <f>IFERROR(__xludf.DUMMYFUNCTION("""COMPUTED_VALUE"""),0.0)</f>
        <v>0</v>
      </c>
      <c r="R173" s="33">
        <f>IFERROR(__xludf.DUMMYFUNCTION("""COMPUTED_VALUE"""),8289.0)</f>
        <v>8289</v>
      </c>
      <c r="S173" s="33">
        <f>IFERROR(__xludf.DUMMYFUNCTION("""COMPUTED_VALUE"""),35448.0)</f>
        <v>35448</v>
      </c>
      <c r="T173" s="33">
        <f>IFERROR(__xludf.DUMMYFUNCTION("""COMPUTED_VALUE"""),2.89777777777777)</f>
        <v>2.897777778</v>
      </c>
      <c r="U173" s="33">
        <f>IFERROR(__xludf.DUMMYFUNCTION("""COMPUTED_VALUE"""),2.89777777777777)</f>
        <v>2.897777778</v>
      </c>
      <c r="V173" s="33">
        <f>IFERROR(__xludf.DUMMYFUNCTION("""COMPUTED_VALUE"""),0.0)</f>
        <v>0</v>
      </c>
      <c r="W173" s="33">
        <f>IFERROR(__xludf.DUMMYFUNCTION("""COMPUTED_VALUE"""),0.25)</f>
        <v>0.25</v>
      </c>
      <c r="X173" s="33">
        <f>IFERROR(__xludf.DUMMYFUNCTION("""COMPUTED_VALUE"""),0.0)</f>
        <v>0</v>
      </c>
      <c r="Y173" s="33">
        <f>IFERROR(__xludf.DUMMYFUNCTION("""COMPUTED_VALUE"""),0.25)</f>
        <v>0.25</v>
      </c>
      <c r="Z173" s="33">
        <f>IFERROR(__xludf.DUMMYFUNCTION("""COMPUTED_VALUE"""),0.0)</f>
        <v>0</v>
      </c>
      <c r="AA173" s="33">
        <f>IFERROR(__xludf.DUMMYFUNCTION("""COMPUTED_VALUE"""),0.0)</f>
        <v>0</v>
      </c>
      <c r="AB173" s="33">
        <f>IFERROR(__xludf.DUMMYFUNCTION("""COMPUTED_VALUE"""),0.25)</f>
        <v>0.25</v>
      </c>
      <c r="AC173" s="33">
        <f>IFERROR(__xludf.DUMMYFUNCTION("""COMPUTED_VALUE"""),0.25)</f>
        <v>0.25</v>
      </c>
      <c r="AD173" s="33">
        <f>IFERROR(__xludf.DUMMYFUNCTION("""COMPUTED_VALUE"""),0.25)</f>
        <v>0.25</v>
      </c>
      <c r="AE173" s="33">
        <f>IFERROR(__xludf.DUMMYFUNCTION("""COMPUTED_VALUE"""),0.25)</f>
        <v>0.25</v>
      </c>
      <c r="AF173" s="33">
        <f>IFERROR(__xludf.DUMMYFUNCTION("""COMPUTED_VALUE"""),10.0)</f>
        <v>10</v>
      </c>
    </row>
    <row r="174">
      <c r="A174" s="49">
        <f>IFERROR(__xludf.DUMMYFUNCTION("""COMPUTED_VALUE"""),46111.0)</f>
        <v>46111</v>
      </c>
      <c r="B174" s="33" t="str">
        <f>IFERROR(__xludf.DUMMYFUNCTION("""COMPUTED_VALUE"""),"7ea3277f02ef13c60cfa72336d009bf7ee6c17e8")</f>
        <v>7ea3277f02ef13c60cfa72336d009bf7ee6c17e8</v>
      </c>
      <c r="C174" s="33" t="str">
        <f>IFERROR(__xludf.DUMMYFUNCTION("""COMPUTED_VALUE"""),"Saaya the Dark Love - Production Show_id")</f>
        <v>Saaya the Dark Love - Production Show_id</v>
      </c>
      <c r="D174" s="33">
        <f>IFERROR(__xludf.DUMMYFUNCTION("""COMPUTED_VALUE"""),4.0)</f>
        <v>4</v>
      </c>
      <c r="E174" s="33">
        <f>IFERROR(__xludf.DUMMYFUNCTION("""COMPUTED_VALUE"""),2.0)</f>
        <v>2</v>
      </c>
      <c r="F174" s="33">
        <f>IFERROR(__xludf.DUMMYFUNCTION("""COMPUTED_VALUE"""),0.0)</f>
        <v>0</v>
      </c>
      <c r="G174" s="33">
        <f>IFERROR(__xludf.DUMMYFUNCTION("""COMPUTED_VALUE"""),1.0)</f>
        <v>1</v>
      </c>
      <c r="H174" s="33">
        <f>IFERROR(__xludf.DUMMYFUNCTION("""COMPUTED_VALUE"""),1.0)</f>
        <v>1</v>
      </c>
      <c r="I174" s="33">
        <f>IFERROR(__xludf.DUMMYFUNCTION("""COMPUTED_VALUE"""),0.0)</f>
        <v>0</v>
      </c>
      <c r="J174" s="33">
        <f>IFERROR(__xludf.DUMMYFUNCTION("""COMPUTED_VALUE"""),3.0)</f>
        <v>3</v>
      </c>
      <c r="K174" s="33">
        <f>IFERROR(__xludf.DUMMYFUNCTION("""COMPUTED_VALUE"""),5.0)</f>
        <v>5</v>
      </c>
      <c r="L174" s="33">
        <f>IFERROR(__xludf.DUMMYFUNCTION("""COMPUTED_VALUE"""),3.0)</f>
        <v>3</v>
      </c>
      <c r="M174" s="33">
        <f>IFERROR(__xludf.DUMMYFUNCTION("""COMPUTED_VALUE"""),9.0)</f>
        <v>9</v>
      </c>
      <c r="N174" s="33">
        <f>IFERROR(__xludf.DUMMYFUNCTION("""COMPUTED_VALUE"""),10.0)</f>
        <v>10</v>
      </c>
      <c r="O174" s="33">
        <f>IFERROR(__xludf.DUMMYFUNCTION("""COMPUTED_VALUE"""),5.0)</f>
        <v>5</v>
      </c>
      <c r="P174" s="33">
        <f>IFERROR(__xludf.DUMMYFUNCTION("""COMPUTED_VALUE"""),10.0)</f>
        <v>10</v>
      </c>
      <c r="Q174" s="33">
        <f>IFERROR(__xludf.DUMMYFUNCTION("""COMPUTED_VALUE"""),0.0)</f>
        <v>0</v>
      </c>
      <c r="R174" s="33">
        <f>IFERROR(__xludf.DUMMYFUNCTION("""COMPUTED_VALUE"""),8814.0)</f>
        <v>8814</v>
      </c>
      <c r="S174" s="33">
        <f>IFERROR(__xludf.DUMMYFUNCTION("""COMPUTED_VALUE"""),4335.0)</f>
        <v>4335</v>
      </c>
      <c r="T174" s="33">
        <f>IFERROR(__xludf.DUMMYFUNCTION("""COMPUTED_VALUE"""),0.0)</f>
        <v>0</v>
      </c>
      <c r="U174" s="33">
        <f>IFERROR(__xludf.DUMMYFUNCTION("""COMPUTED_VALUE"""),0.0)</f>
        <v>0</v>
      </c>
      <c r="V174" s="33">
        <f>IFERROR(__xludf.DUMMYFUNCTION("""COMPUTED_VALUE"""),0.233888888888888)</f>
        <v>0.2338888889</v>
      </c>
      <c r="W174" s="33">
        <f>IFERROR(__xludf.DUMMYFUNCTION("""COMPUTED_VALUE"""),0.233888888888888)</f>
        <v>0.2338888889</v>
      </c>
      <c r="X174" s="33">
        <f>IFERROR(__xludf.DUMMYFUNCTION("""COMPUTED_VALUE"""),0.0)</f>
        <v>0</v>
      </c>
      <c r="Y174" s="33">
        <f>IFERROR(__xludf.DUMMYFUNCTION("""COMPUTED_VALUE"""),0.736944444444444)</f>
        <v>0.7369444444</v>
      </c>
      <c r="Z174" s="33">
        <f>IFERROR(__xludf.DUMMYFUNCTION("""COMPUTED_VALUE"""),1.26805555555555)</f>
        <v>1.268055556</v>
      </c>
      <c r="AA174" s="33">
        <f>IFERROR(__xludf.DUMMYFUNCTION("""COMPUTED_VALUE"""),0.779444444444444)</f>
        <v>0.7794444444</v>
      </c>
      <c r="AB174" s="33">
        <f>IFERROR(__xludf.DUMMYFUNCTION("""COMPUTED_VALUE"""),2.23083333333333)</f>
        <v>2.230833333</v>
      </c>
      <c r="AC174" s="33">
        <f>IFERROR(__xludf.DUMMYFUNCTION("""COMPUTED_VALUE"""),2.47138888888888)</f>
        <v>2.471388889</v>
      </c>
      <c r="AD174" s="33">
        <f>IFERROR(__xludf.DUMMYFUNCTION("""COMPUTED_VALUE"""),1.24472222222222)</f>
        <v>1.244722222</v>
      </c>
      <c r="AE174" s="33">
        <f>IFERROR(__xludf.DUMMYFUNCTION("""COMPUTED_VALUE"""),2.47138888888888)</f>
        <v>2.471388889</v>
      </c>
      <c r="AF174" s="33">
        <f>IFERROR(__xludf.DUMMYFUNCTION("""COMPUTED_VALUE"""),0.0)</f>
        <v>0</v>
      </c>
    </row>
    <row r="175">
      <c r="A175" s="49">
        <f>IFERROR(__xludf.DUMMYFUNCTION("""COMPUTED_VALUE"""),46111.0)</f>
        <v>46111</v>
      </c>
      <c r="B175" s="33" t="str">
        <f>IFERROR(__xludf.DUMMYFUNCTION("""COMPUTED_VALUE"""),"859785ba4869b28dddcfcb0e75295d1e1ad9b5a9")</f>
        <v>859785ba4869b28dddcfcb0e75295d1e1ad9b5a9</v>
      </c>
      <c r="C175" s="33" t="str">
        <f>IFERROR(__xludf.DUMMYFUNCTION("""COMPUTED_VALUE"""),"King of Dragon | किंग ऑफ ड्रैगन | Author - Nitesh")</f>
        <v>King of Dragon | किंग ऑफ ड्रैगन | Author - Nitesh</v>
      </c>
      <c r="D175" s="33">
        <f>IFERROR(__xludf.DUMMYFUNCTION("""COMPUTED_VALUE"""),0.0)</f>
        <v>0</v>
      </c>
      <c r="E175" s="33">
        <f>IFERROR(__xludf.DUMMYFUNCTION("""COMPUTED_VALUE"""),0.0)</f>
        <v>0</v>
      </c>
      <c r="F175" s="33">
        <f>IFERROR(__xludf.DUMMYFUNCTION("""COMPUTED_VALUE"""),0.0)</f>
        <v>0</v>
      </c>
      <c r="G175" s="33">
        <f>IFERROR(__xludf.DUMMYFUNCTION("""COMPUTED_VALUE"""),0.0)</f>
        <v>0</v>
      </c>
      <c r="H175" s="33">
        <f>IFERROR(__xludf.DUMMYFUNCTION("""COMPUTED_VALUE"""),0.0)</f>
        <v>0</v>
      </c>
      <c r="I175" s="33">
        <f>IFERROR(__xludf.DUMMYFUNCTION("""COMPUTED_VALUE"""),0.0)</f>
        <v>0</v>
      </c>
      <c r="J175" s="33">
        <f>IFERROR(__xludf.DUMMYFUNCTION("""COMPUTED_VALUE"""),0.0)</f>
        <v>0</v>
      </c>
      <c r="K175" s="33">
        <f>IFERROR(__xludf.DUMMYFUNCTION("""COMPUTED_VALUE"""),0.0)</f>
        <v>0</v>
      </c>
      <c r="L175" s="33">
        <f>IFERROR(__xludf.DUMMYFUNCTION("""COMPUTED_VALUE"""),0.0)</f>
        <v>0</v>
      </c>
      <c r="M175" s="33">
        <f>IFERROR(__xludf.DUMMYFUNCTION("""COMPUTED_VALUE"""),0.0)</f>
        <v>0</v>
      </c>
      <c r="N175" s="33">
        <f>IFERROR(__xludf.DUMMYFUNCTION("""COMPUTED_VALUE"""),2.0)</f>
        <v>2</v>
      </c>
      <c r="O175" s="33">
        <f>IFERROR(__xludf.DUMMYFUNCTION("""COMPUTED_VALUE"""),9.0)</f>
        <v>9</v>
      </c>
      <c r="P175" s="33">
        <f>IFERROR(__xludf.DUMMYFUNCTION("""COMPUTED_VALUE"""),13.0)</f>
        <v>13</v>
      </c>
      <c r="Q175" s="33">
        <f>IFERROR(__xludf.DUMMYFUNCTION("""COMPUTED_VALUE"""),0.0)</f>
        <v>0</v>
      </c>
      <c r="R175" s="33">
        <f>IFERROR(__xludf.DUMMYFUNCTION("""COMPUTED_VALUE"""),0.0)</f>
        <v>0</v>
      </c>
      <c r="S175" s="33">
        <f>IFERROR(__xludf.DUMMYFUNCTION("""COMPUTED_VALUE"""),0.0)</f>
        <v>0</v>
      </c>
      <c r="T175" s="33">
        <f>IFERROR(__xludf.DUMMYFUNCTION("""COMPUTED_VALUE"""),0.0)</f>
        <v>0</v>
      </c>
      <c r="U175" s="33">
        <f>IFERROR(__xludf.DUMMYFUNCTION("""COMPUTED_VALUE"""),0.0)</f>
        <v>0</v>
      </c>
      <c r="V175" s="33">
        <f>IFERROR(__xludf.DUMMYFUNCTION("""COMPUTED_VALUE"""),0.0)</f>
        <v>0</v>
      </c>
      <c r="W175" s="33">
        <f>IFERROR(__xludf.DUMMYFUNCTION("""COMPUTED_VALUE"""),0.0)</f>
        <v>0</v>
      </c>
      <c r="X175" s="33">
        <f>IFERROR(__xludf.DUMMYFUNCTION("""COMPUTED_VALUE"""),0.0)</f>
        <v>0</v>
      </c>
      <c r="Y175" s="33">
        <f>IFERROR(__xludf.DUMMYFUNCTION("""COMPUTED_VALUE"""),0.0)</f>
        <v>0</v>
      </c>
      <c r="Z175" s="33">
        <f>IFERROR(__xludf.DUMMYFUNCTION("""COMPUTED_VALUE"""),0.0)</f>
        <v>0</v>
      </c>
      <c r="AA175" s="33">
        <f>IFERROR(__xludf.DUMMYFUNCTION("""COMPUTED_VALUE"""),0.0)</f>
        <v>0</v>
      </c>
      <c r="AB175" s="33">
        <f>IFERROR(__xludf.DUMMYFUNCTION("""COMPUTED_VALUE"""),0.0)</f>
        <v>0</v>
      </c>
      <c r="AC175" s="33">
        <f>IFERROR(__xludf.DUMMYFUNCTION("""COMPUTED_VALUE"""),0.459444444444444)</f>
        <v>0.4594444444</v>
      </c>
      <c r="AD175" s="33">
        <f>IFERROR(__xludf.DUMMYFUNCTION("""COMPUTED_VALUE"""),2.07499999999999)</f>
        <v>2.075</v>
      </c>
      <c r="AE175" s="33">
        <f>IFERROR(__xludf.DUMMYFUNCTION("""COMPUTED_VALUE"""),3.01666666666666)</f>
        <v>3.016666667</v>
      </c>
      <c r="AF175" s="33">
        <f>IFERROR(__xludf.DUMMYFUNCTION("""COMPUTED_VALUE"""),0.0)</f>
        <v>0</v>
      </c>
    </row>
    <row r="176">
      <c r="A176" s="49">
        <f>IFERROR(__xludf.DUMMYFUNCTION("""COMPUTED_VALUE"""),46111.0)</f>
        <v>46111</v>
      </c>
      <c r="B176" s="33" t="str">
        <f>IFERROR(__xludf.DUMMYFUNCTION("""COMPUTED_VALUE"""),"96f1f89e4494e06fb7f9e3c4645563fa62ef9320")</f>
        <v>96f1f89e4494e06fb7f9e3c4645563fa62ef9320</v>
      </c>
      <c r="C176" s="33" t="str">
        <f>IFERROR(__xludf.DUMMYFUNCTION("""COMPUTED_VALUE"""),"King of Dragon - Production Show_id")</f>
        <v>King of Dragon - Production Show_id</v>
      </c>
      <c r="D176" s="33">
        <f>IFERROR(__xludf.DUMMYFUNCTION("""COMPUTED_VALUE"""),15.0)</f>
        <v>15</v>
      </c>
      <c r="E176" s="33">
        <f>IFERROR(__xludf.DUMMYFUNCTION("""COMPUTED_VALUE"""),21.0)</f>
        <v>21</v>
      </c>
      <c r="F176" s="33">
        <f>IFERROR(__xludf.DUMMYFUNCTION("""COMPUTED_VALUE"""),16.0)</f>
        <v>16</v>
      </c>
      <c r="G176" s="33">
        <f>IFERROR(__xludf.DUMMYFUNCTION("""COMPUTED_VALUE"""),14.0)</f>
        <v>14</v>
      </c>
      <c r="H176" s="33">
        <f>IFERROR(__xludf.DUMMYFUNCTION("""COMPUTED_VALUE"""),15.0)</f>
        <v>15</v>
      </c>
      <c r="I176" s="33">
        <f>IFERROR(__xludf.DUMMYFUNCTION("""COMPUTED_VALUE"""),1.0)</f>
        <v>1</v>
      </c>
      <c r="J176" s="33">
        <f>IFERROR(__xludf.DUMMYFUNCTION("""COMPUTED_VALUE"""),15.0)</f>
        <v>15</v>
      </c>
      <c r="K176" s="33">
        <f>IFERROR(__xludf.DUMMYFUNCTION("""COMPUTED_VALUE"""),8.0)</f>
        <v>8</v>
      </c>
      <c r="L176" s="33">
        <f>IFERROR(__xludf.DUMMYFUNCTION("""COMPUTED_VALUE"""),3.0)</f>
        <v>3</v>
      </c>
      <c r="M176" s="33">
        <f>IFERROR(__xludf.DUMMYFUNCTION("""COMPUTED_VALUE"""),9.0)</f>
        <v>9</v>
      </c>
      <c r="N176" s="33">
        <f>IFERROR(__xludf.DUMMYFUNCTION("""COMPUTED_VALUE"""),10.0)</f>
        <v>10</v>
      </c>
      <c r="O176" s="33">
        <f>IFERROR(__xludf.DUMMYFUNCTION("""COMPUTED_VALUE"""),6.0)</f>
        <v>6</v>
      </c>
      <c r="P176" s="33">
        <f>IFERROR(__xludf.DUMMYFUNCTION("""COMPUTED_VALUE"""),10.0)</f>
        <v>10</v>
      </c>
      <c r="Q176" s="33">
        <f>IFERROR(__xludf.DUMMYFUNCTION("""COMPUTED_VALUE"""),0.0)</f>
        <v>0</v>
      </c>
      <c r="R176" s="33">
        <f>IFERROR(__xludf.DUMMYFUNCTION("""COMPUTED_VALUE"""),32906.0)</f>
        <v>32906</v>
      </c>
      <c r="S176" s="33">
        <f>IFERROR(__xludf.DUMMYFUNCTION("""COMPUTED_VALUE"""),48614.0)</f>
        <v>48614</v>
      </c>
      <c r="T176" s="33">
        <f>IFERROR(__xludf.DUMMYFUNCTION("""COMPUTED_VALUE"""),6.92083333333333)</f>
        <v>6.920833333</v>
      </c>
      <c r="U176" s="33">
        <f>IFERROR(__xludf.DUMMYFUNCTION("""COMPUTED_VALUE"""),4.56722222222222)</f>
        <v>4.567222222</v>
      </c>
      <c r="V176" s="33">
        <f>IFERROR(__xludf.DUMMYFUNCTION("""COMPUTED_VALUE"""),4.00638888888888)</f>
        <v>4.006388889</v>
      </c>
      <c r="W176" s="33">
        <f>IFERROR(__xludf.DUMMYFUNCTION("""COMPUTED_VALUE"""),4.30138888888888)</f>
        <v>4.301388889</v>
      </c>
      <c r="X176" s="33">
        <f>IFERROR(__xludf.DUMMYFUNCTION("""COMPUTED_VALUE"""),0.295)</f>
        <v>0.295</v>
      </c>
      <c r="Y176" s="33">
        <f>IFERROR(__xludf.DUMMYFUNCTION("""COMPUTED_VALUE"""),4.30138888888888)</f>
        <v>4.301388889</v>
      </c>
      <c r="Z176" s="33">
        <f>IFERROR(__xludf.DUMMYFUNCTION("""COMPUTED_VALUE"""),2.215)</f>
        <v>2.215</v>
      </c>
      <c r="AA176" s="33">
        <f>IFERROR(__xludf.DUMMYFUNCTION("""COMPUTED_VALUE"""),0.861388888888888)</f>
        <v>0.8613888889</v>
      </c>
      <c r="AB176" s="33">
        <f>IFERROR(__xludf.DUMMYFUNCTION("""COMPUTED_VALUE"""),2.52388888888888)</f>
        <v>2.523888889</v>
      </c>
      <c r="AC176" s="33">
        <f>IFERROR(__xludf.DUMMYFUNCTION("""COMPUTED_VALUE"""),2.81833333333333)</f>
        <v>2.818333333</v>
      </c>
      <c r="AD176" s="33">
        <f>IFERROR(__xludf.DUMMYFUNCTION("""COMPUTED_VALUE"""),1.69944444444444)</f>
        <v>1.699444444</v>
      </c>
      <c r="AE176" s="33">
        <f>IFERROR(__xludf.DUMMYFUNCTION("""COMPUTED_VALUE"""),2.81833333333333)</f>
        <v>2.818333333</v>
      </c>
      <c r="AF176" s="33">
        <f>IFERROR(__xludf.DUMMYFUNCTION("""COMPUTED_VALUE"""),24.0)</f>
        <v>24</v>
      </c>
    </row>
    <row r="177">
      <c r="A177" s="49">
        <f>IFERROR(__xludf.DUMMYFUNCTION("""COMPUTED_VALUE"""),46111.0)</f>
        <v>46111</v>
      </c>
      <c r="B177" s="33" t="str">
        <f>IFERROR(__xludf.DUMMYFUNCTION("""COMPUTED_VALUE"""),"a3ba65aa427077188e1ad7dbcbcafae266683ca9")</f>
        <v>a3ba65aa427077188e1ad7dbcbcafae266683ca9</v>
      </c>
      <c r="C177" s="33" t="str">
        <f>IFERROR(__xludf.DUMMYFUNCTION("""COMPUTED_VALUE"""),"The Warrior | Author - Dayaram Prajapati")</f>
        <v>The Warrior | Author - Dayaram Prajapati</v>
      </c>
      <c r="D177" s="33">
        <f>IFERROR(__xludf.DUMMYFUNCTION("""COMPUTED_VALUE"""),31.0)</f>
        <v>31</v>
      </c>
      <c r="E177" s="33">
        <f>IFERROR(__xludf.DUMMYFUNCTION("""COMPUTED_VALUE"""),14.0)</f>
        <v>14</v>
      </c>
      <c r="F177" s="33">
        <f>IFERROR(__xludf.DUMMYFUNCTION("""COMPUTED_VALUE"""),0.0)</f>
        <v>0</v>
      </c>
      <c r="G177" s="33">
        <f>IFERROR(__xludf.DUMMYFUNCTION("""COMPUTED_VALUE"""),0.0)</f>
        <v>0</v>
      </c>
      <c r="H177" s="33">
        <f>IFERROR(__xludf.DUMMYFUNCTION("""COMPUTED_VALUE"""),0.0)</f>
        <v>0</v>
      </c>
      <c r="I177" s="33">
        <f>IFERROR(__xludf.DUMMYFUNCTION("""COMPUTED_VALUE"""),0.0)</f>
        <v>0</v>
      </c>
      <c r="J177" s="33">
        <f>IFERROR(__xludf.DUMMYFUNCTION("""COMPUTED_VALUE"""),0.0)</f>
        <v>0</v>
      </c>
      <c r="K177" s="33">
        <f>IFERROR(__xludf.DUMMYFUNCTION("""COMPUTED_VALUE"""),0.0)</f>
        <v>0</v>
      </c>
      <c r="L177" s="33">
        <f>IFERROR(__xludf.DUMMYFUNCTION("""COMPUTED_VALUE"""),0.0)</f>
        <v>0</v>
      </c>
      <c r="M177" s="33">
        <f>IFERROR(__xludf.DUMMYFUNCTION("""COMPUTED_VALUE"""),31.0)</f>
        <v>31</v>
      </c>
      <c r="N177" s="33">
        <f>IFERROR(__xludf.DUMMYFUNCTION("""COMPUTED_VALUE"""),15.0)</f>
        <v>15</v>
      </c>
      <c r="O177" s="33">
        <f>IFERROR(__xludf.DUMMYFUNCTION("""COMPUTED_VALUE"""),5.0)</f>
        <v>5</v>
      </c>
      <c r="P177" s="33">
        <f>IFERROR(__xludf.DUMMYFUNCTION("""COMPUTED_VALUE"""),14.0)</f>
        <v>14</v>
      </c>
      <c r="Q177" s="33">
        <f>IFERROR(__xludf.DUMMYFUNCTION("""COMPUTED_VALUE"""),0.0)</f>
        <v>0</v>
      </c>
      <c r="R177" s="33">
        <f>IFERROR(__xludf.DUMMYFUNCTION("""COMPUTED_VALUE"""),94048.0)</f>
        <v>94048</v>
      </c>
      <c r="S177" s="33">
        <f>IFERROR(__xludf.DUMMYFUNCTION("""COMPUTED_VALUE"""),43062.0)</f>
        <v>43062</v>
      </c>
      <c r="T177" s="33">
        <f>IFERROR(__xludf.DUMMYFUNCTION("""COMPUTED_VALUE"""),0.0)</f>
        <v>0</v>
      </c>
      <c r="U177" s="33">
        <f>IFERROR(__xludf.DUMMYFUNCTION("""COMPUTED_VALUE"""),0.0)</f>
        <v>0</v>
      </c>
      <c r="V177" s="33">
        <f>IFERROR(__xludf.DUMMYFUNCTION("""COMPUTED_VALUE"""),0.0)</f>
        <v>0</v>
      </c>
      <c r="W177" s="33">
        <f>IFERROR(__xludf.DUMMYFUNCTION("""COMPUTED_VALUE"""),0.0)</f>
        <v>0</v>
      </c>
      <c r="X177" s="33">
        <f>IFERROR(__xludf.DUMMYFUNCTION("""COMPUTED_VALUE"""),0.0)</f>
        <v>0</v>
      </c>
      <c r="Y177" s="33">
        <f>IFERROR(__xludf.DUMMYFUNCTION("""COMPUTED_VALUE"""),0.0)</f>
        <v>0</v>
      </c>
      <c r="Z177" s="33">
        <f>IFERROR(__xludf.DUMMYFUNCTION("""COMPUTED_VALUE"""),0.0)</f>
        <v>0</v>
      </c>
      <c r="AA177" s="33">
        <f>IFERROR(__xludf.DUMMYFUNCTION("""COMPUTED_VALUE"""),0.0)</f>
        <v>0</v>
      </c>
      <c r="AB177" s="33">
        <f>IFERROR(__xludf.DUMMYFUNCTION("""COMPUTED_VALUE"""),9.66444444444444)</f>
        <v>9.664444444</v>
      </c>
      <c r="AC177" s="33">
        <f>IFERROR(__xludf.DUMMYFUNCTION("""COMPUTED_VALUE"""),4.70194444444444)</f>
        <v>4.701944444</v>
      </c>
      <c r="AD177" s="33">
        <f>IFERROR(__xludf.DUMMYFUNCTION("""COMPUTED_VALUE"""),1.20972222222222)</f>
        <v>1.209722222</v>
      </c>
      <c r="AE177" s="33">
        <f>IFERROR(__xludf.DUMMYFUNCTION("""COMPUTED_VALUE"""),4.37888888888888)</f>
        <v>4.378888889</v>
      </c>
      <c r="AF177" s="33">
        <f>IFERROR(__xludf.DUMMYFUNCTION("""COMPUTED_VALUE"""),0.0)</f>
        <v>0</v>
      </c>
    </row>
    <row r="178">
      <c r="A178" s="49">
        <f>IFERROR(__xludf.DUMMYFUNCTION("""COMPUTED_VALUE"""),46111.0)</f>
        <v>46111</v>
      </c>
      <c r="B178" s="33" t="str">
        <f>IFERROR(__xludf.DUMMYFUNCTION("""COMPUTED_VALUE"""),"aa81f1feb820ed6f22bd7b22b55890db740929cb")</f>
        <v>aa81f1feb820ed6f22bd7b22b55890db740929cb</v>
      </c>
      <c r="C178" s="33" t="str">
        <f>IFERROR(__xludf.DUMMYFUNCTION("""COMPUTED_VALUE"""),"Shunya Samrat")</f>
        <v>Shunya Samrat</v>
      </c>
      <c r="D178" s="33">
        <f>IFERROR(__xludf.DUMMYFUNCTION("""COMPUTED_VALUE"""),90.0)</f>
        <v>90</v>
      </c>
      <c r="E178" s="33">
        <f>IFERROR(__xludf.DUMMYFUNCTION("""COMPUTED_VALUE"""),90.0)</f>
        <v>90</v>
      </c>
      <c r="F178" s="33">
        <f>IFERROR(__xludf.DUMMYFUNCTION("""COMPUTED_VALUE"""),0.0)</f>
        <v>0</v>
      </c>
      <c r="G178" s="33">
        <f>IFERROR(__xludf.DUMMYFUNCTION("""COMPUTED_VALUE"""),0.0)</f>
        <v>0</v>
      </c>
      <c r="H178" s="33">
        <f>IFERROR(__xludf.DUMMYFUNCTION("""COMPUTED_VALUE"""),0.0)</f>
        <v>0</v>
      </c>
      <c r="I178" s="33">
        <f>IFERROR(__xludf.DUMMYFUNCTION("""COMPUTED_VALUE"""),0.0)</f>
        <v>0</v>
      </c>
      <c r="J178" s="33">
        <f>IFERROR(__xludf.DUMMYFUNCTION("""COMPUTED_VALUE"""),0.0)</f>
        <v>0</v>
      </c>
      <c r="K178" s="33">
        <f>IFERROR(__xludf.DUMMYFUNCTION("""COMPUTED_VALUE"""),0.0)</f>
        <v>0</v>
      </c>
      <c r="L178" s="33">
        <f>IFERROR(__xludf.DUMMYFUNCTION("""COMPUTED_VALUE"""),0.0)</f>
        <v>0</v>
      </c>
      <c r="M178" s="33">
        <f>IFERROR(__xludf.DUMMYFUNCTION("""COMPUTED_VALUE"""),0.0)</f>
        <v>0</v>
      </c>
      <c r="N178" s="33">
        <f>IFERROR(__xludf.DUMMYFUNCTION("""COMPUTED_VALUE"""),90.0)</f>
        <v>90</v>
      </c>
      <c r="O178" s="33">
        <f>IFERROR(__xludf.DUMMYFUNCTION("""COMPUTED_VALUE"""),5.0)</f>
        <v>5</v>
      </c>
      <c r="P178" s="33">
        <f>IFERROR(__xludf.DUMMYFUNCTION("""COMPUTED_VALUE"""),90.0)</f>
        <v>90</v>
      </c>
      <c r="Q178" s="33">
        <f>IFERROR(__xludf.DUMMYFUNCTION("""COMPUTED_VALUE"""),0.0)</f>
        <v>0</v>
      </c>
      <c r="R178" s="33">
        <f>IFERROR(__xludf.DUMMYFUNCTION("""COMPUTED_VALUE"""),302027.0)</f>
        <v>302027</v>
      </c>
      <c r="S178" s="33">
        <f>IFERROR(__xludf.DUMMYFUNCTION("""COMPUTED_VALUE"""),302027.0)</f>
        <v>302027</v>
      </c>
      <c r="T178" s="33">
        <f>IFERROR(__xludf.DUMMYFUNCTION("""COMPUTED_VALUE"""),0.0)</f>
        <v>0</v>
      </c>
      <c r="U178" s="33">
        <f>IFERROR(__xludf.DUMMYFUNCTION("""COMPUTED_VALUE"""),0.0)</f>
        <v>0</v>
      </c>
      <c r="V178" s="33">
        <f>IFERROR(__xludf.DUMMYFUNCTION("""COMPUTED_VALUE"""),0.0)</f>
        <v>0</v>
      </c>
      <c r="W178" s="33">
        <f>IFERROR(__xludf.DUMMYFUNCTION("""COMPUTED_VALUE"""),0.0)</f>
        <v>0</v>
      </c>
      <c r="X178" s="33">
        <f>IFERROR(__xludf.DUMMYFUNCTION("""COMPUTED_VALUE"""),0.0)</f>
        <v>0</v>
      </c>
      <c r="Y178" s="33">
        <f>IFERROR(__xludf.DUMMYFUNCTION("""COMPUTED_VALUE"""),0.0)</f>
        <v>0</v>
      </c>
      <c r="Z178" s="33">
        <f>IFERROR(__xludf.DUMMYFUNCTION("""COMPUTED_VALUE"""),0.0)</f>
        <v>0</v>
      </c>
      <c r="AA178" s="33">
        <f>IFERROR(__xludf.DUMMYFUNCTION("""COMPUTED_VALUE"""),0.0)</f>
        <v>0</v>
      </c>
      <c r="AB178" s="33">
        <f>IFERROR(__xludf.DUMMYFUNCTION("""COMPUTED_VALUE"""),0.0)</f>
        <v>0</v>
      </c>
      <c r="AC178" s="33">
        <f>IFERROR(__xludf.DUMMYFUNCTION("""COMPUTED_VALUE"""),30.4825)</f>
        <v>30.4825</v>
      </c>
      <c r="AD178" s="33">
        <f>IFERROR(__xludf.DUMMYFUNCTION("""COMPUTED_VALUE"""),0.97)</f>
        <v>0.97</v>
      </c>
      <c r="AE178" s="33">
        <f>IFERROR(__xludf.DUMMYFUNCTION("""COMPUTED_VALUE"""),30.4536111111111)</f>
        <v>30.45361111</v>
      </c>
      <c r="AF178" s="33">
        <f>IFERROR(__xludf.DUMMYFUNCTION("""COMPUTED_VALUE"""),0.0)</f>
        <v>0</v>
      </c>
    </row>
    <row r="179">
      <c r="A179" s="49">
        <f>IFERROR(__xludf.DUMMYFUNCTION("""COMPUTED_VALUE"""),46111.0)</f>
        <v>46111</v>
      </c>
      <c r="B179" s="33" t="str">
        <f>IFERROR(__xludf.DUMMYFUNCTION("""COMPUTED_VALUE"""),"aab7b2fa6301b585dcebf9ec60cf4371307ad469")</f>
        <v>aab7b2fa6301b585dcebf9ec60cf4371307ad469</v>
      </c>
      <c r="C179" s="33" t="str">
        <f>IFERROR(__xludf.DUMMYFUNCTION("""COMPUTED_VALUE"""),"Tere Ishq Mein (OBH)  - Production Show_id")</f>
        <v>Tere Ishq Mein (OBH)  - Production Show_id</v>
      </c>
      <c r="D179" s="33">
        <f>IFERROR(__xludf.DUMMYFUNCTION("""COMPUTED_VALUE"""),5.0)</f>
        <v>5</v>
      </c>
      <c r="E179" s="33">
        <f>IFERROR(__xludf.DUMMYFUNCTION("""COMPUTED_VALUE"""),0.0)</f>
        <v>0</v>
      </c>
      <c r="F179" s="33">
        <f>IFERROR(__xludf.DUMMYFUNCTION("""COMPUTED_VALUE"""),0.0)</f>
        <v>0</v>
      </c>
      <c r="G179" s="33">
        <f>IFERROR(__xludf.DUMMYFUNCTION("""COMPUTED_VALUE"""),0.0)</f>
        <v>0</v>
      </c>
      <c r="H179" s="33">
        <f>IFERROR(__xludf.DUMMYFUNCTION("""COMPUTED_VALUE"""),0.0)</f>
        <v>0</v>
      </c>
      <c r="I179" s="33">
        <f>IFERROR(__xludf.DUMMYFUNCTION("""COMPUTED_VALUE"""),0.0)</f>
        <v>0</v>
      </c>
      <c r="J179" s="33">
        <f>IFERROR(__xludf.DUMMYFUNCTION("""COMPUTED_VALUE"""),0.0)</f>
        <v>0</v>
      </c>
      <c r="K179" s="33">
        <f>IFERROR(__xludf.DUMMYFUNCTION("""COMPUTED_VALUE"""),0.0)</f>
        <v>0</v>
      </c>
      <c r="L179" s="33">
        <f>IFERROR(__xludf.DUMMYFUNCTION("""COMPUTED_VALUE"""),0.0)</f>
        <v>0</v>
      </c>
      <c r="M179" s="33">
        <f>IFERROR(__xludf.DUMMYFUNCTION("""COMPUTED_VALUE"""),0.0)</f>
        <v>0</v>
      </c>
      <c r="N179" s="33">
        <f>IFERROR(__xludf.DUMMYFUNCTION("""COMPUTED_VALUE"""),0.0)</f>
        <v>0</v>
      </c>
      <c r="O179" s="33">
        <f>IFERROR(__xludf.DUMMYFUNCTION("""COMPUTED_VALUE"""),0.0)</f>
        <v>0</v>
      </c>
      <c r="P179" s="33">
        <f>IFERROR(__xludf.DUMMYFUNCTION("""COMPUTED_VALUE"""),0.0)</f>
        <v>0</v>
      </c>
      <c r="Q179" s="33">
        <f>IFERROR(__xludf.DUMMYFUNCTION("""COMPUTED_VALUE"""),0.0)</f>
        <v>0</v>
      </c>
      <c r="R179" s="33">
        <f>IFERROR(__xludf.DUMMYFUNCTION("""COMPUTED_VALUE"""),10462.0)</f>
        <v>10462</v>
      </c>
      <c r="S179" s="33">
        <f>IFERROR(__xludf.DUMMYFUNCTION("""COMPUTED_VALUE"""),0.0)</f>
        <v>0</v>
      </c>
      <c r="T179" s="33">
        <f>IFERROR(__xludf.DUMMYFUNCTION("""COMPUTED_VALUE"""),0.0)</f>
        <v>0</v>
      </c>
      <c r="U179" s="33">
        <f>IFERROR(__xludf.DUMMYFUNCTION("""COMPUTED_VALUE"""),0.0)</f>
        <v>0</v>
      </c>
      <c r="V179" s="33">
        <f>IFERROR(__xludf.DUMMYFUNCTION("""COMPUTED_VALUE"""),0.0)</f>
        <v>0</v>
      </c>
      <c r="W179" s="33">
        <f>IFERROR(__xludf.DUMMYFUNCTION("""COMPUTED_VALUE"""),0.0)</f>
        <v>0</v>
      </c>
      <c r="X179" s="33">
        <f>IFERROR(__xludf.DUMMYFUNCTION("""COMPUTED_VALUE"""),0.0)</f>
        <v>0</v>
      </c>
      <c r="Y179" s="33">
        <f>IFERROR(__xludf.DUMMYFUNCTION("""COMPUTED_VALUE"""),0.0)</f>
        <v>0</v>
      </c>
      <c r="Z179" s="33">
        <f>IFERROR(__xludf.DUMMYFUNCTION("""COMPUTED_VALUE"""),0.0)</f>
        <v>0</v>
      </c>
      <c r="AA179" s="33">
        <f>IFERROR(__xludf.DUMMYFUNCTION("""COMPUTED_VALUE"""),0.0)</f>
        <v>0</v>
      </c>
      <c r="AB179" s="33">
        <f>IFERROR(__xludf.DUMMYFUNCTION("""COMPUTED_VALUE"""),0.0)</f>
        <v>0</v>
      </c>
      <c r="AC179" s="33">
        <f>IFERROR(__xludf.DUMMYFUNCTION("""COMPUTED_VALUE"""),0.0)</f>
        <v>0</v>
      </c>
      <c r="AD179" s="33">
        <f>IFERROR(__xludf.DUMMYFUNCTION("""COMPUTED_VALUE"""),0.0)</f>
        <v>0</v>
      </c>
      <c r="AE179" s="33">
        <f>IFERROR(__xludf.DUMMYFUNCTION("""COMPUTED_VALUE"""),0.0)</f>
        <v>0</v>
      </c>
      <c r="AF179" s="33">
        <f>IFERROR(__xludf.DUMMYFUNCTION("""COMPUTED_VALUE"""),0.0)</f>
        <v>0</v>
      </c>
    </row>
    <row r="180">
      <c r="A180" s="49">
        <f>IFERROR(__xludf.DUMMYFUNCTION("""COMPUTED_VALUE"""),46111.0)</f>
        <v>46111</v>
      </c>
      <c r="B180" s="33" t="str">
        <f>IFERROR(__xludf.DUMMYFUNCTION("""COMPUTED_VALUE"""),"b19f613216d474cd2927d5f4832a949dca2dc33e")</f>
        <v>b19f613216d474cd2927d5f4832a949dca2dc33e</v>
      </c>
      <c r="C180" s="33" t="str">
        <f>IFERROR(__xludf.DUMMYFUNCTION("""COMPUTED_VALUE"""),"The Immortal (Production)")</f>
        <v>The Immortal (Production)</v>
      </c>
      <c r="D180" s="33">
        <f>IFERROR(__xludf.DUMMYFUNCTION("""COMPUTED_VALUE"""),20.0)</f>
        <v>20</v>
      </c>
      <c r="E180" s="33">
        <f>IFERROR(__xludf.DUMMYFUNCTION("""COMPUTED_VALUE"""),15.0)</f>
        <v>15</v>
      </c>
      <c r="F180" s="33">
        <f>IFERROR(__xludf.DUMMYFUNCTION("""COMPUTED_VALUE"""),16.0)</f>
        <v>16</v>
      </c>
      <c r="G180" s="33">
        <f>IFERROR(__xludf.DUMMYFUNCTION("""COMPUTED_VALUE"""),12.0)</f>
        <v>12</v>
      </c>
      <c r="H180" s="33">
        <f>IFERROR(__xludf.DUMMYFUNCTION("""COMPUTED_VALUE"""),14.0)</f>
        <v>14</v>
      </c>
      <c r="I180" s="33">
        <f>IFERROR(__xludf.DUMMYFUNCTION("""COMPUTED_VALUE"""),2.0)</f>
        <v>2</v>
      </c>
      <c r="J180" s="33">
        <f>IFERROR(__xludf.DUMMYFUNCTION("""COMPUTED_VALUE"""),12.0)</f>
        <v>12</v>
      </c>
      <c r="K180" s="33">
        <f>IFERROR(__xludf.DUMMYFUNCTION("""COMPUTED_VALUE"""),7.0)</f>
        <v>7</v>
      </c>
      <c r="L180" s="33">
        <f>IFERROR(__xludf.DUMMYFUNCTION("""COMPUTED_VALUE"""),7.0)</f>
        <v>7</v>
      </c>
      <c r="M180" s="33">
        <f>IFERROR(__xludf.DUMMYFUNCTION("""COMPUTED_VALUE"""),7.0)</f>
        <v>7</v>
      </c>
      <c r="N180" s="33">
        <f>IFERROR(__xludf.DUMMYFUNCTION("""COMPUTED_VALUE"""),8.0)</f>
        <v>8</v>
      </c>
      <c r="O180" s="33">
        <f>IFERROR(__xludf.DUMMYFUNCTION("""COMPUTED_VALUE"""),3.0)</f>
        <v>3</v>
      </c>
      <c r="P180" s="33">
        <f>IFERROR(__xludf.DUMMYFUNCTION("""COMPUTED_VALUE"""),8.0)</f>
        <v>8</v>
      </c>
      <c r="Q180" s="33">
        <f>IFERROR(__xludf.DUMMYFUNCTION("""COMPUTED_VALUE"""),0.0)</f>
        <v>0</v>
      </c>
      <c r="R180" s="33">
        <f>IFERROR(__xludf.DUMMYFUNCTION("""COMPUTED_VALUE"""),41492.0)</f>
        <v>41492</v>
      </c>
      <c r="S180" s="33">
        <f>IFERROR(__xludf.DUMMYFUNCTION("""COMPUTED_VALUE"""),30309.0)</f>
        <v>30309</v>
      </c>
      <c r="T180" s="33">
        <f>IFERROR(__xludf.DUMMYFUNCTION("""COMPUTED_VALUE"""),2.69972222222222)</f>
        <v>2.699722222</v>
      </c>
      <c r="U180" s="33">
        <f>IFERROR(__xludf.DUMMYFUNCTION("""COMPUTED_VALUE"""),2.47111111111111)</f>
        <v>2.471111111</v>
      </c>
      <c r="V180" s="33">
        <f>IFERROR(__xludf.DUMMYFUNCTION("""COMPUTED_VALUE"""),1.88138888888888)</f>
        <v>1.881388889</v>
      </c>
      <c r="W180" s="33">
        <f>IFERROR(__xludf.DUMMYFUNCTION("""COMPUTED_VALUE"""),2.23527777777777)</f>
        <v>2.235277778</v>
      </c>
      <c r="X180" s="33">
        <f>IFERROR(__xludf.DUMMYFUNCTION("""COMPUTED_VALUE"""),0.353888888888888)</f>
        <v>0.3538888889</v>
      </c>
      <c r="Y180" s="33">
        <f>IFERROR(__xludf.DUMMYFUNCTION("""COMPUTED_VALUE"""),1.92611111111111)</f>
        <v>1.926111111</v>
      </c>
      <c r="Z180" s="33">
        <f>IFERROR(__xludf.DUMMYFUNCTION("""COMPUTED_VALUE"""),1.16388888888888)</f>
        <v>1.163888889</v>
      </c>
      <c r="AA180" s="33">
        <f>IFERROR(__xludf.DUMMYFUNCTION("""COMPUTED_VALUE"""),1.16388888888888)</f>
        <v>1.163888889</v>
      </c>
      <c r="AB180" s="33">
        <f>IFERROR(__xludf.DUMMYFUNCTION("""COMPUTED_VALUE"""),1.16388888888888)</f>
        <v>1.163888889</v>
      </c>
      <c r="AC180" s="33">
        <f>IFERROR(__xludf.DUMMYFUNCTION("""COMPUTED_VALUE"""),1.38916666666666)</f>
        <v>1.389166667</v>
      </c>
      <c r="AD180" s="33">
        <f>IFERROR(__xludf.DUMMYFUNCTION("""COMPUTED_VALUE"""),0.569166666666666)</f>
        <v>0.5691666667</v>
      </c>
      <c r="AE180" s="33">
        <f>IFERROR(__xludf.DUMMYFUNCTION("""COMPUTED_VALUE"""),1.38916666666666)</f>
        <v>1.389166667</v>
      </c>
      <c r="AF180" s="33">
        <f>IFERROR(__xludf.DUMMYFUNCTION("""COMPUTED_VALUE"""),15.0)</f>
        <v>15</v>
      </c>
    </row>
    <row r="181">
      <c r="A181" s="49">
        <f>IFERROR(__xludf.DUMMYFUNCTION("""COMPUTED_VALUE"""),46111.0)</f>
        <v>46111</v>
      </c>
      <c r="B181" s="33" t="str">
        <f>IFERROR(__xludf.DUMMYFUNCTION("""COMPUTED_VALUE"""),"b4277fe045604b0c31d4c58c59733d8d995662ff")</f>
        <v>b4277fe045604b0c31d4c58c59733d8d995662ff</v>
      </c>
      <c r="C181" s="33" t="str">
        <f>IFERROR(__xludf.DUMMYFUNCTION("""COMPUTED_VALUE"""),"Divine Power - Production Show_id")</f>
        <v>Divine Power - Production Show_id</v>
      </c>
      <c r="D181" s="33">
        <f>IFERROR(__xludf.DUMMYFUNCTION("""COMPUTED_VALUE"""),8.0)</f>
        <v>8</v>
      </c>
      <c r="E181" s="33">
        <f>IFERROR(__xludf.DUMMYFUNCTION("""COMPUTED_VALUE"""),5.0)</f>
        <v>5</v>
      </c>
      <c r="F181" s="33">
        <f>IFERROR(__xludf.DUMMYFUNCTION("""COMPUTED_VALUE"""),7.0)</f>
        <v>7</v>
      </c>
      <c r="G181" s="33">
        <f>IFERROR(__xludf.DUMMYFUNCTION("""COMPUTED_VALUE"""),6.0)</f>
        <v>6</v>
      </c>
      <c r="H181" s="33">
        <f>IFERROR(__xludf.DUMMYFUNCTION("""COMPUTED_VALUE"""),6.0)</f>
        <v>6</v>
      </c>
      <c r="I181" s="33">
        <f>IFERROR(__xludf.DUMMYFUNCTION("""COMPUTED_VALUE"""),0.0)</f>
        <v>0</v>
      </c>
      <c r="J181" s="33">
        <f>IFERROR(__xludf.DUMMYFUNCTION("""COMPUTED_VALUE"""),6.0)</f>
        <v>6</v>
      </c>
      <c r="K181" s="33">
        <f>IFERROR(__xludf.DUMMYFUNCTION("""COMPUTED_VALUE"""),0.0)</f>
        <v>0</v>
      </c>
      <c r="L181" s="33">
        <f>IFERROR(__xludf.DUMMYFUNCTION("""COMPUTED_VALUE"""),0.0)</f>
        <v>0</v>
      </c>
      <c r="M181" s="33">
        <f>IFERROR(__xludf.DUMMYFUNCTION("""COMPUTED_VALUE"""),10.0)</f>
        <v>10</v>
      </c>
      <c r="N181" s="33">
        <f>IFERROR(__xludf.DUMMYFUNCTION("""COMPUTED_VALUE"""),10.0)</f>
        <v>10</v>
      </c>
      <c r="O181" s="33">
        <f>IFERROR(__xludf.DUMMYFUNCTION("""COMPUTED_VALUE"""),5.0)</f>
        <v>5</v>
      </c>
      <c r="P181" s="33">
        <f>IFERROR(__xludf.DUMMYFUNCTION("""COMPUTED_VALUE"""),10.0)</f>
        <v>10</v>
      </c>
      <c r="Q181" s="33">
        <f>IFERROR(__xludf.DUMMYFUNCTION("""COMPUTED_VALUE"""),0.0)</f>
        <v>0</v>
      </c>
      <c r="R181" s="33">
        <f>IFERROR(__xludf.DUMMYFUNCTION("""COMPUTED_VALUE"""),18803.0)</f>
        <v>18803</v>
      </c>
      <c r="S181" s="33">
        <f>IFERROR(__xludf.DUMMYFUNCTION("""COMPUTED_VALUE"""),11309.0)</f>
        <v>11309</v>
      </c>
      <c r="T181" s="33">
        <f>IFERROR(__xludf.DUMMYFUNCTION("""COMPUTED_VALUE"""),1.87722222222222)</f>
        <v>1.877222222</v>
      </c>
      <c r="U181" s="33">
        <f>IFERROR(__xludf.DUMMYFUNCTION("""COMPUTED_VALUE"""),1.87722222222222)</f>
        <v>1.877222222</v>
      </c>
      <c r="V181" s="33">
        <f>IFERROR(__xludf.DUMMYFUNCTION("""COMPUTED_VALUE"""),1.62944444444444)</f>
        <v>1.629444444</v>
      </c>
      <c r="W181" s="33">
        <f>IFERROR(__xludf.DUMMYFUNCTION("""COMPUTED_VALUE"""),1.62944444444444)</f>
        <v>1.629444444</v>
      </c>
      <c r="X181" s="33">
        <f>IFERROR(__xludf.DUMMYFUNCTION("""COMPUTED_VALUE"""),0.0)</f>
        <v>0</v>
      </c>
      <c r="Y181" s="33">
        <f>IFERROR(__xludf.DUMMYFUNCTION("""COMPUTED_VALUE"""),1.62944444444444)</f>
        <v>1.629444444</v>
      </c>
      <c r="Z181" s="33">
        <f>IFERROR(__xludf.DUMMYFUNCTION("""COMPUTED_VALUE"""),0.0)</f>
        <v>0</v>
      </c>
      <c r="AA181" s="33">
        <f>IFERROR(__xludf.DUMMYFUNCTION("""COMPUTED_VALUE"""),0.0)</f>
        <v>0</v>
      </c>
      <c r="AB181" s="33">
        <f>IFERROR(__xludf.DUMMYFUNCTION("""COMPUTED_VALUE"""),2.62444444444444)</f>
        <v>2.624444444</v>
      </c>
      <c r="AC181" s="33">
        <f>IFERROR(__xludf.DUMMYFUNCTION("""COMPUTED_VALUE"""),2.62444444444444)</f>
        <v>2.624444444</v>
      </c>
      <c r="AD181" s="33">
        <f>IFERROR(__xludf.DUMMYFUNCTION("""COMPUTED_VALUE"""),1.365)</f>
        <v>1.365</v>
      </c>
      <c r="AE181" s="33">
        <f>IFERROR(__xludf.DUMMYFUNCTION("""COMPUTED_VALUE"""),2.62444444444444)</f>
        <v>2.624444444</v>
      </c>
      <c r="AF181" s="33">
        <f>IFERROR(__xludf.DUMMYFUNCTION("""COMPUTED_VALUE"""),7.0)</f>
        <v>7</v>
      </c>
    </row>
    <row r="182">
      <c r="A182" s="49">
        <f>IFERROR(__xludf.DUMMYFUNCTION("""COMPUTED_VALUE"""),46111.0)</f>
        <v>46111</v>
      </c>
      <c r="B182" s="33" t="str">
        <f>IFERROR(__xludf.DUMMYFUNCTION("""COMPUTED_VALUE"""),"b9727274f880f47671ad54caad4904a491fad9c7")</f>
        <v>b9727274f880f47671ad54caad4904a491fad9c7</v>
      </c>
      <c r="C182" s="33" t="str">
        <f>IFERROR(__xludf.DUMMYFUNCTION("""COMPUTED_VALUE"""),"Brahmand Ka Rakshak - Production Show")</f>
        <v>Brahmand Ka Rakshak - Production Show</v>
      </c>
      <c r="D182" s="33">
        <f>IFERROR(__xludf.DUMMYFUNCTION("""COMPUTED_VALUE"""),30.0)</f>
        <v>30</v>
      </c>
      <c r="E182" s="33">
        <f>IFERROR(__xludf.DUMMYFUNCTION("""COMPUTED_VALUE"""),34.0)</f>
        <v>34</v>
      </c>
      <c r="F182" s="33">
        <f>IFERROR(__xludf.DUMMYFUNCTION("""COMPUTED_VALUE"""),8.0)</f>
        <v>8</v>
      </c>
      <c r="G182" s="33">
        <f>IFERROR(__xludf.DUMMYFUNCTION("""COMPUTED_VALUE"""),9.0)</f>
        <v>9</v>
      </c>
      <c r="H182" s="33">
        <f>IFERROR(__xludf.DUMMYFUNCTION("""COMPUTED_VALUE"""),31.0)</f>
        <v>31</v>
      </c>
      <c r="I182" s="33">
        <f>IFERROR(__xludf.DUMMYFUNCTION("""COMPUTED_VALUE"""),22.0)</f>
        <v>22</v>
      </c>
      <c r="J182" s="33">
        <f>IFERROR(__xludf.DUMMYFUNCTION("""COMPUTED_VALUE"""),31.0)</f>
        <v>31</v>
      </c>
      <c r="K182" s="33">
        <f>IFERROR(__xludf.DUMMYFUNCTION("""COMPUTED_VALUE"""),3.0)</f>
        <v>3</v>
      </c>
      <c r="L182" s="33">
        <f>IFERROR(__xludf.DUMMYFUNCTION("""COMPUTED_VALUE"""),3.0)</f>
        <v>3</v>
      </c>
      <c r="M182" s="33">
        <f>IFERROR(__xludf.DUMMYFUNCTION("""COMPUTED_VALUE"""),28.0)</f>
        <v>28</v>
      </c>
      <c r="N182" s="33">
        <f>IFERROR(__xludf.DUMMYFUNCTION("""COMPUTED_VALUE"""),28.0)</f>
        <v>28</v>
      </c>
      <c r="O182" s="33">
        <f>IFERROR(__xludf.DUMMYFUNCTION("""COMPUTED_VALUE"""),7.0)</f>
        <v>7</v>
      </c>
      <c r="P182" s="33">
        <f>IFERROR(__xludf.DUMMYFUNCTION("""COMPUTED_VALUE"""),28.0)</f>
        <v>28</v>
      </c>
      <c r="Q182" s="33">
        <f>IFERROR(__xludf.DUMMYFUNCTION("""COMPUTED_VALUE"""),0.0)</f>
        <v>0</v>
      </c>
      <c r="R182" s="33">
        <f>IFERROR(__xludf.DUMMYFUNCTION("""COMPUTED_VALUE"""),66913.0)</f>
        <v>66913</v>
      </c>
      <c r="S182" s="33">
        <f>IFERROR(__xludf.DUMMYFUNCTION("""COMPUTED_VALUE"""),76860.0)</f>
        <v>76860</v>
      </c>
      <c r="T182" s="33">
        <f>IFERROR(__xludf.DUMMYFUNCTION("""COMPUTED_VALUE"""),5.92722222222222)</f>
        <v>5.927222222</v>
      </c>
      <c r="U182" s="33">
        <f>IFERROR(__xludf.DUMMYFUNCTION("""COMPUTED_VALUE"""),1.56166666666666)</f>
        <v>1.561666667</v>
      </c>
      <c r="V182" s="33">
        <f>IFERROR(__xludf.DUMMYFUNCTION("""COMPUTED_VALUE"""),1.79166666666666)</f>
        <v>1.791666667</v>
      </c>
      <c r="W182" s="33">
        <f>IFERROR(__xludf.DUMMYFUNCTION("""COMPUTED_VALUE"""),6.20722222222222)</f>
        <v>6.207222222</v>
      </c>
      <c r="X182" s="33">
        <f>IFERROR(__xludf.DUMMYFUNCTION("""COMPUTED_VALUE"""),4.41555555555555)</f>
        <v>4.415555556</v>
      </c>
      <c r="Y182" s="33">
        <f>IFERROR(__xludf.DUMMYFUNCTION("""COMPUTED_VALUE"""),6.27305555555555)</f>
        <v>6.273055556</v>
      </c>
      <c r="Z182" s="33">
        <f>IFERROR(__xludf.DUMMYFUNCTION("""COMPUTED_VALUE"""),0.608333333333333)</f>
        <v>0.6083333333</v>
      </c>
      <c r="AA182" s="33">
        <f>IFERROR(__xludf.DUMMYFUNCTION("""COMPUTED_VALUE"""),0.608333333333333)</f>
        <v>0.6083333333</v>
      </c>
      <c r="AB182" s="33">
        <f>IFERROR(__xludf.DUMMYFUNCTION("""COMPUTED_VALUE"""),5.66694444444444)</f>
        <v>5.666944444</v>
      </c>
      <c r="AC182" s="33">
        <f>IFERROR(__xludf.DUMMYFUNCTION("""COMPUTED_VALUE"""),5.66694444444444)</f>
        <v>5.666944444</v>
      </c>
      <c r="AD182" s="33">
        <f>IFERROR(__xludf.DUMMYFUNCTION("""COMPUTED_VALUE"""),1.39361111111111)</f>
        <v>1.393611111</v>
      </c>
      <c r="AE182" s="33">
        <f>IFERROR(__xludf.DUMMYFUNCTION("""COMPUTED_VALUE"""),5.66694444444444)</f>
        <v>5.666944444</v>
      </c>
      <c r="AF182" s="33">
        <f>IFERROR(__xludf.DUMMYFUNCTION("""COMPUTED_VALUE"""),30.0)</f>
        <v>30</v>
      </c>
    </row>
    <row r="183">
      <c r="A183" s="49">
        <f>IFERROR(__xludf.DUMMYFUNCTION("""COMPUTED_VALUE"""),46111.0)</f>
        <v>46111</v>
      </c>
      <c r="B183" s="33" t="str">
        <f>IFERROR(__xludf.DUMMYFUNCTION("""COMPUTED_VALUE"""),"bb6f447c782519839d8793fda0d35f90bad4421a")</f>
        <v>bb6f447c782519839d8793fda0d35f90bad4421a</v>
      </c>
      <c r="C183" s="33" t="str">
        <f>IFERROR(__xludf.DUMMYFUNCTION("""COMPUTED_VALUE"""),"Ruthless")</f>
        <v>Ruthless</v>
      </c>
      <c r="D183" s="33">
        <f>IFERROR(__xludf.DUMMYFUNCTION("""COMPUTED_VALUE"""),14.0)</f>
        <v>14</v>
      </c>
      <c r="E183" s="33">
        <f>IFERROR(__xludf.DUMMYFUNCTION("""COMPUTED_VALUE"""),22.0)</f>
        <v>22</v>
      </c>
      <c r="F183" s="33">
        <f>IFERROR(__xludf.DUMMYFUNCTION("""COMPUTED_VALUE"""),0.0)</f>
        <v>0</v>
      </c>
      <c r="G183" s="33">
        <f>IFERROR(__xludf.DUMMYFUNCTION("""COMPUTED_VALUE"""),0.0)</f>
        <v>0</v>
      </c>
      <c r="H183" s="33">
        <f>IFERROR(__xludf.DUMMYFUNCTION("""COMPUTED_VALUE"""),13.0)</f>
        <v>13</v>
      </c>
      <c r="I183" s="33">
        <f>IFERROR(__xludf.DUMMYFUNCTION("""COMPUTED_VALUE"""),13.0)</f>
        <v>13</v>
      </c>
      <c r="J183" s="33">
        <f>IFERROR(__xludf.DUMMYFUNCTION("""COMPUTED_VALUE"""),14.0)</f>
        <v>14</v>
      </c>
      <c r="K183" s="33">
        <f>IFERROR(__xludf.DUMMYFUNCTION("""COMPUTED_VALUE"""),4.0)</f>
        <v>4</v>
      </c>
      <c r="L183" s="33">
        <f>IFERROR(__xludf.DUMMYFUNCTION("""COMPUTED_VALUE"""),0.0)</f>
        <v>0</v>
      </c>
      <c r="M183" s="33">
        <f>IFERROR(__xludf.DUMMYFUNCTION("""COMPUTED_VALUE"""),13.0)</f>
        <v>13</v>
      </c>
      <c r="N183" s="33">
        <f>IFERROR(__xludf.DUMMYFUNCTION("""COMPUTED_VALUE"""),13.0)</f>
        <v>13</v>
      </c>
      <c r="O183" s="33">
        <f>IFERROR(__xludf.DUMMYFUNCTION("""COMPUTED_VALUE"""),6.0)</f>
        <v>6</v>
      </c>
      <c r="P183" s="33">
        <f>IFERROR(__xludf.DUMMYFUNCTION("""COMPUTED_VALUE"""),13.0)</f>
        <v>13</v>
      </c>
      <c r="Q183" s="33">
        <f>IFERROR(__xludf.DUMMYFUNCTION("""COMPUTED_VALUE"""),0.0)</f>
        <v>0</v>
      </c>
      <c r="R183" s="33">
        <f>IFERROR(__xludf.DUMMYFUNCTION("""COMPUTED_VALUE"""),35431.0)</f>
        <v>35431</v>
      </c>
      <c r="S183" s="33">
        <f>IFERROR(__xludf.DUMMYFUNCTION("""COMPUTED_VALUE"""),50038.0)</f>
        <v>50038</v>
      </c>
      <c r="T183" s="33">
        <f>IFERROR(__xludf.DUMMYFUNCTION("""COMPUTED_VALUE"""),3.32388888888888)</f>
        <v>3.323888889</v>
      </c>
      <c r="U183" s="33">
        <f>IFERROR(__xludf.DUMMYFUNCTION("""COMPUTED_VALUE"""),0.0)</f>
        <v>0</v>
      </c>
      <c r="V183" s="33">
        <f>IFERROR(__xludf.DUMMYFUNCTION("""COMPUTED_VALUE"""),0.0)</f>
        <v>0</v>
      </c>
      <c r="W183" s="33">
        <f>IFERROR(__xludf.DUMMYFUNCTION("""COMPUTED_VALUE"""),2.91472222222222)</f>
        <v>2.914722222</v>
      </c>
      <c r="X183" s="33">
        <f>IFERROR(__xludf.DUMMYFUNCTION("""COMPUTED_VALUE"""),2.91472222222222)</f>
        <v>2.914722222</v>
      </c>
      <c r="Y183" s="33">
        <f>IFERROR(__xludf.DUMMYFUNCTION("""COMPUTED_VALUE"""),3.14333333333333)</f>
        <v>3.143333333</v>
      </c>
      <c r="Z183" s="33">
        <f>IFERROR(__xludf.DUMMYFUNCTION("""COMPUTED_VALUE"""),0.867777777777777)</f>
        <v>0.8677777778</v>
      </c>
      <c r="AA183" s="33">
        <f>IFERROR(__xludf.DUMMYFUNCTION("""COMPUTED_VALUE"""),0.0)</f>
        <v>0</v>
      </c>
      <c r="AB183" s="33">
        <f>IFERROR(__xludf.DUMMYFUNCTION("""COMPUTED_VALUE"""),2.89749999999999)</f>
        <v>2.8975</v>
      </c>
      <c r="AC183" s="33">
        <f>IFERROR(__xludf.DUMMYFUNCTION("""COMPUTED_VALUE"""),2.8975)</f>
        <v>2.8975</v>
      </c>
      <c r="AD183" s="33">
        <f>IFERROR(__xludf.DUMMYFUNCTION("""COMPUTED_VALUE"""),1.46333333333333)</f>
        <v>1.463333333</v>
      </c>
      <c r="AE183" s="33">
        <f>IFERROR(__xludf.DUMMYFUNCTION("""COMPUTED_VALUE"""),2.8975)</f>
        <v>2.8975</v>
      </c>
      <c r="AF183" s="33">
        <f>IFERROR(__xludf.DUMMYFUNCTION("""COMPUTED_VALUE"""),15.0)</f>
        <v>15</v>
      </c>
    </row>
    <row r="184">
      <c r="A184" s="49">
        <f>IFERROR(__xludf.DUMMYFUNCTION("""COMPUTED_VALUE"""),46111.0)</f>
        <v>46111</v>
      </c>
      <c r="B184" s="33" t="str">
        <f>IFERROR(__xludf.DUMMYFUNCTION("""COMPUTED_VALUE"""),"c6ddafe0c1c28e76700ec68e65063945a05ee155")</f>
        <v>c6ddafe0c1c28e76700ec68e65063945a05ee155</v>
      </c>
      <c r="C184" s="33" t="str">
        <f>IFERROR(__xludf.DUMMYFUNCTION("""COMPUTED_VALUE"""),"Reborn to Rule Production Show_id")</f>
        <v>Reborn to Rule Production Show_id</v>
      </c>
      <c r="D184" s="33">
        <f>IFERROR(__xludf.DUMMYFUNCTION("""COMPUTED_VALUE"""),1.0)</f>
        <v>1</v>
      </c>
      <c r="E184" s="33">
        <f>IFERROR(__xludf.DUMMYFUNCTION("""COMPUTED_VALUE"""),1.0)</f>
        <v>1</v>
      </c>
      <c r="F184" s="33">
        <f>IFERROR(__xludf.DUMMYFUNCTION("""COMPUTED_VALUE"""),0.0)</f>
        <v>0</v>
      </c>
      <c r="G184" s="33">
        <f>IFERROR(__xludf.DUMMYFUNCTION("""COMPUTED_VALUE"""),0.0)</f>
        <v>0</v>
      </c>
      <c r="H184" s="33">
        <f>IFERROR(__xludf.DUMMYFUNCTION("""COMPUTED_VALUE"""),0.0)</f>
        <v>0</v>
      </c>
      <c r="I184" s="33">
        <f>IFERROR(__xludf.DUMMYFUNCTION("""COMPUTED_VALUE"""),0.0)</f>
        <v>0</v>
      </c>
      <c r="J184" s="33">
        <f>IFERROR(__xludf.DUMMYFUNCTION("""COMPUTED_VALUE"""),0.0)</f>
        <v>0</v>
      </c>
      <c r="K184" s="33">
        <f>IFERROR(__xludf.DUMMYFUNCTION("""COMPUTED_VALUE"""),0.0)</f>
        <v>0</v>
      </c>
      <c r="L184" s="33">
        <f>IFERROR(__xludf.DUMMYFUNCTION("""COMPUTED_VALUE"""),0.0)</f>
        <v>0</v>
      </c>
      <c r="M184" s="33">
        <f>IFERROR(__xludf.DUMMYFUNCTION("""COMPUTED_VALUE"""),0.0)</f>
        <v>0</v>
      </c>
      <c r="N184" s="33">
        <f>IFERROR(__xludf.DUMMYFUNCTION("""COMPUTED_VALUE"""),0.0)</f>
        <v>0</v>
      </c>
      <c r="O184" s="33">
        <f>IFERROR(__xludf.DUMMYFUNCTION("""COMPUTED_VALUE"""),0.0)</f>
        <v>0</v>
      </c>
      <c r="P184" s="33">
        <f>IFERROR(__xludf.DUMMYFUNCTION("""COMPUTED_VALUE"""),0.0)</f>
        <v>0</v>
      </c>
      <c r="Q184" s="33">
        <f>IFERROR(__xludf.DUMMYFUNCTION("""COMPUTED_VALUE"""),0.0)</f>
        <v>0</v>
      </c>
      <c r="R184" s="33">
        <f>IFERROR(__xludf.DUMMYFUNCTION("""COMPUTED_VALUE"""),3317.0)</f>
        <v>3317</v>
      </c>
      <c r="S184" s="33">
        <f>IFERROR(__xludf.DUMMYFUNCTION("""COMPUTED_VALUE"""),3317.0)</f>
        <v>3317</v>
      </c>
      <c r="T184" s="33">
        <f>IFERROR(__xludf.DUMMYFUNCTION("""COMPUTED_VALUE"""),0.0)</f>
        <v>0</v>
      </c>
      <c r="U184" s="33">
        <f>IFERROR(__xludf.DUMMYFUNCTION("""COMPUTED_VALUE"""),0.0)</f>
        <v>0</v>
      </c>
      <c r="V184" s="33">
        <f>IFERROR(__xludf.DUMMYFUNCTION("""COMPUTED_VALUE"""),0.0)</f>
        <v>0</v>
      </c>
      <c r="W184" s="33">
        <f>IFERROR(__xludf.DUMMYFUNCTION("""COMPUTED_VALUE"""),0.0)</f>
        <v>0</v>
      </c>
      <c r="X184" s="33">
        <f>IFERROR(__xludf.DUMMYFUNCTION("""COMPUTED_VALUE"""),0.0)</f>
        <v>0</v>
      </c>
      <c r="Y184" s="33">
        <f>IFERROR(__xludf.DUMMYFUNCTION("""COMPUTED_VALUE"""),0.0)</f>
        <v>0</v>
      </c>
      <c r="Z184" s="33">
        <f>IFERROR(__xludf.DUMMYFUNCTION("""COMPUTED_VALUE"""),0.0)</f>
        <v>0</v>
      </c>
      <c r="AA184" s="33">
        <f>IFERROR(__xludf.DUMMYFUNCTION("""COMPUTED_VALUE"""),0.0)</f>
        <v>0</v>
      </c>
      <c r="AB184" s="33">
        <f>IFERROR(__xludf.DUMMYFUNCTION("""COMPUTED_VALUE"""),0.0)</f>
        <v>0</v>
      </c>
      <c r="AC184" s="33">
        <f>IFERROR(__xludf.DUMMYFUNCTION("""COMPUTED_VALUE"""),0.0)</f>
        <v>0</v>
      </c>
      <c r="AD184" s="33">
        <f>IFERROR(__xludf.DUMMYFUNCTION("""COMPUTED_VALUE"""),0.0)</f>
        <v>0</v>
      </c>
      <c r="AE184" s="33">
        <f>IFERROR(__xludf.DUMMYFUNCTION("""COMPUTED_VALUE"""),0.0)</f>
        <v>0</v>
      </c>
      <c r="AF184" s="33">
        <f>IFERROR(__xludf.DUMMYFUNCTION("""COMPUTED_VALUE"""),0.0)</f>
        <v>0</v>
      </c>
    </row>
    <row r="185">
      <c r="A185" s="49">
        <f>IFERROR(__xludf.DUMMYFUNCTION("""COMPUTED_VALUE"""),46111.0)</f>
        <v>46111</v>
      </c>
      <c r="B185" s="33" t="str">
        <f>IFERROR(__xludf.DUMMYFUNCTION("""COMPUTED_VALUE"""),"dbbc7f35e9eb33b7562f0fd82896e827101bf13c")</f>
        <v>dbbc7f35e9eb33b7562f0fd82896e827101bf13c</v>
      </c>
      <c r="C185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185" s="33">
        <f>IFERROR(__xludf.DUMMYFUNCTION("""COMPUTED_VALUE"""),0.0)</f>
        <v>0</v>
      </c>
      <c r="E185" s="33">
        <f>IFERROR(__xludf.DUMMYFUNCTION("""COMPUTED_VALUE"""),0.0)</f>
        <v>0</v>
      </c>
      <c r="F185" s="33">
        <f>IFERROR(__xludf.DUMMYFUNCTION("""COMPUTED_VALUE"""),0.0)</f>
        <v>0</v>
      </c>
      <c r="G185" s="33">
        <f>IFERROR(__xludf.DUMMYFUNCTION("""COMPUTED_VALUE"""),0.0)</f>
        <v>0</v>
      </c>
      <c r="H185" s="33">
        <f>IFERROR(__xludf.DUMMYFUNCTION("""COMPUTED_VALUE"""),0.0)</f>
        <v>0</v>
      </c>
      <c r="I185" s="33">
        <f>IFERROR(__xludf.DUMMYFUNCTION("""COMPUTED_VALUE"""),0.0)</f>
        <v>0</v>
      </c>
      <c r="J185" s="33">
        <f>IFERROR(__xludf.DUMMYFUNCTION("""COMPUTED_VALUE"""),0.0)</f>
        <v>0</v>
      </c>
      <c r="K185" s="33">
        <f>IFERROR(__xludf.DUMMYFUNCTION("""COMPUTED_VALUE"""),0.0)</f>
        <v>0</v>
      </c>
      <c r="L185" s="33">
        <f>IFERROR(__xludf.DUMMYFUNCTION("""COMPUTED_VALUE"""),0.0)</f>
        <v>0</v>
      </c>
      <c r="M185" s="33">
        <f>IFERROR(__xludf.DUMMYFUNCTION("""COMPUTED_VALUE"""),0.0)</f>
        <v>0</v>
      </c>
      <c r="N185" s="33">
        <f>IFERROR(__xludf.DUMMYFUNCTION("""COMPUTED_VALUE"""),14.0)</f>
        <v>14</v>
      </c>
      <c r="O185" s="33">
        <f>IFERROR(__xludf.DUMMYFUNCTION("""COMPUTED_VALUE"""),5.0)</f>
        <v>5</v>
      </c>
      <c r="P185" s="33">
        <f>IFERROR(__xludf.DUMMYFUNCTION("""COMPUTED_VALUE"""),14.0)</f>
        <v>14</v>
      </c>
      <c r="Q185" s="33">
        <f>IFERROR(__xludf.DUMMYFUNCTION("""COMPUTED_VALUE"""),0.0)</f>
        <v>0</v>
      </c>
      <c r="R185" s="33">
        <f>IFERROR(__xludf.DUMMYFUNCTION("""COMPUTED_VALUE"""),0.0)</f>
        <v>0</v>
      </c>
      <c r="S185" s="33">
        <f>IFERROR(__xludf.DUMMYFUNCTION("""COMPUTED_VALUE"""),0.0)</f>
        <v>0</v>
      </c>
      <c r="T185" s="33">
        <f>IFERROR(__xludf.DUMMYFUNCTION("""COMPUTED_VALUE"""),0.0)</f>
        <v>0</v>
      </c>
      <c r="U185" s="33">
        <f>IFERROR(__xludf.DUMMYFUNCTION("""COMPUTED_VALUE"""),0.0)</f>
        <v>0</v>
      </c>
      <c r="V185" s="33">
        <f>IFERROR(__xludf.DUMMYFUNCTION("""COMPUTED_VALUE"""),0.0)</f>
        <v>0</v>
      </c>
      <c r="W185" s="33">
        <f>IFERROR(__xludf.DUMMYFUNCTION("""COMPUTED_VALUE"""),0.0)</f>
        <v>0</v>
      </c>
      <c r="X185" s="33">
        <f>IFERROR(__xludf.DUMMYFUNCTION("""COMPUTED_VALUE"""),0.0)</f>
        <v>0</v>
      </c>
      <c r="Y185" s="33">
        <f>IFERROR(__xludf.DUMMYFUNCTION("""COMPUTED_VALUE"""),0.0)</f>
        <v>0</v>
      </c>
      <c r="Z185" s="33">
        <f>IFERROR(__xludf.DUMMYFUNCTION("""COMPUTED_VALUE"""),0.0)</f>
        <v>0</v>
      </c>
      <c r="AA185" s="33">
        <f>IFERROR(__xludf.DUMMYFUNCTION("""COMPUTED_VALUE"""),0.0)</f>
        <v>0</v>
      </c>
      <c r="AB185" s="33">
        <f>IFERROR(__xludf.DUMMYFUNCTION("""COMPUTED_VALUE"""),0.0)</f>
        <v>0</v>
      </c>
      <c r="AC185" s="33">
        <f>IFERROR(__xludf.DUMMYFUNCTION("""COMPUTED_VALUE"""),0.0)</f>
        <v>0</v>
      </c>
      <c r="AD185" s="33">
        <f>IFERROR(__xludf.DUMMYFUNCTION("""COMPUTED_VALUE"""),0.896944444444444)</f>
        <v>0.8969444444</v>
      </c>
      <c r="AE185" s="33">
        <f>IFERROR(__xludf.DUMMYFUNCTION("""COMPUTED_VALUE"""),3.73416666666666)</f>
        <v>3.734166667</v>
      </c>
      <c r="AF185" s="33">
        <f>IFERROR(__xludf.DUMMYFUNCTION("""COMPUTED_VALUE"""),0.0)</f>
        <v>0</v>
      </c>
    </row>
    <row r="186">
      <c r="A186" s="49">
        <f>IFERROR(__xludf.DUMMYFUNCTION("""COMPUTED_VALUE"""),46111.0)</f>
        <v>46111</v>
      </c>
      <c r="B186" s="33" t="str">
        <f>IFERROR(__xludf.DUMMYFUNCTION("""COMPUTED_VALUE"""),"e493cee863483a057af12de782cd20043a19ed05")</f>
        <v>e493cee863483a057af12de782cd20043a19ed05</v>
      </c>
      <c r="C186" s="33" t="str">
        <f>IFERROR(__xludf.DUMMYFUNCTION("""COMPUTED_VALUE"""),"Malang")</f>
        <v>Malang</v>
      </c>
      <c r="D186" s="33">
        <f>IFERROR(__xludf.DUMMYFUNCTION("""COMPUTED_VALUE"""),0.0)</f>
        <v>0</v>
      </c>
      <c r="E186" s="33">
        <f>IFERROR(__xludf.DUMMYFUNCTION("""COMPUTED_VALUE"""),0.0)</f>
        <v>0</v>
      </c>
      <c r="F186" s="33">
        <f>IFERROR(__xludf.DUMMYFUNCTION("""COMPUTED_VALUE"""),0.0)</f>
        <v>0</v>
      </c>
      <c r="G186" s="33">
        <f>IFERROR(__xludf.DUMMYFUNCTION("""COMPUTED_VALUE"""),0.0)</f>
        <v>0</v>
      </c>
      <c r="H186" s="33">
        <f>IFERROR(__xludf.DUMMYFUNCTION("""COMPUTED_VALUE"""),4.0)</f>
        <v>4</v>
      </c>
      <c r="I186" s="33">
        <f>IFERROR(__xludf.DUMMYFUNCTION("""COMPUTED_VALUE"""),4.0)</f>
        <v>4</v>
      </c>
      <c r="J186" s="33">
        <f>IFERROR(__xludf.DUMMYFUNCTION("""COMPUTED_VALUE"""),5.0)</f>
        <v>5</v>
      </c>
      <c r="K186" s="33">
        <f>IFERROR(__xludf.DUMMYFUNCTION("""COMPUTED_VALUE"""),2.0)</f>
        <v>2</v>
      </c>
      <c r="L186" s="33">
        <f>IFERROR(__xludf.DUMMYFUNCTION("""COMPUTED_VALUE"""),0.0)</f>
        <v>0</v>
      </c>
      <c r="M186" s="33">
        <f>IFERROR(__xludf.DUMMYFUNCTION("""COMPUTED_VALUE"""),5.0)</f>
        <v>5</v>
      </c>
      <c r="N186" s="33">
        <f>IFERROR(__xludf.DUMMYFUNCTION("""COMPUTED_VALUE"""),3.0)</f>
        <v>3</v>
      </c>
      <c r="O186" s="33">
        <f>IFERROR(__xludf.DUMMYFUNCTION("""COMPUTED_VALUE"""),5.0)</f>
        <v>5</v>
      </c>
      <c r="P186" s="33">
        <f>IFERROR(__xludf.DUMMYFUNCTION("""COMPUTED_VALUE"""),3.0)</f>
        <v>3</v>
      </c>
      <c r="Q186" s="33">
        <f>IFERROR(__xludf.DUMMYFUNCTION("""COMPUTED_VALUE"""),0.0)</f>
        <v>0</v>
      </c>
      <c r="R186" s="33">
        <f>IFERROR(__xludf.DUMMYFUNCTION("""COMPUTED_VALUE"""),0.0)</f>
        <v>0</v>
      </c>
      <c r="S186" s="33">
        <f>IFERROR(__xludf.DUMMYFUNCTION("""COMPUTED_VALUE"""),0.0)</f>
        <v>0</v>
      </c>
      <c r="T186" s="33">
        <f>IFERROR(__xludf.DUMMYFUNCTION("""COMPUTED_VALUE"""),1.18416666666666)</f>
        <v>1.184166667</v>
      </c>
      <c r="U186" s="33">
        <f>IFERROR(__xludf.DUMMYFUNCTION("""COMPUTED_VALUE"""),0.0)</f>
        <v>0</v>
      </c>
      <c r="V186" s="33">
        <f>IFERROR(__xludf.DUMMYFUNCTION("""COMPUTED_VALUE"""),0.0)</f>
        <v>0</v>
      </c>
      <c r="W186" s="33">
        <f>IFERROR(__xludf.DUMMYFUNCTION("""COMPUTED_VALUE"""),0.789166666666666)</f>
        <v>0.7891666667</v>
      </c>
      <c r="X186" s="33">
        <f>IFERROR(__xludf.DUMMYFUNCTION("""COMPUTED_VALUE"""),0.789166666666666)</f>
        <v>0.7891666667</v>
      </c>
      <c r="Y186" s="33">
        <f>IFERROR(__xludf.DUMMYFUNCTION("""COMPUTED_VALUE"""),0.971111111111111)</f>
        <v>0.9711111111</v>
      </c>
      <c r="Z186" s="33">
        <f>IFERROR(__xludf.DUMMYFUNCTION("""COMPUTED_VALUE"""),0.39)</f>
        <v>0.39</v>
      </c>
      <c r="AA186" s="33">
        <f>IFERROR(__xludf.DUMMYFUNCTION("""COMPUTED_VALUE"""),0.0)</f>
        <v>0</v>
      </c>
      <c r="AB186" s="33">
        <f>IFERROR(__xludf.DUMMYFUNCTION("""COMPUTED_VALUE"""),0.970555555555555)</f>
        <v>0.9705555556</v>
      </c>
      <c r="AC186" s="33">
        <f>IFERROR(__xludf.DUMMYFUNCTION("""COMPUTED_VALUE"""),0.581666666666666)</f>
        <v>0.5816666667</v>
      </c>
      <c r="AD186" s="33">
        <f>IFERROR(__xludf.DUMMYFUNCTION("""COMPUTED_VALUE"""),0.986111111111111)</f>
        <v>0.9861111111</v>
      </c>
      <c r="AE186" s="33">
        <f>IFERROR(__xludf.DUMMYFUNCTION("""COMPUTED_VALUE"""),0.581666666666666)</f>
        <v>0.5816666667</v>
      </c>
      <c r="AF186" s="33">
        <f>IFERROR(__xludf.DUMMYFUNCTION("""COMPUTED_VALUE"""),6.0)</f>
        <v>6</v>
      </c>
    </row>
    <row r="187">
      <c r="A187" s="49">
        <f>IFERROR(__xludf.DUMMYFUNCTION("""COMPUTED_VALUE"""),46111.0)</f>
        <v>46111</v>
      </c>
      <c r="B187" s="33" t="str">
        <f>IFERROR(__xludf.DUMMYFUNCTION("""COMPUTED_VALUE"""),"f43f4253dc3c596ff8f2e3cc9f3b677981a70310")</f>
        <v>f43f4253dc3c596ff8f2e3cc9f3b677981a70310</v>
      </c>
      <c r="C187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187" s="33">
        <f>IFERROR(__xludf.DUMMYFUNCTION("""COMPUTED_VALUE"""),104.0)</f>
        <v>104</v>
      </c>
      <c r="E187" s="33">
        <f>IFERROR(__xludf.DUMMYFUNCTION("""COMPUTED_VALUE"""),101.0)</f>
        <v>101</v>
      </c>
      <c r="F187" s="33">
        <f>IFERROR(__xludf.DUMMYFUNCTION("""COMPUTED_VALUE"""),0.0)</f>
        <v>0</v>
      </c>
      <c r="G187" s="33">
        <f>IFERROR(__xludf.DUMMYFUNCTION("""COMPUTED_VALUE"""),0.0)</f>
        <v>0</v>
      </c>
      <c r="H187" s="33">
        <f>IFERROR(__xludf.DUMMYFUNCTION("""COMPUTED_VALUE"""),0.0)</f>
        <v>0</v>
      </c>
      <c r="I187" s="33">
        <f>IFERROR(__xludf.DUMMYFUNCTION("""COMPUTED_VALUE"""),0.0)</f>
        <v>0</v>
      </c>
      <c r="J187" s="33">
        <f>IFERROR(__xludf.DUMMYFUNCTION("""COMPUTED_VALUE"""),0.0)</f>
        <v>0</v>
      </c>
      <c r="K187" s="33">
        <f>IFERROR(__xludf.DUMMYFUNCTION("""COMPUTED_VALUE"""),0.0)</f>
        <v>0</v>
      </c>
      <c r="L187" s="33">
        <f>IFERROR(__xludf.DUMMYFUNCTION("""COMPUTED_VALUE"""),0.0)</f>
        <v>0</v>
      </c>
      <c r="M187" s="33">
        <f>IFERROR(__xludf.DUMMYFUNCTION("""COMPUTED_VALUE"""),0.0)</f>
        <v>0</v>
      </c>
      <c r="N187" s="33">
        <f>IFERROR(__xludf.DUMMYFUNCTION("""COMPUTED_VALUE"""),117.0)</f>
        <v>117</v>
      </c>
      <c r="O187" s="33">
        <f>IFERROR(__xludf.DUMMYFUNCTION("""COMPUTED_VALUE"""),5.0)</f>
        <v>5</v>
      </c>
      <c r="P187" s="33">
        <f>IFERROR(__xludf.DUMMYFUNCTION("""COMPUTED_VALUE"""),100.0)</f>
        <v>100</v>
      </c>
      <c r="Q187" s="33">
        <f>IFERROR(__xludf.DUMMYFUNCTION("""COMPUTED_VALUE"""),0.0)</f>
        <v>0</v>
      </c>
      <c r="R187" s="33">
        <f>IFERROR(__xludf.DUMMYFUNCTION("""COMPUTED_VALUE"""),266551.0)</f>
        <v>266551</v>
      </c>
      <c r="S187" s="33">
        <f>IFERROR(__xludf.DUMMYFUNCTION("""COMPUTED_VALUE"""),258837.0)</f>
        <v>258837</v>
      </c>
      <c r="T187" s="33">
        <f>IFERROR(__xludf.DUMMYFUNCTION("""COMPUTED_VALUE"""),0.0)</f>
        <v>0</v>
      </c>
      <c r="U187" s="33">
        <f>IFERROR(__xludf.DUMMYFUNCTION("""COMPUTED_VALUE"""),0.0)</f>
        <v>0</v>
      </c>
      <c r="V187" s="33">
        <f>IFERROR(__xludf.DUMMYFUNCTION("""COMPUTED_VALUE"""),0.0)</f>
        <v>0</v>
      </c>
      <c r="W187" s="33">
        <f>IFERROR(__xludf.DUMMYFUNCTION("""COMPUTED_VALUE"""),0.0)</f>
        <v>0</v>
      </c>
      <c r="X187" s="33">
        <f>IFERROR(__xludf.DUMMYFUNCTION("""COMPUTED_VALUE"""),0.0)</f>
        <v>0</v>
      </c>
      <c r="Y187" s="33">
        <f>IFERROR(__xludf.DUMMYFUNCTION("""COMPUTED_VALUE"""),0.0)</f>
        <v>0</v>
      </c>
      <c r="Z187" s="33">
        <f>IFERROR(__xludf.DUMMYFUNCTION("""COMPUTED_VALUE"""),0.0)</f>
        <v>0</v>
      </c>
      <c r="AA187" s="33">
        <f>IFERROR(__xludf.DUMMYFUNCTION("""COMPUTED_VALUE"""),0.0)</f>
        <v>0</v>
      </c>
      <c r="AB187" s="33">
        <f>IFERROR(__xludf.DUMMYFUNCTION("""COMPUTED_VALUE"""),0.0)</f>
        <v>0</v>
      </c>
      <c r="AC187" s="33">
        <f>IFERROR(__xludf.DUMMYFUNCTION("""COMPUTED_VALUE"""),0.947777777777777)</f>
        <v>0.9477777778</v>
      </c>
      <c r="AD187" s="33">
        <f>IFERROR(__xludf.DUMMYFUNCTION("""COMPUTED_VALUE"""),1.2125)</f>
        <v>1.2125</v>
      </c>
      <c r="AE187" s="33">
        <f>IFERROR(__xludf.DUMMYFUNCTION("""COMPUTED_VALUE"""),26.1161111111111)</f>
        <v>26.11611111</v>
      </c>
      <c r="AF187" s="33">
        <f>IFERROR(__xludf.DUMMYFUNCTION("""COMPUTED_VALUE"""),0.0)</f>
        <v>0</v>
      </c>
    </row>
    <row r="188">
      <c r="A188" s="49">
        <f>IFERROR(__xludf.DUMMYFUNCTION("""COMPUTED_VALUE"""),46111.0)</f>
        <v>46111</v>
      </c>
      <c r="B188" s="33" t="str">
        <f>IFERROR(__xludf.DUMMYFUNCTION("""COMPUTED_VALUE"""),"f8fbcb9a13d17d5888164fffc1bbb7cd5c6608b2")</f>
        <v>f8fbcb9a13d17d5888164fffc1bbb7cd5c6608b2</v>
      </c>
      <c r="C188" s="33" t="str">
        <f>IFERROR(__xludf.DUMMYFUNCTION("""COMPUTED_VALUE"""),"Empire of Hidden King | Author - Nitesh")</f>
        <v>Empire of Hidden King | Author - Nitesh</v>
      </c>
      <c r="D188" s="33">
        <f>IFERROR(__xludf.DUMMYFUNCTION("""COMPUTED_VALUE"""),0.0)</f>
        <v>0</v>
      </c>
      <c r="E188" s="33">
        <f>IFERROR(__xludf.DUMMYFUNCTION("""COMPUTED_VALUE"""),0.0)</f>
        <v>0</v>
      </c>
      <c r="F188" s="33">
        <f>IFERROR(__xludf.DUMMYFUNCTION("""COMPUTED_VALUE"""),0.0)</f>
        <v>0</v>
      </c>
      <c r="G188" s="33">
        <f>IFERROR(__xludf.DUMMYFUNCTION("""COMPUTED_VALUE"""),0.0)</f>
        <v>0</v>
      </c>
      <c r="H188" s="33">
        <f>IFERROR(__xludf.DUMMYFUNCTION("""COMPUTED_VALUE"""),0.0)</f>
        <v>0</v>
      </c>
      <c r="I188" s="33">
        <f>IFERROR(__xludf.DUMMYFUNCTION("""COMPUTED_VALUE"""),0.0)</f>
        <v>0</v>
      </c>
      <c r="J188" s="33">
        <f>IFERROR(__xludf.DUMMYFUNCTION("""COMPUTED_VALUE"""),0.0)</f>
        <v>0</v>
      </c>
      <c r="K188" s="33">
        <f>IFERROR(__xludf.DUMMYFUNCTION("""COMPUTED_VALUE"""),0.0)</f>
        <v>0</v>
      </c>
      <c r="L188" s="33">
        <f>IFERROR(__xludf.DUMMYFUNCTION("""COMPUTED_VALUE"""),0.0)</f>
        <v>0</v>
      </c>
      <c r="M188" s="33">
        <f>IFERROR(__xludf.DUMMYFUNCTION("""COMPUTED_VALUE"""),0.0)</f>
        <v>0</v>
      </c>
      <c r="N188" s="33">
        <f>IFERROR(__xludf.DUMMYFUNCTION("""COMPUTED_VALUE"""),3.0)</f>
        <v>3</v>
      </c>
      <c r="O188" s="33">
        <f>IFERROR(__xludf.DUMMYFUNCTION("""COMPUTED_VALUE"""),0.0)</f>
        <v>0</v>
      </c>
      <c r="P188" s="33">
        <f>IFERROR(__xludf.DUMMYFUNCTION("""COMPUTED_VALUE"""),3.0)</f>
        <v>3</v>
      </c>
      <c r="Q188" s="33">
        <f>IFERROR(__xludf.DUMMYFUNCTION("""COMPUTED_VALUE"""),0.0)</f>
        <v>0</v>
      </c>
      <c r="R188" s="33">
        <f>IFERROR(__xludf.DUMMYFUNCTION("""COMPUTED_VALUE"""),0.0)</f>
        <v>0</v>
      </c>
      <c r="S188" s="33">
        <f>IFERROR(__xludf.DUMMYFUNCTION("""COMPUTED_VALUE"""),0.0)</f>
        <v>0</v>
      </c>
      <c r="T188" s="33">
        <f>IFERROR(__xludf.DUMMYFUNCTION("""COMPUTED_VALUE"""),0.0)</f>
        <v>0</v>
      </c>
      <c r="U188" s="33">
        <f>IFERROR(__xludf.DUMMYFUNCTION("""COMPUTED_VALUE"""),0.0)</f>
        <v>0</v>
      </c>
      <c r="V188" s="33">
        <f>IFERROR(__xludf.DUMMYFUNCTION("""COMPUTED_VALUE"""),0.0)</f>
        <v>0</v>
      </c>
      <c r="W188" s="33">
        <f>IFERROR(__xludf.DUMMYFUNCTION("""COMPUTED_VALUE"""),0.0)</f>
        <v>0</v>
      </c>
      <c r="X188" s="33">
        <f>IFERROR(__xludf.DUMMYFUNCTION("""COMPUTED_VALUE"""),0.0)</f>
        <v>0</v>
      </c>
      <c r="Y188" s="33">
        <f>IFERROR(__xludf.DUMMYFUNCTION("""COMPUTED_VALUE"""),0.0)</f>
        <v>0</v>
      </c>
      <c r="Z188" s="33">
        <f>IFERROR(__xludf.DUMMYFUNCTION("""COMPUTED_VALUE"""),0.0)</f>
        <v>0</v>
      </c>
      <c r="AA188" s="33">
        <f>IFERROR(__xludf.DUMMYFUNCTION("""COMPUTED_VALUE"""),0.0)</f>
        <v>0</v>
      </c>
      <c r="AB188" s="33">
        <f>IFERROR(__xludf.DUMMYFUNCTION("""COMPUTED_VALUE"""),0.0)</f>
        <v>0</v>
      </c>
      <c r="AC188" s="33">
        <f>IFERROR(__xludf.DUMMYFUNCTION("""COMPUTED_VALUE"""),1.12055555555555)</f>
        <v>1.120555556</v>
      </c>
      <c r="AD188" s="33">
        <f>IFERROR(__xludf.DUMMYFUNCTION("""COMPUTED_VALUE"""),0.0)</f>
        <v>0</v>
      </c>
      <c r="AE188" s="33">
        <f>IFERROR(__xludf.DUMMYFUNCTION("""COMPUTED_VALUE"""),0.7875)</f>
        <v>0.7875</v>
      </c>
      <c r="AF188" s="33">
        <f>IFERROR(__xludf.DUMMYFUNCTION("""COMPUTED_VALUE"""),0.0)</f>
        <v>0</v>
      </c>
    </row>
    <row r="189">
      <c r="A189" s="49">
        <f>IFERROR(__xludf.DUMMYFUNCTION("""COMPUTED_VALUE"""),46104.0)</f>
        <v>46104</v>
      </c>
      <c r="B189" s="33" t="str">
        <f>IFERROR(__xludf.DUMMYFUNCTION("""COMPUTED_VALUE"""),"017fddbaa7617afdd8289be5c433df09dcde1da2")</f>
        <v>017fddbaa7617afdd8289be5c433df09dcde1da2</v>
      </c>
      <c r="C189" s="33" t="str">
        <f>IFERROR(__xludf.DUMMYFUNCTION("""COMPUTED_VALUE"""),"His Secret Fortune - Production Show_id")</f>
        <v>His Secret Fortune - Production Show_id</v>
      </c>
      <c r="D189" s="33">
        <f>IFERROR(__xludf.DUMMYFUNCTION("""COMPUTED_VALUE"""),0.0)</f>
        <v>0</v>
      </c>
      <c r="E189" s="33">
        <f>IFERROR(__xludf.DUMMYFUNCTION("""COMPUTED_VALUE"""),0.0)</f>
        <v>0</v>
      </c>
      <c r="F189" s="33">
        <f>IFERROR(__xludf.DUMMYFUNCTION("""COMPUTED_VALUE"""),3.0)</f>
        <v>3</v>
      </c>
      <c r="G189" s="33">
        <f>IFERROR(__xludf.DUMMYFUNCTION("""COMPUTED_VALUE"""),3.0)</f>
        <v>3</v>
      </c>
      <c r="H189" s="33">
        <f>IFERROR(__xludf.DUMMYFUNCTION("""COMPUTED_VALUE"""),4.0)</f>
        <v>4</v>
      </c>
      <c r="I189" s="33">
        <f>IFERROR(__xludf.DUMMYFUNCTION("""COMPUTED_VALUE"""),1.0)</f>
        <v>1</v>
      </c>
      <c r="J189" s="33">
        <f>IFERROR(__xludf.DUMMYFUNCTION("""COMPUTED_VALUE"""),4.0)</f>
        <v>4</v>
      </c>
      <c r="K189" s="33">
        <f>IFERROR(__xludf.DUMMYFUNCTION("""COMPUTED_VALUE"""),8.0)</f>
        <v>8</v>
      </c>
      <c r="L189" s="33">
        <f>IFERROR(__xludf.DUMMYFUNCTION("""COMPUTED_VALUE"""),8.0)</f>
        <v>8</v>
      </c>
      <c r="M189" s="33">
        <f>IFERROR(__xludf.DUMMYFUNCTION("""COMPUTED_VALUE"""),8.0)</f>
        <v>8</v>
      </c>
      <c r="N189" s="33">
        <f>IFERROR(__xludf.DUMMYFUNCTION("""COMPUTED_VALUE"""),8.0)</f>
        <v>8</v>
      </c>
      <c r="O189" s="33">
        <f>IFERROR(__xludf.DUMMYFUNCTION("""COMPUTED_VALUE"""),4.0)</f>
        <v>4</v>
      </c>
      <c r="P189" s="33">
        <f>IFERROR(__xludf.DUMMYFUNCTION("""COMPUTED_VALUE"""),8.0)</f>
        <v>8</v>
      </c>
      <c r="Q189" s="33">
        <f>IFERROR(__xludf.DUMMYFUNCTION("""COMPUTED_VALUE"""),0.0)</f>
        <v>0</v>
      </c>
      <c r="R189" s="33">
        <f>IFERROR(__xludf.DUMMYFUNCTION("""COMPUTED_VALUE"""),0.0)</f>
        <v>0</v>
      </c>
      <c r="S189" s="33">
        <f>IFERROR(__xludf.DUMMYFUNCTION("""COMPUTED_VALUE"""),0.0)</f>
        <v>0</v>
      </c>
      <c r="T189" s="33">
        <f>IFERROR(__xludf.DUMMYFUNCTION("""COMPUTED_VALUE"""),0.376944444444444)</f>
        <v>0.3769444444</v>
      </c>
      <c r="U189" s="33">
        <f>IFERROR(__xludf.DUMMYFUNCTION("""COMPUTED_VALUE"""),0.552777777777777)</f>
        <v>0.5527777778</v>
      </c>
      <c r="V189" s="33">
        <f>IFERROR(__xludf.DUMMYFUNCTION("""COMPUTED_VALUE"""),0.548055555555555)</f>
        <v>0.5480555556</v>
      </c>
      <c r="W189" s="33">
        <f>IFERROR(__xludf.DUMMYFUNCTION("""COMPUTED_VALUE"""),0.743055555555555)</f>
        <v>0.7430555556</v>
      </c>
      <c r="X189" s="33">
        <f>IFERROR(__xludf.DUMMYFUNCTION("""COMPUTED_VALUE"""),0.195)</f>
        <v>0.195</v>
      </c>
      <c r="Y189" s="33">
        <f>IFERROR(__xludf.DUMMYFUNCTION("""COMPUTED_VALUE"""),0.742222222222222)</f>
        <v>0.7422222222</v>
      </c>
      <c r="Z189" s="33">
        <f>IFERROR(__xludf.DUMMYFUNCTION("""COMPUTED_VALUE"""),1.45555555555555)</f>
        <v>1.455555556</v>
      </c>
      <c r="AA189" s="33">
        <f>IFERROR(__xludf.DUMMYFUNCTION("""COMPUTED_VALUE"""),1.45555555555555)</f>
        <v>1.455555556</v>
      </c>
      <c r="AB189" s="33">
        <f>IFERROR(__xludf.DUMMYFUNCTION("""COMPUTED_VALUE"""),1.45555555555555)</f>
        <v>1.455555556</v>
      </c>
      <c r="AC189" s="33">
        <f>IFERROR(__xludf.DUMMYFUNCTION("""COMPUTED_VALUE"""),1.45555555555555)</f>
        <v>1.455555556</v>
      </c>
      <c r="AD189" s="33">
        <f>IFERROR(__xludf.DUMMYFUNCTION("""COMPUTED_VALUE"""),0.801666666666666)</f>
        <v>0.8016666667</v>
      </c>
      <c r="AE189" s="33">
        <f>IFERROR(__xludf.DUMMYFUNCTION("""COMPUTED_VALUE"""),1.45555555555555)</f>
        <v>1.455555556</v>
      </c>
      <c r="AF189" s="33">
        <f>IFERROR(__xludf.DUMMYFUNCTION("""COMPUTED_VALUE"""),2.0)</f>
        <v>2</v>
      </c>
    </row>
    <row r="190">
      <c r="A190" s="49">
        <f>IFERROR(__xludf.DUMMYFUNCTION("""COMPUTED_VALUE"""),46104.0)</f>
        <v>46104</v>
      </c>
      <c r="B190" s="33" t="str">
        <f>IFERROR(__xludf.DUMMYFUNCTION("""COMPUTED_VALUE"""),"2549f1505a3739b3e90a0b63921ad55271440d40")</f>
        <v>2549f1505a3739b3e90a0b63921ad55271440d40</v>
      </c>
      <c r="C190" s="33" t="str">
        <f>IFERROR(__xludf.DUMMYFUNCTION("""COMPUTED_VALUE"""),"Reborn in Martial World ")</f>
        <v>Reborn in Martial World </v>
      </c>
      <c r="D190" s="33">
        <f>IFERROR(__xludf.DUMMYFUNCTION("""COMPUTED_VALUE"""),0.0)</f>
        <v>0</v>
      </c>
      <c r="E190" s="33">
        <f>IFERROR(__xludf.DUMMYFUNCTION("""COMPUTED_VALUE"""),5.0)</f>
        <v>5</v>
      </c>
      <c r="F190" s="33">
        <f>IFERROR(__xludf.DUMMYFUNCTION("""COMPUTED_VALUE"""),0.0)</f>
        <v>0</v>
      </c>
      <c r="G190" s="33">
        <f>IFERROR(__xludf.DUMMYFUNCTION("""COMPUTED_VALUE"""),0.0)</f>
        <v>0</v>
      </c>
      <c r="H190" s="33">
        <f>IFERROR(__xludf.DUMMYFUNCTION("""COMPUTED_VALUE"""),0.0)</f>
        <v>0</v>
      </c>
      <c r="I190" s="33">
        <f>IFERROR(__xludf.DUMMYFUNCTION("""COMPUTED_VALUE"""),0.0)</f>
        <v>0</v>
      </c>
      <c r="J190" s="33">
        <f>IFERROR(__xludf.DUMMYFUNCTION("""COMPUTED_VALUE"""),0.0)</f>
        <v>0</v>
      </c>
      <c r="K190" s="33">
        <f>IFERROR(__xludf.DUMMYFUNCTION("""COMPUTED_VALUE"""),0.0)</f>
        <v>0</v>
      </c>
      <c r="L190" s="33">
        <f>IFERROR(__xludf.DUMMYFUNCTION("""COMPUTED_VALUE"""),0.0)</f>
        <v>0</v>
      </c>
      <c r="M190" s="33">
        <f>IFERROR(__xludf.DUMMYFUNCTION("""COMPUTED_VALUE"""),0.0)</f>
        <v>0</v>
      </c>
      <c r="N190" s="33">
        <f>IFERROR(__xludf.DUMMYFUNCTION("""COMPUTED_VALUE"""),5.0)</f>
        <v>5</v>
      </c>
      <c r="O190" s="33">
        <f>IFERROR(__xludf.DUMMYFUNCTION("""COMPUTED_VALUE"""),5.0)</f>
        <v>5</v>
      </c>
      <c r="P190" s="33">
        <f>IFERROR(__xludf.DUMMYFUNCTION("""COMPUTED_VALUE"""),5.0)</f>
        <v>5</v>
      </c>
      <c r="Q190" s="33">
        <f>IFERROR(__xludf.DUMMYFUNCTION("""COMPUTED_VALUE"""),0.0)</f>
        <v>0</v>
      </c>
      <c r="R190" s="33">
        <f>IFERROR(__xludf.DUMMYFUNCTION("""COMPUTED_VALUE"""),0.0)</f>
        <v>0</v>
      </c>
      <c r="S190" s="33">
        <f>IFERROR(__xludf.DUMMYFUNCTION("""COMPUTED_VALUE"""),12597.0)</f>
        <v>12597</v>
      </c>
      <c r="T190" s="33">
        <f>IFERROR(__xludf.DUMMYFUNCTION("""COMPUTED_VALUE"""),0.0)</f>
        <v>0</v>
      </c>
      <c r="U190" s="33">
        <f>IFERROR(__xludf.DUMMYFUNCTION("""COMPUTED_VALUE"""),0.0)</f>
        <v>0</v>
      </c>
      <c r="V190" s="33">
        <f>IFERROR(__xludf.DUMMYFUNCTION("""COMPUTED_VALUE"""),0.0)</f>
        <v>0</v>
      </c>
      <c r="W190" s="33">
        <f>IFERROR(__xludf.DUMMYFUNCTION("""COMPUTED_VALUE"""),0.0)</f>
        <v>0</v>
      </c>
      <c r="X190" s="33">
        <f>IFERROR(__xludf.DUMMYFUNCTION("""COMPUTED_VALUE"""),0.0)</f>
        <v>0</v>
      </c>
      <c r="Y190" s="33">
        <f>IFERROR(__xludf.DUMMYFUNCTION("""COMPUTED_VALUE"""),0.0)</f>
        <v>0</v>
      </c>
      <c r="Z190" s="33">
        <f>IFERROR(__xludf.DUMMYFUNCTION("""COMPUTED_VALUE"""),0.0)</f>
        <v>0</v>
      </c>
      <c r="AA190" s="33">
        <f>IFERROR(__xludf.DUMMYFUNCTION("""COMPUTED_VALUE"""),0.0)</f>
        <v>0</v>
      </c>
      <c r="AB190" s="33">
        <f>IFERROR(__xludf.DUMMYFUNCTION("""COMPUTED_VALUE"""),0.0)</f>
        <v>0</v>
      </c>
      <c r="AC190" s="33">
        <f>IFERROR(__xludf.DUMMYFUNCTION("""COMPUTED_VALUE"""),1.34388888888888)</f>
        <v>1.343888889</v>
      </c>
      <c r="AD190" s="33">
        <f>IFERROR(__xludf.DUMMYFUNCTION("""COMPUTED_VALUE"""),0.977222222222222)</f>
        <v>0.9772222222</v>
      </c>
      <c r="AE190" s="33">
        <f>IFERROR(__xludf.DUMMYFUNCTION("""COMPUTED_VALUE"""),1.34388888888888)</f>
        <v>1.343888889</v>
      </c>
      <c r="AF190" s="33">
        <f>IFERROR(__xludf.DUMMYFUNCTION("""COMPUTED_VALUE"""),0.0)</f>
        <v>0</v>
      </c>
    </row>
    <row r="191">
      <c r="A191" s="49">
        <f>IFERROR(__xludf.DUMMYFUNCTION("""COMPUTED_VALUE"""),46104.0)</f>
        <v>46104</v>
      </c>
      <c r="B191" s="33" t="str">
        <f>IFERROR(__xludf.DUMMYFUNCTION("""COMPUTED_VALUE"""),"2f705add1a4571e3dcc4eb1426edfaa372c9cee8")</f>
        <v>2f705add1a4571e3dcc4eb1426edfaa372c9cee8</v>
      </c>
      <c r="C191" s="33" t="str">
        <f>IFERROR(__xludf.DUMMYFUNCTION("""COMPUTED_VALUE"""),"Beggar Husband - Production Show_id")</f>
        <v>Beggar Husband - Production Show_id</v>
      </c>
      <c r="D191" s="33">
        <f>IFERROR(__xludf.DUMMYFUNCTION("""COMPUTED_VALUE"""),9.0)</f>
        <v>9</v>
      </c>
      <c r="E191" s="33">
        <f>IFERROR(__xludf.DUMMYFUNCTION("""COMPUTED_VALUE"""),9.0)</f>
        <v>9</v>
      </c>
      <c r="F191" s="33">
        <f>IFERROR(__xludf.DUMMYFUNCTION("""COMPUTED_VALUE"""),0.0)</f>
        <v>0</v>
      </c>
      <c r="G191" s="33">
        <f>IFERROR(__xludf.DUMMYFUNCTION("""COMPUTED_VALUE"""),0.0)</f>
        <v>0</v>
      </c>
      <c r="H191" s="33">
        <f>IFERROR(__xludf.DUMMYFUNCTION("""COMPUTED_VALUE"""),0.0)</f>
        <v>0</v>
      </c>
      <c r="I191" s="33">
        <f>IFERROR(__xludf.DUMMYFUNCTION("""COMPUTED_VALUE"""),0.0)</f>
        <v>0</v>
      </c>
      <c r="J191" s="33">
        <f>IFERROR(__xludf.DUMMYFUNCTION("""COMPUTED_VALUE"""),0.0)</f>
        <v>0</v>
      </c>
      <c r="K191" s="33">
        <f>IFERROR(__xludf.DUMMYFUNCTION("""COMPUTED_VALUE"""),0.0)</f>
        <v>0</v>
      </c>
      <c r="L191" s="33">
        <f>IFERROR(__xludf.DUMMYFUNCTION("""COMPUTED_VALUE"""),0.0)</f>
        <v>0</v>
      </c>
      <c r="M191" s="33">
        <f>IFERROR(__xludf.DUMMYFUNCTION("""COMPUTED_VALUE"""),0.0)</f>
        <v>0</v>
      </c>
      <c r="N191" s="33">
        <f>IFERROR(__xludf.DUMMYFUNCTION("""COMPUTED_VALUE"""),0.0)</f>
        <v>0</v>
      </c>
      <c r="O191" s="33">
        <f>IFERROR(__xludf.DUMMYFUNCTION("""COMPUTED_VALUE"""),0.0)</f>
        <v>0</v>
      </c>
      <c r="P191" s="33">
        <f>IFERROR(__xludf.DUMMYFUNCTION("""COMPUTED_VALUE"""),0.0)</f>
        <v>0</v>
      </c>
      <c r="Q191" s="33">
        <f>IFERROR(__xludf.DUMMYFUNCTION("""COMPUTED_VALUE"""),0.0)</f>
        <v>0</v>
      </c>
      <c r="R191" s="33">
        <f>IFERROR(__xludf.DUMMYFUNCTION("""COMPUTED_VALUE"""),19275.0)</f>
        <v>19275</v>
      </c>
      <c r="S191" s="33">
        <f>IFERROR(__xludf.DUMMYFUNCTION("""COMPUTED_VALUE"""),19275.0)</f>
        <v>19275</v>
      </c>
      <c r="T191" s="33">
        <f>IFERROR(__xludf.DUMMYFUNCTION("""COMPUTED_VALUE"""),0.257222222222222)</f>
        <v>0.2572222222</v>
      </c>
      <c r="U191" s="33">
        <f>IFERROR(__xludf.DUMMYFUNCTION("""COMPUTED_VALUE"""),0.0)</f>
        <v>0</v>
      </c>
      <c r="V191" s="33">
        <f>IFERROR(__xludf.DUMMYFUNCTION("""COMPUTED_VALUE"""),0.0)</f>
        <v>0</v>
      </c>
      <c r="W191" s="33">
        <f>IFERROR(__xludf.DUMMYFUNCTION("""COMPUTED_VALUE"""),0.0)</f>
        <v>0</v>
      </c>
      <c r="X191" s="33">
        <f>IFERROR(__xludf.DUMMYFUNCTION("""COMPUTED_VALUE"""),0.0)</f>
        <v>0</v>
      </c>
      <c r="Y191" s="33">
        <f>IFERROR(__xludf.DUMMYFUNCTION("""COMPUTED_VALUE"""),0.0)</f>
        <v>0</v>
      </c>
      <c r="Z191" s="33">
        <f>IFERROR(__xludf.DUMMYFUNCTION("""COMPUTED_VALUE"""),0.0)</f>
        <v>0</v>
      </c>
      <c r="AA191" s="33">
        <f>IFERROR(__xludf.DUMMYFUNCTION("""COMPUTED_VALUE"""),0.0)</f>
        <v>0</v>
      </c>
      <c r="AB191" s="33">
        <f>IFERROR(__xludf.DUMMYFUNCTION("""COMPUTED_VALUE"""),0.0)</f>
        <v>0</v>
      </c>
      <c r="AC191" s="33">
        <f>IFERROR(__xludf.DUMMYFUNCTION("""COMPUTED_VALUE"""),0.0)</f>
        <v>0</v>
      </c>
      <c r="AD191" s="33">
        <f>IFERROR(__xludf.DUMMYFUNCTION("""COMPUTED_VALUE"""),0.0)</f>
        <v>0</v>
      </c>
      <c r="AE191" s="33">
        <f>IFERROR(__xludf.DUMMYFUNCTION("""COMPUTED_VALUE"""),0.0)</f>
        <v>0</v>
      </c>
      <c r="AF191" s="33">
        <f>IFERROR(__xludf.DUMMYFUNCTION("""COMPUTED_VALUE"""),1.0)</f>
        <v>1</v>
      </c>
    </row>
    <row r="192">
      <c r="A192" s="49">
        <f>IFERROR(__xludf.DUMMYFUNCTION("""COMPUTED_VALUE"""),46104.0)</f>
        <v>46104</v>
      </c>
      <c r="B192" s="33" t="str">
        <f>IFERROR(__xludf.DUMMYFUNCTION("""COMPUTED_VALUE"""),"37e68193f879e91ec362f75f4b46511110658e2b")</f>
        <v>37e68193f879e91ec362f75f4b46511110658e2b</v>
      </c>
      <c r="C192" s="33" t="str">
        <f>IFERROR(__xludf.DUMMYFUNCTION("""COMPUTED_VALUE"""),"Shiva : Ek Pretyodha")</f>
        <v>Shiva : Ek Pretyodha</v>
      </c>
      <c r="D192" s="33">
        <f>IFERROR(__xludf.DUMMYFUNCTION("""COMPUTED_VALUE"""),0.0)</f>
        <v>0</v>
      </c>
      <c r="E192" s="33">
        <f>IFERROR(__xludf.DUMMYFUNCTION("""COMPUTED_VALUE"""),0.0)</f>
        <v>0</v>
      </c>
      <c r="F192" s="33">
        <f>IFERROR(__xludf.DUMMYFUNCTION("""COMPUTED_VALUE"""),0.0)</f>
        <v>0</v>
      </c>
      <c r="G192" s="33">
        <f>IFERROR(__xludf.DUMMYFUNCTION("""COMPUTED_VALUE"""),0.0)</f>
        <v>0</v>
      </c>
      <c r="H192" s="33">
        <f>IFERROR(__xludf.DUMMYFUNCTION("""COMPUTED_VALUE"""),0.0)</f>
        <v>0</v>
      </c>
      <c r="I192" s="33">
        <f>IFERROR(__xludf.DUMMYFUNCTION("""COMPUTED_VALUE"""),0.0)</f>
        <v>0</v>
      </c>
      <c r="J192" s="33">
        <f>IFERROR(__xludf.DUMMYFUNCTION("""COMPUTED_VALUE"""),0.0)</f>
        <v>0</v>
      </c>
      <c r="K192" s="33">
        <f>IFERROR(__xludf.DUMMYFUNCTION("""COMPUTED_VALUE"""),0.0)</f>
        <v>0</v>
      </c>
      <c r="L192" s="33">
        <f>IFERROR(__xludf.DUMMYFUNCTION("""COMPUTED_VALUE"""),0.0)</f>
        <v>0</v>
      </c>
      <c r="M192" s="33">
        <f>IFERROR(__xludf.DUMMYFUNCTION("""COMPUTED_VALUE"""),0.0)</f>
        <v>0</v>
      </c>
      <c r="N192" s="33">
        <f>IFERROR(__xludf.DUMMYFUNCTION("""COMPUTED_VALUE"""),68.0)</f>
        <v>68</v>
      </c>
      <c r="O192" s="33">
        <f>IFERROR(__xludf.DUMMYFUNCTION("""COMPUTED_VALUE"""),34.0)</f>
        <v>34</v>
      </c>
      <c r="P192" s="33">
        <f>IFERROR(__xludf.DUMMYFUNCTION("""COMPUTED_VALUE"""),32.0)</f>
        <v>32</v>
      </c>
      <c r="Q192" s="33">
        <f>IFERROR(__xludf.DUMMYFUNCTION("""COMPUTED_VALUE"""),0.0)</f>
        <v>0</v>
      </c>
      <c r="R192" s="33">
        <f>IFERROR(__xludf.DUMMYFUNCTION("""COMPUTED_VALUE"""),0.0)</f>
        <v>0</v>
      </c>
      <c r="S192" s="33">
        <f>IFERROR(__xludf.DUMMYFUNCTION("""COMPUTED_VALUE"""),0.0)</f>
        <v>0</v>
      </c>
      <c r="T192" s="33">
        <f>IFERROR(__xludf.DUMMYFUNCTION("""COMPUTED_VALUE"""),0.0)</f>
        <v>0</v>
      </c>
      <c r="U192" s="33">
        <f>IFERROR(__xludf.DUMMYFUNCTION("""COMPUTED_VALUE"""),0.0)</f>
        <v>0</v>
      </c>
      <c r="V192" s="33">
        <f>IFERROR(__xludf.DUMMYFUNCTION("""COMPUTED_VALUE"""),0.0)</f>
        <v>0</v>
      </c>
      <c r="W192" s="33">
        <f>IFERROR(__xludf.DUMMYFUNCTION("""COMPUTED_VALUE"""),0.0)</f>
        <v>0</v>
      </c>
      <c r="X192" s="33">
        <f>IFERROR(__xludf.DUMMYFUNCTION("""COMPUTED_VALUE"""),0.0)</f>
        <v>0</v>
      </c>
      <c r="Y192" s="33">
        <f>IFERROR(__xludf.DUMMYFUNCTION("""COMPUTED_VALUE"""),0.0)</f>
        <v>0</v>
      </c>
      <c r="Z192" s="33">
        <f>IFERROR(__xludf.DUMMYFUNCTION("""COMPUTED_VALUE"""),0.0)</f>
        <v>0</v>
      </c>
      <c r="AA192" s="33">
        <f>IFERROR(__xludf.DUMMYFUNCTION("""COMPUTED_VALUE"""),0.0)</f>
        <v>0</v>
      </c>
      <c r="AB192" s="33">
        <f>IFERROR(__xludf.DUMMYFUNCTION("""COMPUTED_VALUE"""),0.0)</f>
        <v>0</v>
      </c>
      <c r="AC192" s="33">
        <f>IFERROR(__xludf.DUMMYFUNCTION("""COMPUTED_VALUE"""),15.4963888888888)</f>
        <v>15.49638889</v>
      </c>
      <c r="AD192" s="33">
        <f>IFERROR(__xludf.DUMMYFUNCTION("""COMPUTED_VALUE"""),3.32861111111111)</f>
        <v>3.328611111</v>
      </c>
      <c r="AE192" s="33">
        <f>IFERROR(__xludf.DUMMYFUNCTION("""COMPUTED_VALUE"""),3.16361111111111)</f>
        <v>3.163611111</v>
      </c>
      <c r="AF192" s="33">
        <f>IFERROR(__xludf.DUMMYFUNCTION("""COMPUTED_VALUE"""),0.0)</f>
        <v>0</v>
      </c>
    </row>
    <row r="193">
      <c r="A193" s="49">
        <f>IFERROR(__xludf.DUMMYFUNCTION("""COMPUTED_VALUE"""),46104.0)</f>
        <v>46104</v>
      </c>
      <c r="B193" s="33" t="str">
        <f>IFERROR(__xludf.DUMMYFUNCTION("""COMPUTED_VALUE"""),"394d109f7b50d9a46fb591dbaaba2d0aac90a696")</f>
        <v>394d109f7b50d9a46fb591dbaaba2d0aac90a696</v>
      </c>
      <c r="C193" s="33" t="str">
        <f>IFERROR(__xludf.DUMMYFUNCTION("""COMPUTED_VALUE"""),"Empire of Hidden King (SRGJ) - Production Show_id")</f>
        <v>Empire of Hidden King (SRGJ) - Production Show_id</v>
      </c>
      <c r="D193" s="33">
        <f>IFERROR(__xludf.DUMMYFUNCTION("""COMPUTED_VALUE"""),11.0)</f>
        <v>11</v>
      </c>
      <c r="E193" s="33">
        <f>IFERROR(__xludf.DUMMYFUNCTION("""COMPUTED_VALUE"""),14.0)</f>
        <v>14</v>
      </c>
      <c r="F193" s="33">
        <f>IFERROR(__xludf.DUMMYFUNCTION("""COMPUTED_VALUE"""),15.0)</f>
        <v>15</v>
      </c>
      <c r="G193" s="33">
        <f>IFERROR(__xludf.DUMMYFUNCTION("""COMPUTED_VALUE"""),10.0)</f>
        <v>10</v>
      </c>
      <c r="H193" s="33">
        <f>IFERROR(__xludf.DUMMYFUNCTION("""COMPUTED_VALUE"""),13.0)</f>
        <v>13</v>
      </c>
      <c r="I193" s="33">
        <f>IFERROR(__xludf.DUMMYFUNCTION("""COMPUTED_VALUE"""),2.0)</f>
        <v>2</v>
      </c>
      <c r="J193" s="33">
        <f>IFERROR(__xludf.DUMMYFUNCTION("""COMPUTED_VALUE"""),12.0)</f>
        <v>12</v>
      </c>
      <c r="K193" s="33">
        <f>IFERROR(__xludf.DUMMYFUNCTION("""COMPUTED_VALUE"""),10.0)</f>
        <v>10</v>
      </c>
      <c r="L193" s="33">
        <f>IFERROR(__xludf.DUMMYFUNCTION("""COMPUTED_VALUE"""),1.0)</f>
        <v>1</v>
      </c>
      <c r="M193" s="33">
        <f>IFERROR(__xludf.DUMMYFUNCTION("""COMPUTED_VALUE"""),13.0)</f>
        <v>13</v>
      </c>
      <c r="N193" s="33">
        <f>IFERROR(__xludf.DUMMYFUNCTION("""COMPUTED_VALUE"""),14.0)</f>
        <v>14</v>
      </c>
      <c r="O193" s="33">
        <f>IFERROR(__xludf.DUMMYFUNCTION("""COMPUTED_VALUE"""),7.0)</f>
        <v>7</v>
      </c>
      <c r="P193" s="33">
        <f>IFERROR(__xludf.DUMMYFUNCTION("""COMPUTED_VALUE"""),14.0)</f>
        <v>14</v>
      </c>
      <c r="Q193" s="33">
        <f>IFERROR(__xludf.DUMMYFUNCTION("""COMPUTED_VALUE"""),0.0)</f>
        <v>0</v>
      </c>
      <c r="R193" s="33">
        <f>IFERROR(__xludf.DUMMYFUNCTION("""COMPUTED_VALUE"""),29462.0)</f>
        <v>29462</v>
      </c>
      <c r="S193" s="33">
        <f>IFERROR(__xludf.DUMMYFUNCTION("""COMPUTED_VALUE"""),37711.0)</f>
        <v>37711</v>
      </c>
      <c r="T193" s="33">
        <f>IFERROR(__xludf.DUMMYFUNCTION("""COMPUTED_VALUE"""),4.2825)</f>
        <v>4.2825</v>
      </c>
      <c r="U193" s="33">
        <f>IFERROR(__xludf.DUMMYFUNCTION("""COMPUTED_VALUE"""),3.79944444444444)</f>
        <v>3.799444444</v>
      </c>
      <c r="V193" s="33">
        <f>IFERROR(__xludf.DUMMYFUNCTION("""COMPUTED_VALUE"""),2.53805555555555)</f>
        <v>2.538055556</v>
      </c>
      <c r="W193" s="33">
        <f>IFERROR(__xludf.DUMMYFUNCTION("""COMPUTED_VALUE"""),3.26805555555555)</f>
        <v>3.268055556</v>
      </c>
      <c r="X193" s="33">
        <f>IFERROR(__xludf.DUMMYFUNCTION("""COMPUTED_VALUE"""),0.483055555555555)</f>
        <v>0.4830555556</v>
      </c>
      <c r="Y193" s="33">
        <f>IFERROR(__xludf.DUMMYFUNCTION("""COMPUTED_VALUE"""),3.02861111111111)</f>
        <v>3.028611111</v>
      </c>
      <c r="Z193" s="33">
        <f>IFERROR(__xludf.DUMMYFUNCTION("""COMPUTED_VALUE"""),2.54472222222222)</f>
        <v>2.544722222</v>
      </c>
      <c r="AA193" s="33">
        <f>IFERROR(__xludf.DUMMYFUNCTION("""COMPUTED_VALUE"""),0.2675)</f>
        <v>0.2675</v>
      </c>
      <c r="AB193" s="33">
        <f>IFERROR(__xludf.DUMMYFUNCTION("""COMPUTED_VALUE"""),3.26666666666666)</f>
        <v>3.266666667</v>
      </c>
      <c r="AC193" s="33">
        <f>IFERROR(__xludf.DUMMYFUNCTION("""COMPUTED_VALUE"""),3.51361111111111)</f>
        <v>3.513611111</v>
      </c>
      <c r="AD193" s="33">
        <f>IFERROR(__xludf.DUMMYFUNCTION("""COMPUTED_VALUE"""),1.92861111111111)</f>
        <v>1.928611111</v>
      </c>
      <c r="AE193" s="33">
        <f>IFERROR(__xludf.DUMMYFUNCTION("""COMPUTED_VALUE"""),3.51361111111111)</f>
        <v>3.513611111</v>
      </c>
      <c r="AF193" s="33">
        <f>IFERROR(__xludf.DUMMYFUNCTION("""COMPUTED_VALUE"""),17.0)</f>
        <v>17</v>
      </c>
    </row>
    <row r="194">
      <c r="A194" s="49">
        <f>IFERROR(__xludf.DUMMYFUNCTION("""COMPUTED_VALUE"""),46104.0)</f>
        <v>46104</v>
      </c>
      <c r="B194" s="33" t="str">
        <f>IFERROR(__xludf.DUMMYFUNCTION("""COMPUTED_VALUE"""),"5066c0736f9e9444f2b4da840d6860b1f7f47d11")</f>
        <v>5066c0736f9e9444f2b4da840d6860b1f7f47d11</v>
      </c>
      <c r="C194" s="33" t="str">
        <f>IFERROR(__xludf.DUMMYFUNCTION("""COMPUTED_VALUE"""),"The Warrior | Author - Dayaram Prajapati - Replica (For Production Only)")</f>
        <v>The Warrior | Author - Dayaram Prajapati - Replica (For Production Only)</v>
      </c>
      <c r="D194" s="33">
        <f>IFERROR(__xludf.DUMMYFUNCTION("""COMPUTED_VALUE"""),20.0)</f>
        <v>20</v>
      </c>
      <c r="E194" s="33">
        <f>IFERROR(__xludf.DUMMYFUNCTION("""COMPUTED_VALUE"""),13.0)</f>
        <v>13</v>
      </c>
      <c r="F194" s="33">
        <f>IFERROR(__xludf.DUMMYFUNCTION("""COMPUTED_VALUE"""),19.0)</f>
        <v>19</v>
      </c>
      <c r="G194" s="33">
        <f>IFERROR(__xludf.DUMMYFUNCTION("""COMPUTED_VALUE"""),18.0)</f>
        <v>18</v>
      </c>
      <c r="H194" s="33">
        <f>IFERROR(__xludf.DUMMYFUNCTION("""COMPUTED_VALUE"""),21.0)</f>
        <v>21</v>
      </c>
      <c r="I194" s="33">
        <f>IFERROR(__xludf.DUMMYFUNCTION("""COMPUTED_VALUE"""),3.0)</f>
        <v>3</v>
      </c>
      <c r="J194" s="33">
        <f>IFERROR(__xludf.DUMMYFUNCTION("""COMPUTED_VALUE"""),15.0)</f>
        <v>15</v>
      </c>
      <c r="K194" s="33">
        <f>IFERROR(__xludf.DUMMYFUNCTION("""COMPUTED_VALUE"""),13.0)</f>
        <v>13</v>
      </c>
      <c r="L194" s="33">
        <f>IFERROR(__xludf.DUMMYFUNCTION("""COMPUTED_VALUE"""),10.0)</f>
        <v>10</v>
      </c>
      <c r="M194" s="33">
        <f>IFERROR(__xludf.DUMMYFUNCTION("""COMPUTED_VALUE"""),20.0)</f>
        <v>20</v>
      </c>
      <c r="N194" s="33">
        <f>IFERROR(__xludf.DUMMYFUNCTION("""COMPUTED_VALUE"""),23.0)</f>
        <v>23</v>
      </c>
      <c r="O194" s="33">
        <f>IFERROR(__xludf.DUMMYFUNCTION("""COMPUTED_VALUE"""),6.0)</f>
        <v>6</v>
      </c>
      <c r="P194" s="33">
        <f>IFERROR(__xludf.DUMMYFUNCTION("""COMPUTED_VALUE"""),23.0)</f>
        <v>23</v>
      </c>
      <c r="Q194" s="33">
        <f>IFERROR(__xludf.DUMMYFUNCTION("""COMPUTED_VALUE"""),0.0)</f>
        <v>0</v>
      </c>
      <c r="R194" s="33">
        <f>IFERROR(__xludf.DUMMYFUNCTION("""COMPUTED_VALUE"""),55299.0)</f>
        <v>55299</v>
      </c>
      <c r="S194" s="33">
        <f>IFERROR(__xludf.DUMMYFUNCTION("""COMPUTED_VALUE"""),34641.0)</f>
        <v>34641</v>
      </c>
      <c r="T194" s="33">
        <f>IFERROR(__xludf.DUMMYFUNCTION("""COMPUTED_VALUE"""),5.91638888888889)</f>
        <v>5.916388889</v>
      </c>
      <c r="U194" s="33">
        <f>IFERROR(__xludf.DUMMYFUNCTION("""COMPUTED_VALUE"""),5.29694444444444)</f>
        <v>5.296944444</v>
      </c>
      <c r="V194" s="33">
        <f>IFERROR(__xludf.DUMMYFUNCTION("""COMPUTED_VALUE"""),5.05805555555555)</f>
        <v>5.058055556</v>
      </c>
      <c r="W194" s="33">
        <f>IFERROR(__xludf.DUMMYFUNCTION("""COMPUTED_VALUE"""),5.95472222222222)</f>
        <v>5.954722222</v>
      </c>
      <c r="X194" s="33">
        <f>IFERROR(__xludf.DUMMYFUNCTION("""COMPUTED_VALUE"""),0.896666666666666)</f>
        <v>0.8966666667</v>
      </c>
      <c r="Y194" s="33">
        <f>IFERROR(__xludf.DUMMYFUNCTION("""COMPUTED_VALUE"""),4.30888888888888)</f>
        <v>4.308888889</v>
      </c>
      <c r="Z194" s="33">
        <f>IFERROR(__xludf.DUMMYFUNCTION("""COMPUTED_VALUE"""),3.59749999999999)</f>
        <v>3.5975</v>
      </c>
      <c r="AA194" s="33">
        <f>IFERROR(__xludf.DUMMYFUNCTION("""COMPUTED_VALUE"""),2.82166666666666)</f>
        <v>2.821666667</v>
      </c>
      <c r="AB194" s="33">
        <f>IFERROR(__xludf.DUMMYFUNCTION("""COMPUTED_VALUE"""),5.54305555555555)</f>
        <v>5.543055556</v>
      </c>
      <c r="AC194" s="33">
        <f>IFERROR(__xludf.DUMMYFUNCTION("""COMPUTED_VALUE"""),6.34916666666666)</f>
        <v>6.349166667</v>
      </c>
      <c r="AD194" s="33">
        <f>IFERROR(__xludf.DUMMYFUNCTION("""COMPUTED_VALUE"""),1.43222222222222)</f>
        <v>1.432222222</v>
      </c>
      <c r="AE194" s="33">
        <f>IFERROR(__xludf.DUMMYFUNCTION("""COMPUTED_VALUE"""),6.34916666666666)</f>
        <v>6.349166667</v>
      </c>
      <c r="AF194" s="33">
        <f>IFERROR(__xludf.DUMMYFUNCTION("""COMPUTED_VALUE"""),21.0)</f>
        <v>21</v>
      </c>
    </row>
    <row r="195">
      <c r="A195" s="49">
        <f>IFERROR(__xludf.DUMMYFUNCTION("""COMPUTED_VALUE"""),46104.0)</f>
        <v>46104</v>
      </c>
      <c r="B195" s="33" t="str">
        <f>IFERROR(__xludf.DUMMYFUNCTION("""COMPUTED_VALUE"""),"54847eda0794e861da74c1034ace021b4643357b")</f>
        <v>54847eda0794e861da74c1034ace021b4643357b</v>
      </c>
      <c r="C195" s="33" t="str">
        <f>IFERROR(__xludf.DUMMYFUNCTION("""COMPUTED_VALUE"""),"Billionaire King's Love (Production)")</f>
        <v>Billionaire King's Love (Production)</v>
      </c>
      <c r="D195" s="33">
        <f>IFERROR(__xludf.DUMMYFUNCTION("""COMPUTED_VALUE"""),16.0)</f>
        <v>16</v>
      </c>
      <c r="E195" s="33">
        <f>IFERROR(__xludf.DUMMYFUNCTION("""COMPUTED_VALUE"""),20.0)</f>
        <v>20</v>
      </c>
      <c r="F195" s="33">
        <f>IFERROR(__xludf.DUMMYFUNCTION("""COMPUTED_VALUE"""),6.0)</f>
        <v>6</v>
      </c>
      <c r="G195" s="33">
        <f>IFERROR(__xludf.DUMMYFUNCTION("""COMPUTED_VALUE"""),4.0)</f>
        <v>4</v>
      </c>
      <c r="H195" s="33">
        <f>IFERROR(__xludf.DUMMYFUNCTION("""COMPUTED_VALUE"""),21.0)</f>
        <v>21</v>
      </c>
      <c r="I195" s="33">
        <f>IFERROR(__xludf.DUMMYFUNCTION("""COMPUTED_VALUE"""),11.0)</f>
        <v>11</v>
      </c>
      <c r="J195" s="33">
        <f>IFERROR(__xludf.DUMMYFUNCTION("""COMPUTED_VALUE"""),12.0)</f>
        <v>12</v>
      </c>
      <c r="K195" s="33">
        <f>IFERROR(__xludf.DUMMYFUNCTION("""COMPUTED_VALUE"""),5.0)</f>
        <v>5</v>
      </c>
      <c r="L195" s="33">
        <f>IFERROR(__xludf.DUMMYFUNCTION("""COMPUTED_VALUE"""),3.0)</f>
        <v>3</v>
      </c>
      <c r="M195" s="33">
        <f>IFERROR(__xludf.DUMMYFUNCTION("""COMPUTED_VALUE"""),10.0)</f>
        <v>10</v>
      </c>
      <c r="N195" s="33">
        <f>IFERROR(__xludf.DUMMYFUNCTION("""COMPUTED_VALUE"""),10.0)</f>
        <v>10</v>
      </c>
      <c r="O195" s="33">
        <f>IFERROR(__xludf.DUMMYFUNCTION("""COMPUTED_VALUE"""),5.0)</f>
        <v>5</v>
      </c>
      <c r="P195" s="33">
        <f>IFERROR(__xludf.DUMMYFUNCTION("""COMPUTED_VALUE"""),10.0)</f>
        <v>10</v>
      </c>
      <c r="Q195" s="33">
        <f>IFERROR(__xludf.DUMMYFUNCTION("""COMPUTED_VALUE"""),0.0)</f>
        <v>0</v>
      </c>
      <c r="R195" s="33">
        <f>IFERROR(__xludf.DUMMYFUNCTION("""COMPUTED_VALUE"""),34964.0)</f>
        <v>34964</v>
      </c>
      <c r="S195" s="33">
        <f>IFERROR(__xludf.DUMMYFUNCTION("""COMPUTED_VALUE"""),46431.0)</f>
        <v>46431</v>
      </c>
      <c r="T195" s="33">
        <f>IFERROR(__xludf.DUMMYFUNCTION("""COMPUTED_VALUE"""),4.06305555555555)</f>
        <v>4.063055556</v>
      </c>
      <c r="U195" s="33">
        <f>IFERROR(__xludf.DUMMYFUNCTION("""COMPUTED_VALUE"""),1.30888888888888)</f>
        <v>1.308888889</v>
      </c>
      <c r="V195" s="33">
        <f>IFERROR(__xludf.DUMMYFUNCTION("""COMPUTED_VALUE"""),0.854166666666666)</f>
        <v>0.8541666667</v>
      </c>
      <c r="W195" s="33">
        <f>IFERROR(__xludf.DUMMYFUNCTION("""COMPUTED_VALUE"""),4.33666666666666)</f>
        <v>4.336666667</v>
      </c>
      <c r="X195" s="33">
        <f>IFERROR(__xludf.DUMMYFUNCTION("""COMPUTED_VALUE"""),2.2525)</f>
        <v>2.2525</v>
      </c>
      <c r="Y195" s="33">
        <f>IFERROR(__xludf.DUMMYFUNCTION("""COMPUTED_VALUE"""),2.5225)</f>
        <v>2.5225</v>
      </c>
      <c r="Z195" s="33">
        <f>IFERROR(__xludf.DUMMYFUNCTION("""COMPUTED_VALUE"""),0.997499999999999)</f>
        <v>0.9975</v>
      </c>
      <c r="AA195" s="33">
        <f>IFERROR(__xludf.DUMMYFUNCTION("""COMPUTED_VALUE"""),0.589166666666666)</f>
        <v>0.5891666667</v>
      </c>
      <c r="AB195" s="33">
        <f>IFERROR(__xludf.DUMMYFUNCTION("""COMPUTED_VALUE"""),2.08361111111111)</f>
        <v>2.083611111</v>
      </c>
      <c r="AC195" s="33">
        <f>IFERROR(__xludf.DUMMYFUNCTION("""COMPUTED_VALUE"""),2.08361111111111)</f>
        <v>2.083611111</v>
      </c>
      <c r="AD195" s="33">
        <f>IFERROR(__xludf.DUMMYFUNCTION("""COMPUTED_VALUE"""),1.05555555555555)</f>
        <v>1.055555556</v>
      </c>
      <c r="AE195" s="33">
        <f>IFERROR(__xludf.DUMMYFUNCTION("""COMPUTED_VALUE"""),2.08361111111111)</f>
        <v>2.083611111</v>
      </c>
      <c r="AF195" s="33">
        <f>IFERROR(__xludf.DUMMYFUNCTION("""COMPUTED_VALUE"""),20.0)</f>
        <v>20</v>
      </c>
    </row>
    <row r="196">
      <c r="A196" s="49">
        <f>IFERROR(__xludf.DUMMYFUNCTION("""COMPUTED_VALUE"""),46104.0)</f>
        <v>46104</v>
      </c>
      <c r="B196" s="33" t="str">
        <f>IFERROR(__xludf.DUMMYFUNCTION("""COMPUTED_VALUE"""),"5baf4c80faf4b2d4eb9401a1d0081872e0158e89")</f>
        <v>5baf4c80faf4b2d4eb9401a1d0081872e0158e89</v>
      </c>
      <c r="C196" s="33" t="str">
        <f>IFERROR(__xludf.DUMMYFUNCTION("""COMPUTED_VALUE"""),"Brahmyodha : The Destroyer - Production showId")</f>
        <v>Brahmyodha : The Destroyer - Production showId</v>
      </c>
      <c r="D196" s="33">
        <f>IFERROR(__xludf.DUMMYFUNCTION("""COMPUTED_VALUE"""),34.0)</f>
        <v>34</v>
      </c>
      <c r="E196" s="33">
        <f>IFERROR(__xludf.DUMMYFUNCTION("""COMPUTED_VALUE"""),24.0)</f>
        <v>24</v>
      </c>
      <c r="F196" s="33">
        <f>IFERROR(__xludf.DUMMYFUNCTION("""COMPUTED_VALUE"""),7.0)</f>
        <v>7</v>
      </c>
      <c r="G196" s="33">
        <f>IFERROR(__xludf.DUMMYFUNCTION("""COMPUTED_VALUE"""),0.0)</f>
        <v>0</v>
      </c>
      <c r="H196" s="33">
        <f>IFERROR(__xludf.DUMMYFUNCTION("""COMPUTED_VALUE"""),20.0)</f>
        <v>20</v>
      </c>
      <c r="I196" s="33">
        <f>IFERROR(__xludf.DUMMYFUNCTION("""COMPUTED_VALUE"""),13.0)</f>
        <v>13</v>
      </c>
      <c r="J196" s="33">
        <f>IFERROR(__xludf.DUMMYFUNCTION("""COMPUTED_VALUE"""),20.0)</f>
        <v>20</v>
      </c>
      <c r="K196" s="33">
        <f>IFERROR(__xludf.DUMMYFUNCTION("""COMPUTED_VALUE"""),2.0)</f>
        <v>2</v>
      </c>
      <c r="L196" s="33">
        <f>IFERROR(__xludf.DUMMYFUNCTION("""COMPUTED_VALUE"""),0.0)</f>
        <v>0</v>
      </c>
      <c r="M196" s="33">
        <f>IFERROR(__xludf.DUMMYFUNCTION("""COMPUTED_VALUE"""),20.0)</f>
        <v>20</v>
      </c>
      <c r="N196" s="33">
        <f>IFERROR(__xludf.DUMMYFUNCTION("""COMPUTED_VALUE"""),20.0)</f>
        <v>20</v>
      </c>
      <c r="O196" s="33">
        <f>IFERROR(__xludf.DUMMYFUNCTION("""COMPUTED_VALUE"""),5.0)</f>
        <v>5</v>
      </c>
      <c r="P196" s="33">
        <f>IFERROR(__xludf.DUMMYFUNCTION("""COMPUTED_VALUE"""),20.0)</f>
        <v>20</v>
      </c>
      <c r="Q196" s="33">
        <f>IFERROR(__xludf.DUMMYFUNCTION("""COMPUTED_VALUE"""),0.0)</f>
        <v>0</v>
      </c>
      <c r="R196" s="33">
        <f>IFERROR(__xludf.DUMMYFUNCTION("""COMPUTED_VALUE"""),79712.0)</f>
        <v>79712</v>
      </c>
      <c r="S196" s="33">
        <f>IFERROR(__xludf.DUMMYFUNCTION("""COMPUTED_VALUE"""),58047.0)</f>
        <v>58047</v>
      </c>
      <c r="T196" s="33">
        <f>IFERROR(__xludf.DUMMYFUNCTION("""COMPUTED_VALUE"""),4.72194444444444)</f>
        <v>4.721944444</v>
      </c>
      <c r="U196" s="33">
        <f>IFERROR(__xludf.DUMMYFUNCTION("""COMPUTED_VALUE"""),1.645)</f>
        <v>1.645</v>
      </c>
      <c r="V196" s="33">
        <f>IFERROR(__xludf.DUMMYFUNCTION("""COMPUTED_VALUE"""),0.0)</f>
        <v>0</v>
      </c>
      <c r="W196" s="33">
        <f>IFERROR(__xludf.DUMMYFUNCTION("""COMPUTED_VALUE"""),4.70805555555555)</f>
        <v>4.708055556</v>
      </c>
      <c r="X196" s="33">
        <f>IFERROR(__xludf.DUMMYFUNCTION("""COMPUTED_VALUE"""),3.06527777777777)</f>
        <v>3.065277778</v>
      </c>
      <c r="Y196" s="33">
        <f>IFERROR(__xludf.DUMMYFUNCTION("""COMPUTED_VALUE"""),4.70611111111111)</f>
        <v>4.706111111</v>
      </c>
      <c r="Z196" s="33">
        <f>IFERROR(__xludf.DUMMYFUNCTION("""COMPUTED_VALUE"""),0.501388888888888)</f>
        <v>0.5013888889</v>
      </c>
      <c r="AA196" s="33">
        <f>IFERROR(__xludf.DUMMYFUNCTION("""COMPUTED_VALUE"""),0.0)</f>
        <v>0</v>
      </c>
      <c r="AB196" s="33">
        <f>IFERROR(__xludf.DUMMYFUNCTION("""COMPUTED_VALUE"""),4.69472222222222)</f>
        <v>4.694722222</v>
      </c>
      <c r="AC196" s="33">
        <f>IFERROR(__xludf.DUMMYFUNCTION("""COMPUTED_VALUE"""),4.69472222222222)</f>
        <v>4.694722222</v>
      </c>
      <c r="AD196" s="33">
        <f>IFERROR(__xludf.DUMMYFUNCTION("""COMPUTED_VALUE"""),1.03666666666666)</f>
        <v>1.036666667</v>
      </c>
      <c r="AE196" s="33">
        <f>IFERROR(__xludf.DUMMYFUNCTION("""COMPUTED_VALUE"""),4.69472222222222)</f>
        <v>4.694722222</v>
      </c>
      <c r="AF196" s="33">
        <f>IFERROR(__xludf.DUMMYFUNCTION("""COMPUTED_VALUE"""),20.0)</f>
        <v>20</v>
      </c>
    </row>
    <row r="197">
      <c r="A197" s="49">
        <f>IFERROR(__xludf.DUMMYFUNCTION("""COMPUTED_VALUE"""),46104.0)</f>
        <v>46104</v>
      </c>
      <c r="B197" s="33" t="str">
        <f>IFERROR(__xludf.DUMMYFUNCTION("""COMPUTED_VALUE"""),"641b6f77fd211e92df35a3bcbab67e6879e19a66")</f>
        <v>641b6f77fd211e92df35a3bcbab67e6879e19a66</v>
      </c>
      <c r="C197" s="33" t="str">
        <f>IFERROR(__xludf.DUMMYFUNCTION("""COMPUTED_VALUE"""),"Mahagatha | महागाथा | Author - S. Mauryavanshi")</f>
        <v>Mahagatha | महागाथा | Author - S. Mauryavanshi</v>
      </c>
      <c r="D197" s="33">
        <f>IFERROR(__xludf.DUMMYFUNCTION("""COMPUTED_VALUE"""),10.0)</f>
        <v>10</v>
      </c>
      <c r="E197" s="33">
        <f>IFERROR(__xludf.DUMMYFUNCTION("""COMPUTED_VALUE"""),17.0)</f>
        <v>17</v>
      </c>
      <c r="F197" s="33">
        <f>IFERROR(__xludf.DUMMYFUNCTION("""COMPUTED_VALUE"""),4.0)</f>
        <v>4</v>
      </c>
      <c r="G197" s="33">
        <f>IFERROR(__xludf.DUMMYFUNCTION("""COMPUTED_VALUE"""),0.0)</f>
        <v>0</v>
      </c>
      <c r="H197" s="33">
        <f>IFERROR(__xludf.DUMMYFUNCTION("""COMPUTED_VALUE"""),11.0)</f>
        <v>11</v>
      </c>
      <c r="I197" s="33">
        <f>IFERROR(__xludf.DUMMYFUNCTION("""COMPUTED_VALUE"""),7.0)</f>
        <v>7</v>
      </c>
      <c r="J197" s="33">
        <f>IFERROR(__xludf.DUMMYFUNCTION("""COMPUTED_VALUE"""),12.0)</f>
        <v>12</v>
      </c>
      <c r="K197" s="33">
        <f>IFERROR(__xludf.DUMMYFUNCTION("""COMPUTED_VALUE"""),2.0)</f>
        <v>2</v>
      </c>
      <c r="L197" s="33">
        <f>IFERROR(__xludf.DUMMYFUNCTION("""COMPUTED_VALUE"""),0.0)</f>
        <v>0</v>
      </c>
      <c r="M197" s="33">
        <f>IFERROR(__xludf.DUMMYFUNCTION("""COMPUTED_VALUE"""),11.0)</f>
        <v>11</v>
      </c>
      <c r="N197" s="33">
        <f>IFERROR(__xludf.DUMMYFUNCTION("""COMPUTED_VALUE"""),11.0)</f>
        <v>11</v>
      </c>
      <c r="O197" s="33">
        <f>IFERROR(__xludf.DUMMYFUNCTION("""COMPUTED_VALUE"""),5.0)</f>
        <v>5</v>
      </c>
      <c r="P197" s="33">
        <f>IFERROR(__xludf.DUMMYFUNCTION("""COMPUTED_VALUE"""),11.0)</f>
        <v>11</v>
      </c>
      <c r="Q197" s="33">
        <f>IFERROR(__xludf.DUMMYFUNCTION("""COMPUTED_VALUE"""),0.0)</f>
        <v>0</v>
      </c>
      <c r="R197" s="33">
        <f>IFERROR(__xludf.DUMMYFUNCTION("""COMPUTED_VALUE"""),26653.0)</f>
        <v>26653</v>
      </c>
      <c r="S197" s="33">
        <f>IFERROR(__xludf.DUMMYFUNCTION("""COMPUTED_VALUE"""),44762.0)</f>
        <v>44762</v>
      </c>
      <c r="T197" s="33">
        <f>IFERROR(__xludf.DUMMYFUNCTION("""COMPUTED_VALUE"""),2.85833333333333)</f>
        <v>2.858333333</v>
      </c>
      <c r="U197" s="33">
        <f>IFERROR(__xludf.DUMMYFUNCTION("""COMPUTED_VALUE"""),1.07777777777777)</f>
        <v>1.077777778</v>
      </c>
      <c r="V197" s="33">
        <f>IFERROR(__xludf.DUMMYFUNCTION("""COMPUTED_VALUE"""),0.0)</f>
        <v>0</v>
      </c>
      <c r="W197" s="33">
        <f>IFERROR(__xludf.DUMMYFUNCTION("""COMPUTED_VALUE"""),2.85972222222222)</f>
        <v>2.859722222</v>
      </c>
      <c r="X197" s="33">
        <f>IFERROR(__xludf.DUMMYFUNCTION("""COMPUTED_VALUE"""),1.78055555555555)</f>
        <v>1.780555556</v>
      </c>
      <c r="Y197" s="33">
        <f>IFERROR(__xludf.DUMMYFUNCTION("""COMPUTED_VALUE"""),3.12305555555555)</f>
        <v>3.123055556</v>
      </c>
      <c r="Z197" s="33">
        <f>IFERROR(__xludf.DUMMYFUNCTION("""COMPUTED_VALUE"""),0.534722222222222)</f>
        <v>0.5347222222</v>
      </c>
      <c r="AA197" s="33">
        <f>IFERROR(__xludf.DUMMYFUNCTION("""COMPUTED_VALUE"""),0.0)</f>
        <v>0</v>
      </c>
      <c r="AB197" s="33">
        <f>IFERROR(__xludf.DUMMYFUNCTION("""COMPUTED_VALUE"""),2.80888888888888)</f>
        <v>2.808888889</v>
      </c>
      <c r="AC197" s="33">
        <f>IFERROR(__xludf.DUMMYFUNCTION("""COMPUTED_VALUE"""),2.80888888888888)</f>
        <v>2.808888889</v>
      </c>
      <c r="AD197" s="33">
        <f>IFERROR(__xludf.DUMMYFUNCTION("""COMPUTED_VALUE"""),1.06555555555555)</f>
        <v>1.065555556</v>
      </c>
      <c r="AE197" s="33">
        <f>IFERROR(__xludf.DUMMYFUNCTION("""COMPUTED_VALUE"""),2.80888888888888)</f>
        <v>2.808888889</v>
      </c>
      <c r="AF197" s="33">
        <f>IFERROR(__xludf.DUMMYFUNCTION("""COMPUTED_VALUE"""),11.0)</f>
        <v>11</v>
      </c>
    </row>
    <row r="198">
      <c r="A198" s="49">
        <f>IFERROR(__xludf.DUMMYFUNCTION("""COMPUTED_VALUE"""),46104.0)</f>
        <v>46104</v>
      </c>
      <c r="B198" s="33" t="str">
        <f>IFERROR(__xludf.DUMMYFUNCTION("""COMPUTED_VALUE"""),"6b246320a4c5853ce55127d5e00ee8805a97659a")</f>
        <v>6b246320a4c5853ce55127d5e00ee8805a97659a</v>
      </c>
      <c r="C198" s="33" t="str">
        <f>IFERROR(__xludf.DUMMYFUNCTION("""COMPUTED_VALUE"""),"Mystic Fate System - Production Show_id")</f>
        <v>Mystic Fate System - Production Show_id</v>
      </c>
      <c r="D198" s="33">
        <f>IFERROR(__xludf.DUMMYFUNCTION("""COMPUTED_VALUE"""),8.0)</f>
        <v>8</v>
      </c>
      <c r="E198" s="33">
        <f>IFERROR(__xludf.DUMMYFUNCTION("""COMPUTED_VALUE"""),0.0)</f>
        <v>0</v>
      </c>
      <c r="F198" s="33">
        <f>IFERROR(__xludf.DUMMYFUNCTION("""COMPUTED_VALUE"""),1.0)</f>
        <v>1</v>
      </c>
      <c r="G198" s="33">
        <f>IFERROR(__xludf.DUMMYFUNCTION("""COMPUTED_VALUE"""),0.0)</f>
        <v>0</v>
      </c>
      <c r="H198" s="33">
        <f>IFERROR(__xludf.DUMMYFUNCTION("""COMPUTED_VALUE"""),0.0)</f>
        <v>0</v>
      </c>
      <c r="I198" s="33">
        <f>IFERROR(__xludf.DUMMYFUNCTION("""COMPUTED_VALUE"""),0.0)</f>
        <v>0</v>
      </c>
      <c r="J198" s="33">
        <f>IFERROR(__xludf.DUMMYFUNCTION("""COMPUTED_VALUE"""),0.0)</f>
        <v>0</v>
      </c>
      <c r="K198" s="33">
        <f>IFERROR(__xludf.DUMMYFUNCTION("""COMPUTED_VALUE"""),0.0)</f>
        <v>0</v>
      </c>
      <c r="L198" s="33">
        <f>IFERROR(__xludf.DUMMYFUNCTION("""COMPUTED_VALUE"""),0.0)</f>
        <v>0</v>
      </c>
      <c r="M198" s="33">
        <f>IFERROR(__xludf.DUMMYFUNCTION("""COMPUTED_VALUE"""),0.0)</f>
        <v>0</v>
      </c>
      <c r="N198" s="33">
        <f>IFERROR(__xludf.DUMMYFUNCTION("""COMPUTED_VALUE"""),0.0)</f>
        <v>0</v>
      </c>
      <c r="O198" s="33">
        <f>IFERROR(__xludf.DUMMYFUNCTION("""COMPUTED_VALUE"""),0.0)</f>
        <v>0</v>
      </c>
      <c r="P198" s="33">
        <f>IFERROR(__xludf.DUMMYFUNCTION("""COMPUTED_VALUE"""),0.0)</f>
        <v>0</v>
      </c>
      <c r="Q198" s="33">
        <f>IFERROR(__xludf.DUMMYFUNCTION("""COMPUTED_VALUE"""),0.0)</f>
        <v>0</v>
      </c>
      <c r="R198" s="33">
        <f>IFERROR(__xludf.DUMMYFUNCTION("""COMPUTED_VALUE"""),16701.0)</f>
        <v>16701</v>
      </c>
      <c r="S198" s="33">
        <f>IFERROR(__xludf.DUMMYFUNCTION("""COMPUTED_VALUE"""),0.0)</f>
        <v>0</v>
      </c>
      <c r="T198" s="33">
        <f>IFERROR(__xludf.DUMMYFUNCTION("""COMPUTED_VALUE"""),0.271388888888888)</f>
        <v>0.2713888889</v>
      </c>
      <c r="U198" s="33">
        <f>IFERROR(__xludf.DUMMYFUNCTION("""COMPUTED_VALUE"""),0.271388888888888)</f>
        <v>0.2713888889</v>
      </c>
      <c r="V198" s="33">
        <f>IFERROR(__xludf.DUMMYFUNCTION("""COMPUTED_VALUE"""),0.0)</f>
        <v>0</v>
      </c>
      <c r="W198" s="33">
        <f>IFERROR(__xludf.DUMMYFUNCTION("""COMPUTED_VALUE"""),0.0)</f>
        <v>0</v>
      </c>
      <c r="X198" s="33">
        <f>IFERROR(__xludf.DUMMYFUNCTION("""COMPUTED_VALUE"""),0.0)</f>
        <v>0</v>
      </c>
      <c r="Y198" s="33">
        <f>IFERROR(__xludf.DUMMYFUNCTION("""COMPUTED_VALUE"""),0.0)</f>
        <v>0</v>
      </c>
      <c r="Z198" s="33">
        <f>IFERROR(__xludf.DUMMYFUNCTION("""COMPUTED_VALUE"""),0.0)</f>
        <v>0</v>
      </c>
      <c r="AA198" s="33">
        <f>IFERROR(__xludf.DUMMYFUNCTION("""COMPUTED_VALUE"""),0.0)</f>
        <v>0</v>
      </c>
      <c r="AB198" s="33">
        <f>IFERROR(__xludf.DUMMYFUNCTION("""COMPUTED_VALUE"""),0.0)</f>
        <v>0</v>
      </c>
      <c r="AC198" s="33">
        <f>IFERROR(__xludf.DUMMYFUNCTION("""COMPUTED_VALUE"""),0.0)</f>
        <v>0</v>
      </c>
      <c r="AD198" s="33">
        <f>IFERROR(__xludf.DUMMYFUNCTION("""COMPUTED_VALUE"""),0.0)</f>
        <v>0</v>
      </c>
      <c r="AE198" s="33">
        <f>IFERROR(__xludf.DUMMYFUNCTION("""COMPUTED_VALUE"""),0.0)</f>
        <v>0</v>
      </c>
      <c r="AF198" s="33">
        <f>IFERROR(__xludf.DUMMYFUNCTION("""COMPUTED_VALUE"""),1.0)</f>
        <v>1</v>
      </c>
    </row>
    <row r="199">
      <c r="A199" s="49">
        <f>IFERROR(__xludf.DUMMYFUNCTION("""COMPUTED_VALUE"""),46104.0)</f>
        <v>46104</v>
      </c>
      <c r="B199" s="33" t="str">
        <f>IFERROR(__xludf.DUMMYFUNCTION("""COMPUTED_VALUE"""),"7ea3277f02ef13c60cfa72336d009bf7ee6c17e8")</f>
        <v>7ea3277f02ef13c60cfa72336d009bf7ee6c17e8</v>
      </c>
      <c r="C199" s="33" t="str">
        <f>IFERROR(__xludf.DUMMYFUNCTION("""COMPUTED_VALUE"""),"Saaya the Dark Love - Production Show_id")</f>
        <v>Saaya the Dark Love - Production Show_id</v>
      </c>
      <c r="D199" s="33">
        <f>IFERROR(__xludf.DUMMYFUNCTION("""COMPUTED_VALUE"""),0.0)</f>
        <v>0</v>
      </c>
      <c r="E199" s="33">
        <f>IFERROR(__xludf.DUMMYFUNCTION("""COMPUTED_VALUE"""),0.0)</f>
        <v>0</v>
      </c>
      <c r="F199" s="33">
        <f>IFERROR(__xludf.DUMMYFUNCTION("""COMPUTED_VALUE"""),7.0)</f>
        <v>7</v>
      </c>
      <c r="G199" s="33">
        <f>IFERROR(__xludf.DUMMYFUNCTION("""COMPUTED_VALUE"""),7.0)</f>
        <v>7</v>
      </c>
      <c r="H199" s="33">
        <f>IFERROR(__xludf.DUMMYFUNCTION("""COMPUTED_VALUE"""),17.0)</f>
        <v>17</v>
      </c>
      <c r="I199" s="33">
        <f>IFERROR(__xludf.DUMMYFUNCTION("""COMPUTED_VALUE"""),7.0)</f>
        <v>7</v>
      </c>
      <c r="J199" s="33">
        <f>IFERROR(__xludf.DUMMYFUNCTION("""COMPUTED_VALUE"""),15.0)</f>
        <v>15</v>
      </c>
      <c r="K199" s="33">
        <f>IFERROR(__xludf.DUMMYFUNCTION("""COMPUTED_VALUE"""),17.0)</f>
        <v>17</v>
      </c>
      <c r="L199" s="33">
        <f>IFERROR(__xludf.DUMMYFUNCTION("""COMPUTED_VALUE"""),9.0)</f>
        <v>9</v>
      </c>
      <c r="M199" s="33">
        <f>IFERROR(__xludf.DUMMYFUNCTION("""COMPUTED_VALUE"""),15.0)</f>
        <v>15</v>
      </c>
      <c r="N199" s="33">
        <f>IFERROR(__xludf.DUMMYFUNCTION("""COMPUTED_VALUE"""),14.0)</f>
        <v>14</v>
      </c>
      <c r="O199" s="33">
        <f>IFERROR(__xludf.DUMMYFUNCTION("""COMPUTED_VALUE"""),7.0)</f>
        <v>7</v>
      </c>
      <c r="P199" s="33">
        <f>IFERROR(__xludf.DUMMYFUNCTION("""COMPUTED_VALUE"""),14.0)</f>
        <v>14</v>
      </c>
      <c r="Q199" s="33">
        <f>IFERROR(__xludf.DUMMYFUNCTION("""COMPUTED_VALUE"""),0.0)</f>
        <v>0</v>
      </c>
      <c r="R199" s="33">
        <f>IFERROR(__xludf.DUMMYFUNCTION("""COMPUTED_VALUE"""),0.0)</f>
        <v>0</v>
      </c>
      <c r="S199" s="33">
        <f>IFERROR(__xludf.DUMMYFUNCTION("""COMPUTED_VALUE"""),0.0)</f>
        <v>0</v>
      </c>
      <c r="T199" s="33">
        <f>IFERROR(__xludf.DUMMYFUNCTION("""COMPUTED_VALUE"""),2.71)</f>
        <v>2.71</v>
      </c>
      <c r="U199" s="33">
        <f>IFERROR(__xludf.DUMMYFUNCTION("""COMPUTED_VALUE"""),1.82861111111111)</f>
        <v>1.828611111</v>
      </c>
      <c r="V199" s="33">
        <f>IFERROR(__xludf.DUMMYFUNCTION("""COMPUTED_VALUE"""),1.75916666666666)</f>
        <v>1.759166667</v>
      </c>
      <c r="W199" s="33">
        <f>IFERROR(__xludf.DUMMYFUNCTION("""COMPUTED_VALUE"""),4.25611111111111)</f>
        <v>4.256111111</v>
      </c>
      <c r="X199" s="33">
        <f>IFERROR(__xludf.DUMMYFUNCTION("""COMPUTED_VALUE"""),1.70055555555555)</f>
        <v>1.700555556</v>
      </c>
      <c r="Y199" s="33">
        <f>IFERROR(__xludf.DUMMYFUNCTION("""COMPUTED_VALUE"""),3.76222222222222)</f>
        <v>3.762222222</v>
      </c>
      <c r="Z199" s="33">
        <f>IFERROR(__xludf.DUMMYFUNCTION("""COMPUTED_VALUE"""),4.30194444444444)</f>
        <v>4.301944444</v>
      </c>
      <c r="AA199" s="33">
        <f>IFERROR(__xludf.DUMMYFUNCTION("""COMPUTED_VALUE"""),2.32583333333333)</f>
        <v>2.325833333</v>
      </c>
      <c r="AB199" s="33">
        <f>IFERROR(__xludf.DUMMYFUNCTION("""COMPUTED_VALUE"""),3.80944444444444)</f>
        <v>3.809444444</v>
      </c>
      <c r="AC199" s="33">
        <f>IFERROR(__xludf.DUMMYFUNCTION("""COMPUTED_VALUE"""),3.56888888888888)</f>
        <v>3.568888889</v>
      </c>
      <c r="AD199" s="33">
        <f>IFERROR(__xludf.DUMMYFUNCTION("""COMPUTED_VALUE"""),2.10861111111111)</f>
        <v>2.108611111</v>
      </c>
      <c r="AE199" s="33">
        <f>IFERROR(__xludf.DUMMYFUNCTION("""COMPUTED_VALUE"""),3.56888888888888)</f>
        <v>3.568888889</v>
      </c>
      <c r="AF199" s="33">
        <f>IFERROR(__xludf.DUMMYFUNCTION("""COMPUTED_VALUE"""),11.0)</f>
        <v>11</v>
      </c>
    </row>
    <row r="200">
      <c r="A200" s="49">
        <f>IFERROR(__xludf.DUMMYFUNCTION("""COMPUTED_VALUE"""),46104.0)</f>
        <v>46104</v>
      </c>
      <c r="B200" s="33" t="str">
        <f>IFERROR(__xludf.DUMMYFUNCTION("""COMPUTED_VALUE"""),"81de0bc81be63a15ef7b7f2a301e23b4f3d49745")</f>
        <v>81de0bc81be63a15ef7b7f2a301e23b4f3d49745</v>
      </c>
      <c r="C200" s="33" t="str">
        <f>IFERROR(__xludf.DUMMYFUNCTION("""COMPUTED_VALUE"""),"Married to a Hard Hearted")</f>
        <v>Married to a Hard Hearted</v>
      </c>
      <c r="D200" s="33">
        <f>IFERROR(__xludf.DUMMYFUNCTION("""COMPUTED_VALUE"""),0.0)</f>
        <v>0</v>
      </c>
      <c r="E200" s="33">
        <f>IFERROR(__xludf.DUMMYFUNCTION("""COMPUTED_VALUE"""),0.0)</f>
        <v>0</v>
      </c>
      <c r="F200" s="33">
        <f>IFERROR(__xludf.DUMMYFUNCTION("""COMPUTED_VALUE"""),0.0)</f>
        <v>0</v>
      </c>
      <c r="G200" s="33">
        <f>IFERROR(__xludf.DUMMYFUNCTION("""COMPUTED_VALUE"""),0.0)</f>
        <v>0</v>
      </c>
      <c r="H200" s="33">
        <f>IFERROR(__xludf.DUMMYFUNCTION("""COMPUTED_VALUE"""),7.0)</f>
        <v>7</v>
      </c>
      <c r="I200" s="33">
        <f>IFERROR(__xludf.DUMMYFUNCTION("""COMPUTED_VALUE"""),4.0)</f>
        <v>4</v>
      </c>
      <c r="J200" s="33">
        <f>IFERROR(__xludf.DUMMYFUNCTION("""COMPUTED_VALUE"""),7.0)</f>
        <v>7</v>
      </c>
      <c r="K200" s="33">
        <f>IFERROR(__xludf.DUMMYFUNCTION("""COMPUTED_VALUE"""),5.0)</f>
        <v>5</v>
      </c>
      <c r="L200" s="33">
        <f>IFERROR(__xludf.DUMMYFUNCTION("""COMPUTED_VALUE"""),0.0)</f>
        <v>0</v>
      </c>
      <c r="M200" s="33">
        <f>IFERROR(__xludf.DUMMYFUNCTION("""COMPUTED_VALUE"""),7.0)</f>
        <v>7</v>
      </c>
      <c r="N200" s="33">
        <f>IFERROR(__xludf.DUMMYFUNCTION("""COMPUTED_VALUE"""),8.0)</f>
        <v>8</v>
      </c>
      <c r="O200" s="33">
        <f>IFERROR(__xludf.DUMMYFUNCTION("""COMPUTED_VALUE"""),3.0)</f>
        <v>3</v>
      </c>
      <c r="P200" s="33">
        <f>IFERROR(__xludf.DUMMYFUNCTION("""COMPUTED_VALUE"""),8.0)</f>
        <v>8</v>
      </c>
      <c r="Q200" s="33">
        <f>IFERROR(__xludf.DUMMYFUNCTION("""COMPUTED_VALUE"""),0.0)</f>
        <v>0</v>
      </c>
      <c r="R200" s="33">
        <f>IFERROR(__xludf.DUMMYFUNCTION("""COMPUTED_VALUE"""),0.0)</f>
        <v>0</v>
      </c>
      <c r="S200" s="33">
        <f>IFERROR(__xludf.DUMMYFUNCTION("""COMPUTED_VALUE"""),0.0)</f>
        <v>0</v>
      </c>
      <c r="T200" s="33">
        <f>IFERROR(__xludf.DUMMYFUNCTION("""COMPUTED_VALUE"""),1.28972222222222)</f>
        <v>1.289722222</v>
      </c>
      <c r="U200" s="33">
        <f>IFERROR(__xludf.DUMMYFUNCTION("""COMPUTED_VALUE"""),0.0)</f>
        <v>0</v>
      </c>
      <c r="V200" s="33">
        <f>IFERROR(__xludf.DUMMYFUNCTION("""COMPUTED_VALUE"""),0.0)</f>
        <v>0</v>
      </c>
      <c r="W200" s="33">
        <f>IFERROR(__xludf.DUMMYFUNCTION("""COMPUTED_VALUE"""),1.48527777777777)</f>
        <v>1.485277778</v>
      </c>
      <c r="X200" s="33">
        <f>IFERROR(__xludf.DUMMYFUNCTION("""COMPUTED_VALUE"""),0.891944444444444)</f>
        <v>0.8919444444</v>
      </c>
      <c r="Y200" s="33">
        <f>IFERROR(__xludf.DUMMYFUNCTION("""COMPUTED_VALUE"""),1.47305555555555)</f>
        <v>1.473055556</v>
      </c>
      <c r="Z200" s="33">
        <f>IFERROR(__xludf.DUMMYFUNCTION("""COMPUTED_VALUE"""),0.985277777777777)</f>
        <v>0.9852777778</v>
      </c>
      <c r="AA200" s="33">
        <f>IFERROR(__xludf.DUMMYFUNCTION("""COMPUTED_VALUE"""),0.0)</f>
        <v>0</v>
      </c>
      <c r="AB200" s="33">
        <f>IFERROR(__xludf.DUMMYFUNCTION("""COMPUTED_VALUE"""),1.47305555555555)</f>
        <v>1.473055556</v>
      </c>
      <c r="AC200" s="33">
        <f>IFERROR(__xludf.DUMMYFUNCTION("""COMPUTED_VALUE"""),1.68111111111111)</f>
        <v>1.681111111</v>
      </c>
      <c r="AD200" s="33">
        <f>IFERROR(__xludf.DUMMYFUNCTION("""COMPUTED_VALUE"""),0.571111111111111)</f>
        <v>0.5711111111</v>
      </c>
      <c r="AE200" s="33">
        <f>IFERROR(__xludf.DUMMYFUNCTION("""COMPUTED_VALUE"""),1.68111111111111)</f>
        <v>1.681111111</v>
      </c>
      <c r="AF200" s="33">
        <f>IFERROR(__xludf.DUMMYFUNCTION("""COMPUTED_VALUE"""),6.0)</f>
        <v>6</v>
      </c>
    </row>
    <row r="201">
      <c r="A201" s="49">
        <f>IFERROR(__xludf.DUMMYFUNCTION("""COMPUTED_VALUE"""),46104.0)</f>
        <v>46104</v>
      </c>
      <c r="B201" s="33" t="str">
        <f>IFERROR(__xludf.DUMMYFUNCTION("""COMPUTED_VALUE"""),"859785ba4869b28dddcfcb0e75295d1e1ad9b5a9")</f>
        <v>859785ba4869b28dddcfcb0e75295d1e1ad9b5a9</v>
      </c>
      <c r="C201" s="33" t="str">
        <f>IFERROR(__xludf.DUMMYFUNCTION("""COMPUTED_VALUE"""),"King of Dragon | किंग ऑफ ड्रैगन | Author - Nitesh")</f>
        <v>King of Dragon | किंग ऑफ ड्रैगन | Author - Nitesh</v>
      </c>
      <c r="D201" s="33">
        <f>IFERROR(__xludf.DUMMYFUNCTION("""COMPUTED_VALUE"""),0.0)</f>
        <v>0</v>
      </c>
      <c r="E201" s="33">
        <f>IFERROR(__xludf.DUMMYFUNCTION("""COMPUTED_VALUE"""),0.0)</f>
        <v>0</v>
      </c>
      <c r="F201" s="33">
        <f>IFERROR(__xludf.DUMMYFUNCTION("""COMPUTED_VALUE"""),0.0)</f>
        <v>0</v>
      </c>
      <c r="G201" s="33">
        <f>IFERROR(__xludf.DUMMYFUNCTION("""COMPUTED_VALUE"""),0.0)</f>
        <v>0</v>
      </c>
      <c r="H201" s="33">
        <f>IFERROR(__xludf.DUMMYFUNCTION("""COMPUTED_VALUE"""),0.0)</f>
        <v>0</v>
      </c>
      <c r="I201" s="33">
        <f>IFERROR(__xludf.DUMMYFUNCTION("""COMPUTED_VALUE"""),0.0)</f>
        <v>0</v>
      </c>
      <c r="J201" s="33">
        <f>IFERROR(__xludf.DUMMYFUNCTION("""COMPUTED_VALUE"""),0.0)</f>
        <v>0</v>
      </c>
      <c r="K201" s="33">
        <f>IFERROR(__xludf.DUMMYFUNCTION("""COMPUTED_VALUE"""),0.0)</f>
        <v>0</v>
      </c>
      <c r="L201" s="33">
        <f>IFERROR(__xludf.DUMMYFUNCTION("""COMPUTED_VALUE"""),0.0)</f>
        <v>0</v>
      </c>
      <c r="M201" s="33">
        <f>IFERROR(__xludf.DUMMYFUNCTION("""COMPUTED_VALUE"""),0.0)</f>
        <v>0</v>
      </c>
      <c r="N201" s="33">
        <f>IFERROR(__xludf.DUMMYFUNCTION("""COMPUTED_VALUE"""),0.0)</f>
        <v>0</v>
      </c>
      <c r="O201" s="33">
        <f>IFERROR(__xludf.DUMMYFUNCTION("""COMPUTED_VALUE"""),6.0)</f>
        <v>6</v>
      </c>
      <c r="P201" s="33">
        <f>IFERROR(__xludf.DUMMYFUNCTION("""COMPUTED_VALUE"""),8.0)</f>
        <v>8</v>
      </c>
      <c r="Q201" s="33">
        <f>IFERROR(__xludf.DUMMYFUNCTION("""COMPUTED_VALUE"""),0.0)</f>
        <v>0</v>
      </c>
      <c r="R201" s="33">
        <f>IFERROR(__xludf.DUMMYFUNCTION("""COMPUTED_VALUE"""),0.0)</f>
        <v>0</v>
      </c>
      <c r="S201" s="33">
        <f>IFERROR(__xludf.DUMMYFUNCTION("""COMPUTED_VALUE"""),0.0)</f>
        <v>0</v>
      </c>
      <c r="T201" s="33">
        <f>IFERROR(__xludf.DUMMYFUNCTION("""COMPUTED_VALUE"""),0.0)</f>
        <v>0</v>
      </c>
      <c r="U201" s="33">
        <f>IFERROR(__xludf.DUMMYFUNCTION("""COMPUTED_VALUE"""),0.0)</f>
        <v>0</v>
      </c>
      <c r="V201" s="33">
        <f>IFERROR(__xludf.DUMMYFUNCTION("""COMPUTED_VALUE"""),0.0)</f>
        <v>0</v>
      </c>
      <c r="W201" s="33">
        <f>IFERROR(__xludf.DUMMYFUNCTION("""COMPUTED_VALUE"""),0.0)</f>
        <v>0</v>
      </c>
      <c r="X201" s="33">
        <f>IFERROR(__xludf.DUMMYFUNCTION("""COMPUTED_VALUE"""),0.0)</f>
        <v>0</v>
      </c>
      <c r="Y201" s="33">
        <f>IFERROR(__xludf.DUMMYFUNCTION("""COMPUTED_VALUE"""),0.0)</f>
        <v>0</v>
      </c>
      <c r="Z201" s="33">
        <f>IFERROR(__xludf.DUMMYFUNCTION("""COMPUTED_VALUE"""),0.0)</f>
        <v>0</v>
      </c>
      <c r="AA201" s="33">
        <f>IFERROR(__xludf.DUMMYFUNCTION("""COMPUTED_VALUE"""),0.0)</f>
        <v>0</v>
      </c>
      <c r="AB201" s="33">
        <f>IFERROR(__xludf.DUMMYFUNCTION("""COMPUTED_VALUE"""),0.0)</f>
        <v>0</v>
      </c>
      <c r="AC201" s="33">
        <f>IFERROR(__xludf.DUMMYFUNCTION("""COMPUTED_VALUE"""),0.0)</f>
        <v>0</v>
      </c>
      <c r="AD201" s="33">
        <f>IFERROR(__xludf.DUMMYFUNCTION("""COMPUTED_VALUE"""),1.68833333333333)</f>
        <v>1.688333333</v>
      </c>
      <c r="AE201" s="33">
        <f>IFERROR(__xludf.DUMMYFUNCTION("""COMPUTED_VALUE"""),2.27055555555555)</f>
        <v>2.270555556</v>
      </c>
      <c r="AF201" s="33">
        <f>IFERROR(__xludf.DUMMYFUNCTION("""COMPUTED_VALUE"""),0.0)</f>
        <v>0</v>
      </c>
    </row>
    <row r="202">
      <c r="A202" s="49">
        <f>IFERROR(__xludf.DUMMYFUNCTION("""COMPUTED_VALUE"""),46104.0)</f>
        <v>46104</v>
      </c>
      <c r="B202" s="33" t="str">
        <f>IFERROR(__xludf.DUMMYFUNCTION("""COMPUTED_VALUE"""),"96f1f89e4494e06fb7f9e3c4645563fa62ef9320")</f>
        <v>96f1f89e4494e06fb7f9e3c4645563fa62ef9320</v>
      </c>
      <c r="C202" s="33" t="str">
        <f>IFERROR(__xludf.DUMMYFUNCTION("""COMPUTED_VALUE"""),"King of Dragon - Production Show_id")</f>
        <v>King of Dragon - Production Show_id</v>
      </c>
      <c r="D202" s="33">
        <f>IFERROR(__xludf.DUMMYFUNCTION("""COMPUTED_VALUE"""),15.0)</f>
        <v>15</v>
      </c>
      <c r="E202" s="33">
        <f>IFERROR(__xludf.DUMMYFUNCTION("""COMPUTED_VALUE"""),18.0)</f>
        <v>18</v>
      </c>
      <c r="F202" s="33">
        <f>IFERROR(__xludf.DUMMYFUNCTION("""COMPUTED_VALUE"""),8.0)</f>
        <v>8</v>
      </c>
      <c r="G202" s="33">
        <f>IFERROR(__xludf.DUMMYFUNCTION("""COMPUTED_VALUE"""),8.0)</f>
        <v>8</v>
      </c>
      <c r="H202" s="33">
        <f>IFERROR(__xludf.DUMMYFUNCTION("""COMPUTED_VALUE"""),9.0)</f>
        <v>9</v>
      </c>
      <c r="I202" s="33">
        <f>IFERROR(__xludf.DUMMYFUNCTION("""COMPUTED_VALUE"""),1.0)</f>
        <v>1</v>
      </c>
      <c r="J202" s="33">
        <f>IFERROR(__xludf.DUMMYFUNCTION("""COMPUTED_VALUE"""),11.0)</f>
        <v>11</v>
      </c>
      <c r="K202" s="33">
        <f>IFERROR(__xludf.DUMMYFUNCTION("""COMPUTED_VALUE"""),9.0)</f>
        <v>9</v>
      </c>
      <c r="L202" s="33">
        <f>IFERROR(__xludf.DUMMYFUNCTION("""COMPUTED_VALUE"""),2.0)</f>
        <v>2</v>
      </c>
      <c r="M202" s="33">
        <f>IFERROR(__xludf.DUMMYFUNCTION("""COMPUTED_VALUE"""),14.0)</f>
        <v>14</v>
      </c>
      <c r="N202" s="33">
        <f>IFERROR(__xludf.DUMMYFUNCTION("""COMPUTED_VALUE"""),13.0)</f>
        <v>13</v>
      </c>
      <c r="O202" s="33">
        <f>IFERROR(__xludf.DUMMYFUNCTION("""COMPUTED_VALUE"""),6.0)</f>
        <v>6</v>
      </c>
      <c r="P202" s="33">
        <f>IFERROR(__xludf.DUMMYFUNCTION("""COMPUTED_VALUE"""),13.0)</f>
        <v>13</v>
      </c>
      <c r="Q202" s="33">
        <f>IFERROR(__xludf.DUMMYFUNCTION("""COMPUTED_VALUE"""),0.0)</f>
        <v>0</v>
      </c>
      <c r="R202" s="33">
        <f>IFERROR(__xludf.DUMMYFUNCTION("""COMPUTED_VALUE"""),37186.0)</f>
        <v>37186</v>
      </c>
      <c r="S202" s="33">
        <f>IFERROR(__xludf.DUMMYFUNCTION("""COMPUTED_VALUE"""),44989.0)</f>
        <v>44989</v>
      </c>
      <c r="T202" s="33">
        <f>IFERROR(__xludf.DUMMYFUNCTION("""COMPUTED_VALUE"""),3.46472222222222)</f>
        <v>3.464722222</v>
      </c>
      <c r="U202" s="33">
        <f>IFERROR(__xludf.DUMMYFUNCTION("""COMPUTED_VALUE"""),2.40222222222222)</f>
        <v>2.402222222</v>
      </c>
      <c r="V202" s="33">
        <f>IFERROR(__xludf.DUMMYFUNCTION("""COMPUTED_VALUE"""),2.36666666666666)</f>
        <v>2.366666667</v>
      </c>
      <c r="W202" s="33">
        <f>IFERROR(__xludf.DUMMYFUNCTION("""COMPUTED_VALUE"""),2.66111111111111)</f>
        <v>2.661111111</v>
      </c>
      <c r="X202" s="33">
        <f>IFERROR(__xludf.DUMMYFUNCTION("""COMPUTED_VALUE"""),0.294444444444444)</f>
        <v>0.2944444444</v>
      </c>
      <c r="Y202" s="33">
        <f>IFERROR(__xludf.DUMMYFUNCTION("""COMPUTED_VALUE"""),3.18916666666666)</f>
        <v>3.189166667</v>
      </c>
      <c r="Z202" s="33">
        <f>IFERROR(__xludf.DUMMYFUNCTION("""COMPUTED_VALUE"""),2.66111111111111)</f>
        <v>2.661111111</v>
      </c>
      <c r="AA202" s="33">
        <f>IFERROR(__xludf.DUMMYFUNCTION("""COMPUTED_VALUE"""),0.626111111111111)</f>
        <v>0.6261111111</v>
      </c>
      <c r="AB202" s="33">
        <f>IFERROR(__xludf.DUMMYFUNCTION("""COMPUTED_VALUE"""),4.03833333333333)</f>
        <v>4.038333333</v>
      </c>
      <c r="AC202" s="33">
        <f>IFERROR(__xludf.DUMMYFUNCTION("""COMPUTED_VALUE"""),3.74388888888888)</f>
        <v>3.743888889</v>
      </c>
      <c r="AD202" s="33">
        <f>IFERROR(__xludf.DUMMYFUNCTION("""COMPUTED_VALUE"""),1.61333333333333)</f>
        <v>1.613333333</v>
      </c>
      <c r="AE202" s="33">
        <f>IFERROR(__xludf.DUMMYFUNCTION("""COMPUTED_VALUE"""),3.74388888888888)</f>
        <v>3.743888889</v>
      </c>
      <c r="AF202" s="33">
        <f>IFERROR(__xludf.DUMMYFUNCTION("""COMPUTED_VALUE"""),12.0)</f>
        <v>12</v>
      </c>
    </row>
    <row r="203">
      <c r="A203" s="49">
        <f>IFERROR(__xludf.DUMMYFUNCTION("""COMPUTED_VALUE"""),46104.0)</f>
        <v>46104</v>
      </c>
      <c r="B203" s="33" t="str">
        <f>IFERROR(__xludf.DUMMYFUNCTION("""COMPUTED_VALUE"""),"a3ba65aa427077188e1ad7dbcbcafae266683ca9")</f>
        <v>a3ba65aa427077188e1ad7dbcbcafae266683ca9</v>
      </c>
      <c r="C203" s="33" t="str">
        <f>IFERROR(__xludf.DUMMYFUNCTION("""COMPUTED_VALUE"""),"The Warrior | Author - Dayaram Prajapati")</f>
        <v>The Warrior | Author - Dayaram Prajapati</v>
      </c>
      <c r="D203" s="33">
        <f>IFERROR(__xludf.DUMMYFUNCTION("""COMPUTED_VALUE"""),0.0)</f>
        <v>0</v>
      </c>
      <c r="E203" s="33">
        <f>IFERROR(__xludf.DUMMYFUNCTION("""COMPUTED_VALUE"""),5.0)</f>
        <v>5</v>
      </c>
      <c r="F203" s="33">
        <f>IFERROR(__xludf.DUMMYFUNCTION("""COMPUTED_VALUE"""),0.0)</f>
        <v>0</v>
      </c>
      <c r="G203" s="33">
        <f>IFERROR(__xludf.DUMMYFUNCTION("""COMPUTED_VALUE"""),0.0)</f>
        <v>0</v>
      </c>
      <c r="H203" s="33">
        <f>IFERROR(__xludf.DUMMYFUNCTION("""COMPUTED_VALUE"""),0.0)</f>
        <v>0</v>
      </c>
      <c r="I203" s="33">
        <f>IFERROR(__xludf.DUMMYFUNCTION("""COMPUTED_VALUE"""),0.0)</f>
        <v>0</v>
      </c>
      <c r="J203" s="33">
        <f>IFERROR(__xludf.DUMMYFUNCTION("""COMPUTED_VALUE"""),0.0)</f>
        <v>0</v>
      </c>
      <c r="K203" s="33">
        <f>IFERROR(__xludf.DUMMYFUNCTION("""COMPUTED_VALUE"""),0.0)</f>
        <v>0</v>
      </c>
      <c r="L203" s="33">
        <f>IFERROR(__xludf.DUMMYFUNCTION("""COMPUTED_VALUE"""),0.0)</f>
        <v>0</v>
      </c>
      <c r="M203" s="33">
        <f>IFERROR(__xludf.DUMMYFUNCTION("""COMPUTED_VALUE"""),0.0)</f>
        <v>0</v>
      </c>
      <c r="N203" s="33">
        <f>IFERROR(__xludf.DUMMYFUNCTION("""COMPUTED_VALUE"""),5.0)</f>
        <v>5</v>
      </c>
      <c r="O203" s="33">
        <f>IFERROR(__xludf.DUMMYFUNCTION("""COMPUTED_VALUE"""),5.0)</f>
        <v>5</v>
      </c>
      <c r="P203" s="33">
        <f>IFERROR(__xludf.DUMMYFUNCTION("""COMPUTED_VALUE"""),5.0)</f>
        <v>5</v>
      </c>
      <c r="Q203" s="33">
        <f>IFERROR(__xludf.DUMMYFUNCTION("""COMPUTED_VALUE"""),0.0)</f>
        <v>0</v>
      </c>
      <c r="R203" s="33">
        <f>IFERROR(__xludf.DUMMYFUNCTION("""COMPUTED_VALUE"""),0.0)</f>
        <v>0</v>
      </c>
      <c r="S203" s="33">
        <f>IFERROR(__xludf.DUMMYFUNCTION("""COMPUTED_VALUE"""),15317.0)</f>
        <v>15317</v>
      </c>
      <c r="T203" s="33">
        <f>IFERROR(__xludf.DUMMYFUNCTION("""COMPUTED_VALUE"""),0.0)</f>
        <v>0</v>
      </c>
      <c r="U203" s="33">
        <f>IFERROR(__xludf.DUMMYFUNCTION("""COMPUTED_VALUE"""),0.0)</f>
        <v>0</v>
      </c>
      <c r="V203" s="33">
        <f>IFERROR(__xludf.DUMMYFUNCTION("""COMPUTED_VALUE"""),0.0)</f>
        <v>0</v>
      </c>
      <c r="W203" s="33">
        <f>IFERROR(__xludf.DUMMYFUNCTION("""COMPUTED_VALUE"""),0.0)</f>
        <v>0</v>
      </c>
      <c r="X203" s="33">
        <f>IFERROR(__xludf.DUMMYFUNCTION("""COMPUTED_VALUE"""),0.0)</f>
        <v>0</v>
      </c>
      <c r="Y203" s="33">
        <f>IFERROR(__xludf.DUMMYFUNCTION("""COMPUTED_VALUE"""),0.0)</f>
        <v>0</v>
      </c>
      <c r="Z203" s="33">
        <f>IFERROR(__xludf.DUMMYFUNCTION("""COMPUTED_VALUE"""),0.0)</f>
        <v>0</v>
      </c>
      <c r="AA203" s="33">
        <f>IFERROR(__xludf.DUMMYFUNCTION("""COMPUTED_VALUE"""),0.0)</f>
        <v>0</v>
      </c>
      <c r="AB203" s="33">
        <f>IFERROR(__xludf.DUMMYFUNCTION("""COMPUTED_VALUE"""),0.0)</f>
        <v>0</v>
      </c>
      <c r="AC203" s="33">
        <f>IFERROR(__xludf.DUMMYFUNCTION("""COMPUTED_VALUE"""),1.53444444444444)</f>
        <v>1.534444444</v>
      </c>
      <c r="AD203" s="33">
        <f>IFERROR(__xludf.DUMMYFUNCTION("""COMPUTED_VALUE"""),1.24166666666666)</f>
        <v>1.241666667</v>
      </c>
      <c r="AE203" s="33">
        <f>IFERROR(__xludf.DUMMYFUNCTION("""COMPUTED_VALUE"""),1.53444444444444)</f>
        <v>1.534444444</v>
      </c>
      <c r="AF203" s="33">
        <f>IFERROR(__xludf.DUMMYFUNCTION("""COMPUTED_VALUE"""),0.0)</f>
        <v>0</v>
      </c>
    </row>
    <row r="204">
      <c r="A204" s="49">
        <f>IFERROR(__xludf.DUMMYFUNCTION("""COMPUTED_VALUE"""),46104.0)</f>
        <v>46104</v>
      </c>
      <c r="B204" s="33" t="str">
        <f>IFERROR(__xludf.DUMMYFUNCTION("""COMPUTED_VALUE"""),"aa81f1feb820ed6f22bd7b22b55890db740929cb")</f>
        <v>aa81f1feb820ed6f22bd7b22b55890db740929cb</v>
      </c>
      <c r="C204" s="33" t="str">
        <f>IFERROR(__xludf.DUMMYFUNCTION("""COMPUTED_VALUE"""),"Shunya Samrat")</f>
        <v>Shunya Samrat</v>
      </c>
      <c r="D204" s="33">
        <f>IFERROR(__xludf.DUMMYFUNCTION("""COMPUTED_VALUE"""),88.0)</f>
        <v>88</v>
      </c>
      <c r="E204" s="33">
        <f>IFERROR(__xludf.DUMMYFUNCTION("""COMPUTED_VALUE"""),88.0)</f>
        <v>88</v>
      </c>
      <c r="F204" s="33">
        <f>IFERROR(__xludf.DUMMYFUNCTION("""COMPUTED_VALUE"""),0.0)</f>
        <v>0</v>
      </c>
      <c r="G204" s="33">
        <f>IFERROR(__xludf.DUMMYFUNCTION("""COMPUTED_VALUE"""),0.0)</f>
        <v>0</v>
      </c>
      <c r="H204" s="33">
        <f>IFERROR(__xludf.DUMMYFUNCTION("""COMPUTED_VALUE"""),0.0)</f>
        <v>0</v>
      </c>
      <c r="I204" s="33">
        <f>IFERROR(__xludf.DUMMYFUNCTION("""COMPUTED_VALUE"""),0.0)</f>
        <v>0</v>
      </c>
      <c r="J204" s="33">
        <f>IFERROR(__xludf.DUMMYFUNCTION("""COMPUTED_VALUE"""),0.0)</f>
        <v>0</v>
      </c>
      <c r="K204" s="33">
        <f>IFERROR(__xludf.DUMMYFUNCTION("""COMPUTED_VALUE"""),0.0)</f>
        <v>0</v>
      </c>
      <c r="L204" s="33">
        <f>IFERROR(__xludf.DUMMYFUNCTION("""COMPUTED_VALUE"""),0.0)</f>
        <v>0</v>
      </c>
      <c r="M204" s="33">
        <f>IFERROR(__xludf.DUMMYFUNCTION("""COMPUTED_VALUE"""),0.0)</f>
        <v>0</v>
      </c>
      <c r="N204" s="33">
        <f>IFERROR(__xludf.DUMMYFUNCTION("""COMPUTED_VALUE"""),88.0)</f>
        <v>88</v>
      </c>
      <c r="O204" s="33">
        <f>IFERROR(__xludf.DUMMYFUNCTION("""COMPUTED_VALUE"""),5.0)</f>
        <v>5</v>
      </c>
      <c r="P204" s="33">
        <f>IFERROR(__xludf.DUMMYFUNCTION("""COMPUTED_VALUE"""),88.0)</f>
        <v>88</v>
      </c>
      <c r="Q204" s="33">
        <f>IFERROR(__xludf.DUMMYFUNCTION("""COMPUTED_VALUE"""),0.0)</f>
        <v>0</v>
      </c>
      <c r="R204" s="33">
        <f>IFERROR(__xludf.DUMMYFUNCTION("""COMPUTED_VALUE"""),297097.0)</f>
        <v>297097</v>
      </c>
      <c r="S204" s="33">
        <f>IFERROR(__xludf.DUMMYFUNCTION("""COMPUTED_VALUE"""),297097.0)</f>
        <v>297097</v>
      </c>
      <c r="T204" s="33">
        <f>IFERROR(__xludf.DUMMYFUNCTION("""COMPUTED_VALUE"""),0.0)</f>
        <v>0</v>
      </c>
      <c r="U204" s="33">
        <f>IFERROR(__xludf.DUMMYFUNCTION("""COMPUTED_VALUE"""),0.0)</f>
        <v>0</v>
      </c>
      <c r="V204" s="33">
        <f>IFERROR(__xludf.DUMMYFUNCTION("""COMPUTED_VALUE"""),0.0)</f>
        <v>0</v>
      </c>
      <c r="W204" s="33">
        <f>IFERROR(__xludf.DUMMYFUNCTION("""COMPUTED_VALUE"""),0.0)</f>
        <v>0</v>
      </c>
      <c r="X204" s="33">
        <f>IFERROR(__xludf.DUMMYFUNCTION("""COMPUTED_VALUE"""),0.0)</f>
        <v>0</v>
      </c>
      <c r="Y204" s="33">
        <f>IFERROR(__xludf.DUMMYFUNCTION("""COMPUTED_VALUE"""),0.0)</f>
        <v>0</v>
      </c>
      <c r="Z204" s="33">
        <f>IFERROR(__xludf.DUMMYFUNCTION("""COMPUTED_VALUE"""),0.0)</f>
        <v>0</v>
      </c>
      <c r="AA204" s="33">
        <f>IFERROR(__xludf.DUMMYFUNCTION("""COMPUTED_VALUE"""),0.0)</f>
        <v>0</v>
      </c>
      <c r="AB204" s="33">
        <f>IFERROR(__xludf.DUMMYFUNCTION("""COMPUTED_VALUE"""),0.0)</f>
        <v>0</v>
      </c>
      <c r="AC204" s="33">
        <f>IFERROR(__xludf.DUMMYFUNCTION("""COMPUTED_VALUE"""),30.3402777777777)</f>
        <v>30.34027778</v>
      </c>
      <c r="AD204" s="33">
        <f>IFERROR(__xludf.DUMMYFUNCTION("""COMPUTED_VALUE"""),1.04888888888888)</f>
        <v>1.048888889</v>
      </c>
      <c r="AE204" s="33">
        <f>IFERROR(__xludf.DUMMYFUNCTION("""COMPUTED_VALUE"""),30.3402777777777)</f>
        <v>30.34027778</v>
      </c>
      <c r="AF204" s="33">
        <f>IFERROR(__xludf.DUMMYFUNCTION("""COMPUTED_VALUE"""),0.0)</f>
        <v>0</v>
      </c>
    </row>
    <row r="205">
      <c r="A205" s="49">
        <f>IFERROR(__xludf.DUMMYFUNCTION("""COMPUTED_VALUE"""),46104.0)</f>
        <v>46104</v>
      </c>
      <c r="B205" s="33" t="str">
        <f>IFERROR(__xludf.DUMMYFUNCTION("""COMPUTED_VALUE"""),"b19f613216d474cd2927d5f4832a949dca2dc33e")</f>
        <v>b19f613216d474cd2927d5f4832a949dca2dc33e</v>
      </c>
      <c r="C205" s="33" t="str">
        <f>IFERROR(__xludf.DUMMYFUNCTION("""COMPUTED_VALUE"""),"The Immortal (Production)")</f>
        <v>The Immortal (Production)</v>
      </c>
      <c r="D205" s="33">
        <f>IFERROR(__xludf.DUMMYFUNCTION("""COMPUTED_VALUE"""),0.0)</f>
        <v>0</v>
      </c>
      <c r="E205" s="33">
        <f>IFERROR(__xludf.DUMMYFUNCTION("""COMPUTED_VALUE"""),7.0)</f>
        <v>7</v>
      </c>
      <c r="F205" s="33">
        <f>IFERROR(__xludf.DUMMYFUNCTION("""COMPUTED_VALUE"""),0.0)</f>
        <v>0</v>
      </c>
      <c r="G205" s="33">
        <f>IFERROR(__xludf.DUMMYFUNCTION("""COMPUTED_VALUE"""),0.0)</f>
        <v>0</v>
      </c>
      <c r="H205" s="33">
        <f>IFERROR(__xludf.DUMMYFUNCTION("""COMPUTED_VALUE"""),1.0)</f>
        <v>1</v>
      </c>
      <c r="I205" s="33">
        <f>IFERROR(__xludf.DUMMYFUNCTION("""COMPUTED_VALUE"""),1.0)</f>
        <v>1</v>
      </c>
      <c r="J205" s="33">
        <f>IFERROR(__xludf.DUMMYFUNCTION("""COMPUTED_VALUE"""),1.0)</f>
        <v>1</v>
      </c>
      <c r="K205" s="33">
        <f>IFERROR(__xludf.DUMMYFUNCTION("""COMPUTED_VALUE"""),1.0)</f>
        <v>1</v>
      </c>
      <c r="L205" s="33">
        <f>IFERROR(__xludf.DUMMYFUNCTION("""COMPUTED_VALUE"""),1.0)</f>
        <v>1</v>
      </c>
      <c r="M205" s="33">
        <f>IFERROR(__xludf.DUMMYFUNCTION("""COMPUTED_VALUE"""),1.0)</f>
        <v>1</v>
      </c>
      <c r="N205" s="33">
        <f>IFERROR(__xludf.DUMMYFUNCTION("""COMPUTED_VALUE"""),0.0)</f>
        <v>0</v>
      </c>
      <c r="O205" s="33">
        <f>IFERROR(__xludf.DUMMYFUNCTION("""COMPUTED_VALUE"""),0.0)</f>
        <v>0</v>
      </c>
      <c r="P205" s="33">
        <f>IFERROR(__xludf.DUMMYFUNCTION("""COMPUTED_VALUE"""),0.0)</f>
        <v>0</v>
      </c>
      <c r="Q205" s="33">
        <f>IFERROR(__xludf.DUMMYFUNCTION("""COMPUTED_VALUE"""),0.0)</f>
        <v>0</v>
      </c>
      <c r="R205" s="33">
        <f>IFERROR(__xludf.DUMMYFUNCTION("""COMPUTED_VALUE"""),0.0)</f>
        <v>0</v>
      </c>
      <c r="S205" s="33">
        <f>IFERROR(__xludf.DUMMYFUNCTION("""COMPUTED_VALUE"""),12307.0)</f>
        <v>12307</v>
      </c>
      <c r="T205" s="33">
        <f>IFERROR(__xludf.DUMMYFUNCTION("""COMPUTED_VALUE"""),2.47527777777777)</f>
        <v>2.475277778</v>
      </c>
      <c r="U205" s="33">
        <f>IFERROR(__xludf.DUMMYFUNCTION("""COMPUTED_VALUE"""),0.0)</f>
        <v>0</v>
      </c>
      <c r="V205" s="33">
        <f>IFERROR(__xludf.DUMMYFUNCTION("""COMPUTED_VALUE"""),0.0)</f>
        <v>0</v>
      </c>
      <c r="W205" s="33">
        <f>IFERROR(__xludf.DUMMYFUNCTION("""COMPUTED_VALUE"""),0.221944444444444)</f>
        <v>0.2219444444</v>
      </c>
      <c r="X205" s="33">
        <f>IFERROR(__xludf.DUMMYFUNCTION("""COMPUTED_VALUE"""),0.221944444444444)</f>
        <v>0.2219444444</v>
      </c>
      <c r="Y205" s="33">
        <f>IFERROR(__xludf.DUMMYFUNCTION("""COMPUTED_VALUE"""),0.223611111111111)</f>
        <v>0.2236111111</v>
      </c>
      <c r="Z205" s="33">
        <f>IFERROR(__xludf.DUMMYFUNCTION("""COMPUTED_VALUE"""),0.223611111111111)</f>
        <v>0.2236111111</v>
      </c>
      <c r="AA205" s="33">
        <f>IFERROR(__xludf.DUMMYFUNCTION("""COMPUTED_VALUE"""),0.223611111111111)</f>
        <v>0.2236111111</v>
      </c>
      <c r="AB205" s="33">
        <f>IFERROR(__xludf.DUMMYFUNCTION("""COMPUTED_VALUE"""),0.225277777777777)</f>
        <v>0.2252777778</v>
      </c>
      <c r="AC205" s="33">
        <f>IFERROR(__xludf.DUMMYFUNCTION("""COMPUTED_VALUE"""),0.0)</f>
        <v>0</v>
      </c>
      <c r="AD205" s="33">
        <f>IFERROR(__xludf.DUMMYFUNCTION("""COMPUTED_VALUE"""),0.0)</f>
        <v>0</v>
      </c>
      <c r="AE205" s="33">
        <f>IFERROR(__xludf.DUMMYFUNCTION("""COMPUTED_VALUE"""),0.0)</f>
        <v>0</v>
      </c>
      <c r="AF205" s="33">
        <f>IFERROR(__xludf.DUMMYFUNCTION("""COMPUTED_VALUE"""),15.0)</f>
        <v>15</v>
      </c>
    </row>
    <row r="206">
      <c r="A206" s="49">
        <f>IFERROR(__xludf.DUMMYFUNCTION("""COMPUTED_VALUE"""),46104.0)</f>
        <v>46104</v>
      </c>
      <c r="B206" s="33" t="str">
        <f>IFERROR(__xludf.DUMMYFUNCTION("""COMPUTED_VALUE"""),"b4277fe045604b0c31d4c58c59733d8d995662ff")</f>
        <v>b4277fe045604b0c31d4c58c59733d8d995662ff</v>
      </c>
      <c r="C206" s="33" t="str">
        <f>IFERROR(__xludf.DUMMYFUNCTION("""COMPUTED_VALUE"""),"Divine Power - Production Show_id")</f>
        <v>Divine Power - Production Show_id</v>
      </c>
      <c r="D206" s="33">
        <f>IFERROR(__xludf.DUMMYFUNCTION("""COMPUTED_VALUE"""),10.0)</f>
        <v>10</v>
      </c>
      <c r="E206" s="33">
        <f>IFERROR(__xludf.DUMMYFUNCTION("""COMPUTED_VALUE"""),9.0)</f>
        <v>9</v>
      </c>
      <c r="F206" s="33">
        <f>IFERROR(__xludf.DUMMYFUNCTION("""COMPUTED_VALUE"""),14.0)</f>
        <v>14</v>
      </c>
      <c r="G206" s="33">
        <f>IFERROR(__xludf.DUMMYFUNCTION("""COMPUTED_VALUE"""),14.0)</f>
        <v>14</v>
      </c>
      <c r="H206" s="33">
        <f>IFERROR(__xludf.DUMMYFUNCTION("""COMPUTED_VALUE"""),14.0)</f>
        <v>14</v>
      </c>
      <c r="I206" s="33">
        <f>IFERROR(__xludf.DUMMYFUNCTION("""COMPUTED_VALUE"""),1.0)</f>
        <v>1</v>
      </c>
      <c r="J206" s="33">
        <f>IFERROR(__xludf.DUMMYFUNCTION("""COMPUTED_VALUE"""),14.0)</f>
        <v>14</v>
      </c>
      <c r="K206" s="33">
        <f>IFERROR(__xludf.DUMMYFUNCTION("""COMPUTED_VALUE"""),2.0)</f>
        <v>2</v>
      </c>
      <c r="L206" s="33">
        <f>IFERROR(__xludf.DUMMYFUNCTION("""COMPUTED_VALUE"""),1.0)</f>
        <v>1</v>
      </c>
      <c r="M206" s="33">
        <f>IFERROR(__xludf.DUMMYFUNCTION("""COMPUTED_VALUE"""),14.0)</f>
        <v>14</v>
      </c>
      <c r="N206" s="33">
        <f>IFERROR(__xludf.DUMMYFUNCTION("""COMPUTED_VALUE"""),14.0)</f>
        <v>14</v>
      </c>
      <c r="O206" s="33">
        <f>IFERROR(__xludf.DUMMYFUNCTION("""COMPUTED_VALUE"""),7.0)</f>
        <v>7</v>
      </c>
      <c r="P206" s="33">
        <f>IFERROR(__xludf.DUMMYFUNCTION("""COMPUTED_VALUE"""),14.0)</f>
        <v>14</v>
      </c>
      <c r="Q206" s="33">
        <f>IFERROR(__xludf.DUMMYFUNCTION("""COMPUTED_VALUE"""),0.0)</f>
        <v>0</v>
      </c>
      <c r="R206" s="33">
        <f>IFERROR(__xludf.DUMMYFUNCTION("""COMPUTED_VALUE"""),23340.0)</f>
        <v>23340</v>
      </c>
      <c r="S206" s="33">
        <f>IFERROR(__xludf.DUMMYFUNCTION("""COMPUTED_VALUE"""),21172.0)</f>
        <v>21172</v>
      </c>
      <c r="T206" s="33">
        <f>IFERROR(__xludf.DUMMYFUNCTION("""COMPUTED_VALUE"""),2.03111111111111)</f>
        <v>2.031111111</v>
      </c>
      <c r="U206" s="33">
        <f>IFERROR(__xludf.DUMMYFUNCTION("""COMPUTED_VALUE"""),3.46666666666666)</f>
        <v>3.466666667</v>
      </c>
      <c r="V206" s="33">
        <f>IFERROR(__xludf.DUMMYFUNCTION("""COMPUTED_VALUE"""),3.40444444444444)</f>
        <v>3.404444444</v>
      </c>
      <c r="W206" s="33">
        <f>IFERROR(__xludf.DUMMYFUNCTION("""COMPUTED_VALUE"""),3.40444444444444)</f>
        <v>3.404444444</v>
      </c>
      <c r="X206" s="33">
        <f>IFERROR(__xludf.DUMMYFUNCTION("""COMPUTED_VALUE"""),0.236111111111111)</f>
        <v>0.2361111111</v>
      </c>
      <c r="Y206" s="33">
        <f>IFERROR(__xludf.DUMMYFUNCTION("""COMPUTED_VALUE"""),3.39916666666666)</f>
        <v>3.399166667</v>
      </c>
      <c r="Z206" s="33">
        <f>IFERROR(__xludf.DUMMYFUNCTION("""COMPUTED_VALUE"""),0.503055555555555)</f>
        <v>0.5030555556</v>
      </c>
      <c r="AA206" s="33">
        <f>IFERROR(__xludf.DUMMYFUNCTION("""COMPUTED_VALUE"""),0.246111111111111)</f>
        <v>0.2461111111</v>
      </c>
      <c r="AB206" s="33">
        <f>IFERROR(__xludf.DUMMYFUNCTION("""COMPUTED_VALUE"""),3.52305555555555)</f>
        <v>3.523055556</v>
      </c>
      <c r="AC206" s="33">
        <f>IFERROR(__xludf.DUMMYFUNCTION("""COMPUTED_VALUE"""),3.52305555555555)</f>
        <v>3.523055556</v>
      </c>
      <c r="AD206" s="33">
        <f>IFERROR(__xludf.DUMMYFUNCTION("""COMPUTED_VALUE"""),2.00361111111111)</f>
        <v>2.003611111</v>
      </c>
      <c r="AE206" s="33">
        <f>IFERROR(__xludf.DUMMYFUNCTION("""COMPUTED_VALUE"""),3.52305555555555)</f>
        <v>3.523055556</v>
      </c>
      <c r="AF206" s="33">
        <f>IFERROR(__xludf.DUMMYFUNCTION("""COMPUTED_VALUE"""),8.0)</f>
        <v>8</v>
      </c>
    </row>
    <row r="207">
      <c r="A207" s="49">
        <f>IFERROR(__xludf.DUMMYFUNCTION("""COMPUTED_VALUE"""),46104.0)</f>
        <v>46104</v>
      </c>
      <c r="B207" s="33" t="str">
        <f>IFERROR(__xludf.DUMMYFUNCTION("""COMPUTED_VALUE"""),"b9727274f880f47671ad54caad4904a491fad9c7")</f>
        <v>b9727274f880f47671ad54caad4904a491fad9c7</v>
      </c>
      <c r="C207" s="33" t="str">
        <f>IFERROR(__xludf.DUMMYFUNCTION("""COMPUTED_VALUE"""),"Brahmand Ka Rakshak - Production Show")</f>
        <v>Brahmand Ka Rakshak - Production Show</v>
      </c>
      <c r="D207" s="33">
        <f>IFERROR(__xludf.DUMMYFUNCTION("""COMPUTED_VALUE"""),30.0)</f>
        <v>30</v>
      </c>
      <c r="E207" s="33">
        <f>IFERROR(__xludf.DUMMYFUNCTION("""COMPUTED_VALUE"""),30.0)</f>
        <v>30</v>
      </c>
      <c r="F207" s="33">
        <f>IFERROR(__xludf.DUMMYFUNCTION("""COMPUTED_VALUE"""),14.0)</f>
        <v>14</v>
      </c>
      <c r="G207" s="33">
        <f>IFERROR(__xludf.DUMMYFUNCTION("""COMPUTED_VALUE"""),13.0)</f>
        <v>13</v>
      </c>
      <c r="H207" s="33">
        <f>IFERROR(__xludf.DUMMYFUNCTION("""COMPUTED_VALUE"""),31.0)</f>
        <v>31</v>
      </c>
      <c r="I207" s="33">
        <f>IFERROR(__xludf.DUMMYFUNCTION("""COMPUTED_VALUE"""),19.0)</f>
        <v>19</v>
      </c>
      <c r="J207" s="33">
        <f>IFERROR(__xludf.DUMMYFUNCTION("""COMPUTED_VALUE"""),28.0)</f>
        <v>28</v>
      </c>
      <c r="K207" s="33">
        <f>IFERROR(__xludf.DUMMYFUNCTION("""COMPUTED_VALUE"""),2.0)</f>
        <v>2</v>
      </c>
      <c r="L207" s="33">
        <f>IFERROR(__xludf.DUMMYFUNCTION("""COMPUTED_VALUE"""),1.0)</f>
        <v>1</v>
      </c>
      <c r="M207" s="33">
        <f>IFERROR(__xludf.DUMMYFUNCTION("""COMPUTED_VALUE"""),30.0)</f>
        <v>30</v>
      </c>
      <c r="N207" s="33">
        <f>IFERROR(__xludf.DUMMYFUNCTION("""COMPUTED_VALUE"""),30.0)</f>
        <v>30</v>
      </c>
      <c r="O207" s="33">
        <f>IFERROR(__xludf.DUMMYFUNCTION("""COMPUTED_VALUE"""),6.0)</f>
        <v>6</v>
      </c>
      <c r="P207" s="33">
        <f>IFERROR(__xludf.DUMMYFUNCTION("""COMPUTED_VALUE"""),30.0)</f>
        <v>30</v>
      </c>
      <c r="Q207" s="33">
        <f>IFERROR(__xludf.DUMMYFUNCTION("""COMPUTED_VALUE"""),0.0)</f>
        <v>0</v>
      </c>
      <c r="R207" s="33">
        <f>IFERROR(__xludf.DUMMYFUNCTION("""COMPUTED_VALUE"""),64213.0)</f>
        <v>64213</v>
      </c>
      <c r="S207" s="33">
        <f>IFERROR(__xludf.DUMMYFUNCTION("""COMPUTED_VALUE"""),68039.0)</f>
        <v>68039</v>
      </c>
      <c r="T207" s="33">
        <f>IFERROR(__xludf.DUMMYFUNCTION("""COMPUTED_VALUE"""),6.13861111111111)</f>
        <v>6.138611111</v>
      </c>
      <c r="U207" s="33">
        <f>IFERROR(__xludf.DUMMYFUNCTION("""COMPUTED_VALUE"""),2.88888888888888)</f>
        <v>2.888888889</v>
      </c>
      <c r="V207" s="33">
        <f>IFERROR(__xludf.DUMMYFUNCTION("""COMPUTED_VALUE"""),2.79416666666666)</f>
        <v>2.794166667</v>
      </c>
      <c r="W207" s="33">
        <f>IFERROR(__xludf.DUMMYFUNCTION("""COMPUTED_VALUE"""),6.56472222222222)</f>
        <v>6.564722222</v>
      </c>
      <c r="X207" s="33">
        <f>IFERROR(__xludf.DUMMYFUNCTION("""COMPUTED_VALUE"""),3.98527777777777)</f>
        <v>3.985277778</v>
      </c>
      <c r="Y207" s="33">
        <f>IFERROR(__xludf.DUMMYFUNCTION("""COMPUTED_VALUE"""),6.07666666666666)</f>
        <v>6.076666667</v>
      </c>
      <c r="Z207" s="33">
        <f>IFERROR(__xludf.DUMMYFUNCTION("""COMPUTED_VALUE"""),0.39)</f>
        <v>0.39</v>
      </c>
      <c r="AA207" s="33">
        <f>IFERROR(__xludf.DUMMYFUNCTION("""COMPUTED_VALUE"""),0.214722222222222)</f>
        <v>0.2147222222</v>
      </c>
      <c r="AB207" s="33">
        <f>IFERROR(__xludf.DUMMYFUNCTION("""COMPUTED_VALUE"""),6.59027777777777)</f>
        <v>6.590277778</v>
      </c>
      <c r="AC207" s="33">
        <f>IFERROR(__xludf.DUMMYFUNCTION("""COMPUTED_VALUE"""),6.59027777777777)</f>
        <v>6.590277778</v>
      </c>
      <c r="AD207" s="33">
        <f>IFERROR(__xludf.DUMMYFUNCTION("""COMPUTED_VALUE"""),1.22333333333333)</f>
        <v>1.223333333</v>
      </c>
      <c r="AE207" s="33">
        <f>IFERROR(__xludf.DUMMYFUNCTION("""COMPUTED_VALUE"""),6.59027777777777)</f>
        <v>6.590277778</v>
      </c>
      <c r="AF207" s="33">
        <f>IFERROR(__xludf.DUMMYFUNCTION("""COMPUTED_VALUE"""),30.0)</f>
        <v>30</v>
      </c>
    </row>
    <row r="208">
      <c r="A208" s="49">
        <f>IFERROR(__xludf.DUMMYFUNCTION("""COMPUTED_VALUE"""),46104.0)</f>
        <v>46104</v>
      </c>
      <c r="B208" s="33" t="str">
        <f>IFERROR(__xludf.DUMMYFUNCTION("""COMPUTED_VALUE"""),"bb6f447c782519839d8793fda0d35f90bad4421a")</f>
        <v>bb6f447c782519839d8793fda0d35f90bad4421a</v>
      </c>
      <c r="C208" s="33" t="str">
        <f>IFERROR(__xludf.DUMMYFUNCTION("""COMPUTED_VALUE"""),"Ruthless")</f>
        <v>Ruthless</v>
      </c>
      <c r="D208" s="33">
        <f>IFERROR(__xludf.DUMMYFUNCTION("""COMPUTED_VALUE"""),14.0)</f>
        <v>14</v>
      </c>
      <c r="E208" s="33">
        <f>IFERROR(__xludf.DUMMYFUNCTION("""COMPUTED_VALUE"""),14.0)</f>
        <v>14</v>
      </c>
      <c r="F208" s="33">
        <f>IFERROR(__xludf.DUMMYFUNCTION("""COMPUTED_VALUE"""),0.0)</f>
        <v>0</v>
      </c>
      <c r="G208" s="33">
        <f>IFERROR(__xludf.DUMMYFUNCTION("""COMPUTED_VALUE"""),0.0)</f>
        <v>0</v>
      </c>
      <c r="H208" s="33">
        <f>IFERROR(__xludf.DUMMYFUNCTION("""COMPUTED_VALUE"""),12.0)</f>
        <v>12</v>
      </c>
      <c r="I208" s="33">
        <f>IFERROR(__xludf.DUMMYFUNCTION("""COMPUTED_VALUE"""),12.0)</f>
        <v>12</v>
      </c>
      <c r="J208" s="33">
        <f>IFERROR(__xludf.DUMMYFUNCTION("""COMPUTED_VALUE"""),13.0)</f>
        <v>13</v>
      </c>
      <c r="K208" s="33">
        <f>IFERROR(__xludf.DUMMYFUNCTION("""COMPUTED_VALUE"""),4.0)</f>
        <v>4</v>
      </c>
      <c r="L208" s="33">
        <f>IFERROR(__xludf.DUMMYFUNCTION("""COMPUTED_VALUE"""),0.0)</f>
        <v>0</v>
      </c>
      <c r="M208" s="33">
        <f>IFERROR(__xludf.DUMMYFUNCTION("""COMPUTED_VALUE"""),12.0)</f>
        <v>12</v>
      </c>
      <c r="N208" s="33">
        <f>IFERROR(__xludf.DUMMYFUNCTION("""COMPUTED_VALUE"""),12.0)</f>
        <v>12</v>
      </c>
      <c r="O208" s="33">
        <f>IFERROR(__xludf.DUMMYFUNCTION("""COMPUTED_VALUE"""),6.0)</f>
        <v>6</v>
      </c>
      <c r="P208" s="33">
        <f>IFERROR(__xludf.DUMMYFUNCTION("""COMPUTED_VALUE"""),12.0)</f>
        <v>12</v>
      </c>
      <c r="Q208" s="33">
        <f>IFERROR(__xludf.DUMMYFUNCTION("""COMPUTED_VALUE"""),0.0)</f>
        <v>0</v>
      </c>
      <c r="R208" s="33">
        <f>IFERROR(__xludf.DUMMYFUNCTION("""COMPUTED_VALUE"""),30796.0)</f>
        <v>30796</v>
      </c>
      <c r="S208" s="33">
        <f>IFERROR(__xludf.DUMMYFUNCTION("""COMPUTED_VALUE"""),33967.0)</f>
        <v>33967</v>
      </c>
      <c r="T208" s="33">
        <f>IFERROR(__xludf.DUMMYFUNCTION("""COMPUTED_VALUE"""),1.70916666666666)</f>
        <v>1.709166667</v>
      </c>
      <c r="U208" s="33">
        <f>IFERROR(__xludf.DUMMYFUNCTION("""COMPUTED_VALUE"""),0.0)</f>
        <v>0</v>
      </c>
      <c r="V208" s="33">
        <f>IFERROR(__xludf.DUMMYFUNCTION("""COMPUTED_VALUE"""),0.0)</f>
        <v>0</v>
      </c>
      <c r="W208" s="33">
        <f>IFERROR(__xludf.DUMMYFUNCTION("""COMPUTED_VALUE"""),2.55777777777777)</f>
        <v>2.557777778</v>
      </c>
      <c r="X208" s="33">
        <f>IFERROR(__xludf.DUMMYFUNCTION("""COMPUTED_VALUE"""),2.55777777777777)</f>
        <v>2.557777778</v>
      </c>
      <c r="Y208" s="33">
        <f>IFERROR(__xludf.DUMMYFUNCTION("""COMPUTED_VALUE"""),2.83055555555555)</f>
        <v>2.830555556</v>
      </c>
      <c r="Z208" s="33">
        <f>IFERROR(__xludf.DUMMYFUNCTION("""COMPUTED_VALUE"""),0.866944444444444)</f>
        <v>0.8669444444</v>
      </c>
      <c r="AA208" s="33">
        <f>IFERROR(__xludf.DUMMYFUNCTION("""COMPUTED_VALUE"""),0.0)</f>
        <v>0</v>
      </c>
      <c r="AB208" s="33">
        <f>IFERROR(__xludf.DUMMYFUNCTION("""COMPUTED_VALUE"""),2.61444444444444)</f>
        <v>2.614444444</v>
      </c>
      <c r="AC208" s="33">
        <f>IFERROR(__xludf.DUMMYFUNCTION("""COMPUTED_VALUE"""),2.61444444444444)</f>
        <v>2.614444444</v>
      </c>
      <c r="AD208" s="33">
        <f>IFERROR(__xludf.DUMMYFUNCTION("""COMPUTED_VALUE"""),1.40027777777777)</f>
        <v>1.400277778</v>
      </c>
      <c r="AE208" s="33">
        <f>IFERROR(__xludf.DUMMYFUNCTION("""COMPUTED_VALUE"""),2.61444444444444)</f>
        <v>2.614444444</v>
      </c>
      <c r="AF208" s="33">
        <f>IFERROR(__xludf.DUMMYFUNCTION("""COMPUTED_VALUE"""),8.0)</f>
        <v>8</v>
      </c>
    </row>
    <row r="209">
      <c r="A209" s="49">
        <f>IFERROR(__xludf.DUMMYFUNCTION("""COMPUTED_VALUE"""),46104.0)</f>
        <v>46104</v>
      </c>
      <c r="B209" s="33" t="str">
        <f>IFERROR(__xludf.DUMMYFUNCTION("""COMPUTED_VALUE"""),"dbbc7f35e9eb33b7562f0fd82896e827101bf13c")</f>
        <v>dbbc7f35e9eb33b7562f0fd82896e827101bf13c</v>
      </c>
      <c r="C209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09" s="33">
        <f>IFERROR(__xludf.DUMMYFUNCTION("""COMPUTED_VALUE"""),0.0)</f>
        <v>0</v>
      </c>
      <c r="E209" s="33">
        <f>IFERROR(__xludf.DUMMYFUNCTION("""COMPUTED_VALUE"""),0.0)</f>
        <v>0</v>
      </c>
      <c r="F209" s="33">
        <f>IFERROR(__xludf.DUMMYFUNCTION("""COMPUTED_VALUE"""),0.0)</f>
        <v>0</v>
      </c>
      <c r="G209" s="33">
        <f>IFERROR(__xludf.DUMMYFUNCTION("""COMPUTED_VALUE"""),0.0)</f>
        <v>0</v>
      </c>
      <c r="H209" s="33">
        <f>IFERROR(__xludf.DUMMYFUNCTION("""COMPUTED_VALUE"""),0.0)</f>
        <v>0</v>
      </c>
      <c r="I209" s="33">
        <f>IFERROR(__xludf.DUMMYFUNCTION("""COMPUTED_VALUE"""),0.0)</f>
        <v>0</v>
      </c>
      <c r="J209" s="33">
        <f>IFERROR(__xludf.DUMMYFUNCTION("""COMPUTED_VALUE"""),0.0)</f>
        <v>0</v>
      </c>
      <c r="K209" s="33">
        <f>IFERROR(__xludf.DUMMYFUNCTION("""COMPUTED_VALUE"""),0.0)</f>
        <v>0</v>
      </c>
      <c r="L209" s="33">
        <f>IFERROR(__xludf.DUMMYFUNCTION("""COMPUTED_VALUE"""),0.0)</f>
        <v>0</v>
      </c>
      <c r="M209" s="33">
        <f>IFERROR(__xludf.DUMMYFUNCTION("""COMPUTED_VALUE"""),0.0)</f>
        <v>0</v>
      </c>
      <c r="N209" s="33">
        <f>IFERROR(__xludf.DUMMYFUNCTION("""COMPUTED_VALUE"""),6.0)</f>
        <v>6</v>
      </c>
      <c r="O209" s="33">
        <f>IFERROR(__xludf.DUMMYFUNCTION("""COMPUTED_VALUE"""),4.0)</f>
        <v>4</v>
      </c>
      <c r="P209" s="33">
        <f>IFERROR(__xludf.DUMMYFUNCTION("""COMPUTED_VALUE"""),5.0)</f>
        <v>5</v>
      </c>
      <c r="Q209" s="33">
        <f>IFERROR(__xludf.DUMMYFUNCTION("""COMPUTED_VALUE"""),0.0)</f>
        <v>0</v>
      </c>
      <c r="R209" s="33">
        <f>IFERROR(__xludf.DUMMYFUNCTION("""COMPUTED_VALUE"""),0.0)</f>
        <v>0</v>
      </c>
      <c r="S209" s="33">
        <f>IFERROR(__xludf.DUMMYFUNCTION("""COMPUTED_VALUE"""),0.0)</f>
        <v>0</v>
      </c>
      <c r="T209" s="33">
        <f>IFERROR(__xludf.DUMMYFUNCTION("""COMPUTED_VALUE"""),0.0)</f>
        <v>0</v>
      </c>
      <c r="U209" s="33">
        <f>IFERROR(__xludf.DUMMYFUNCTION("""COMPUTED_VALUE"""),0.0)</f>
        <v>0</v>
      </c>
      <c r="V209" s="33">
        <f>IFERROR(__xludf.DUMMYFUNCTION("""COMPUTED_VALUE"""),0.0)</f>
        <v>0</v>
      </c>
      <c r="W209" s="33">
        <f>IFERROR(__xludf.DUMMYFUNCTION("""COMPUTED_VALUE"""),0.0)</f>
        <v>0</v>
      </c>
      <c r="X209" s="33">
        <f>IFERROR(__xludf.DUMMYFUNCTION("""COMPUTED_VALUE"""),0.0)</f>
        <v>0</v>
      </c>
      <c r="Y209" s="33">
        <f>IFERROR(__xludf.DUMMYFUNCTION("""COMPUTED_VALUE"""),0.0)</f>
        <v>0</v>
      </c>
      <c r="Z209" s="33">
        <f>IFERROR(__xludf.DUMMYFUNCTION("""COMPUTED_VALUE"""),0.0)</f>
        <v>0</v>
      </c>
      <c r="AA209" s="33">
        <f>IFERROR(__xludf.DUMMYFUNCTION("""COMPUTED_VALUE"""),0.0)</f>
        <v>0</v>
      </c>
      <c r="AB209" s="33">
        <f>IFERROR(__xludf.DUMMYFUNCTION("""COMPUTED_VALUE"""),0.0)</f>
        <v>0</v>
      </c>
      <c r="AC209" s="33">
        <f>IFERROR(__xludf.DUMMYFUNCTION("""COMPUTED_VALUE"""),0.259166666666666)</f>
        <v>0.2591666667</v>
      </c>
      <c r="AD209" s="33">
        <f>IFERROR(__xludf.DUMMYFUNCTION("""COMPUTED_VALUE"""),0.721111111111111)</f>
        <v>0.7211111111</v>
      </c>
      <c r="AE209" s="33">
        <f>IFERROR(__xludf.DUMMYFUNCTION("""COMPUTED_VALUE"""),1.32277777777777)</f>
        <v>1.322777778</v>
      </c>
      <c r="AF209" s="33">
        <f>IFERROR(__xludf.DUMMYFUNCTION("""COMPUTED_VALUE"""),0.0)</f>
        <v>0</v>
      </c>
    </row>
    <row r="210">
      <c r="A210" s="49">
        <f>IFERROR(__xludf.DUMMYFUNCTION("""COMPUTED_VALUE"""),46104.0)</f>
        <v>46104</v>
      </c>
      <c r="B210" s="33" t="str">
        <f>IFERROR(__xludf.DUMMYFUNCTION("""COMPUTED_VALUE"""),"e493cee863483a057af12de782cd20043a19ed05")</f>
        <v>e493cee863483a057af12de782cd20043a19ed05</v>
      </c>
      <c r="C210" s="33" t="str">
        <f>IFERROR(__xludf.DUMMYFUNCTION("""COMPUTED_VALUE"""),"Malang")</f>
        <v>Malang</v>
      </c>
      <c r="D210" s="33">
        <f>IFERROR(__xludf.DUMMYFUNCTION("""COMPUTED_VALUE"""),0.0)</f>
        <v>0</v>
      </c>
      <c r="E210" s="33">
        <f>IFERROR(__xludf.DUMMYFUNCTION("""COMPUTED_VALUE"""),5.0)</f>
        <v>5</v>
      </c>
      <c r="F210" s="33">
        <f>IFERROR(__xludf.DUMMYFUNCTION("""COMPUTED_VALUE"""),0.0)</f>
        <v>0</v>
      </c>
      <c r="G210" s="33">
        <f>IFERROR(__xludf.DUMMYFUNCTION("""COMPUTED_VALUE"""),0.0)</f>
        <v>0</v>
      </c>
      <c r="H210" s="33">
        <f>IFERROR(__xludf.DUMMYFUNCTION("""COMPUTED_VALUE"""),4.0)</f>
        <v>4</v>
      </c>
      <c r="I210" s="33">
        <f>IFERROR(__xludf.DUMMYFUNCTION("""COMPUTED_VALUE"""),4.0)</f>
        <v>4</v>
      </c>
      <c r="J210" s="33">
        <f>IFERROR(__xludf.DUMMYFUNCTION("""COMPUTED_VALUE"""),3.0)</f>
        <v>3</v>
      </c>
      <c r="K210" s="33">
        <f>IFERROR(__xludf.DUMMYFUNCTION("""COMPUTED_VALUE"""),1.0)</f>
        <v>1</v>
      </c>
      <c r="L210" s="33">
        <f>IFERROR(__xludf.DUMMYFUNCTION("""COMPUTED_VALUE"""),0.0)</f>
        <v>0</v>
      </c>
      <c r="M210" s="33">
        <f>IFERROR(__xludf.DUMMYFUNCTION("""COMPUTED_VALUE"""),3.0)</f>
        <v>3</v>
      </c>
      <c r="N210" s="33">
        <f>IFERROR(__xludf.DUMMYFUNCTION("""COMPUTED_VALUE"""),4.0)</f>
        <v>4</v>
      </c>
      <c r="O210" s="33">
        <f>IFERROR(__xludf.DUMMYFUNCTION("""COMPUTED_VALUE"""),5.0)</f>
        <v>5</v>
      </c>
      <c r="P210" s="33">
        <f>IFERROR(__xludf.DUMMYFUNCTION("""COMPUTED_VALUE"""),4.0)</f>
        <v>4</v>
      </c>
      <c r="Q210" s="33">
        <f>IFERROR(__xludf.DUMMYFUNCTION("""COMPUTED_VALUE"""),0.0)</f>
        <v>0</v>
      </c>
      <c r="R210" s="33">
        <f>IFERROR(__xludf.DUMMYFUNCTION("""COMPUTED_VALUE"""),0.0)</f>
        <v>0</v>
      </c>
      <c r="S210" s="33">
        <f>IFERROR(__xludf.DUMMYFUNCTION("""COMPUTED_VALUE"""),11263.0)</f>
        <v>11263</v>
      </c>
      <c r="T210" s="33">
        <f>IFERROR(__xludf.DUMMYFUNCTION("""COMPUTED_VALUE"""),0.802777777777777)</f>
        <v>0.8027777778</v>
      </c>
      <c r="U210" s="33">
        <f>IFERROR(__xludf.DUMMYFUNCTION("""COMPUTED_VALUE"""),0.0)</f>
        <v>0</v>
      </c>
      <c r="V210" s="33">
        <f>IFERROR(__xludf.DUMMYFUNCTION("""COMPUTED_VALUE"""),0.0)</f>
        <v>0</v>
      </c>
      <c r="W210" s="33">
        <f>IFERROR(__xludf.DUMMYFUNCTION("""COMPUTED_VALUE"""),0.802777777777777)</f>
        <v>0.8027777778</v>
      </c>
      <c r="X210" s="33">
        <f>IFERROR(__xludf.DUMMYFUNCTION("""COMPUTED_VALUE"""),0.802777777777777)</f>
        <v>0.8027777778</v>
      </c>
      <c r="Y210" s="33">
        <f>IFERROR(__xludf.DUMMYFUNCTION("""COMPUTED_VALUE"""),0.588888888888888)</f>
        <v>0.5888888889</v>
      </c>
      <c r="Z210" s="33">
        <f>IFERROR(__xludf.DUMMYFUNCTION("""COMPUTED_VALUE"""),0.201666666666666)</f>
        <v>0.2016666667</v>
      </c>
      <c r="AA210" s="33">
        <f>IFERROR(__xludf.DUMMYFUNCTION("""COMPUTED_VALUE"""),0.0)</f>
        <v>0</v>
      </c>
      <c r="AB210" s="33">
        <f>IFERROR(__xludf.DUMMYFUNCTION("""COMPUTED_VALUE"""),0.588888888888888)</f>
        <v>0.5888888889</v>
      </c>
      <c r="AC210" s="33">
        <f>IFERROR(__xludf.DUMMYFUNCTION("""COMPUTED_VALUE"""),0.798888888888888)</f>
        <v>0.7988888889</v>
      </c>
      <c r="AD210" s="33">
        <f>IFERROR(__xludf.DUMMYFUNCTION("""COMPUTED_VALUE"""),0.916944444444444)</f>
        <v>0.9169444444</v>
      </c>
      <c r="AE210" s="33">
        <f>IFERROR(__xludf.DUMMYFUNCTION("""COMPUTED_VALUE"""),0.798888888888888)</f>
        <v>0.7988888889</v>
      </c>
      <c r="AF210" s="33">
        <f>IFERROR(__xludf.DUMMYFUNCTION("""COMPUTED_VALUE"""),4.0)</f>
        <v>4</v>
      </c>
    </row>
    <row r="211">
      <c r="A211" s="49">
        <f>IFERROR(__xludf.DUMMYFUNCTION("""COMPUTED_VALUE"""),46104.0)</f>
        <v>46104</v>
      </c>
      <c r="B211" s="33" t="str">
        <f>IFERROR(__xludf.DUMMYFUNCTION("""COMPUTED_VALUE"""),"f43f4253dc3c596ff8f2e3cc9f3b677981a70310")</f>
        <v>f43f4253dc3c596ff8f2e3cc9f3b677981a70310</v>
      </c>
      <c r="C211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11" s="33">
        <f>IFERROR(__xludf.DUMMYFUNCTION("""COMPUTED_VALUE"""),71.0)</f>
        <v>71</v>
      </c>
      <c r="E211" s="33">
        <f>IFERROR(__xludf.DUMMYFUNCTION("""COMPUTED_VALUE"""),70.0)</f>
        <v>70</v>
      </c>
      <c r="F211" s="33">
        <f>IFERROR(__xludf.DUMMYFUNCTION("""COMPUTED_VALUE"""),0.0)</f>
        <v>0</v>
      </c>
      <c r="G211" s="33">
        <f>IFERROR(__xludf.DUMMYFUNCTION("""COMPUTED_VALUE"""),0.0)</f>
        <v>0</v>
      </c>
      <c r="H211" s="33">
        <f>IFERROR(__xludf.DUMMYFUNCTION("""COMPUTED_VALUE"""),0.0)</f>
        <v>0</v>
      </c>
      <c r="I211" s="33">
        <f>IFERROR(__xludf.DUMMYFUNCTION("""COMPUTED_VALUE"""),0.0)</f>
        <v>0</v>
      </c>
      <c r="J211" s="33">
        <f>IFERROR(__xludf.DUMMYFUNCTION("""COMPUTED_VALUE"""),0.0)</f>
        <v>0</v>
      </c>
      <c r="K211" s="33">
        <f>IFERROR(__xludf.DUMMYFUNCTION("""COMPUTED_VALUE"""),0.0)</f>
        <v>0</v>
      </c>
      <c r="L211" s="33">
        <f>IFERROR(__xludf.DUMMYFUNCTION("""COMPUTED_VALUE"""),0.0)</f>
        <v>0</v>
      </c>
      <c r="M211" s="33">
        <f>IFERROR(__xludf.DUMMYFUNCTION("""COMPUTED_VALUE"""),0.0)</f>
        <v>0</v>
      </c>
      <c r="N211" s="33">
        <f>IFERROR(__xludf.DUMMYFUNCTION("""COMPUTED_VALUE"""),85.0)</f>
        <v>85</v>
      </c>
      <c r="O211" s="33">
        <f>IFERROR(__xludf.DUMMYFUNCTION("""COMPUTED_VALUE"""),5.0)</f>
        <v>5</v>
      </c>
      <c r="P211" s="33">
        <f>IFERROR(__xludf.DUMMYFUNCTION("""COMPUTED_VALUE"""),70.0)</f>
        <v>70</v>
      </c>
      <c r="Q211" s="33">
        <f>IFERROR(__xludf.DUMMYFUNCTION("""COMPUTED_VALUE"""),0.0)</f>
        <v>0</v>
      </c>
      <c r="R211" s="33">
        <f>IFERROR(__xludf.DUMMYFUNCTION("""COMPUTED_VALUE"""),157824.0)</f>
        <v>157824</v>
      </c>
      <c r="S211" s="33">
        <f>IFERROR(__xludf.DUMMYFUNCTION("""COMPUTED_VALUE"""),155213.0)</f>
        <v>155213</v>
      </c>
      <c r="T211" s="33">
        <f>IFERROR(__xludf.DUMMYFUNCTION("""COMPUTED_VALUE"""),0.0)</f>
        <v>0</v>
      </c>
      <c r="U211" s="33">
        <f>IFERROR(__xludf.DUMMYFUNCTION("""COMPUTED_VALUE"""),0.0)</f>
        <v>0</v>
      </c>
      <c r="V211" s="33">
        <f>IFERROR(__xludf.DUMMYFUNCTION("""COMPUTED_VALUE"""),0.0)</f>
        <v>0</v>
      </c>
      <c r="W211" s="33">
        <f>IFERROR(__xludf.DUMMYFUNCTION("""COMPUTED_VALUE"""),0.0)</f>
        <v>0</v>
      </c>
      <c r="X211" s="33">
        <f>IFERROR(__xludf.DUMMYFUNCTION("""COMPUTED_VALUE"""),0.0)</f>
        <v>0</v>
      </c>
      <c r="Y211" s="33">
        <f>IFERROR(__xludf.DUMMYFUNCTION("""COMPUTED_VALUE"""),0.0)</f>
        <v>0</v>
      </c>
      <c r="Z211" s="33">
        <f>IFERROR(__xludf.DUMMYFUNCTION("""COMPUTED_VALUE"""),0.0)</f>
        <v>0</v>
      </c>
      <c r="AA211" s="33">
        <f>IFERROR(__xludf.DUMMYFUNCTION("""COMPUTED_VALUE"""),0.0)</f>
        <v>0</v>
      </c>
      <c r="AB211" s="33">
        <f>IFERROR(__xludf.DUMMYFUNCTION("""COMPUTED_VALUE"""),0.0)</f>
        <v>0</v>
      </c>
      <c r="AC211" s="33">
        <f>IFERROR(__xludf.DUMMYFUNCTION("""COMPUTED_VALUE"""),7.31277777777777)</f>
        <v>7.312777778</v>
      </c>
      <c r="AD211" s="33">
        <f>IFERROR(__xludf.DUMMYFUNCTION("""COMPUTED_VALUE"""),1.28805555555555)</f>
        <v>1.288055556</v>
      </c>
      <c r="AE211" s="33">
        <f>IFERROR(__xludf.DUMMYFUNCTION("""COMPUTED_VALUE"""),15.0719444444444)</f>
        <v>15.07194444</v>
      </c>
      <c r="AF211" s="33">
        <f>IFERROR(__xludf.DUMMYFUNCTION("""COMPUTED_VALUE"""),0.0)</f>
        <v>0</v>
      </c>
    </row>
    <row r="212">
      <c r="A212" s="49">
        <f>IFERROR(__xludf.DUMMYFUNCTION("""COMPUTED_VALUE"""),46104.0)</f>
        <v>46104</v>
      </c>
      <c r="B212" s="33" t="str">
        <f>IFERROR(__xludf.DUMMYFUNCTION("""COMPUTED_VALUE"""),"f8fbcb9a13d17d5888164fffc1bbb7cd5c6608b2")</f>
        <v>f8fbcb9a13d17d5888164fffc1bbb7cd5c6608b2</v>
      </c>
      <c r="C212" s="33" t="str">
        <f>IFERROR(__xludf.DUMMYFUNCTION("""COMPUTED_VALUE"""),"Empire of Hidden King | Author - Nitesh")</f>
        <v>Empire of Hidden King | Author - Nitesh</v>
      </c>
      <c r="D212" s="33">
        <f>IFERROR(__xludf.DUMMYFUNCTION("""COMPUTED_VALUE"""),0.0)</f>
        <v>0</v>
      </c>
      <c r="E212" s="33">
        <f>IFERROR(__xludf.DUMMYFUNCTION("""COMPUTED_VALUE"""),0.0)</f>
        <v>0</v>
      </c>
      <c r="F212" s="33">
        <f>IFERROR(__xludf.DUMMYFUNCTION("""COMPUTED_VALUE"""),0.0)</f>
        <v>0</v>
      </c>
      <c r="G212" s="33">
        <f>IFERROR(__xludf.DUMMYFUNCTION("""COMPUTED_VALUE"""),0.0)</f>
        <v>0</v>
      </c>
      <c r="H212" s="33">
        <f>IFERROR(__xludf.DUMMYFUNCTION("""COMPUTED_VALUE"""),0.0)</f>
        <v>0</v>
      </c>
      <c r="I212" s="33">
        <f>IFERROR(__xludf.DUMMYFUNCTION("""COMPUTED_VALUE"""),0.0)</f>
        <v>0</v>
      </c>
      <c r="J212" s="33">
        <f>IFERROR(__xludf.DUMMYFUNCTION("""COMPUTED_VALUE"""),0.0)</f>
        <v>0</v>
      </c>
      <c r="K212" s="33">
        <f>IFERROR(__xludf.DUMMYFUNCTION("""COMPUTED_VALUE"""),0.0)</f>
        <v>0</v>
      </c>
      <c r="L212" s="33">
        <f>IFERROR(__xludf.DUMMYFUNCTION("""COMPUTED_VALUE"""),0.0)</f>
        <v>0</v>
      </c>
      <c r="M212" s="33">
        <f>IFERROR(__xludf.DUMMYFUNCTION("""COMPUTED_VALUE"""),0.0)</f>
        <v>0</v>
      </c>
      <c r="N212" s="33">
        <f>IFERROR(__xludf.DUMMYFUNCTION("""COMPUTED_VALUE"""),6.0)</f>
        <v>6</v>
      </c>
      <c r="O212" s="33">
        <f>IFERROR(__xludf.DUMMYFUNCTION("""COMPUTED_VALUE"""),2.0)</f>
        <v>2</v>
      </c>
      <c r="P212" s="33">
        <f>IFERROR(__xludf.DUMMYFUNCTION("""COMPUTED_VALUE"""),6.0)</f>
        <v>6</v>
      </c>
      <c r="Q212" s="33">
        <f>IFERROR(__xludf.DUMMYFUNCTION("""COMPUTED_VALUE"""),0.0)</f>
        <v>0</v>
      </c>
      <c r="R212" s="33">
        <f>IFERROR(__xludf.DUMMYFUNCTION("""COMPUTED_VALUE"""),0.0)</f>
        <v>0</v>
      </c>
      <c r="S212" s="33">
        <f>IFERROR(__xludf.DUMMYFUNCTION("""COMPUTED_VALUE"""),0.0)</f>
        <v>0</v>
      </c>
      <c r="T212" s="33">
        <f>IFERROR(__xludf.DUMMYFUNCTION("""COMPUTED_VALUE"""),0.0)</f>
        <v>0</v>
      </c>
      <c r="U212" s="33">
        <f>IFERROR(__xludf.DUMMYFUNCTION("""COMPUTED_VALUE"""),0.0)</f>
        <v>0</v>
      </c>
      <c r="V212" s="33">
        <f>IFERROR(__xludf.DUMMYFUNCTION("""COMPUTED_VALUE"""),0.0)</f>
        <v>0</v>
      </c>
      <c r="W212" s="33">
        <f>IFERROR(__xludf.DUMMYFUNCTION("""COMPUTED_VALUE"""),0.0)</f>
        <v>0</v>
      </c>
      <c r="X212" s="33">
        <f>IFERROR(__xludf.DUMMYFUNCTION("""COMPUTED_VALUE"""),0.0)</f>
        <v>0</v>
      </c>
      <c r="Y212" s="33">
        <f>IFERROR(__xludf.DUMMYFUNCTION("""COMPUTED_VALUE"""),0.0)</f>
        <v>0</v>
      </c>
      <c r="Z212" s="33">
        <f>IFERROR(__xludf.DUMMYFUNCTION("""COMPUTED_VALUE"""),0.0)</f>
        <v>0</v>
      </c>
      <c r="AA212" s="33">
        <f>IFERROR(__xludf.DUMMYFUNCTION("""COMPUTED_VALUE"""),0.0)</f>
        <v>0</v>
      </c>
      <c r="AB212" s="33">
        <f>IFERROR(__xludf.DUMMYFUNCTION("""COMPUTED_VALUE"""),0.0)</f>
        <v>0</v>
      </c>
      <c r="AC212" s="33">
        <f>IFERROR(__xludf.DUMMYFUNCTION("""COMPUTED_VALUE"""),1.73555555555555)</f>
        <v>1.735555556</v>
      </c>
      <c r="AD212" s="33">
        <f>IFERROR(__xludf.DUMMYFUNCTION("""COMPUTED_VALUE"""),0.563333333333333)</f>
        <v>0.5633333333</v>
      </c>
      <c r="AE212" s="33">
        <f>IFERROR(__xludf.DUMMYFUNCTION("""COMPUTED_VALUE"""),1.58166666666666)</f>
        <v>1.581666667</v>
      </c>
      <c r="AF212" s="33">
        <f>IFERROR(__xludf.DUMMYFUNCTION("""COMPUTED_VALUE"""),0.0)</f>
        <v>0</v>
      </c>
    </row>
    <row r="213">
      <c r="A213" s="49">
        <f>IFERROR(__xludf.DUMMYFUNCTION("""COMPUTED_VALUE"""),46097.0)</f>
        <v>46097</v>
      </c>
      <c r="B213" s="33" t="str">
        <f>IFERROR(__xludf.DUMMYFUNCTION("""COMPUTED_VALUE"""),"017fddbaa7617afdd8289be5c433df09dcde1da2")</f>
        <v>017fddbaa7617afdd8289be5c433df09dcde1da2</v>
      </c>
      <c r="C213" s="33" t="str">
        <f>IFERROR(__xludf.DUMMYFUNCTION("""COMPUTED_VALUE"""),"His Secret Fortune - Production Show_id")</f>
        <v>His Secret Fortune - Production Show_id</v>
      </c>
      <c r="D213" s="33">
        <f>IFERROR(__xludf.DUMMYFUNCTION("""COMPUTED_VALUE"""),0.0)</f>
        <v>0</v>
      </c>
      <c r="E213" s="33">
        <f>IFERROR(__xludf.DUMMYFUNCTION("""COMPUTED_VALUE"""),3.0)</f>
        <v>3</v>
      </c>
      <c r="F213" s="33">
        <f>IFERROR(__xludf.DUMMYFUNCTION("""COMPUTED_VALUE"""),10.0)</f>
        <v>10</v>
      </c>
      <c r="G213" s="33">
        <f>IFERROR(__xludf.DUMMYFUNCTION("""COMPUTED_VALUE"""),11.0)</f>
        <v>11</v>
      </c>
      <c r="H213" s="33">
        <f>IFERROR(__xludf.DUMMYFUNCTION("""COMPUTED_VALUE"""),13.0)</f>
        <v>13</v>
      </c>
      <c r="I213" s="33">
        <f>IFERROR(__xludf.DUMMYFUNCTION("""COMPUTED_VALUE"""),2.0)</f>
        <v>2</v>
      </c>
      <c r="J213" s="33">
        <f>IFERROR(__xludf.DUMMYFUNCTION("""COMPUTED_VALUE"""),13.0)</f>
        <v>13</v>
      </c>
      <c r="K213" s="33">
        <f>IFERROR(__xludf.DUMMYFUNCTION("""COMPUTED_VALUE"""),10.0)</f>
        <v>10</v>
      </c>
      <c r="L213" s="33">
        <f>IFERROR(__xludf.DUMMYFUNCTION("""COMPUTED_VALUE"""),10.0)</f>
        <v>10</v>
      </c>
      <c r="M213" s="33">
        <f>IFERROR(__xludf.DUMMYFUNCTION("""COMPUTED_VALUE"""),14.0)</f>
        <v>14</v>
      </c>
      <c r="N213" s="33">
        <f>IFERROR(__xludf.DUMMYFUNCTION("""COMPUTED_VALUE"""),14.0)</f>
        <v>14</v>
      </c>
      <c r="O213" s="33">
        <f>IFERROR(__xludf.DUMMYFUNCTION("""COMPUTED_VALUE"""),6.0)</f>
        <v>6</v>
      </c>
      <c r="P213" s="33">
        <f>IFERROR(__xludf.DUMMYFUNCTION("""COMPUTED_VALUE"""),14.0)</f>
        <v>14</v>
      </c>
      <c r="Q213" s="33">
        <f>IFERROR(__xludf.DUMMYFUNCTION("""COMPUTED_VALUE"""),0.0)</f>
        <v>0</v>
      </c>
      <c r="R213" s="33">
        <f>IFERROR(__xludf.DUMMYFUNCTION("""COMPUTED_VALUE"""),0.0)</f>
        <v>0</v>
      </c>
      <c r="S213" s="33">
        <f>IFERROR(__xludf.DUMMYFUNCTION("""COMPUTED_VALUE"""),6557.0)</f>
        <v>6557</v>
      </c>
      <c r="T213" s="33">
        <f>IFERROR(__xludf.DUMMYFUNCTION("""COMPUTED_VALUE"""),2.69833333333333)</f>
        <v>2.698333333</v>
      </c>
      <c r="U213" s="33">
        <f>IFERROR(__xludf.DUMMYFUNCTION("""COMPUTED_VALUE"""),1.90194444444444)</f>
        <v>1.901944444</v>
      </c>
      <c r="V213" s="33">
        <f>IFERROR(__xludf.DUMMYFUNCTION("""COMPUTED_VALUE"""),2.06333333333333)</f>
        <v>2.063333333</v>
      </c>
      <c r="W213" s="33">
        <f>IFERROR(__xludf.DUMMYFUNCTION("""COMPUTED_VALUE"""),2.48888888888888)</f>
        <v>2.488888889</v>
      </c>
      <c r="X213" s="33">
        <f>IFERROR(__xludf.DUMMYFUNCTION("""COMPUTED_VALUE"""),0.425555555555555)</f>
        <v>0.4255555556</v>
      </c>
      <c r="Y213" s="33">
        <f>IFERROR(__xludf.DUMMYFUNCTION("""COMPUTED_VALUE"""),2.48694444444444)</f>
        <v>2.486944444</v>
      </c>
      <c r="Z213" s="33">
        <f>IFERROR(__xludf.DUMMYFUNCTION("""COMPUTED_VALUE"""),1.84999999999999)</f>
        <v>1.85</v>
      </c>
      <c r="AA213" s="33">
        <f>IFERROR(__xludf.DUMMYFUNCTION("""COMPUTED_VALUE"""),1.84999999999999)</f>
        <v>1.85</v>
      </c>
      <c r="AB213" s="33">
        <f>IFERROR(__xludf.DUMMYFUNCTION("""COMPUTED_VALUE"""),2.67388888888888)</f>
        <v>2.673888889</v>
      </c>
      <c r="AC213" s="33">
        <f>IFERROR(__xludf.DUMMYFUNCTION("""COMPUTED_VALUE"""),2.67388888888888)</f>
        <v>2.673888889</v>
      </c>
      <c r="AD213" s="33">
        <f>IFERROR(__xludf.DUMMYFUNCTION("""COMPUTED_VALUE"""),1.11972222222222)</f>
        <v>1.119722222</v>
      </c>
      <c r="AE213" s="33">
        <f>IFERROR(__xludf.DUMMYFUNCTION("""COMPUTED_VALUE"""),2.67388888888888)</f>
        <v>2.673888889</v>
      </c>
      <c r="AF213" s="33">
        <f>IFERROR(__xludf.DUMMYFUNCTION("""COMPUTED_VALUE"""),14.0)</f>
        <v>14</v>
      </c>
    </row>
    <row r="214">
      <c r="A214" s="49">
        <f>IFERROR(__xludf.DUMMYFUNCTION("""COMPUTED_VALUE"""),46097.0)</f>
        <v>46097</v>
      </c>
      <c r="B214" s="33" t="str">
        <f>IFERROR(__xludf.DUMMYFUNCTION("""COMPUTED_VALUE"""),"2549f1505a3739b3e90a0b63921ad55271440d40")</f>
        <v>2549f1505a3739b3e90a0b63921ad55271440d40</v>
      </c>
      <c r="C214" s="33" t="str">
        <f>IFERROR(__xludf.DUMMYFUNCTION("""COMPUTED_VALUE"""),"Reborn in Martial World ")</f>
        <v>Reborn in Martial World </v>
      </c>
      <c r="D214" s="33">
        <f>IFERROR(__xludf.DUMMYFUNCTION("""COMPUTED_VALUE"""),0.0)</f>
        <v>0</v>
      </c>
      <c r="E214" s="33">
        <f>IFERROR(__xludf.DUMMYFUNCTION("""COMPUTED_VALUE"""),5.0)</f>
        <v>5</v>
      </c>
      <c r="F214" s="33">
        <f>IFERROR(__xludf.DUMMYFUNCTION("""COMPUTED_VALUE"""),0.0)</f>
        <v>0</v>
      </c>
      <c r="G214" s="33">
        <f>IFERROR(__xludf.DUMMYFUNCTION("""COMPUTED_VALUE"""),0.0)</f>
        <v>0</v>
      </c>
      <c r="H214" s="33">
        <f>IFERROR(__xludf.DUMMYFUNCTION("""COMPUTED_VALUE"""),0.0)</f>
        <v>0</v>
      </c>
      <c r="I214" s="33">
        <f>IFERROR(__xludf.DUMMYFUNCTION("""COMPUTED_VALUE"""),0.0)</f>
        <v>0</v>
      </c>
      <c r="J214" s="33">
        <f>IFERROR(__xludf.DUMMYFUNCTION("""COMPUTED_VALUE"""),0.0)</f>
        <v>0</v>
      </c>
      <c r="K214" s="33">
        <f>IFERROR(__xludf.DUMMYFUNCTION("""COMPUTED_VALUE"""),0.0)</f>
        <v>0</v>
      </c>
      <c r="L214" s="33">
        <f>IFERROR(__xludf.DUMMYFUNCTION("""COMPUTED_VALUE"""),0.0)</f>
        <v>0</v>
      </c>
      <c r="M214" s="33">
        <f>IFERROR(__xludf.DUMMYFUNCTION("""COMPUTED_VALUE"""),0.0)</f>
        <v>0</v>
      </c>
      <c r="N214" s="33">
        <f>IFERROR(__xludf.DUMMYFUNCTION("""COMPUTED_VALUE"""),5.0)</f>
        <v>5</v>
      </c>
      <c r="O214" s="33">
        <f>IFERROR(__xludf.DUMMYFUNCTION("""COMPUTED_VALUE"""),4.0)</f>
        <v>4</v>
      </c>
      <c r="P214" s="33">
        <f>IFERROR(__xludf.DUMMYFUNCTION("""COMPUTED_VALUE"""),5.0)</f>
        <v>5</v>
      </c>
      <c r="Q214" s="33">
        <f>IFERROR(__xludf.DUMMYFUNCTION("""COMPUTED_VALUE"""),0.0)</f>
        <v>0</v>
      </c>
      <c r="R214" s="33">
        <f>IFERROR(__xludf.DUMMYFUNCTION("""COMPUTED_VALUE"""),0.0)</f>
        <v>0</v>
      </c>
      <c r="S214" s="33">
        <f>IFERROR(__xludf.DUMMYFUNCTION("""COMPUTED_VALUE"""),12511.0)</f>
        <v>12511</v>
      </c>
      <c r="T214" s="33">
        <f>IFERROR(__xludf.DUMMYFUNCTION("""COMPUTED_VALUE"""),0.0)</f>
        <v>0</v>
      </c>
      <c r="U214" s="33">
        <f>IFERROR(__xludf.DUMMYFUNCTION("""COMPUTED_VALUE"""),0.0)</f>
        <v>0</v>
      </c>
      <c r="V214" s="33">
        <f>IFERROR(__xludf.DUMMYFUNCTION("""COMPUTED_VALUE"""),0.0)</f>
        <v>0</v>
      </c>
      <c r="W214" s="33">
        <f>IFERROR(__xludf.DUMMYFUNCTION("""COMPUTED_VALUE"""),0.0)</f>
        <v>0</v>
      </c>
      <c r="X214" s="33">
        <f>IFERROR(__xludf.DUMMYFUNCTION("""COMPUTED_VALUE"""),0.0)</f>
        <v>0</v>
      </c>
      <c r="Y214" s="33">
        <f>IFERROR(__xludf.DUMMYFUNCTION("""COMPUTED_VALUE"""),0.0)</f>
        <v>0</v>
      </c>
      <c r="Z214" s="33">
        <f>IFERROR(__xludf.DUMMYFUNCTION("""COMPUTED_VALUE"""),0.0)</f>
        <v>0</v>
      </c>
      <c r="AA214" s="33">
        <f>IFERROR(__xludf.DUMMYFUNCTION("""COMPUTED_VALUE"""),0.0)</f>
        <v>0</v>
      </c>
      <c r="AB214" s="33">
        <f>IFERROR(__xludf.DUMMYFUNCTION("""COMPUTED_VALUE"""),0.0)</f>
        <v>0</v>
      </c>
      <c r="AC214" s="33">
        <f>IFERROR(__xludf.DUMMYFUNCTION("""COMPUTED_VALUE"""),1.3175)</f>
        <v>1.3175</v>
      </c>
      <c r="AD214" s="33">
        <f>IFERROR(__xludf.DUMMYFUNCTION("""COMPUTED_VALUE"""),0.813611111111111)</f>
        <v>0.8136111111</v>
      </c>
      <c r="AE214" s="33">
        <f>IFERROR(__xludf.DUMMYFUNCTION("""COMPUTED_VALUE"""),1.3175)</f>
        <v>1.3175</v>
      </c>
      <c r="AF214" s="33">
        <f>IFERROR(__xludf.DUMMYFUNCTION("""COMPUTED_VALUE"""),0.0)</f>
        <v>0</v>
      </c>
    </row>
    <row r="215">
      <c r="A215" s="49">
        <f>IFERROR(__xludf.DUMMYFUNCTION("""COMPUTED_VALUE"""),46097.0)</f>
        <v>46097</v>
      </c>
      <c r="B215" s="33" t="str">
        <f>IFERROR(__xludf.DUMMYFUNCTION("""COMPUTED_VALUE"""),"37e68193f879e91ec362f75f4b46511110658e2b")</f>
        <v>37e68193f879e91ec362f75f4b46511110658e2b</v>
      </c>
      <c r="C215" s="33" t="str">
        <f>IFERROR(__xludf.DUMMYFUNCTION("""COMPUTED_VALUE"""),"Shiva : Ek Pretyodha")</f>
        <v>Shiva : Ek Pretyodha</v>
      </c>
      <c r="D215" s="33">
        <f>IFERROR(__xludf.DUMMYFUNCTION("""COMPUTED_VALUE"""),0.0)</f>
        <v>0</v>
      </c>
      <c r="E215" s="33">
        <f>IFERROR(__xludf.DUMMYFUNCTION("""COMPUTED_VALUE"""),0.0)</f>
        <v>0</v>
      </c>
      <c r="F215" s="33">
        <f>IFERROR(__xludf.DUMMYFUNCTION("""COMPUTED_VALUE"""),0.0)</f>
        <v>0</v>
      </c>
      <c r="G215" s="33">
        <f>IFERROR(__xludf.DUMMYFUNCTION("""COMPUTED_VALUE"""),0.0)</f>
        <v>0</v>
      </c>
      <c r="H215" s="33">
        <f>IFERROR(__xludf.DUMMYFUNCTION("""COMPUTED_VALUE"""),0.0)</f>
        <v>0</v>
      </c>
      <c r="I215" s="33">
        <f>IFERROR(__xludf.DUMMYFUNCTION("""COMPUTED_VALUE"""),0.0)</f>
        <v>0</v>
      </c>
      <c r="J215" s="33">
        <f>IFERROR(__xludf.DUMMYFUNCTION("""COMPUTED_VALUE"""),0.0)</f>
        <v>0</v>
      </c>
      <c r="K215" s="33">
        <f>IFERROR(__xludf.DUMMYFUNCTION("""COMPUTED_VALUE"""),0.0)</f>
        <v>0</v>
      </c>
      <c r="L215" s="33">
        <f>IFERROR(__xludf.DUMMYFUNCTION("""COMPUTED_VALUE"""),0.0)</f>
        <v>0</v>
      </c>
      <c r="M215" s="33">
        <f>IFERROR(__xludf.DUMMYFUNCTION("""COMPUTED_VALUE"""),0.0)</f>
        <v>0</v>
      </c>
      <c r="N215" s="33">
        <f>IFERROR(__xludf.DUMMYFUNCTION("""COMPUTED_VALUE"""),47.0)</f>
        <v>47</v>
      </c>
      <c r="O215" s="33">
        <f>IFERROR(__xludf.DUMMYFUNCTION("""COMPUTED_VALUE"""),29.0)</f>
        <v>29</v>
      </c>
      <c r="P215" s="33">
        <f>IFERROR(__xludf.DUMMYFUNCTION("""COMPUTED_VALUE"""),27.0)</f>
        <v>27</v>
      </c>
      <c r="Q215" s="33">
        <f>IFERROR(__xludf.DUMMYFUNCTION("""COMPUTED_VALUE"""),0.0)</f>
        <v>0</v>
      </c>
      <c r="R215" s="33">
        <f>IFERROR(__xludf.DUMMYFUNCTION("""COMPUTED_VALUE"""),0.0)</f>
        <v>0</v>
      </c>
      <c r="S215" s="33">
        <f>IFERROR(__xludf.DUMMYFUNCTION("""COMPUTED_VALUE"""),0.0)</f>
        <v>0</v>
      </c>
      <c r="T215" s="33">
        <f>IFERROR(__xludf.DUMMYFUNCTION("""COMPUTED_VALUE"""),0.0)</f>
        <v>0</v>
      </c>
      <c r="U215" s="33">
        <f>IFERROR(__xludf.DUMMYFUNCTION("""COMPUTED_VALUE"""),0.0)</f>
        <v>0</v>
      </c>
      <c r="V215" s="33">
        <f>IFERROR(__xludf.DUMMYFUNCTION("""COMPUTED_VALUE"""),0.0)</f>
        <v>0</v>
      </c>
      <c r="W215" s="33">
        <f>IFERROR(__xludf.DUMMYFUNCTION("""COMPUTED_VALUE"""),0.0)</f>
        <v>0</v>
      </c>
      <c r="X215" s="33">
        <f>IFERROR(__xludf.DUMMYFUNCTION("""COMPUTED_VALUE"""),0.0)</f>
        <v>0</v>
      </c>
      <c r="Y215" s="33">
        <f>IFERROR(__xludf.DUMMYFUNCTION("""COMPUTED_VALUE"""),0.0)</f>
        <v>0</v>
      </c>
      <c r="Z215" s="33">
        <f>IFERROR(__xludf.DUMMYFUNCTION("""COMPUTED_VALUE"""),0.0)</f>
        <v>0</v>
      </c>
      <c r="AA215" s="33">
        <f>IFERROR(__xludf.DUMMYFUNCTION("""COMPUTED_VALUE"""),0.0)</f>
        <v>0</v>
      </c>
      <c r="AB215" s="33">
        <f>IFERROR(__xludf.DUMMYFUNCTION("""COMPUTED_VALUE"""),0.0)</f>
        <v>0</v>
      </c>
      <c r="AC215" s="33">
        <f>IFERROR(__xludf.DUMMYFUNCTION("""COMPUTED_VALUE"""),9.08888888888888)</f>
        <v>9.088888889</v>
      </c>
      <c r="AD215" s="33">
        <f>IFERROR(__xludf.DUMMYFUNCTION("""COMPUTED_VALUE"""),2.93916666666666)</f>
        <v>2.939166667</v>
      </c>
      <c r="AE215" s="33">
        <f>IFERROR(__xludf.DUMMYFUNCTION("""COMPUTED_VALUE"""),2.83555555555555)</f>
        <v>2.835555556</v>
      </c>
      <c r="AF215" s="33">
        <f>IFERROR(__xludf.DUMMYFUNCTION("""COMPUTED_VALUE"""),0.0)</f>
        <v>0</v>
      </c>
    </row>
    <row r="216">
      <c r="A216" s="49">
        <f>IFERROR(__xludf.DUMMYFUNCTION("""COMPUTED_VALUE"""),46097.0)</f>
        <v>46097</v>
      </c>
      <c r="B216" s="33" t="str">
        <f>IFERROR(__xludf.DUMMYFUNCTION("""COMPUTED_VALUE"""),"394d109f7b50d9a46fb591dbaaba2d0aac90a696")</f>
        <v>394d109f7b50d9a46fb591dbaaba2d0aac90a696</v>
      </c>
      <c r="C216" s="33" t="str">
        <f>IFERROR(__xludf.DUMMYFUNCTION("""COMPUTED_VALUE"""),"Empire of Hidden King (SRGJ) - Production Show_id")</f>
        <v>Empire of Hidden King (SRGJ) - Production Show_id</v>
      </c>
      <c r="D216" s="33">
        <f>IFERROR(__xludf.DUMMYFUNCTION("""COMPUTED_VALUE"""),7.0)</f>
        <v>7</v>
      </c>
      <c r="E216" s="33">
        <f>IFERROR(__xludf.DUMMYFUNCTION("""COMPUTED_VALUE"""),13.0)</f>
        <v>13</v>
      </c>
      <c r="F216" s="33">
        <f>IFERROR(__xludf.DUMMYFUNCTION("""COMPUTED_VALUE"""),9.0)</f>
        <v>9</v>
      </c>
      <c r="G216" s="33">
        <f>IFERROR(__xludf.DUMMYFUNCTION("""COMPUTED_VALUE"""),10.0)</f>
        <v>10</v>
      </c>
      <c r="H216" s="33">
        <f>IFERROR(__xludf.DUMMYFUNCTION("""COMPUTED_VALUE"""),15.0)</f>
        <v>15</v>
      </c>
      <c r="I216" s="33">
        <f>IFERROR(__xludf.DUMMYFUNCTION("""COMPUTED_VALUE"""),3.0)</f>
        <v>3</v>
      </c>
      <c r="J216" s="33">
        <f>IFERROR(__xludf.DUMMYFUNCTION("""COMPUTED_VALUE"""),15.0)</f>
        <v>15</v>
      </c>
      <c r="K216" s="33">
        <f>IFERROR(__xludf.DUMMYFUNCTION("""COMPUTED_VALUE"""),4.0)</f>
        <v>4</v>
      </c>
      <c r="L216" s="33">
        <f>IFERROR(__xludf.DUMMYFUNCTION("""COMPUTED_VALUE"""),3.0)</f>
        <v>3</v>
      </c>
      <c r="M216" s="33">
        <f>IFERROR(__xludf.DUMMYFUNCTION("""COMPUTED_VALUE"""),14.0)</f>
        <v>14</v>
      </c>
      <c r="N216" s="33">
        <f>IFERROR(__xludf.DUMMYFUNCTION("""COMPUTED_VALUE"""),14.0)</f>
        <v>14</v>
      </c>
      <c r="O216" s="33">
        <f>IFERROR(__xludf.DUMMYFUNCTION("""COMPUTED_VALUE"""),6.0)</f>
        <v>6</v>
      </c>
      <c r="P216" s="33">
        <f>IFERROR(__xludf.DUMMYFUNCTION("""COMPUTED_VALUE"""),14.0)</f>
        <v>14</v>
      </c>
      <c r="Q216" s="33">
        <f>IFERROR(__xludf.DUMMYFUNCTION("""COMPUTED_VALUE"""),0.0)</f>
        <v>0</v>
      </c>
      <c r="R216" s="33">
        <f>IFERROR(__xludf.DUMMYFUNCTION("""COMPUTED_VALUE"""),19157.0)</f>
        <v>19157</v>
      </c>
      <c r="S216" s="33">
        <f>IFERROR(__xludf.DUMMYFUNCTION("""COMPUTED_VALUE"""),35056.0)</f>
        <v>35056</v>
      </c>
      <c r="T216" s="33">
        <f>IFERROR(__xludf.DUMMYFUNCTION("""COMPUTED_VALUE"""),3.11361111111111)</f>
        <v>3.113611111</v>
      </c>
      <c r="U216" s="33">
        <f>IFERROR(__xludf.DUMMYFUNCTION("""COMPUTED_VALUE"""),2.36611111111111)</f>
        <v>2.366111111</v>
      </c>
      <c r="V216" s="33">
        <f>IFERROR(__xludf.DUMMYFUNCTION("""COMPUTED_VALUE"""),2.71)</f>
        <v>2.71</v>
      </c>
      <c r="W216" s="33">
        <f>IFERROR(__xludf.DUMMYFUNCTION("""COMPUTED_VALUE"""),4.005)</f>
        <v>4.005</v>
      </c>
      <c r="X216" s="33">
        <f>IFERROR(__xludf.DUMMYFUNCTION("""COMPUTED_VALUE"""),0.734166666666666)</f>
        <v>0.7341666667</v>
      </c>
      <c r="Y216" s="33">
        <f>IFERROR(__xludf.DUMMYFUNCTION("""COMPUTED_VALUE"""),4.00722222222222)</f>
        <v>4.007222222</v>
      </c>
      <c r="Z216" s="33">
        <f>IFERROR(__xludf.DUMMYFUNCTION("""COMPUTED_VALUE"""),1.03305555555555)</f>
        <v>1.033055556</v>
      </c>
      <c r="AA216" s="33">
        <f>IFERROR(__xludf.DUMMYFUNCTION("""COMPUTED_VALUE"""),0.747222222222222)</f>
        <v>0.7472222222</v>
      </c>
      <c r="AB216" s="33">
        <f>IFERROR(__xludf.DUMMYFUNCTION("""COMPUTED_VALUE"""),3.78833333333333)</f>
        <v>3.788333333</v>
      </c>
      <c r="AC216" s="33">
        <f>IFERROR(__xludf.DUMMYFUNCTION("""COMPUTED_VALUE"""),3.78833333333333)</f>
        <v>3.788333333</v>
      </c>
      <c r="AD216" s="33">
        <f>IFERROR(__xludf.DUMMYFUNCTION("""COMPUTED_VALUE"""),1.75666666666666)</f>
        <v>1.756666667</v>
      </c>
      <c r="AE216" s="33">
        <f>IFERROR(__xludf.DUMMYFUNCTION("""COMPUTED_VALUE"""),3.78833333333333)</f>
        <v>3.788333333</v>
      </c>
      <c r="AF216" s="33">
        <f>IFERROR(__xludf.DUMMYFUNCTION("""COMPUTED_VALUE"""),12.0)</f>
        <v>12</v>
      </c>
    </row>
    <row r="217">
      <c r="A217" s="49">
        <f>IFERROR(__xludf.DUMMYFUNCTION("""COMPUTED_VALUE"""),46097.0)</f>
        <v>46097</v>
      </c>
      <c r="B217" s="33" t="str">
        <f>IFERROR(__xludf.DUMMYFUNCTION("""COMPUTED_VALUE"""),"5066c0736f9e9444f2b4da840d6860b1f7f47d11")</f>
        <v>5066c0736f9e9444f2b4da840d6860b1f7f47d11</v>
      </c>
      <c r="C217" s="33" t="str">
        <f>IFERROR(__xludf.DUMMYFUNCTION("""COMPUTED_VALUE"""),"The Warrior | Author - Dayaram Prajapati - Replica (For Production Only)")</f>
        <v>The Warrior | Author - Dayaram Prajapati - Replica (For Production Only)</v>
      </c>
      <c r="D217" s="33">
        <f>IFERROR(__xludf.DUMMYFUNCTION("""COMPUTED_VALUE"""),18.0)</f>
        <v>18</v>
      </c>
      <c r="E217" s="33">
        <f>IFERROR(__xludf.DUMMYFUNCTION("""COMPUTED_VALUE"""),18.0)</f>
        <v>18</v>
      </c>
      <c r="F217" s="33">
        <f>IFERROR(__xludf.DUMMYFUNCTION("""COMPUTED_VALUE"""),19.0)</f>
        <v>19</v>
      </c>
      <c r="G217" s="33">
        <f>IFERROR(__xludf.DUMMYFUNCTION("""COMPUTED_VALUE"""),17.0)</f>
        <v>17</v>
      </c>
      <c r="H217" s="33">
        <f>IFERROR(__xludf.DUMMYFUNCTION("""COMPUTED_VALUE"""),18.0)</f>
        <v>18</v>
      </c>
      <c r="I217" s="33">
        <f>IFERROR(__xludf.DUMMYFUNCTION("""COMPUTED_VALUE"""),2.0)</f>
        <v>2</v>
      </c>
      <c r="J217" s="33">
        <f>IFERROR(__xludf.DUMMYFUNCTION("""COMPUTED_VALUE"""),18.0)</f>
        <v>18</v>
      </c>
      <c r="K217" s="33">
        <f>IFERROR(__xludf.DUMMYFUNCTION("""COMPUTED_VALUE"""),3.0)</f>
        <v>3</v>
      </c>
      <c r="L217" s="33">
        <f>IFERROR(__xludf.DUMMYFUNCTION("""COMPUTED_VALUE"""),2.0)</f>
        <v>2</v>
      </c>
      <c r="M217" s="33">
        <f>IFERROR(__xludf.DUMMYFUNCTION("""COMPUTED_VALUE"""),13.0)</f>
        <v>13</v>
      </c>
      <c r="N217" s="33">
        <f>IFERROR(__xludf.DUMMYFUNCTION("""COMPUTED_VALUE"""),10.0)</f>
        <v>10</v>
      </c>
      <c r="O217" s="33">
        <f>IFERROR(__xludf.DUMMYFUNCTION("""COMPUTED_VALUE"""),7.0)</f>
        <v>7</v>
      </c>
      <c r="P217" s="33">
        <f>IFERROR(__xludf.DUMMYFUNCTION("""COMPUTED_VALUE"""),10.0)</f>
        <v>10</v>
      </c>
      <c r="Q217" s="33">
        <f>IFERROR(__xludf.DUMMYFUNCTION("""COMPUTED_VALUE"""),0.0)</f>
        <v>0</v>
      </c>
      <c r="R217" s="33">
        <f>IFERROR(__xludf.DUMMYFUNCTION("""COMPUTED_VALUE"""),49276.0)</f>
        <v>49276</v>
      </c>
      <c r="S217" s="33">
        <f>IFERROR(__xludf.DUMMYFUNCTION("""COMPUTED_VALUE"""),51085.0)</f>
        <v>51085</v>
      </c>
      <c r="T217" s="33">
        <f>IFERROR(__xludf.DUMMYFUNCTION("""COMPUTED_VALUE"""),5.59888888888888)</f>
        <v>5.598888889</v>
      </c>
      <c r="U217" s="33">
        <f>IFERROR(__xludf.DUMMYFUNCTION("""COMPUTED_VALUE"""),5.33777777777777)</f>
        <v>5.337777778</v>
      </c>
      <c r="V217" s="33">
        <f>IFERROR(__xludf.DUMMYFUNCTION("""COMPUTED_VALUE"""),4.76472222222222)</f>
        <v>4.764722222</v>
      </c>
      <c r="W217" s="33">
        <f>IFERROR(__xludf.DUMMYFUNCTION("""COMPUTED_VALUE"""),5.02527777777777)</f>
        <v>5.025277778</v>
      </c>
      <c r="X217" s="33">
        <f>IFERROR(__xludf.DUMMYFUNCTION("""COMPUTED_VALUE"""),0.563333333333333)</f>
        <v>0.5633333333</v>
      </c>
      <c r="Y217" s="33">
        <f>IFERROR(__xludf.DUMMYFUNCTION("""COMPUTED_VALUE"""),5.02666666666666)</f>
        <v>5.026666667</v>
      </c>
      <c r="Z217" s="33">
        <f>IFERROR(__xludf.DUMMYFUNCTION("""COMPUTED_VALUE"""),0.911111111111111)</f>
        <v>0.9111111111</v>
      </c>
      <c r="AA217" s="33">
        <f>IFERROR(__xludf.DUMMYFUNCTION("""COMPUTED_VALUE"""),0.635277777777777)</f>
        <v>0.6352777778</v>
      </c>
      <c r="AB217" s="33">
        <f>IFERROR(__xludf.DUMMYFUNCTION("""COMPUTED_VALUE"""),3.79499999999999)</f>
        <v>3.795</v>
      </c>
      <c r="AC217" s="33">
        <f>IFERROR(__xludf.DUMMYFUNCTION("""COMPUTED_VALUE"""),2.98888888888888)</f>
        <v>2.988888889</v>
      </c>
      <c r="AD217" s="33">
        <f>IFERROR(__xludf.DUMMYFUNCTION("""COMPUTED_VALUE"""),1.74)</f>
        <v>1.74</v>
      </c>
      <c r="AE217" s="33">
        <f>IFERROR(__xludf.DUMMYFUNCTION("""COMPUTED_VALUE"""),2.98888888888888)</f>
        <v>2.988888889</v>
      </c>
      <c r="AF217" s="33">
        <f>IFERROR(__xludf.DUMMYFUNCTION("""COMPUTED_VALUE"""),20.0)</f>
        <v>20</v>
      </c>
    </row>
    <row r="218">
      <c r="A218" s="49">
        <f>IFERROR(__xludf.DUMMYFUNCTION("""COMPUTED_VALUE"""),46097.0)</f>
        <v>46097</v>
      </c>
      <c r="B218" s="33" t="str">
        <f>IFERROR(__xludf.DUMMYFUNCTION("""COMPUTED_VALUE"""),"54847eda0794e861da74c1034ace021b4643357b")</f>
        <v>54847eda0794e861da74c1034ace021b4643357b</v>
      </c>
      <c r="C218" s="33" t="str">
        <f>IFERROR(__xludf.DUMMYFUNCTION("""COMPUTED_VALUE"""),"Billionaire King's Love (Production)")</f>
        <v>Billionaire King's Love (Production)</v>
      </c>
      <c r="D218" s="33">
        <f>IFERROR(__xludf.DUMMYFUNCTION("""COMPUTED_VALUE"""),13.0)</f>
        <v>13</v>
      </c>
      <c r="E218" s="33">
        <f>IFERROR(__xludf.DUMMYFUNCTION("""COMPUTED_VALUE"""),6.0)</f>
        <v>6</v>
      </c>
      <c r="F218" s="33">
        <f>IFERROR(__xludf.DUMMYFUNCTION("""COMPUTED_VALUE"""),10.0)</f>
        <v>10</v>
      </c>
      <c r="G218" s="33">
        <f>IFERROR(__xludf.DUMMYFUNCTION("""COMPUTED_VALUE"""),0.0)</f>
        <v>0</v>
      </c>
      <c r="H218" s="33">
        <f>IFERROR(__xludf.DUMMYFUNCTION("""COMPUTED_VALUE"""),1.0)</f>
        <v>1</v>
      </c>
      <c r="I218" s="33">
        <f>IFERROR(__xludf.DUMMYFUNCTION("""COMPUTED_VALUE"""),1.0)</f>
        <v>1</v>
      </c>
      <c r="J218" s="33">
        <f>IFERROR(__xludf.DUMMYFUNCTION("""COMPUTED_VALUE"""),0.0)</f>
        <v>0</v>
      </c>
      <c r="K218" s="33">
        <f>IFERROR(__xludf.DUMMYFUNCTION("""COMPUTED_VALUE"""),0.0)</f>
        <v>0</v>
      </c>
      <c r="L218" s="33">
        <f>IFERROR(__xludf.DUMMYFUNCTION("""COMPUTED_VALUE"""),0.0)</f>
        <v>0</v>
      </c>
      <c r="M218" s="33">
        <f>IFERROR(__xludf.DUMMYFUNCTION("""COMPUTED_VALUE"""),0.0)</f>
        <v>0</v>
      </c>
      <c r="N218" s="33">
        <f>IFERROR(__xludf.DUMMYFUNCTION("""COMPUTED_VALUE"""),0.0)</f>
        <v>0</v>
      </c>
      <c r="O218" s="33">
        <f>IFERROR(__xludf.DUMMYFUNCTION("""COMPUTED_VALUE"""),0.0)</f>
        <v>0</v>
      </c>
      <c r="P218" s="33">
        <f>IFERROR(__xludf.DUMMYFUNCTION("""COMPUTED_VALUE"""),0.0)</f>
        <v>0</v>
      </c>
      <c r="Q218" s="33">
        <f>IFERROR(__xludf.DUMMYFUNCTION("""COMPUTED_VALUE"""),0.0)</f>
        <v>0</v>
      </c>
      <c r="R218" s="33">
        <f>IFERROR(__xludf.DUMMYFUNCTION("""COMPUTED_VALUE"""),29587.0)</f>
        <v>29587</v>
      </c>
      <c r="S218" s="33">
        <f>IFERROR(__xludf.DUMMYFUNCTION("""COMPUTED_VALUE"""),14473.0)</f>
        <v>14473</v>
      </c>
      <c r="T218" s="33">
        <f>IFERROR(__xludf.DUMMYFUNCTION("""COMPUTED_VALUE"""),2.28388888888888)</f>
        <v>2.283888889</v>
      </c>
      <c r="U218" s="33">
        <f>IFERROR(__xludf.DUMMYFUNCTION("""COMPUTED_VALUE"""),2.06305555555555)</f>
        <v>2.063055556</v>
      </c>
      <c r="V218" s="33">
        <f>IFERROR(__xludf.DUMMYFUNCTION("""COMPUTED_VALUE"""),0.0)</f>
        <v>0</v>
      </c>
      <c r="W218" s="33">
        <f>IFERROR(__xludf.DUMMYFUNCTION("""COMPUTED_VALUE"""),0.220833333333333)</f>
        <v>0.2208333333</v>
      </c>
      <c r="X218" s="33">
        <f>IFERROR(__xludf.DUMMYFUNCTION("""COMPUTED_VALUE"""),0.220833333333333)</f>
        <v>0.2208333333</v>
      </c>
      <c r="Y218" s="33">
        <f>IFERROR(__xludf.DUMMYFUNCTION("""COMPUTED_VALUE"""),0.0)</f>
        <v>0</v>
      </c>
      <c r="Z218" s="33">
        <f>IFERROR(__xludf.DUMMYFUNCTION("""COMPUTED_VALUE"""),0.0)</f>
        <v>0</v>
      </c>
      <c r="AA218" s="33">
        <f>IFERROR(__xludf.DUMMYFUNCTION("""COMPUTED_VALUE"""),0.0)</f>
        <v>0</v>
      </c>
      <c r="AB218" s="33">
        <f>IFERROR(__xludf.DUMMYFUNCTION("""COMPUTED_VALUE"""),0.0)</f>
        <v>0</v>
      </c>
      <c r="AC218" s="33">
        <f>IFERROR(__xludf.DUMMYFUNCTION("""COMPUTED_VALUE"""),0.0)</f>
        <v>0</v>
      </c>
      <c r="AD218" s="33">
        <f>IFERROR(__xludf.DUMMYFUNCTION("""COMPUTED_VALUE"""),0.0)</f>
        <v>0</v>
      </c>
      <c r="AE218" s="33">
        <f>IFERROR(__xludf.DUMMYFUNCTION("""COMPUTED_VALUE"""),0.0)</f>
        <v>0</v>
      </c>
      <c r="AF218" s="33">
        <f>IFERROR(__xludf.DUMMYFUNCTION("""COMPUTED_VALUE"""),11.0)</f>
        <v>11</v>
      </c>
    </row>
    <row r="219">
      <c r="A219" s="49">
        <f>IFERROR(__xludf.DUMMYFUNCTION("""COMPUTED_VALUE"""),46097.0)</f>
        <v>46097</v>
      </c>
      <c r="B219" s="33" t="str">
        <f>IFERROR(__xludf.DUMMYFUNCTION("""COMPUTED_VALUE"""),"5baf4c80faf4b2d4eb9401a1d0081872e0158e89")</f>
        <v>5baf4c80faf4b2d4eb9401a1d0081872e0158e89</v>
      </c>
      <c r="C219" s="33" t="str">
        <f>IFERROR(__xludf.DUMMYFUNCTION("""COMPUTED_VALUE"""),"Brahmyodha : The Destroyer - Production showId")</f>
        <v>Brahmyodha : The Destroyer - Production showId</v>
      </c>
      <c r="D219" s="33">
        <f>IFERROR(__xludf.DUMMYFUNCTION("""COMPUTED_VALUE"""),28.0)</f>
        <v>28</v>
      </c>
      <c r="E219" s="33">
        <f>IFERROR(__xludf.DUMMYFUNCTION("""COMPUTED_VALUE"""),19.0)</f>
        <v>19</v>
      </c>
      <c r="F219" s="33">
        <f>IFERROR(__xludf.DUMMYFUNCTION("""COMPUTED_VALUE"""),7.0)</f>
        <v>7</v>
      </c>
      <c r="G219" s="33">
        <f>IFERROR(__xludf.DUMMYFUNCTION("""COMPUTED_VALUE"""),0.0)</f>
        <v>0</v>
      </c>
      <c r="H219" s="33">
        <f>IFERROR(__xludf.DUMMYFUNCTION("""COMPUTED_VALUE"""),16.0)</f>
        <v>16</v>
      </c>
      <c r="I219" s="33">
        <f>IFERROR(__xludf.DUMMYFUNCTION("""COMPUTED_VALUE"""),9.0)</f>
        <v>9</v>
      </c>
      <c r="J219" s="33">
        <f>IFERROR(__xludf.DUMMYFUNCTION("""COMPUTED_VALUE"""),16.0)</f>
        <v>16</v>
      </c>
      <c r="K219" s="33">
        <f>IFERROR(__xludf.DUMMYFUNCTION("""COMPUTED_VALUE"""),4.0)</f>
        <v>4</v>
      </c>
      <c r="L219" s="33">
        <f>IFERROR(__xludf.DUMMYFUNCTION("""COMPUTED_VALUE"""),0.0)</f>
        <v>0</v>
      </c>
      <c r="M219" s="33">
        <f>IFERROR(__xludf.DUMMYFUNCTION("""COMPUTED_VALUE"""),16.0)</f>
        <v>16</v>
      </c>
      <c r="N219" s="33">
        <f>IFERROR(__xludf.DUMMYFUNCTION("""COMPUTED_VALUE"""),16.0)</f>
        <v>16</v>
      </c>
      <c r="O219" s="33">
        <f>IFERROR(__xludf.DUMMYFUNCTION("""COMPUTED_VALUE"""),5.0)</f>
        <v>5</v>
      </c>
      <c r="P219" s="33">
        <f>IFERROR(__xludf.DUMMYFUNCTION("""COMPUTED_VALUE"""),16.0)</f>
        <v>16</v>
      </c>
      <c r="Q219" s="33">
        <f>IFERROR(__xludf.DUMMYFUNCTION("""COMPUTED_VALUE"""),0.0)</f>
        <v>0</v>
      </c>
      <c r="R219" s="33">
        <f>IFERROR(__xludf.DUMMYFUNCTION("""COMPUTED_VALUE"""),63339.0)</f>
        <v>63339</v>
      </c>
      <c r="S219" s="33">
        <f>IFERROR(__xludf.DUMMYFUNCTION("""COMPUTED_VALUE"""),44352.0)</f>
        <v>44352</v>
      </c>
      <c r="T219" s="33">
        <f>IFERROR(__xludf.DUMMYFUNCTION("""COMPUTED_VALUE"""),3.66583333333333)</f>
        <v>3.665833333</v>
      </c>
      <c r="U219" s="33">
        <f>IFERROR(__xludf.DUMMYFUNCTION("""COMPUTED_VALUE"""),1.5875)</f>
        <v>1.5875</v>
      </c>
      <c r="V219" s="33">
        <f>IFERROR(__xludf.DUMMYFUNCTION("""COMPUTED_VALUE"""),0.0)</f>
        <v>0</v>
      </c>
      <c r="W219" s="33">
        <f>IFERROR(__xludf.DUMMYFUNCTION("""COMPUTED_VALUE"""),3.66194444444444)</f>
        <v>3.661944444</v>
      </c>
      <c r="X219" s="33">
        <f>IFERROR(__xludf.DUMMYFUNCTION("""COMPUTED_VALUE"""),2.07833333333333)</f>
        <v>2.078333333</v>
      </c>
      <c r="Y219" s="33">
        <f>IFERROR(__xludf.DUMMYFUNCTION("""COMPUTED_VALUE"""),3.67222222222222)</f>
        <v>3.672222222</v>
      </c>
      <c r="Z219" s="33">
        <f>IFERROR(__xludf.DUMMYFUNCTION("""COMPUTED_VALUE"""),0.88)</f>
        <v>0.88</v>
      </c>
      <c r="AA219" s="33">
        <f>IFERROR(__xludf.DUMMYFUNCTION("""COMPUTED_VALUE"""),0.0)</f>
        <v>0</v>
      </c>
      <c r="AB219" s="33">
        <f>IFERROR(__xludf.DUMMYFUNCTION("""COMPUTED_VALUE"""),3.67222222222222)</f>
        <v>3.672222222</v>
      </c>
      <c r="AC219" s="33">
        <f>IFERROR(__xludf.DUMMYFUNCTION("""COMPUTED_VALUE"""),3.67222222222222)</f>
        <v>3.672222222</v>
      </c>
      <c r="AD219" s="33">
        <f>IFERROR(__xludf.DUMMYFUNCTION("""COMPUTED_VALUE"""),1.09888888888888)</f>
        <v>1.098888889</v>
      </c>
      <c r="AE219" s="33">
        <f>IFERROR(__xludf.DUMMYFUNCTION("""COMPUTED_VALUE"""),3.67222222222222)</f>
        <v>3.672222222</v>
      </c>
      <c r="AF219" s="33">
        <f>IFERROR(__xludf.DUMMYFUNCTION("""COMPUTED_VALUE"""),16.0)</f>
        <v>16</v>
      </c>
    </row>
    <row r="220">
      <c r="A220" s="49">
        <f>IFERROR(__xludf.DUMMYFUNCTION("""COMPUTED_VALUE"""),46097.0)</f>
        <v>46097</v>
      </c>
      <c r="B220" s="33" t="str">
        <f>IFERROR(__xludf.DUMMYFUNCTION("""COMPUTED_VALUE"""),"641b6f77fd211e92df35a3bcbab67e6879e19a66")</f>
        <v>641b6f77fd211e92df35a3bcbab67e6879e19a66</v>
      </c>
      <c r="C220" s="33" t="str">
        <f>IFERROR(__xludf.DUMMYFUNCTION("""COMPUTED_VALUE"""),"Mahagatha | महागाथा | Author - S. Mauryavanshi")</f>
        <v>Mahagatha | महागाथा | Author - S. Mauryavanshi</v>
      </c>
      <c r="D220" s="33">
        <f>IFERROR(__xludf.DUMMYFUNCTION("""COMPUTED_VALUE"""),12.0)</f>
        <v>12</v>
      </c>
      <c r="E220" s="33">
        <f>IFERROR(__xludf.DUMMYFUNCTION("""COMPUTED_VALUE"""),11.0)</f>
        <v>11</v>
      </c>
      <c r="F220" s="33">
        <f>IFERROR(__xludf.DUMMYFUNCTION("""COMPUTED_VALUE"""),3.0)</f>
        <v>3</v>
      </c>
      <c r="G220" s="33">
        <f>IFERROR(__xludf.DUMMYFUNCTION("""COMPUTED_VALUE"""),0.0)</f>
        <v>0</v>
      </c>
      <c r="H220" s="33">
        <f>IFERROR(__xludf.DUMMYFUNCTION("""COMPUTED_VALUE"""),11.0)</f>
        <v>11</v>
      </c>
      <c r="I220" s="33">
        <f>IFERROR(__xludf.DUMMYFUNCTION("""COMPUTED_VALUE"""),8.0)</f>
        <v>8</v>
      </c>
      <c r="J220" s="33">
        <f>IFERROR(__xludf.DUMMYFUNCTION("""COMPUTED_VALUE"""),10.0)</f>
        <v>10</v>
      </c>
      <c r="K220" s="33">
        <f>IFERROR(__xludf.DUMMYFUNCTION("""COMPUTED_VALUE"""),4.0)</f>
        <v>4</v>
      </c>
      <c r="L220" s="33">
        <f>IFERROR(__xludf.DUMMYFUNCTION("""COMPUTED_VALUE"""),1.0)</f>
        <v>1</v>
      </c>
      <c r="M220" s="33">
        <f>IFERROR(__xludf.DUMMYFUNCTION("""COMPUTED_VALUE"""),9.0)</f>
        <v>9</v>
      </c>
      <c r="N220" s="33">
        <f>IFERROR(__xludf.DUMMYFUNCTION("""COMPUTED_VALUE"""),9.0)</f>
        <v>9</v>
      </c>
      <c r="O220" s="33">
        <f>IFERROR(__xludf.DUMMYFUNCTION("""COMPUTED_VALUE"""),7.0)</f>
        <v>7</v>
      </c>
      <c r="P220" s="33">
        <f>IFERROR(__xludf.DUMMYFUNCTION("""COMPUTED_VALUE"""),9.0)</f>
        <v>9</v>
      </c>
      <c r="Q220" s="33">
        <f>IFERROR(__xludf.DUMMYFUNCTION("""COMPUTED_VALUE"""),0.0)</f>
        <v>0</v>
      </c>
      <c r="R220" s="33">
        <f>IFERROR(__xludf.DUMMYFUNCTION("""COMPUTED_VALUE"""),31554.0)</f>
        <v>31554</v>
      </c>
      <c r="S220" s="33">
        <f>IFERROR(__xludf.DUMMYFUNCTION("""COMPUTED_VALUE"""),29424.0)</f>
        <v>29424</v>
      </c>
      <c r="T220" s="33">
        <f>IFERROR(__xludf.DUMMYFUNCTION("""COMPUTED_VALUE"""),2.51805555555555)</f>
        <v>2.518055556</v>
      </c>
      <c r="U220" s="33">
        <f>IFERROR(__xludf.DUMMYFUNCTION("""COMPUTED_VALUE"""),0.748333333333333)</f>
        <v>0.7483333333</v>
      </c>
      <c r="V220" s="33">
        <f>IFERROR(__xludf.DUMMYFUNCTION("""COMPUTED_VALUE"""),0.0)</f>
        <v>0</v>
      </c>
      <c r="W220" s="33">
        <f>IFERROR(__xludf.DUMMYFUNCTION("""COMPUTED_VALUE"""),2.76222222222222)</f>
        <v>2.762222222</v>
      </c>
      <c r="X220" s="33">
        <f>IFERROR(__xludf.DUMMYFUNCTION("""COMPUTED_VALUE"""),2.01055555555555)</f>
        <v>2.010555556</v>
      </c>
      <c r="Y220" s="33">
        <f>IFERROR(__xludf.DUMMYFUNCTION("""COMPUTED_VALUE"""),2.5075)</f>
        <v>2.5075</v>
      </c>
      <c r="Z220" s="33">
        <f>IFERROR(__xludf.DUMMYFUNCTION("""COMPUTED_VALUE"""),0.999722222222222)</f>
        <v>0.9997222222</v>
      </c>
      <c r="AA220" s="33">
        <f>IFERROR(__xludf.DUMMYFUNCTION("""COMPUTED_VALUE"""),0.251944444444444)</f>
        <v>0.2519444444</v>
      </c>
      <c r="AB220" s="33">
        <f>IFERROR(__xludf.DUMMYFUNCTION("""COMPUTED_VALUE"""),2.28916666666666)</f>
        <v>2.289166667</v>
      </c>
      <c r="AC220" s="33">
        <f>IFERROR(__xludf.DUMMYFUNCTION("""COMPUTED_VALUE"""),2.28916666666666)</f>
        <v>2.289166667</v>
      </c>
      <c r="AD220" s="33">
        <f>IFERROR(__xludf.DUMMYFUNCTION("""COMPUTED_VALUE"""),1.59583333333333)</f>
        <v>1.595833333</v>
      </c>
      <c r="AE220" s="33">
        <f>IFERROR(__xludf.DUMMYFUNCTION("""COMPUTED_VALUE"""),2.28916666666666)</f>
        <v>2.289166667</v>
      </c>
      <c r="AF220" s="33">
        <f>IFERROR(__xludf.DUMMYFUNCTION("""COMPUTED_VALUE"""),10.0)</f>
        <v>10</v>
      </c>
    </row>
    <row r="221">
      <c r="A221" s="49">
        <f>IFERROR(__xludf.DUMMYFUNCTION("""COMPUTED_VALUE"""),46097.0)</f>
        <v>46097</v>
      </c>
      <c r="B221" s="33" t="str">
        <f>IFERROR(__xludf.DUMMYFUNCTION("""COMPUTED_VALUE"""),"6b246320a4c5853ce55127d5e00ee8805a97659a")</f>
        <v>6b246320a4c5853ce55127d5e00ee8805a97659a</v>
      </c>
      <c r="C221" s="33" t="str">
        <f>IFERROR(__xludf.DUMMYFUNCTION("""COMPUTED_VALUE"""),"Mystic Fate System - Production Show_id")</f>
        <v>Mystic Fate System - Production Show_id</v>
      </c>
      <c r="D221" s="33">
        <f>IFERROR(__xludf.DUMMYFUNCTION("""COMPUTED_VALUE"""),20.0)</f>
        <v>20</v>
      </c>
      <c r="E221" s="33">
        <f>IFERROR(__xludf.DUMMYFUNCTION("""COMPUTED_VALUE"""),5.0)</f>
        <v>5</v>
      </c>
      <c r="F221" s="33">
        <f>IFERROR(__xludf.DUMMYFUNCTION("""COMPUTED_VALUE"""),0.0)</f>
        <v>0</v>
      </c>
      <c r="G221" s="33">
        <f>IFERROR(__xludf.DUMMYFUNCTION("""COMPUTED_VALUE"""),0.0)</f>
        <v>0</v>
      </c>
      <c r="H221" s="33">
        <f>IFERROR(__xludf.DUMMYFUNCTION("""COMPUTED_VALUE"""),0.0)</f>
        <v>0</v>
      </c>
      <c r="I221" s="33">
        <f>IFERROR(__xludf.DUMMYFUNCTION("""COMPUTED_VALUE"""),0.0)</f>
        <v>0</v>
      </c>
      <c r="J221" s="33">
        <f>IFERROR(__xludf.DUMMYFUNCTION("""COMPUTED_VALUE"""),0.0)</f>
        <v>0</v>
      </c>
      <c r="K221" s="33">
        <f>IFERROR(__xludf.DUMMYFUNCTION("""COMPUTED_VALUE"""),0.0)</f>
        <v>0</v>
      </c>
      <c r="L221" s="33">
        <f>IFERROR(__xludf.DUMMYFUNCTION("""COMPUTED_VALUE"""),0.0)</f>
        <v>0</v>
      </c>
      <c r="M221" s="33">
        <f>IFERROR(__xludf.DUMMYFUNCTION("""COMPUTED_VALUE"""),0.0)</f>
        <v>0</v>
      </c>
      <c r="N221" s="33">
        <f>IFERROR(__xludf.DUMMYFUNCTION("""COMPUTED_VALUE"""),0.0)</f>
        <v>0</v>
      </c>
      <c r="O221" s="33">
        <f>IFERROR(__xludf.DUMMYFUNCTION("""COMPUTED_VALUE"""),0.0)</f>
        <v>0</v>
      </c>
      <c r="P221" s="33">
        <f>IFERROR(__xludf.DUMMYFUNCTION("""COMPUTED_VALUE"""),0.0)</f>
        <v>0</v>
      </c>
      <c r="Q221" s="33">
        <f>IFERROR(__xludf.DUMMYFUNCTION("""COMPUTED_VALUE"""),0.0)</f>
        <v>0</v>
      </c>
      <c r="R221" s="33">
        <f>IFERROR(__xludf.DUMMYFUNCTION("""COMPUTED_VALUE"""),41532.0)</f>
        <v>41532</v>
      </c>
      <c r="S221" s="33">
        <f>IFERROR(__xludf.DUMMYFUNCTION("""COMPUTED_VALUE"""),12151.0)</f>
        <v>12151</v>
      </c>
      <c r="T221" s="33">
        <f>IFERROR(__xludf.DUMMYFUNCTION("""COMPUTED_VALUE"""),0.0)</f>
        <v>0</v>
      </c>
      <c r="U221" s="33">
        <f>IFERROR(__xludf.DUMMYFUNCTION("""COMPUTED_VALUE"""),0.0)</f>
        <v>0</v>
      </c>
      <c r="V221" s="33">
        <f>IFERROR(__xludf.DUMMYFUNCTION("""COMPUTED_VALUE"""),0.0)</f>
        <v>0</v>
      </c>
      <c r="W221" s="33">
        <f>IFERROR(__xludf.DUMMYFUNCTION("""COMPUTED_VALUE"""),0.0)</f>
        <v>0</v>
      </c>
      <c r="X221" s="33">
        <f>IFERROR(__xludf.DUMMYFUNCTION("""COMPUTED_VALUE"""),0.0)</f>
        <v>0</v>
      </c>
      <c r="Y221" s="33">
        <f>IFERROR(__xludf.DUMMYFUNCTION("""COMPUTED_VALUE"""),0.0)</f>
        <v>0</v>
      </c>
      <c r="Z221" s="33">
        <f>IFERROR(__xludf.DUMMYFUNCTION("""COMPUTED_VALUE"""),0.0)</f>
        <v>0</v>
      </c>
      <c r="AA221" s="33">
        <f>IFERROR(__xludf.DUMMYFUNCTION("""COMPUTED_VALUE"""),0.0)</f>
        <v>0</v>
      </c>
      <c r="AB221" s="33">
        <f>IFERROR(__xludf.DUMMYFUNCTION("""COMPUTED_VALUE"""),0.0)</f>
        <v>0</v>
      </c>
      <c r="AC221" s="33">
        <f>IFERROR(__xludf.DUMMYFUNCTION("""COMPUTED_VALUE"""),0.0)</f>
        <v>0</v>
      </c>
      <c r="AD221" s="33">
        <f>IFERROR(__xludf.DUMMYFUNCTION("""COMPUTED_VALUE"""),0.0)</f>
        <v>0</v>
      </c>
      <c r="AE221" s="33">
        <f>IFERROR(__xludf.DUMMYFUNCTION("""COMPUTED_VALUE"""),0.0)</f>
        <v>0</v>
      </c>
      <c r="AF221" s="33">
        <f>IFERROR(__xludf.DUMMYFUNCTION("""COMPUTED_VALUE"""),0.0)</f>
        <v>0</v>
      </c>
    </row>
    <row r="222">
      <c r="A222" s="49">
        <f>IFERROR(__xludf.DUMMYFUNCTION("""COMPUTED_VALUE"""),46097.0)</f>
        <v>46097</v>
      </c>
      <c r="B222" s="33" t="str">
        <f>IFERROR(__xludf.DUMMYFUNCTION("""COMPUTED_VALUE"""),"7ea3277f02ef13c60cfa72336d009bf7ee6c17e8")</f>
        <v>7ea3277f02ef13c60cfa72336d009bf7ee6c17e8</v>
      </c>
      <c r="C222" s="33" t="str">
        <f>IFERROR(__xludf.DUMMYFUNCTION("""COMPUTED_VALUE"""),"Saaya the Dark Love - Production Show_id")</f>
        <v>Saaya the Dark Love - Production Show_id</v>
      </c>
      <c r="D222" s="33">
        <f>IFERROR(__xludf.DUMMYFUNCTION("""COMPUTED_VALUE"""),0.0)</f>
        <v>0</v>
      </c>
      <c r="E222" s="33">
        <f>IFERROR(__xludf.DUMMYFUNCTION("""COMPUTED_VALUE"""),15.0)</f>
        <v>15</v>
      </c>
      <c r="F222" s="33">
        <f>IFERROR(__xludf.DUMMYFUNCTION("""COMPUTED_VALUE"""),15.0)</f>
        <v>15</v>
      </c>
      <c r="G222" s="33">
        <f>IFERROR(__xludf.DUMMYFUNCTION("""COMPUTED_VALUE"""),9.0)</f>
        <v>9</v>
      </c>
      <c r="H222" s="33">
        <f>IFERROR(__xludf.DUMMYFUNCTION("""COMPUTED_VALUE"""),9.0)</f>
        <v>9</v>
      </c>
      <c r="I222" s="33">
        <f>IFERROR(__xludf.DUMMYFUNCTION("""COMPUTED_VALUE"""),4.0)</f>
        <v>4</v>
      </c>
      <c r="J222" s="33">
        <f>IFERROR(__xludf.DUMMYFUNCTION("""COMPUTED_VALUE"""),9.0)</f>
        <v>9</v>
      </c>
      <c r="K222" s="33">
        <f>IFERROR(__xludf.DUMMYFUNCTION("""COMPUTED_VALUE"""),5.0)</f>
        <v>5</v>
      </c>
      <c r="L222" s="33">
        <f>IFERROR(__xludf.DUMMYFUNCTION("""COMPUTED_VALUE"""),10.0)</f>
        <v>10</v>
      </c>
      <c r="M222" s="33">
        <f>IFERROR(__xludf.DUMMYFUNCTION("""COMPUTED_VALUE"""),15.0)</f>
        <v>15</v>
      </c>
      <c r="N222" s="33">
        <f>IFERROR(__xludf.DUMMYFUNCTION("""COMPUTED_VALUE"""),16.0)</f>
        <v>16</v>
      </c>
      <c r="O222" s="33">
        <f>IFERROR(__xludf.DUMMYFUNCTION("""COMPUTED_VALUE"""),6.0)</f>
        <v>6</v>
      </c>
      <c r="P222" s="33">
        <f>IFERROR(__xludf.DUMMYFUNCTION("""COMPUTED_VALUE"""),16.0)</f>
        <v>16</v>
      </c>
      <c r="Q222" s="33">
        <f>IFERROR(__xludf.DUMMYFUNCTION("""COMPUTED_VALUE"""),0.0)</f>
        <v>0</v>
      </c>
      <c r="R222" s="33">
        <f>IFERROR(__xludf.DUMMYFUNCTION("""COMPUTED_VALUE"""),0.0)</f>
        <v>0</v>
      </c>
      <c r="S222" s="33">
        <f>IFERROR(__xludf.DUMMYFUNCTION("""COMPUTED_VALUE"""),36681.0)</f>
        <v>36681</v>
      </c>
      <c r="T222" s="33">
        <f>IFERROR(__xludf.DUMMYFUNCTION("""COMPUTED_VALUE"""),4.015)</f>
        <v>4.015</v>
      </c>
      <c r="U222" s="33">
        <f>IFERROR(__xludf.DUMMYFUNCTION("""COMPUTED_VALUE"""),3.91833333333333)</f>
        <v>3.918333333</v>
      </c>
      <c r="V222" s="33">
        <f>IFERROR(__xludf.DUMMYFUNCTION("""COMPUTED_VALUE"""),2.46805555555555)</f>
        <v>2.468055556</v>
      </c>
      <c r="W222" s="33">
        <f>IFERROR(__xludf.DUMMYFUNCTION("""COMPUTED_VALUE"""),2.27222222222222)</f>
        <v>2.272222222</v>
      </c>
      <c r="X222" s="33">
        <f>IFERROR(__xludf.DUMMYFUNCTION("""COMPUTED_VALUE"""),1.02888888888888)</f>
        <v>1.028888889</v>
      </c>
      <c r="Y222" s="33">
        <f>IFERROR(__xludf.DUMMYFUNCTION("""COMPUTED_VALUE"""),2.27305555555555)</f>
        <v>2.273055556</v>
      </c>
      <c r="Z222" s="33">
        <f>IFERROR(__xludf.DUMMYFUNCTION("""COMPUTED_VALUE"""),1.44638888888888)</f>
        <v>1.446388889</v>
      </c>
      <c r="AA222" s="33">
        <f>IFERROR(__xludf.DUMMYFUNCTION("""COMPUTED_VALUE"""),2.59166666666666)</f>
        <v>2.591666667</v>
      </c>
      <c r="AB222" s="33">
        <f>IFERROR(__xludf.DUMMYFUNCTION("""COMPUTED_VALUE"""),4.07138888888888)</f>
        <v>4.071388889</v>
      </c>
      <c r="AC222" s="33">
        <f>IFERROR(__xludf.DUMMYFUNCTION("""COMPUTED_VALUE"""),4.35055555555555)</f>
        <v>4.350555556</v>
      </c>
      <c r="AD222" s="33">
        <f>IFERROR(__xludf.DUMMYFUNCTION("""COMPUTED_VALUE"""),1.5125)</f>
        <v>1.5125</v>
      </c>
      <c r="AE222" s="33">
        <f>IFERROR(__xludf.DUMMYFUNCTION("""COMPUTED_VALUE"""),4.35055555555555)</f>
        <v>4.350555556</v>
      </c>
      <c r="AF222" s="33">
        <f>IFERROR(__xludf.DUMMYFUNCTION("""COMPUTED_VALUE"""),16.0)</f>
        <v>16</v>
      </c>
    </row>
    <row r="223">
      <c r="A223" s="49">
        <f>IFERROR(__xludf.DUMMYFUNCTION("""COMPUTED_VALUE"""),46097.0)</f>
        <v>46097</v>
      </c>
      <c r="B223" s="33" t="str">
        <f>IFERROR(__xludf.DUMMYFUNCTION("""COMPUTED_VALUE"""),"81de0bc81be63a15ef7b7f2a301e23b4f3d49745")</f>
        <v>81de0bc81be63a15ef7b7f2a301e23b4f3d49745</v>
      </c>
      <c r="C223" s="33" t="str">
        <f>IFERROR(__xludf.DUMMYFUNCTION("""COMPUTED_VALUE"""),"Married to a Hard Hearted")</f>
        <v>Married to a Hard Hearted</v>
      </c>
      <c r="D223" s="33">
        <f>IFERROR(__xludf.DUMMYFUNCTION("""COMPUTED_VALUE"""),0.0)</f>
        <v>0</v>
      </c>
      <c r="E223" s="33">
        <f>IFERROR(__xludf.DUMMYFUNCTION("""COMPUTED_VALUE"""),8.0)</f>
        <v>8</v>
      </c>
      <c r="F223" s="33">
        <f>IFERROR(__xludf.DUMMYFUNCTION("""COMPUTED_VALUE"""),0.0)</f>
        <v>0</v>
      </c>
      <c r="G223" s="33">
        <f>IFERROR(__xludf.DUMMYFUNCTION("""COMPUTED_VALUE"""),0.0)</f>
        <v>0</v>
      </c>
      <c r="H223" s="33">
        <f>IFERROR(__xludf.DUMMYFUNCTION("""COMPUTED_VALUE"""),15.0)</f>
        <v>15</v>
      </c>
      <c r="I223" s="33">
        <f>IFERROR(__xludf.DUMMYFUNCTION("""COMPUTED_VALUE"""),10.0)</f>
        <v>10</v>
      </c>
      <c r="J223" s="33">
        <f>IFERROR(__xludf.DUMMYFUNCTION("""COMPUTED_VALUE"""),15.0)</f>
        <v>15</v>
      </c>
      <c r="K223" s="33">
        <f>IFERROR(__xludf.DUMMYFUNCTION("""COMPUTED_VALUE"""),1.0)</f>
        <v>1</v>
      </c>
      <c r="L223" s="33">
        <f>IFERROR(__xludf.DUMMYFUNCTION("""COMPUTED_VALUE"""),0.0)</f>
        <v>0</v>
      </c>
      <c r="M223" s="33">
        <f>IFERROR(__xludf.DUMMYFUNCTION("""COMPUTED_VALUE"""),15.0)</f>
        <v>15</v>
      </c>
      <c r="N223" s="33">
        <f>IFERROR(__xludf.DUMMYFUNCTION("""COMPUTED_VALUE"""),14.0)</f>
        <v>14</v>
      </c>
      <c r="O223" s="33">
        <f>IFERROR(__xludf.DUMMYFUNCTION("""COMPUTED_VALUE"""),6.0)</f>
        <v>6</v>
      </c>
      <c r="P223" s="33">
        <f>IFERROR(__xludf.DUMMYFUNCTION("""COMPUTED_VALUE"""),14.0)</f>
        <v>14</v>
      </c>
      <c r="Q223" s="33">
        <f>IFERROR(__xludf.DUMMYFUNCTION("""COMPUTED_VALUE"""),0.0)</f>
        <v>0</v>
      </c>
      <c r="R223" s="33">
        <f>IFERROR(__xludf.DUMMYFUNCTION("""COMPUTED_VALUE"""),0.0)</f>
        <v>0</v>
      </c>
      <c r="S223" s="33">
        <f>IFERROR(__xludf.DUMMYFUNCTION("""COMPUTED_VALUE"""),19249.0)</f>
        <v>19249</v>
      </c>
      <c r="T223" s="33">
        <f>IFERROR(__xludf.DUMMYFUNCTION("""COMPUTED_VALUE"""),2.99305555555555)</f>
        <v>2.993055556</v>
      </c>
      <c r="U223" s="33">
        <f>IFERROR(__xludf.DUMMYFUNCTION("""COMPUTED_VALUE"""),0.0)</f>
        <v>0</v>
      </c>
      <c r="V223" s="33">
        <f>IFERROR(__xludf.DUMMYFUNCTION("""COMPUTED_VALUE"""),0.0)</f>
        <v>0</v>
      </c>
      <c r="W223" s="33">
        <f>IFERROR(__xludf.DUMMYFUNCTION("""COMPUTED_VALUE"""),2.96666666666666)</f>
        <v>2.966666667</v>
      </c>
      <c r="X223" s="33">
        <f>IFERROR(__xludf.DUMMYFUNCTION("""COMPUTED_VALUE"""),1.96305555555555)</f>
        <v>1.963055556</v>
      </c>
      <c r="Y223" s="33">
        <f>IFERROR(__xludf.DUMMYFUNCTION("""COMPUTED_VALUE"""),2.95111111111111)</f>
        <v>2.951111111</v>
      </c>
      <c r="Z223" s="33">
        <f>IFERROR(__xludf.DUMMYFUNCTION("""COMPUTED_VALUE"""),0.201111111111111)</f>
        <v>0.2011111111</v>
      </c>
      <c r="AA223" s="33">
        <f>IFERROR(__xludf.DUMMYFUNCTION("""COMPUTED_VALUE"""),0.0)</f>
        <v>0</v>
      </c>
      <c r="AB223" s="33">
        <f>IFERROR(__xludf.DUMMYFUNCTION("""COMPUTED_VALUE"""),2.95111111111111)</f>
        <v>2.951111111</v>
      </c>
      <c r="AC223" s="33">
        <f>IFERROR(__xludf.DUMMYFUNCTION("""COMPUTED_VALUE"""),2.74305555555555)</f>
        <v>2.743055556</v>
      </c>
      <c r="AD223" s="33">
        <f>IFERROR(__xludf.DUMMYFUNCTION("""COMPUTED_VALUE"""),1.14611111111111)</f>
        <v>1.146111111</v>
      </c>
      <c r="AE223" s="33">
        <f>IFERROR(__xludf.DUMMYFUNCTION("""COMPUTED_VALUE"""),2.74305555555555)</f>
        <v>2.743055556</v>
      </c>
      <c r="AF223" s="33">
        <f>IFERROR(__xludf.DUMMYFUNCTION("""COMPUTED_VALUE"""),15.0)</f>
        <v>15</v>
      </c>
    </row>
    <row r="224">
      <c r="A224" s="49">
        <f>IFERROR(__xludf.DUMMYFUNCTION("""COMPUTED_VALUE"""),46097.0)</f>
        <v>46097</v>
      </c>
      <c r="B224" s="33" t="str">
        <f>IFERROR(__xludf.DUMMYFUNCTION("""COMPUTED_VALUE"""),"859785ba4869b28dddcfcb0e75295d1e1ad9b5a9")</f>
        <v>859785ba4869b28dddcfcb0e75295d1e1ad9b5a9</v>
      </c>
      <c r="C224" s="33" t="str">
        <f>IFERROR(__xludf.DUMMYFUNCTION("""COMPUTED_VALUE"""),"King of Dragon | किंग ऑफ ड्रैगन | Author - Nitesh")</f>
        <v>King of Dragon | किंग ऑफ ड्रैगन | Author - Nitesh</v>
      </c>
      <c r="D224" s="33">
        <f>IFERROR(__xludf.DUMMYFUNCTION("""COMPUTED_VALUE"""),0.0)</f>
        <v>0</v>
      </c>
      <c r="E224" s="33">
        <f>IFERROR(__xludf.DUMMYFUNCTION("""COMPUTED_VALUE"""),0.0)</f>
        <v>0</v>
      </c>
      <c r="F224" s="33">
        <f>IFERROR(__xludf.DUMMYFUNCTION("""COMPUTED_VALUE"""),0.0)</f>
        <v>0</v>
      </c>
      <c r="G224" s="33">
        <f>IFERROR(__xludf.DUMMYFUNCTION("""COMPUTED_VALUE"""),0.0)</f>
        <v>0</v>
      </c>
      <c r="H224" s="33">
        <f>IFERROR(__xludf.DUMMYFUNCTION("""COMPUTED_VALUE"""),0.0)</f>
        <v>0</v>
      </c>
      <c r="I224" s="33">
        <f>IFERROR(__xludf.DUMMYFUNCTION("""COMPUTED_VALUE"""),0.0)</f>
        <v>0</v>
      </c>
      <c r="J224" s="33">
        <f>IFERROR(__xludf.DUMMYFUNCTION("""COMPUTED_VALUE"""),0.0)</f>
        <v>0</v>
      </c>
      <c r="K224" s="33">
        <f>IFERROR(__xludf.DUMMYFUNCTION("""COMPUTED_VALUE"""),0.0)</f>
        <v>0</v>
      </c>
      <c r="L224" s="33">
        <f>IFERROR(__xludf.DUMMYFUNCTION("""COMPUTED_VALUE"""),0.0)</f>
        <v>0</v>
      </c>
      <c r="M224" s="33">
        <f>IFERROR(__xludf.DUMMYFUNCTION("""COMPUTED_VALUE"""),0.0)</f>
        <v>0</v>
      </c>
      <c r="N224" s="33">
        <f>IFERROR(__xludf.DUMMYFUNCTION("""COMPUTED_VALUE"""),0.0)</f>
        <v>0</v>
      </c>
      <c r="O224" s="33">
        <f>IFERROR(__xludf.DUMMYFUNCTION("""COMPUTED_VALUE"""),4.0)</f>
        <v>4</v>
      </c>
      <c r="P224" s="33">
        <f>IFERROR(__xludf.DUMMYFUNCTION("""COMPUTED_VALUE"""),5.0)</f>
        <v>5</v>
      </c>
      <c r="Q224" s="33">
        <f>IFERROR(__xludf.DUMMYFUNCTION("""COMPUTED_VALUE"""),0.0)</f>
        <v>0</v>
      </c>
      <c r="R224" s="33">
        <f>IFERROR(__xludf.DUMMYFUNCTION("""COMPUTED_VALUE"""),0.0)</f>
        <v>0</v>
      </c>
      <c r="S224" s="33">
        <f>IFERROR(__xludf.DUMMYFUNCTION("""COMPUTED_VALUE"""),0.0)</f>
        <v>0</v>
      </c>
      <c r="T224" s="33">
        <f>IFERROR(__xludf.DUMMYFUNCTION("""COMPUTED_VALUE"""),0.0)</f>
        <v>0</v>
      </c>
      <c r="U224" s="33">
        <f>IFERROR(__xludf.DUMMYFUNCTION("""COMPUTED_VALUE"""),0.0)</f>
        <v>0</v>
      </c>
      <c r="V224" s="33">
        <f>IFERROR(__xludf.DUMMYFUNCTION("""COMPUTED_VALUE"""),0.0)</f>
        <v>0</v>
      </c>
      <c r="W224" s="33">
        <f>IFERROR(__xludf.DUMMYFUNCTION("""COMPUTED_VALUE"""),0.0)</f>
        <v>0</v>
      </c>
      <c r="X224" s="33">
        <f>IFERROR(__xludf.DUMMYFUNCTION("""COMPUTED_VALUE"""),0.0)</f>
        <v>0</v>
      </c>
      <c r="Y224" s="33">
        <f>IFERROR(__xludf.DUMMYFUNCTION("""COMPUTED_VALUE"""),0.0)</f>
        <v>0</v>
      </c>
      <c r="Z224" s="33">
        <f>IFERROR(__xludf.DUMMYFUNCTION("""COMPUTED_VALUE"""),0.0)</f>
        <v>0</v>
      </c>
      <c r="AA224" s="33">
        <f>IFERROR(__xludf.DUMMYFUNCTION("""COMPUTED_VALUE"""),0.0)</f>
        <v>0</v>
      </c>
      <c r="AB224" s="33">
        <f>IFERROR(__xludf.DUMMYFUNCTION("""COMPUTED_VALUE"""),0.0)</f>
        <v>0</v>
      </c>
      <c r="AC224" s="33">
        <f>IFERROR(__xludf.DUMMYFUNCTION("""COMPUTED_VALUE"""),0.0)</f>
        <v>0</v>
      </c>
      <c r="AD224" s="33">
        <f>IFERROR(__xludf.DUMMYFUNCTION("""COMPUTED_VALUE"""),1.16)</f>
        <v>1.16</v>
      </c>
      <c r="AE224" s="33">
        <f>IFERROR(__xludf.DUMMYFUNCTION("""COMPUTED_VALUE"""),1.46111111111111)</f>
        <v>1.461111111</v>
      </c>
      <c r="AF224" s="33">
        <f>IFERROR(__xludf.DUMMYFUNCTION("""COMPUTED_VALUE"""),0.0)</f>
        <v>0</v>
      </c>
    </row>
    <row r="225">
      <c r="A225" s="49">
        <f>IFERROR(__xludf.DUMMYFUNCTION("""COMPUTED_VALUE"""),46097.0)</f>
        <v>46097</v>
      </c>
      <c r="B225" s="33" t="str">
        <f>IFERROR(__xludf.DUMMYFUNCTION("""COMPUTED_VALUE"""),"96f1f89e4494e06fb7f9e3c4645563fa62ef9320")</f>
        <v>96f1f89e4494e06fb7f9e3c4645563fa62ef9320</v>
      </c>
      <c r="C225" s="33" t="str">
        <f>IFERROR(__xludf.DUMMYFUNCTION("""COMPUTED_VALUE"""),"King of Dragon - Production Show_id")</f>
        <v>King of Dragon - Production Show_id</v>
      </c>
      <c r="D225" s="33">
        <f>IFERROR(__xludf.DUMMYFUNCTION("""COMPUTED_VALUE"""),12.0)</f>
        <v>12</v>
      </c>
      <c r="E225" s="33">
        <f>IFERROR(__xludf.DUMMYFUNCTION("""COMPUTED_VALUE"""),10.0)</f>
        <v>10</v>
      </c>
      <c r="F225" s="33">
        <f>IFERROR(__xludf.DUMMYFUNCTION("""COMPUTED_VALUE"""),7.0)</f>
        <v>7</v>
      </c>
      <c r="G225" s="33">
        <f>IFERROR(__xludf.DUMMYFUNCTION("""COMPUTED_VALUE"""),15.0)</f>
        <v>15</v>
      </c>
      <c r="H225" s="33">
        <f>IFERROR(__xludf.DUMMYFUNCTION("""COMPUTED_VALUE"""),17.0)</f>
        <v>17</v>
      </c>
      <c r="I225" s="33">
        <f>IFERROR(__xludf.DUMMYFUNCTION("""COMPUTED_VALUE"""),2.0)</f>
        <v>2</v>
      </c>
      <c r="J225" s="33">
        <f>IFERROR(__xludf.DUMMYFUNCTION("""COMPUTED_VALUE"""),16.0)</f>
        <v>16</v>
      </c>
      <c r="K225" s="33">
        <f>IFERROR(__xludf.DUMMYFUNCTION("""COMPUTED_VALUE"""),2.0)</f>
        <v>2</v>
      </c>
      <c r="L225" s="33">
        <f>IFERROR(__xludf.DUMMYFUNCTION("""COMPUTED_VALUE"""),1.0)</f>
        <v>1</v>
      </c>
      <c r="M225" s="33">
        <f>IFERROR(__xludf.DUMMYFUNCTION("""COMPUTED_VALUE"""),16.0)</f>
        <v>16</v>
      </c>
      <c r="N225" s="33">
        <f>IFERROR(__xludf.DUMMYFUNCTION("""COMPUTED_VALUE"""),16.0)</f>
        <v>16</v>
      </c>
      <c r="O225" s="33">
        <f>IFERROR(__xludf.DUMMYFUNCTION("""COMPUTED_VALUE"""),5.0)</f>
        <v>5</v>
      </c>
      <c r="P225" s="33">
        <f>IFERROR(__xludf.DUMMYFUNCTION("""COMPUTED_VALUE"""),16.0)</f>
        <v>16</v>
      </c>
      <c r="Q225" s="33">
        <f>IFERROR(__xludf.DUMMYFUNCTION("""COMPUTED_VALUE"""),0.0)</f>
        <v>0</v>
      </c>
      <c r="R225" s="33">
        <f>IFERROR(__xludf.DUMMYFUNCTION("""COMPUTED_VALUE"""),29498.0)</f>
        <v>29498</v>
      </c>
      <c r="S225" s="33">
        <f>IFERROR(__xludf.DUMMYFUNCTION("""COMPUTED_VALUE"""),25147.0)</f>
        <v>25147</v>
      </c>
      <c r="T225" s="33">
        <f>IFERROR(__xludf.DUMMYFUNCTION("""COMPUTED_VALUE"""),2.50583333333333)</f>
        <v>2.505833333</v>
      </c>
      <c r="U225" s="33">
        <f>IFERROR(__xludf.DUMMYFUNCTION("""COMPUTED_VALUE"""),1.9775)</f>
        <v>1.9775</v>
      </c>
      <c r="V225" s="33">
        <f>IFERROR(__xludf.DUMMYFUNCTION("""COMPUTED_VALUE"""),4.3375)</f>
        <v>4.3375</v>
      </c>
      <c r="W225" s="33">
        <f>IFERROR(__xludf.DUMMYFUNCTION("""COMPUTED_VALUE"""),4.86583333333333)</f>
        <v>4.865833333</v>
      </c>
      <c r="X225" s="33">
        <f>IFERROR(__xludf.DUMMYFUNCTION("""COMPUTED_VALUE"""),0.528333333333333)</f>
        <v>0.5283333333</v>
      </c>
      <c r="Y225" s="33">
        <f>IFERROR(__xludf.DUMMYFUNCTION("""COMPUTED_VALUE"""),4.63861111111111)</f>
        <v>4.638611111</v>
      </c>
      <c r="Z225" s="33">
        <f>IFERROR(__xludf.DUMMYFUNCTION("""COMPUTED_VALUE"""),0.587777777777777)</f>
        <v>0.5877777778</v>
      </c>
      <c r="AA225" s="33">
        <f>IFERROR(__xludf.DUMMYFUNCTION("""COMPUTED_VALUE"""),0.315)</f>
        <v>0.315</v>
      </c>
      <c r="AB225" s="33">
        <f>IFERROR(__xludf.DUMMYFUNCTION("""COMPUTED_VALUE"""),4.71777777777777)</f>
        <v>4.717777778</v>
      </c>
      <c r="AC225" s="33">
        <f>IFERROR(__xludf.DUMMYFUNCTION("""COMPUTED_VALUE"""),4.71694444444444)</f>
        <v>4.716944444</v>
      </c>
      <c r="AD225" s="33">
        <f>IFERROR(__xludf.DUMMYFUNCTION("""COMPUTED_VALUE"""),1.37416666666666)</f>
        <v>1.374166667</v>
      </c>
      <c r="AE225" s="33">
        <f>IFERROR(__xludf.DUMMYFUNCTION("""COMPUTED_VALUE"""),4.71694444444444)</f>
        <v>4.716944444</v>
      </c>
      <c r="AF225" s="33">
        <f>IFERROR(__xludf.DUMMYFUNCTION("""COMPUTED_VALUE"""),9.0)</f>
        <v>9</v>
      </c>
    </row>
    <row r="226">
      <c r="A226" s="49">
        <f>IFERROR(__xludf.DUMMYFUNCTION("""COMPUTED_VALUE"""),46097.0)</f>
        <v>46097</v>
      </c>
      <c r="B226" s="33" t="str">
        <f>IFERROR(__xludf.DUMMYFUNCTION("""COMPUTED_VALUE"""),"a3ba65aa427077188e1ad7dbcbcafae266683ca9")</f>
        <v>a3ba65aa427077188e1ad7dbcbcafae266683ca9</v>
      </c>
      <c r="C226" s="33" t="str">
        <f>IFERROR(__xludf.DUMMYFUNCTION("""COMPUTED_VALUE"""),"The Warrior | Author - Dayaram Prajapati")</f>
        <v>The Warrior | Author - Dayaram Prajapati</v>
      </c>
      <c r="D226" s="33">
        <f>IFERROR(__xludf.DUMMYFUNCTION("""COMPUTED_VALUE"""),0.0)</f>
        <v>0</v>
      </c>
      <c r="E226" s="33">
        <f>IFERROR(__xludf.DUMMYFUNCTION("""COMPUTED_VALUE"""),5.0)</f>
        <v>5</v>
      </c>
      <c r="F226" s="33">
        <f>IFERROR(__xludf.DUMMYFUNCTION("""COMPUTED_VALUE"""),0.0)</f>
        <v>0</v>
      </c>
      <c r="G226" s="33">
        <f>IFERROR(__xludf.DUMMYFUNCTION("""COMPUTED_VALUE"""),0.0)</f>
        <v>0</v>
      </c>
      <c r="H226" s="33">
        <f>IFERROR(__xludf.DUMMYFUNCTION("""COMPUTED_VALUE"""),0.0)</f>
        <v>0</v>
      </c>
      <c r="I226" s="33">
        <f>IFERROR(__xludf.DUMMYFUNCTION("""COMPUTED_VALUE"""),0.0)</f>
        <v>0</v>
      </c>
      <c r="J226" s="33">
        <f>IFERROR(__xludf.DUMMYFUNCTION("""COMPUTED_VALUE"""),0.0)</f>
        <v>0</v>
      </c>
      <c r="K226" s="33">
        <f>IFERROR(__xludf.DUMMYFUNCTION("""COMPUTED_VALUE"""),0.0)</f>
        <v>0</v>
      </c>
      <c r="L226" s="33">
        <f>IFERROR(__xludf.DUMMYFUNCTION("""COMPUTED_VALUE"""),0.0)</f>
        <v>0</v>
      </c>
      <c r="M226" s="33">
        <f>IFERROR(__xludf.DUMMYFUNCTION("""COMPUTED_VALUE"""),0.0)</f>
        <v>0</v>
      </c>
      <c r="N226" s="33">
        <f>IFERROR(__xludf.DUMMYFUNCTION("""COMPUTED_VALUE"""),5.0)</f>
        <v>5</v>
      </c>
      <c r="O226" s="33">
        <f>IFERROR(__xludf.DUMMYFUNCTION("""COMPUTED_VALUE"""),4.0)</f>
        <v>4</v>
      </c>
      <c r="P226" s="33">
        <f>IFERROR(__xludf.DUMMYFUNCTION("""COMPUTED_VALUE"""),5.0)</f>
        <v>5</v>
      </c>
      <c r="Q226" s="33">
        <f>IFERROR(__xludf.DUMMYFUNCTION("""COMPUTED_VALUE"""),0.0)</f>
        <v>0</v>
      </c>
      <c r="R226" s="33">
        <f>IFERROR(__xludf.DUMMYFUNCTION("""COMPUTED_VALUE"""),0.0)</f>
        <v>0</v>
      </c>
      <c r="S226" s="33">
        <f>IFERROR(__xludf.DUMMYFUNCTION("""COMPUTED_VALUE"""),16292.0)</f>
        <v>16292</v>
      </c>
      <c r="T226" s="33">
        <f>IFERROR(__xludf.DUMMYFUNCTION("""COMPUTED_VALUE"""),0.0)</f>
        <v>0</v>
      </c>
      <c r="U226" s="33">
        <f>IFERROR(__xludf.DUMMYFUNCTION("""COMPUTED_VALUE"""),0.0)</f>
        <v>0</v>
      </c>
      <c r="V226" s="33">
        <f>IFERROR(__xludf.DUMMYFUNCTION("""COMPUTED_VALUE"""),0.0)</f>
        <v>0</v>
      </c>
      <c r="W226" s="33">
        <f>IFERROR(__xludf.DUMMYFUNCTION("""COMPUTED_VALUE"""),0.0)</f>
        <v>0</v>
      </c>
      <c r="X226" s="33">
        <f>IFERROR(__xludf.DUMMYFUNCTION("""COMPUTED_VALUE"""),0.0)</f>
        <v>0</v>
      </c>
      <c r="Y226" s="33">
        <f>IFERROR(__xludf.DUMMYFUNCTION("""COMPUTED_VALUE"""),0.0)</f>
        <v>0</v>
      </c>
      <c r="Z226" s="33">
        <f>IFERROR(__xludf.DUMMYFUNCTION("""COMPUTED_VALUE"""),0.0)</f>
        <v>0</v>
      </c>
      <c r="AA226" s="33">
        <f>IFERROR(__xludf.DUMMYFUNCTION("""COMPUTED_VALUE"""),0.0)</f>
        <v>0</v>
      </c>
      <c r="AB226" s="33">
        <f>IFERROR(__xludf.DUMMYFUNCTION("""COMPUTED_VALUE"""),0.0)</f>
        <v>0</v>
      </c>
      <c r="AC226" s="33">
        <f>IFERROR(__xludf.DUMMYFUNCTION("""COMPUTED_VALUE"""),1.62416666666666)</f>
        <v>1.624166667</v>
      </c>
      <c r="AD226" s="33">
        <f>IFERROR(__xludf.DUMMYFUNCTION("""COMPUTED_VALUE"""),0.929444444444444)</f>
        <v>0.9294444444</v>
      </c>
      <c r="AE226" s="33">
        <f>IFERROR(__xludf.DUMMYFUNCTION("""COMPUTED_VALUE"""),1.62416666666666)</f>
        <v>1.624166667</v>
      </c>
      <c r="AF226" s="33">
        <f>IFERROR(__xludf.DUMMYFUNCTION("""COMPUTED_VALUE"""),0.0)</f>
        <v>0</v>
      </c>
    </row>
    <row r="227">
      <c r="A227" s="49">
        <f>IFERROR(__xludf.DUMMYFUNCTION("""COMPUTED_VALUE"""),46097.0)</f>
        <v>46097</v>
      </c>
      <c r="B227" s="33" t="str">
        <f>IFERROR(__xludf.DUMMYFUNCTION("""COMPUTED_VALUE"""),"aa81f1feb820ed6f22bd7b22b55890db740929cb")</f>
        <v>aa81f1feb820ed6f22bd7b22b55890db740929cb</v>
      </c>
      <c r="C227" s="33" t="str">
        <f>IFERROR(__xludf.DUMMYFUNCTION("""COMPUTED_VALUE"""),"Shunya Samrat")</f>
        <v>Shunya Samrat</v>
      </c>
      <c r="D227" s="33">
        <f>IFERROR(__xludf.DUMMYFUNCTION("""COMPUTED_VALUE"""),80.0)</f>
        <v>80</v>
      </c>
      <c r="E227" s="33">
        <f>IFERROR(__xludf.DUMMYFUNCTION("""COMPUTED_VALUE"""),80.0)</f>
        <v>80</v>
      </c>
      <c r="F227" s="33">
        <f>IFERROR(__xludf.DUMMYFUNCTION("""COMPUTED_VALUE"""),0.0)</f>
        <v>0</v>
      </c>
      <c r="G227" s="33">
        <f>IFERROR(__xludf.DUMMYFUNCTION("""COMPUTED_VALUE"""),0.0)</f>
        <v>0</v>
      </c>
      <c r="H227" s="33">
        <f>IFERROR(__xludf.DUMMYFUNCTION("""COMPUTED_VALUE"""),0.0)</f>
        <v>0</v>
      </c>
      <c r="I227" s="33">
        <f>IFERROR(__xludf.DUMMYFUNCTION("""COMPUTED_VALUE"""),0.0)</f>
        <v>0</v>
      </c>
      <c r="J227" s="33">
        <f>IFERROR(__xludf.DUMMYFUNCTION("""COMPUTED_VALUE"""),0.0)</f>
        <v>0</v>
      </c>
      <c r="K227" s="33">
        <f>IFERROR(__xludf.DUMMYFUNCTION("""COMPUTED_VALUE"""),0.0)</f>
        <v>0</v>
      </c>
      <c r="L227" s="33">
        <f>IFERROR(__xludf.DUMMYFUNCTION("""COMPUTED_VALUE"""),0.0)</f>
        <v>0</v>
      </c>
      <c r="M227" s="33">
        <f>IFERROR(__xludf.DUMMYFUNCTION("""COMPUTED_VALUE"""),0.0)</f>
        <v>0</v>
      </c>
      <c r="N227" s="33">
        <f>IFERROR(__xludf.DUMMYFUNCTION("""COMPUTED_VALUE"""),80.0)</f>
        <v>80</v>
      </c>
      <c r="O227" s="33">
        <f>IFERROR(__xludf.DUMMYFUNCTION("""COMPUTED_VALUE"""),4.0)</f>
        <v>4</v>
      </c>
      <c r="P227" s="33">
        <f>IFERROR(__xludf.DUMMYFUNCTION("""COMPUTED_VALUE"""),80.0)</f>
        <v>80</v>
      </c>
      <c r="Q227" s="33">
        <f>IFERROR(__xludf.DUMMYFUNCTION("""COMPUTED_VALUE"""),0.0)</f>
        <v>0</v>
      </c>
      <c r="R227" s="33">
        <f>IFERROR(__xludf.DUMMYFUNCTION("""COMPUTED_VALUE"""),225080.0)</f>
        <v>225080</v>
      </c>
      <c r="S227" s="33">
        <f>IFERROR(__xludf.DUMMYFUNCTION("""COMPUTED_VALUE"""),225080.0)</f>
        <v>225080</v>
      </c>
      <c r="T227" s="33">
        <f>IFERROR(__xludf.DUMMYFUNCTION("""COMPUTED_VALUE"""),0.0)</f>
        <v>0</v>
      </c>
      <c r="U227" s="33">
        <f>IFERROR(__xludf.DUMMYFUNCTION("""COMPUTED_VALUE"""),0.0)</f>
        <v>0</v>
      </c>
      <c r="V227" s="33">
        <f>IFERROR(__xludf.DUMMYFUNCTION("""COMPUTED_VALUE"""),0.0)</f>
        <v>0</v>
      </c>
      <c r="W227" s="33">
        <f>IFERROR(__xludf.DUMMYFUNCTION("""COMPUTED_VALUE"""),0.0)</f>
        <v>0</v>
      </c>
      <c r="X227" s="33">
        <f>IFERROR(__xludf.DUMMYFUNCTION("""COMPUTED_VALUE"""),0.0)</f>
        <v>0</v>
      </c>
      <c r="Y227" s="33">
        <f>IFERROR(__xludf.DUMMYFUNCTION("""COMPUTED_VALUE"""),0.0)</f>
        <v>0</v>
      </c>
      <c r="Z227" s="33">
        <f>IFERROR(__xludf.DUMMYFUNCTION("""COMPUTED_VALUE"""),0.0)</f>
        <v>0</v>
      </c>
      <c r="AA227" s="33">
        <f>IFERROR(__xludf.DUMMYFUNCTION("""COMPUTED_VALUE"""),0.0)</f>
        <v>0</v>
      </c>
      <c r="AB227" s="33">
        <f>IFERROR(__xludf.DUMMYFUNCTION("""COMPUTED_VALUE"""),0.0)</f>
        <v>0</v>
      </c>
      <c r="AC227" s="33">
        <f>IFERROR(__xludf.DUMMYFUNCTION("""COMPUTED_VALUE"""),23.6688888888888)</f>
        <v>23.66888889</v>
      </c>
      <c r="AD227" s="33">
        <f>IFERROR(__xludf.DUMMYFUNCTION("""COMPUTED_VALUE"""),0.834722222222222)</f>
        <v>0.8347222222</v>
      </c>
      <c r="AE227" s="33">
        <f>IFERROR(__xludf.DUMMYFUNCTION("""COMPUTED_VALUE"""),23.6688888888888)</f>
        <v>23.66888889</v>
      </c>
      <c r="AF227" s="33">
        <f>IFERROR(__xludf.DUMMYFUNCTION("""COMPUTED_VALUE"""),0.0)</f>
        <v>0</v>
      </c>
    </row>
    <row r="228">
      <c r="A228" s="49">
        <f>IFERROR(__xludf.DUMMYFUNCTION("""COMPUTED_VALUE"""),46097.0)</f>
        <v>46097</v>
      </c>
      <c r="B228" s="33" t="str">
        <f>IFERROR(__xludf.DUMMYFUNCTION("""COMPUTED_VALUE"""),"b19f613216d474cd2927d5f4832a949dca2dc33e")</f>
        <v>b19f613216d474cd2927d5f4832a949dca2dc33e</v>
      </c>
      <c r="C228" s="33" t="str">
        <f>IFERROR(__xludf.DUMMYFUNCTION("""COMPUTED_VALUE"""),"The Immortal (Production)")</f>
        <v>The Immortal (Production)</v>
      </c>
      <c r="D228" s="33">
        <f>IFERROR(__xludf.DUMMYFUNCTION("""COMPUTED_VALUE"""),22.0)</f>
        <v>22</v>
      </c>
      <c r="E228" s="33">
        <f>IFERROR(__xludf.DUMMYFUNCTION("""COMPUTED_VALUE"""),8.0)</f>
        <v>8</v>
      </c>
      <c r="F228" s="33">
        <f>IFERROR(__xludf.DUMMYFUNCTION("""COMPUTED_VALUE"""),0.0)</f>
        <v>0</v>
      </c>
      <c r="G228" s="33">
        <f>IFERROR(__xludf.DUMMYFUNCTION("""COMPUTED_VALUE"""),0.0)</f>
        <v>0</v>
      </c>
      <c r="H228" s="33">
        <f>IFERROR(__xludf.DUMMYFUNCTION("""COMPUTED_VALUE"""),0.0)</f>
        <v>0</v>
      </c>
      <c r="I228" s="33">
        <f>IFERROR(__xludf.DUMMYFUNCTION("""COMPUTED_VALUE"""),0.0)</f>
        <v>0</v>
      </c>
      <c r="J228" s="33">
        <f>IFERROR(__xludf.DUMMYFUNCTION("""COMPUTED_VALUE"""),0.0)</f>
        <v>0</v>
      </c>
      <c r="K228" s="33">
        <f>IFERROR(__xludf.DUMMYFUNCTION("""COMPUTED_VALUE"""),0.0)</f>
        <v>0</v>
      </c>
      <c r="L228" s="33">
        <f>IFERROR(__xludf.DUMMYFUNCTION("""COMPUTED_VALUE"""),0.0)</f>
        <v>0</v>
      </c>
      <c r="M228" s="33">
        <f>IFERROR(__xludf.DUMMYFUNCTION("""COMPUTED_VALUE"""),0.0)</f>
        <v>0</v>
      </c>
      <c r="N228" s="33">
        <f>IFERROR(__xludf.DUMMYFUNCTION("""COMPUTED_VALUE"""),0.0)</f>
        <v>0</v>
      </c>
      <c r="O228" s="33">
        <f>IFERROR(__xludf.DUMMYFUNCTION("""COMPUTED_VALUE"""),0.0)</f>
        <v>0</v>
      </c>
      <c r="P228" s="33">
        <f>IFERROR(__xludf.DUMMYFUNCTION("""COMPUTED_VALUE"""),0.0)</f>
        <v>0</v>
      </c>
      <c r="Q228" s="33">
        <f>IFERROR(__xludf.DUMMYFUNCTION("""COMPUTED_VALUE"""),0.0)</f>
        <v>0</v>
      </c>
      <c r="R228" s="33">
        <f>IFERROR(__xludf.DUMMYFUNCTION("""COMPUTED_VALUE"""),43469.0)</f>
        <v>43469</v>
      </c>
      <c r="S228" s="33">
        <f>IFERROR(__xludf.DUMMYFUNCTION("""COMPUTED_VALUE"""),15879.0)</f>
        <v>15879</v>
      </c>
      <c r="T228" s="33">
        <f>IFERROR(__xludf.DUMMYFUNCTION("""COMPUTED_VALUE"""),0.0)</f>
        <v>0</v>
      </c>
      <c r="U228" s="33">
        <f>IFERROR(__xludf.DUMMYFUNCTION("""COMPUTED_VALUE"""),0.0)</f>
        <v>0</v>
      </c>
      <c r="V228" s="33">
        <f>IFERROR(__xludf.DUMMYFUNCTION("""COMPUTED_VALUE"""),0.0)</f>
        <v>0</v>
      </c>
      <c r="W228" s="33">
        <f>IFERROR(__xludf.DUMMYFUNCTION("""COMPUTED_VALUE"""),0.0)</f>
        <v>0</v>
      </c>
      <c r="X228" s="33">
        <f>IFERROR(__xludf.DUMMYFUNCTION("""COMPUTED_VALUE"""),0.0)</f>
        <v>0</v>
      </c>
      <c r="Y228" s="33">
        <f>IFERROR(__xludf.DUMMYFUNCTION("""COMPUTED_VALUE"""),0.0)</f>
        <v>0</v>
      </c>
      <c r="Z228" s="33">
        <f>IFERROR(__xludf.DUMMYFUNCTION("""COMPUTED_VALUE"""),0.0)</f>
        <v>0</v>
      </c>
      <c r="AA228" s="33">
        <f>IFERROR(__xludf.DUMMYFUNCTION("""COMPUTED_VALUE"""),0.0)</f>
        <v>0</v>
      </c>
      <c r="AB228" s="33">
        <f>IFERROR(__xludf.DUMMYFUNCTION("""COMPUTED_VALUE"""),0.0)</f>
        <v>0</v>
      </c>
      <c r="AC228" s="33">
        <f>IFERROR(__xludf.DUMMYFUNCTION("""COMPUTED_VALUE"""),0.0)</f>
        <v>0</v>
      </c>
      <c r="AD228" s="33">
        <f>IFERROR(__xludf.DUMMYFUNCTION("""COMPUTED_VALUE"""),0.0)</f>
        <v>0</v>
      </c>
      <c r="AE228" s="33">
        <f>IFERROR(__xludf.DUMMYFUNCTION("""COMPUTED_VALUE"""),0.0)</f>
        <v>0</v>
      </c>
      <c r="AF228" s="33">
        <f>IFERROR(__xludf.DUMMYFUNCTION("""COMPUTED_VALUE"""),0.0)</f>
        <v>0</v>
      </c>
    </row>
    <row r="229">
      <c r="A229" s="49">
        <f>IFERROR(__xludf.DUMMYFUNCTION("""COMPUTED_VALUE"""),46097.0)</f>
        <v>46097</v>
      </c>
      <c r="B229" s="33" t="str">
        <f>IFERROR(__xludf.DUMMYFUNCTION("""COMPUTED_VALUE"""),"b4277fe045604b0c31d4c58c59733d8d995662ff")</f>
        <v>b4277fe045604b0c31d4c58c59733d8d995662ff</v>
      </c>
      <c r="C229" s="33" t="str">
        <f>IFERROR(__xludf.DUMMYFUNCTION("""COMPUTED_VALUE"""),"Divine Power - Production Show_id")</f>
        <v>Divine Power - Production Show_id</v>
      </c>
      <c r="D229" s="33">
        <f>IFERROR(__xludf.DUMMYFUNCTION("""COMPUTED_VALUE"""),5.0)</f>
        <v>5</v>
      </c>
      <c r="E229" s="33">
        <f>IFERROR(__xludf.DUMMYFUNCTION("""COMPUTED_VALUE"""),9.0)</f>
        <v>9</v>
      </c>
      <c r="F229" s="33">
        <f>IFERROR(__xludf.DUMMYFUNCTION("""COMPUTED_VALUE"""),11.0)</f>
        <v>11</v>
      </c>
      <c r="G229" s="33">
        <f>IFERROR(__xludf.DUMMYFUNCTION("""COMPUTED_VALUE"""),12.0)</f>
        <v>12</v>
      </c>
      <c r="H229" s="33">
        <f>IFERROR(__xludf.DUMMYFUNCTION("""COMPUTED_VALUE"""),12.0)</f>
        <v>12</v>
      </c>
      <c r="I229" s="33">
        <f>IFERROR(__xludf.DUMMYFUNCTION("""COMPUTED_VALUE"""),0.0)</f>
        <v>0</v>
      </c>
      <c r="J229" s="33">
        <f>IFERROR(__xludf.DUMMYFUNCTION("""COMPUTED_VALUE"""),12.0)</f>
        <v>12</v>
      </c>
      <c r="K229" s="33">
        <f>IFERROR(__xludf.DUMMYFUNCTION("""COMPUTED_VALUE"""),5.0)</f>
        <v>5</v>
      </c>
      <c r="L229" s="33">
        <f>IFERROR(__xludf.DUMMYFUNCTION("""COMPUTED_VALUE"""),5.0)</f>
        <v>5</v>
      </c>
      <c r="M229" s="33">
        <f>IFERROR(__xludf.DUMMYFUNCTION("""COMPUTED_VALUE"""),10.0)</f>
        <v>10</v>
      </c>
      <c r="N229" s="33">
        <f>IFERROR(__xludf.DUMMYFUNCTION("""COMPUTED_VALUE"""),13.0)</f>
        <v>13</v>
      </c>
      <c r="O229" s="33">
        <f>IFERROR(__xludf.DUMMYFUNCTION("""COMPUTED_VALUE"""),6.0)</f>
        <v>6</v>
      </c>
      <c r="P229" s="33">
        <f>IFERROR(__xludf.DUMMYFUNCTION("""COMPUTED_VALUE"""),13.0)</f>
        <v>13</v>
      </c>
      <c r="Q229" s="33">
        <f>IFERROR(__xludf.DUMMYFUNCTION("""COMPUTED_VALUE"""),0.0)</f>
        <v>0</v>
      </c>
      <c r="R229" s="33">
        <f>IFERROR(__xludf.DUMMYFUNCTION("""COMPUTED_VALUE"""),11407.0)</f>
        <v>11407</v>
      </c>
      <c r="S229" s="33">
        <f>IFERROR(__xludf.DUMMYFUNCTION("""COMPUTED_VALUE"""),20420.0)</f>
        <v>20420</v>
      </c>
      <c r="T229" s="33">
        <f>IFERROR(__xludf.DUMMYFUNCTION("""COMPUTED_VALUE"""),2.8975)</f>
        <v>2.8975</v>
      </c>
      <c r="U229" s="33">
        <f>IFERROR(__xludf.DUMMYFUNCTION("""COMPUTED_VALUE"""),3.16638888888888)</f>
        <v>3.166388889</v>
      </c>
      <c r="V229" s="33">
        <f>IFERROR(__xludf.DUMMYFUNCTION("""COMPUTED_VALUE"""),3.39777777777777)</f>
        <v>3.397777778</v>
      </c>
      <c r="W229" s="33">
        <f>IFERROR(__xludf.DUMMYFUNCTION("""COMPUTED_VALUE"""),3.39777777777777)</f>
        <v>3.397777778</v>
      </c>
      <c r="X229" s="33">
        <f>IFERROR(__xludf.DUMMYFUNCTION("""COMPUTED_VALUE"""),0.0)</f>
        <v>0</v>
      </c>
      <c r="Y229" s="33">
        <f>IFERROR(__xludf.DUMMYFUNCTION("""COMPUTED_VALUE"""),3.3975)</f>
        <v>3.3975</v>
      </c>
      <c r="Z229" s="33">
        <f>IFERROR(__xludf.DUMMYFUNCTION("""COMPUTED_VALUE"""),1.3425)</f>
        <v>1.3425</v>
      </c>
      <c r="AA229" s="33">
        <f>IFERROR(__xludf.DUMMYFUNCTION("""COMPUTED_VALUE"""),1.34583333333333)</f>
        <v>1.345833333</v>
      </c>
      <c r="AB229" s="33">
        <f>IFERROR(__xludf.DUMMYFUNCTION("""COMPUTED_VALUE"""),2.78805555555555)</f>
        <v>2.788055556</v>
      </c>
      <c r="AC229" s="33">
        <f>IFERROR(__xludf.DUMMYFUNCTION("""COMPUTED_VALUE"""),3.65472222222222)</f>
        <v>3.654722222</v>
      </c>
      <c r="AD229" s="33">
        <f>IFERROR(__xludf.DUMMYFUNCTION("""COMPUTED_VALUE"""),1.65111111111111)</f>
        <v>1.651111111</v>
      </c>
      <c r="AE229" s="33">
        <f>IFERROR(__xludf.DUMMYFUNCTION("""COMPUTED_VALUE"""),3.65472222222222)</f>
        <v>3.654722222</v>
      </c>
      <c r="AF229" s="33">
        <f>IFERROR(__xludf.DUMMYFUNCTION("""COMPUTED_VALUE"""),11.0)</f>
        <v>11</v>
      </c>
    </row>
    <row r="230">
      <c r="A230" s="49">
        <f>IFERROR(__xludf.DUMMYFUNCTION("""COMPUTED_VALUE"""),46097.0)</f>
        <v>46097</v>
      </c>
      <c r="B230" s="33" t="str">
        <f>IFERROR(__xludf.DUMMYFUNCTION("""COMPUTED_VALUE"""),"b9727274f880f47671ad54caad4904a491fad9c7")</f>
        <v>b9727274f880f47671ad54caad4904a491fad9c7</v>
      </c>
      <c r="C230" s="33" t="str">
        <f>IFERROR(__xludf.DUMMYFUNCTION("""COMPUTED_VALUE"""),"Brahmand Ka Rakshak - Production Show")</f>
        <v>Brahmand Ka Rakshak - Production Show</v>
      </c>
      <c r="D230" s="33">
        <f>IFERROR(__xludf.DUMMYFUNCTION("""COMPUTED_VALUE"""),22.0)</f>
        <v>22</v>
      </c>
      <c r="E230" s="33">
        <f>IFERROR(__xludf.DUMMYFUNCTION("""COMPUTED_VALUE"""),30.0)</f>
        <v>30</v>
      </c>
      <c r="F230" s="33">
        <f>IFERROR(__xludf.DUMMYFUNCTION("""COMPUTED_VALUE"""),10.0)</f>
        <v>10</v>
      </c>
      <c r="G230" s="33">
        <f>IFERROR(__xludf.DUMMYFUNCTION("""COMPUTED_VALUE"""),10.0)</f>
        <v>10</v>
      </c>
      <c r="H230" s="33">
        <f>IFERROR(__xludf.DUMMYFUNCTION("""COMPUTED_VALUE"""),28.0)</f>
        <v>28</v>
      </c>
      <c r="I230" s="33">
        <f>IFERROR(__xludf.DUMMYFUNCTION("""COMPUTED_VALUE"""),18.0)</f>
        <v>18</v>
      </c>
      <c r="J230" s="33">
        <f>IFERROR(__xludf.DUMMYFUNCTION("""COMPUTED_VALUE"""),25.0)</f>
        <v>25</v>
      </c>
      <c r="K230" s="33">
        <f>IFERROR(__xludf.DUMMYFUNCTION("""COMPUTED_VALUE"""),5.0)</f>
        <v>5</v>
      </c>
      <c r="L230" s="33">
        <f>IFERROR(__xludf.DUMMYFUNCTION("""COMPUTED_VALUE"""),5.0)</f>
        <v>5</v>
      </c>
      <c r="M230" s="33">
        <f>IFERROR(__xludf.DUMMYFUNCTION("""COMPUTED_VALUE"""),30.0)</f>
        <v>30</v>
      </c>
      <c r="N230" s="33">
        <f>IFERROR(__xludf.DUMMYFUNCTION("""COMPUTED_VALUE"""),36.0)</f>
        <v>36</v>
      </c>
      <c r="O230" s="33">
        <f>IFERROR(__xludf.DUMMYFUNCTION("""COMPUTED_VALUE"""),6.0)</f>
        <v>6</v>
      </c>
      <c r="P230" s="33">
        <f>IFERROR(__xludf.DUMMYFUNCTION("""COMPUTED_VALUE"""),36.0)</f>
        <v>36</v>
      </c>
      <c r="Q230" s="33">
        <f>IFERROR(__xludf.DUMMYFUNCTION("""COMPUTED_VALUE"""),0.0)</f>
        <v>0</v>
      </c>
      <c r="R230" s="33">
        <f>IFERROR(__xludf.DUMMYFUNCTION("""COMPUTED_VALUE"""),47145.0)</f>
        <v>47145</v>
      </c>
      <c r="S230" s="33">
        <f>IFERROR(__xludf.DUMMYFUNCTION("""COMPUTED_VALUE"""),71015.0)</f>
        <v>71015</v>
      </c>
      <c r="T230" s="33">
        <f>IFERROR(__xludf.DUMMYFUNCTION("""COMPUTED_VALUE"""),6.51138888888888)</f>
        <v>6.511388889</v>
      </c>
      <c r="U230" s="33">
        <f>IFERROR(__xludf.DUMMYFUNCTION("""COMPUTED_VALUE"""),2.19833333333333)</f>
        <v>2.198333333</v>
      </c>
      <c r="V230" s="33">
        <f>IFERROR(__xludf.DUMMYFUNCTION("""COMPUTED_VALUE"""),2.0825)</f>
        <v>2.0825</v>
      </c>
      <c r="W230" s="33">
        <f>IFERROR(__xludf.DUMMYFUNCTION("""COMPUTED_VALUE"""),5.875)</f>
        <v>5.875</v>
      </c>
      <c r="X230" s="33">
        <f>IFERROR(__xludf.DUMMYFUNCTION("""COMPUTED_VALUE"""),3.79249999999999)</f>
        <v>3.7925</v>
      </c>
      <c r="Y230" s="33">
        <f>IFERROR(__xludf.DUMMYFUNCTION("""COMPUTED_VALUE"""),5.13138888888888)</f>
        <v>5.131388889</v>
      </c>
      <c r="Z230" s="33">
        <f>IFERROR(__xludf.DUMMYFUNCTION("""COMPUTED_VALUE"""),0.980277777777777)</f>
        <v>0.9802777778</v>
      </c>
      <c r="AA230" s="33">
        <f>IFERROR(__xludf.DUMMYFUNCTION("""COMPUTED_VALUE"""),0.980277777777777)</f>
        <v>0.9802777778</v>
      </c>
      <c r="AB230" s="33">
        <f>IFERROR(__xludf.DUMMYFUNCTION("""COMPUTED_VALUE"""),6.1125)</f>
        <v>6.1125</v>
      </c>
      <c r="AC230" s="33">
        <f>IFERROR(__xludf.DUMMYFUNCTION("""COMPUTED_VALUE"""),7.43722222222222)</f>
        <v>7.437222222</v>
      </c>
      <c r="AD230" s="33">
        <f>IFERROR(__xludf.DUMMYFUNCTION("""COMPUTED_VALUE"""),1.19555555555555)</f>
        <v>1.195555556</v>
      </c>
      <c r="AE230" s="33">
        <f>IFERROR(__xludf.DUMMYFUNCTION("""COMPUTED_VALUE"""),7.43722222222222)</f>
        <v>7.437222222</v>
      </c>
      <c r="AF230" s="33">
        <f>IFERROR(__xludf.DUMMYFUNCTION("""COMPUTED_VALUE"""),30.0)</f>
        <v>30</v>
      </c>
    </row>
    <row r="231">
      <c r="A231" s="49">
        <f>IFERROR(__xludf.DUMMYFUNCTION("""COMPUTED_VALUE"""),46097.0)</f>
        <v>46097</v>
      </c>
      <c r="B231" s="33" t="str">
        <f>IFERROR(__xludf.DUMMYFUNCTION("""COMPUTED_VALUE"""),"bb6f447c782519839d8793fda0d35f90bad4421a")</f>
        <v>bb6f447c782519839d8793fda0d35f90bad4421a</v>
      </c>
      <c r="C231" s="33" t="str">
        <f>IFERROR(__xludf.DUMMYFUNCTION("""COMPUTED_VALUE"""),"Ruthless")</f>
        <v>Ruthless</v>
      </c>
      <c r="D231" s="33">
        <f>IFERROR(__xludf.DUMMYFUNCTION("""COMPUTED_VALUE"""),22.0)</f>
        <v>22</v>
      </c>
      <c r="E231" s="33">
        <f>IFERROR(__xludf.DUMMYFUNCTION("""COMPUTED_VALUE"""),2.0)</f>
        <v>2</v>
      </c>
      <c r="F231" s="33">
        <f>IFERROR(__xludf.DUMMYFUNCTION("""COMPUTED_VALUE"""),0.0)</f>
        <v>0</v>
      </c>
      <c r="G231" s="33">
        <f>IFERROR(__xludf.DUMMYFUNCTION("""COMPUTED_VALUE"""),0.0)</f>
        <v>0</v>
      </c>
      <c r="H231" s="33">
        <f>IFERROR(__xludf.DUMMYFUNCTION("""COMPUTED_VALUE"""),14.0)</f>
        <v>14</v>
      </c>
      <c r="I231" s="33">
        <f>IFERROR(__xludf.DUMMYFUNCTION("""COMPUTED_VALUE"""),13.0)</f>
        <v>13</v>
      </c>
      <c r="J231" s="33">
        <f>IFERROR(__xludf.DUMMYFUNCTION("""COMPUTED_VALUE"""),11.0)</f>
        <v>11</v>
      </c>
      <c r="K231" s="33">
        <f>IFERROR(__xludf.DUMMYFUNCTION("""COMPUTED_VALUE"""),3.0)</f>
        <v>3</v>
      </c>
      <c r="L231" s="33">
        <f>IFERROR(__xludf.DUMMYFUNCTION("""COMPUTED_VALUE"""),0.0)</f>
        <v>0</v>
      </c>
      <c r="M231" s="33">
        <f>IFERROR(__xludf.DUMMYFUNCTION("""COMPUTED_VALUE"""),11.0)</f>
        <v>11</v>
      </c>
      <c r="N231" s="33">
        <f>IFERROR(__xludf.DUMMYFUNCTION("""COMPUTED_VALUE"""),13.0)</f>
        <v>13</v>
      </c>
      <c r="O231" s="33">
        <f>IFERROR(__xludf.DUMMYFUNCTION("""COMPUTED_VALUE"""),7.0)</f>
        <v>7</v>
      </c>
      <c r="P231" s="33">
        <f>IFERROR(__xludf.DUMMYFUNCTION("""COMPUTED_VALUE"""),13.0)</f>
        <v>13</v>
      </c>
      <c r="Q231" s="33">
        <f>IFERROR(__xludf.DUMMYFUNCTION("""COMPUTED_VALUE"""),0.0)</f>
        <v>0</v>
      </c>
      <c r="R231" s="33">
        <f>IFERROR(__xludf.DUMMYFUNCTION("""COMPUTED_VALUE"""),51401.0)</f>
        <v>51401</v>
      </c>
      <c r="S231" s="33">
        <f>IFERROR(__xludf.DUMMYFUNCTION("""COMPUTED_VALUE"""),4881.0)</f>
        <v>4881</v>
      </c>
      <c r="T231" s="33">
        <f>IFERROR(__xludf.DUMMYFUNCTION("""COMPUTED_VALUE"""),3.21833333333333)</f>
        <v>3.218333333</v>
      </c>
      <c r="U231" s="33">
        <f>IFERROR(__xludf.DUMMYFUNCTION("""COMPUTED_VALUE"""),0.0)</f>
        <v>0</v>
      </c>
      <c r="V231" s="33">
        <f>IFERROR(__xludf.DUMMYFUNCTION("""COMPUTED_VALUE"""),0.0)</f>
        <v>0</v>
      </c>
      <c r="W231" s="33">
        <f>IFERROR(__xludf.DUMMYFUNCTION("""COMPUTED_VALUE"""),2.78222222222222)</f>
        <v>2.782222222</v>
      </c>
      <c r="X231" s="33">
        <f>IFERROR(__xludf.DUMMYFUNCTION("""COMPUTED_VALUE"""),2.60027777777777)</f>
        <v>2.600277778</v>
      </c>
      <c r="Y231" s="33">
        <f>IFERROR(__xludf.DUMMYFUNCTION("""COMPUTED_VALUE"""),2.16444444444444)</f>
        <v>2.164444444</v>
      </c>
      <c r="Z231" s="33">
        <f>IFERROR(__xludf.DUMMYFUNCTION("""COMPUTED_VALUE"""),0.593333333333333)</f>
        <v>0.5933333333</v>
      </c>
      <c r="AA231" s="33">
        <f>IFERROR(__xludf.DUMMYFUNCTION("""COMPUTED_VALUE"""),0.0)</f>
        <v>0</v>
      </c>
      <c r="AB231" s="33">
        <f>IFERROR(__xludf.DUMMYFUNCTION("""COMPUTED_VALUE"""),2.16416666666666)</f>
        <v>2.164166667</v>
      </c>
      <c r="AC231" s="33">
        <f>IFERROR(__xludf.DUMMYFUNCTION("""COMPUTED_VALUE"""),2.63527777777777)</f>
        <v>2.635277778</v>
      </c>
      <c r="AD231" s="33">
        <f>IFERROR(__xludf.DUMMYFUNCTION("""COMPUTED_VALUE"""),1.63944444444444)</f>
        <v>1.639444444</v>
      </c>
      <c r="AE231" s="33">
        <f>IFERROR(__xludf.DUMMYFUNCTION("""COMPUTED_VALUE"""),2.63527777777777)</f>
        <v>2.635277778</v>
      </c>
      <c r="AF231" s="33">
        <f>IFERROR(__xludf.DUMMYFUNCTION("""COMPUTED_VALUE"""),16.0)</f>
        <v>16</v>
      </c>
    </row>
    <row r="232">
      <c r="A232" s="49">
        <f>IFERROR(__xludf.DUMMYFUNCTION("""COMPUTED_VALUE"""),46097.0)</f>
        <v>46097</v>
      </c>
      <c r="B232" s="33" t="str">
        <f>IFERROR(__xludf.DUMMYFUNCTION("""COMPUTED_VALUE"""),"ca6c466ebfcd2658a9f1641045f468c15417a1e7")</f>
        <v>ca6c466ebfcd2658a9f1641045f468c15417a1e7</v>
      </c>
      <c r="C232" s="33" t="str">
        <f>IFERROR(__xludf.DUMMYFUNCTION("""COMPUTED_VALUE"""),"My Mysterious Princess")</f>
        <v>My Mysterious Princess</v>
      </c>
      <c r="D232" s="33">
        <f>IFERROR(__xludf.DUMMYFUNCTION("""COMPUTED_VALUE"""),0.0)</f>
        <v>0</v>
      </c>
      <c r="E232" s="33">
        <f>IFERROR(__xludf.DUMMYFUNCTION("""COMPUTED_VALUE"""),0.0)</f>
        <v>0</v>
      </c>
      <c r="F232" s="33">
        <f>IFERROR(__xludf.DUMMYFUNCTION("""COMPUTED_VALUE"""),0.0)</f>
        <v>0</v>
      </c>
      <c r="G232" s="33">
        <f>IFERROR(__xludf.DUMMYFUNCTION("""COMPUTED_VALUE"""),0.0)</f>
        <v>0</v>
      </c>
      <c r="H232" s="33">
        <f>IFERROR(__xludf.DUMMYFUNCTION("""COMPUTED_VALUE"""),0.0)</f>
        <v>0</v>
      </c>
      <c r="I232" s="33">
        <f>IFERROR(__xludf.DUMMYFUNCTION("""COMPUTED_VALUE"""),0.0)</f>
        <v>0</v>
      </c>
      <c r="J232" s="33">
        <f>IFERROR(__xludf.DUMMYFUNCTION("""COMPUTED_VALUE"""),0.0)</f>
        <v>0</v>
      </c>
      <c r="K232" s="33">
        <f>IFERROR(__xludf.DUMMYFUNCTION("""COMPUTED_VALUE"""),0.0)</f>
        <v>0</v>
      </c>
      <c r="L232" s="33">
        <f>IFERROR(__xludf.DUMMYFUNCTION("""COMPUTED_VALUE"""),0.0)</f>
        <v>0</v>
      </c>
      <c r="M232" s="33">
        <f>IFERROR(__xludf.DUMMYFUNCTION("""COMPUTED_VALUE"""),1.0)</f>
        <v>1</v>
      </c>
      <c r="N232" s="33">
        <f>IFERROR(__xludf.DUMMYFUNCTION("""COMPUTED_VALUE"""),1.0)</f>
        <v>1</v>
      </c>
      <c r="O232" s="33">
        <f>IFERROR(__xludf.DUMMYFUNCTION("""COMPUTED_VALUE"""),1.0)</f>
        <v>1</v>
      </c>
      <c r="P232" s="33">
        <f>IFERROR(__xludf.DUMMYFUNCTION("""COMPUTED_VALUE"""),1.0)</f>
        <v>1</v>
      </c>
      <c r="Q232" s="33">
        <f>IFERROR(__xludf.DUMMYFUNCTION("""COMPUTED_VALUE"""),0.0)</f>
        <v>0</v>
      </c>
      <c r="R232" s="33">
        <f>IFERROR(__xludf.DUMMYFUNCTION("""COMPUTED_VALUE"""),0.0)</f>
        <v>0</v>
      </c>
      <c r="S232" s="33">
        <f>IFERROR(__xludf.DUMMYFUNCTION("""COMPUTED_VALUE"""),0.0)</f>
        <v>0</v>
      </c>
      <c r="T232" s="33">
        <f>IFERROR(__xludf.DUMMYFUNCTION("""COMPUTED_VALUE"""),0.0)</f>
        <v>0</v>
      </c>
      <c r="U232" s="33">
        <f>IFERROR(__xludf.DUMMYFUNCTION("""COMPUTED_VALUE"""),0.0)</f>
        <v>0</v>
      </c>
      <c r="V232" s="33">
        <f>IFERROR(__xludf.DUMMYFUNCTION("""COMPUTED_VALUE"""),0.0)</f>
        <v>0</v>
      </c>
      <c r="W232" s="33">
        <f>IFERROR(__xludf.DUMMYFUNCTION("""COMPUTED_VALUE"""),0.0)</f>
        <v>0</v>
      </c>
      <c r="X232" s="33">
        <f>IFERROR(__xludf.DUMMYFUNCTION("""COMPUTED_VALUE"""),0.0)</f>
        <v>0</v>
      </c>
      <c r="Y232" s="33">
        <f>IFERROR(__xludf.DUMMYFUNCTION("""COMPUTED_VALUE"""),0.0)</f>
        <v>0</v>
      </c>
      <c r="Z232" s="33">
        <f>IFERROR(__xludf.DUMMYFUNCTION("""COMPUTED_VALUE"""),0.0)</f>
        <v>0</v>
      </c>
      <c r="AA232" s="33">
        <f>IFERROR(__xludf.DUMMYFUNCTION("""COMPUTED_VALUE"""),0.0)</f>
        <v>0</v>
      </c>
      <c r="AB232" s="33">
        <f>IFERROR(__xludf.DUMMYFUNCTION("""COMPUTED_VALUE"""),0.277222222222222)</f>
        <v>0.2772222222</v>
      </c>
      <c r="AC232" s="33">
        <f>IFERROR(__xludf.DUMMYFUNCTION("""COMPUTED_VALUE"""),0.277222222222222)</f>
        <v>0.2772222222</v>
      </c>
      <c r="AD232" s="33">
        <f>IFERROR(__xludf.DUMMYFUNCTION("""COMPUTED_VALUE"""),0.232222222222222)</f>
        <v>0.2322222222</v>
      </c>
      <c r="AE232" s="33">
        <f>IFERROR(__xludf.DUMMYFUNCTION("""COMPUTED_VALUE"""),0.277222222222222)</f>
        <v>0.2772222222</v>
      </c>
      <c r="AF232" s="33">
        <f>IFERROR(__xludf.DUMMYFUNCTION("""COMPUTED_VALUE"""),0.0)</f>
        <v>0</v>
      </c>
    </row>
    <row r="233">
      <c r="A233" s="49">
        <f>IFERROR(__xludf.DUMMYFUNCTION("""COMPUTED_VALUE"""),46097.0)</f>
        <v>46097</v>
      </c>
      <c r="B233" s="33" t="str">
        <f>IFERROR(__xludf.DUMMYFUNCTION("""COMPUTED_VALUE"""),"dbbc7f35e9eb33b7562f0fd82896e827101bf13c")</f>
        <v>dbbc7f35e9eb33b7562f0fd82896e827101bf13c</v>
      </c>
      <c r="C233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33" s="33">
        <f>IFERROR(__xludf.DUMMYFUNCTION("""COMPUTED_VALUE"""),0.0)</f>
        <v>0</v>
      </c>
      <c r="E233" s="33">
        <f>IFERROR(__xludf.DUMMYFUNCTION("""COMPUTED_VALUE"""),0.0)</f>
        <v>0</v>
      </c>
      <c r="F233" s="33">
        <f>IFERROR(__xludf.DUMMYFUNCTION("""COMPUTED_VALUE"""),0.0)</f>
        <v>0</v>
      </c>
      <c r="G233" s="33">
        <f>IFERROR(__xludf.DUMMYFUNCTION("""COMPUTED_VALUE"""),0.0)</f>
        <v>0</v>
      </c>
      <c r="H233" s="33">
        <f>IFERROR(__xludf.DUMMYFUNCTION("""COMPUTED_VALUE"""),0.0)</f>
        <v>0</v>
      </c>
      <c r="I233" s="33">
        <f>IFERROR(__xludf.DUMMYFUNCTION("""COMPUTED_VALUE"""),0.0)</f>
        <v>0</v>
      </c>
      <c r="J233" s="33">
        <f>IFERROR(__xludf.DUMMYFUNCTION("""COMPUTED_VALUE"""),0.0)</f>
        <v>0</v>
      </c>
      <c r="K233" s="33">
        <f>IFERROR(__xludf.DUMMYFUNCTION("""COMPUTED_VALUE"""),0.0)</f>
        <v>0</v>
      </c>
      <c r="L233" s="33">
        <f>IFERROR(__xludf.DUMMYFUNCTION("""COMPUTED_VALUE"""),0.0)</f>
        <v>0</v>
      </c>
      <c r="M233" s="33">
        <f>IFERROR(__xludf.DUMMYFUNCTION("""COMPUTED_VALUE"""),0.0)</f>
        <v>0</v>
      </c>
      <c r="N233" s="33">
        <f>IFERROR(__xludf.DUMMYFUNCTION("""COMPUTED_VALUE"""),5.0)</f>
        <v>5</v>
      </c>
      <c r="O233" s="33">
        <f>IFERROR(__xludf.DUMMYFUNCTION("""COMPUTED_VALUE"""),4.0)</f>
        <v>4</v>
      </c>
      <c r="P233" s="33">
        <f>IFERROR(__xludf.DUMMYFUNCTION("""COMPUTED_VALUE"""),5.0)</f>
        <v>5</v>
      </c>
      <c r="Q233" s="33">
        <f>IFERROR(__xludf.DUMMYFUNCTION("""COMPUTED_VALUE"""),0.0)</f>
        <v>0</v>
      </c>
      <c r="R233" s="33">
        <f>IFERROR(__xludf.DUMMYFUNCTION("""COMPUTED_VALUE"""),0.0)</f>
        <v>0</v>
      </c>
      <c r="S233" s="33">
        <f>IFERROR(__xludf.DUMMYFUNCTION("""COMPUTED_VALUE"""),0.0)</f>
        <v>0</v>
      </c>
      <c r="T233" s="33">
        <f>IFERROR(__xludf.DUMMYFUNCTION("""COMPUTED_VALUE"""),0.0)</f>
        <v>0</v>
      </c>
      <c r="U233" s="33">
        <f>IFERROR(__xludf.DUMMYFUNCTION("""COMPUTED_VALUE"""),0.0)</f>
        <v>0</v>
      </c>
      <c r="V233" s="33">
        <f>IFERROR(__xludf.DUMMYFUNCTION("""COMPUTED_VALUE"""),0.0)</f>
        <v>0</v>
      </c>
      <c r="W233" s="33">
        <f>IFERROR(__xludf.DUMMYFUNCTION("""COMPUTED_VALUE"""),0.0)</f>
        <v>0</v>
      </c>
      <c r="X233" s="33">
        <f>IFERROR(__xludf.DUMMYFUNCTION("""COMPUTED_VALUE"""),0.0)</f>
        <v>0</v>
      </c>
      <c r="Y233" s="33">
        <f>IFERROR(__xludf.DUMMYFUNCTION("""COMPUTED_VALUE"""),0.0)</f>
        <v>0</v>
      </c>
      <c r="Z233" s="33">
        <f>IFERROR(__xludf.DUMMYFUNCTION("""COMPUTED_VALUE"""),0.0)</f>
        <v>0</v>
      </c>
      <c r="AA233" s="33">
        <f>IFERROR(__xludf.DUMMYFUNCTION("""COMPUTED_VALUE"""),0.0)</f>
        <v>0</v>
      </c>
      <c r="AB233" s="33">
        <f>IFERROR(__xludf.DUMMYFUNCTION("""COMPUTED_VALUE"""),0.0)</f>
        <v>0</v>
      </c>
      <c r="AC233" s="33">
        <f>IFERROR(__xludf.DUMMYFUNCTION("""COMPUTED_VALUE"""),0.0)</f>
        <v>0</v>
      </c>
      <c r="AD233" s="33">
        <f>IFERROR(__xludf.DUMMYFUNCTION("""COMPUTED_VALUE"""),0.735277777777777)</f>
        <v>0.7352777778</v>
      </c>
      <c r="AE233" s="33">
        <f>IFERROR(__xludf.DUMMYFUNCTION("""COMPUTED_VALUE"""),1.32916666666666)</f>
        <v>1.329166667</v>
      </c>
      <c r="AF233" s="33">
        <f>IFERROR(__xludf.DUMMYFUNCTION("""COMPUTED_VALUE"""),0.0)</f>
        <v>0</v>
      </c>
    </row>
    <row r="234">
      <c r="A234" s="49">
        <f>IFERROR(__xludf.DUMMYFUNCTION("""COMPUTED_VALUE"""),46097.0)</f>
        <v>46097</v>
      </c>
      <c r="B234" s="33" t="str">
        <f>IFERROR(__xludf.DUMMYFUNCTION("""COMPUTED_VALUE"""),"e493cee863483a057af12de782cd20043a19ed05")</f>
        <v>e493cee863483a057af12de782cd20043a19ed05</v>
      </c>
      <c r="C234" s="33" t="str">
        <f>IFERROR(__xludf.DUMMYFUNCTION("""COMPUTED_VALUE"""),"Malang")</f>
        <v>Malang</v>
      </c>
      <c r="D234" s="33">
        <f>IFERROR(__xludf.DUMMYFUNCTION("""COMPUTED_VALUE"""),0.0)</f>
        <v>0</v>
      </c>
      <c r="E234" s="33">
        <f>IFERROR(__xludf.DUMMYFUNCTION("""COMPUTED_VALUE"""),0.0)</f>
        <v>0</v>
      </c>
      <c r="F234" s="33">
        <f>IFERROR(__xludf.DUMMYFUNCTION("""COMPUTED_VALUE"""),0.0)</f>
        <v>0</v>
      </c>
      <c r="G234" s="33">
        <f>IFERROR(__xludf.DUMMYFUNCTION("""COMPUTED_VALUE"""),0.0)</f>
        <v>0</v>
      </c>
      <c r="H234" s="33">
        <f>IFERROR(__xludf.DUMMYFUNCTION("""COMPUTED_VALUE"""),3.0)</f>
        <v>3</v>
      </c>
      <c r="I234" s="33">
        <f>IFERROR(__xludf.DUMMYFUNCTION("""COMPUTED_VALUE"""),3.0)</f>
        <v>3</v>
      </c>
      <c r="J234" s="33">
        <f>IFERROR(__xludf.DUMMYFUNCTION("""COMPUTED_VALUE"""),3.0)</f>
        <v>3</v>
      </c>
      <c r="K234" s="33">
        <f>IFERROR(__xludf.DUMMYFUNCTION("""COMPUTED_VALUE"""),3.0)</f>
        <v>3</v>
      </c>
      <c r="L234" s="33">
        <f>IFERROR(__xludf.DUMMYFUNCTION("""COMPUTED_VALUE"""),0.0)</f>
        <v>0</v>
      </c>
      <c r="M234" s="33">
        <f>IFERROR(__xludf.DUMMYFUNCTION("""COMPUTED_VALUE"""),3.0)</f>
        <v>3</v>
      </c>
      <c r="N234" s="33">
        <f>IFERROR(__xludf.DUMMYFUNCTION("""COMPUTED_VALUE"""),3.0)</f>
        <v>3</v>
      </c>
      <c r="O234" s="33">
        <f>IFERROR(__xludf.DUMMYFUNCTION("""COMPUTED_VALUE"""),4.0)</f>
        <v>4</v>
      </c>
      <c r="P234" s="33">
        <f>IFERROR(__xludf.DUMMYFUNCTION("""COMPUTED_VALUE"""),3.0)</f>
        <v>3</v>
      </c>
      <c r="Q234" s="33">
        <f>IFERROR(__xludf.DUMMYFUNCTION("""COMPUTED_VALUE"""),0.0)</f>
        <v>0</v>
      </c>
      <c r="R234" s="33">
        <f>IFERROR(__xludf.DUMMYFUNCTION("""COMPUTED_VALUE"""),0.0)</f>
        <v>0</v>
      </c>
      <c r="S234" s="33">
        <f>IFERROR(__xludf.DUMMYFUNCTION("""COMPUTED_VALUE"""),0.0)</f>
        <v>0</v>
      </c>
      <c r="T234" s="33">
        <f>IFERROR(__xludf.DUMMYFUNCTION("""COMPUTED_VALUE"""),0.62)</f>
        <v>0.62</v>
      </c>
      <c r="U234" s="33">
        <f>IFERROR(__xludf.DUMMYFUNCTION("""COMPUTED_VALUE"""),0.0)</f>
        <v>0</v>
      </c>
      <c r="V234" s="33">
        <f>IFERROR(__xludf.DUMMYFUNCTION("""COMPUTED_VALUE"""),0.0)</f>
        <v>0</v>
      </c>
      <c r="W234" s="33">
        <f>IFERROR(__xludf.DUMMYFUNCTION("""COMPUTED_VALUE"""),0.62)</f>
        <v>0.62</v>
      </c>
      <c r="X234" s="33">
        <f>IFERROR(__xludf.DUMMYFUNCTION("""COMPUTED_VALUE"""),0.62)</f>
        <v>0.62</v>
      </c>
      <c r="Y234" s="33">
        <f>IFERROR(__xludf.DUMMYFUNCTION("""COMPUTED_VALUE"""),0.611388888888888)</f>
        <v>0.6113888889</v>
      </c>
      <c r="Z234" s="33">
        <f>IFERROR(__xludf.DUMMYFUNCTION("""COMPUTED_VALUE"""),0.611388888888888)</f>
        <v>0.6113888889</v>
      </c>
      <c r="AA234" s="33">
        <f>IFERROR(__xludf.DUMMYFUNCTION("""COMPUTED_VALUE"""),0.0)</f>
        <v>0</v>
      </c>
      <c r="AB234" s="33">
        <f>IFERROR(__xludf.DUMMYFUNCTION("""COMPUTED_VALUE"""),0.611388888888888)</f>
        <v>0.6113888889</v>
      </c>
      <c r="AC234" s="33">
        <f>IFERROR(__xludf.DUMMYFUNCTION("""COMPUTED_VALUE"""),0.594444444444444)</f>
        <v>0.5944444444</v>
      </c>
      <c r="AD234" s="33">
        <f>IFERROR(__xludf.DUMMYFUNCTION("""COMPUTED_VALUE"""),0.789722222222222)</f>
        <v>0.7897222222</v>
      </c>
      <c r="AE234" s="33">
        <f>IFERROR(__xludf.DUMMYFUNCTION("""COMPUTED_VALUE"""),0.594444444444444)</f>
        <v>0.5944444444</v>
      </c>
      <c r="AF234" s="33">
        <f>IFERROR(__xludf.DUMMYFUNCTION("""COMPUTED_VALUE"""),3.0)</f>
        <v>3</v>
      </c>
    </row>
    <row r="235">
      <c r="A235" s="49">
        <f>IFERROR(__xludf.DUMMYFUNCTION("""COMPUTED_VALUE"""),46097.0)</f>
        <v>46097</v>
      </c>
      <c r="B235" s="33" t="str">
        <f>IFERROR(__xludf.DUMMYFUNCTION("""COMPUTED_VALUE"""),"f43f4253dc3c596ff8f2e3cc9f3b677981a70310")</f>
        <v>f43f4253dc3c596ff8f2e3cc9f3b677981a70310</v>
      </c>
      <c r="C235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35" s="33">
        <f>IFERROR(__xludf.DUMMYFUNCTION("""COMPUTED_VALUE"""),84.0)</f>
        <v>84</v>
      </c>
      <c r="E235" s="33">
        <f>IFERROR(__xludf.DUMMYFUNCTION("""COMPUTED_VALUE"""),81.0)</f>
        <v>81</v>
      </c>
      <c r="F235" s="33">
        <f>IFERROR(__xludf.DUMMYFUNCTION("""COMPUTED_VALUE"""),0.0)</f>
        <v>0</v>
      </c>
      <c r="G235" s="33">
        <f>IFERROR(__xludf.DUMMYFUNCTION("""COMPUTED_VALUE"""),0.0)</f>
        <v>0</v>
      </c>
      <c r="H235" s="33">
        <f>IFERROR(__xludf.DUMMYFUNCTION("""COMPUTED_VALUE"""),0.0)</f>
        <v>0</v>
      </c>
      <c r="I235" s="33">
        <f>IFERROR(__xludf.DUMMYFUNCTION("""COMPUTED_VALUE"""),0.0)</f>
        <v>0</v>
      </c>
      <c r="J235" s="33">
        <f>IFERROR(__xludf.DUMMYFUNCTION("""COMPUTED_VALUE"""),0.0)</f>
        <v>0</v>
      </c>
      <c r="K235" s="33">
        <f>IFERROR(__xludf.DUMMYFUNCTION("""COMPUTED_VALUE"""),0.0)</f>
        <v>0</v>
      </c>
      <c r="L235" s="33">
        <f>IFERROR(__xludf.DUMMYFUNCTION("""COMPUTED_VALUE"""),0.0)</f>
        <v>0</v>
      </c>
      <c r="M235" s="33">
        <f>IFERROR(__xludf.DUMMYFUNCTION("""COMPUTED_VALUE"""),0.0)</f>
        <v>0</v>
      </c>
      <c r="N235" s="33">
        <f>IFERROR(__xludf.DUMMYFUNCTION("""COMPUTED_VALUE"""),60.0)</f>
        <v>60</v>
      </c>
      <c r="O235" s="33">
        <f>IFERROR(__xludf.DUMMYFUNCTION("""COMPUTED_VALUE"""),4.0)</f>
        <v>4</v>
      </c>
      <c r="P235" s="33">
        <f>IFERROR(__xludf.DUMMYFUNCTION("""COMPUTED_VALUE"""),84.0)</f>
        <v>84</v>
      </c>
      <c r="Q235" s="33">
        <f>IFERROR(__xludf.DUMMYFUNCTION("""COMPUTED_VALUE"""),0.0)</f>
        <v>0</v>
      </c>
      <c r="R235" s="33">
        <f>IFERROR(__xludf.DUMMYFUNCTION("""COMPUTED_VALUE"""),208971.0)</f>
        <v>208971</v>
      </c>
      <c r="S235" s="33">
        <f>IFERROR(__xludf.DUMMYFUNCTION("""COMPUTED_VALUE"""),201209.0)</f>
        <v>201209</v>
      </c>
      <c r="T235" s="33">
        <f>IFERROR(__xludf.DUMMYFUNCTION("""COMPUTED_VALUE"""),0.0)</f>
        <v>0</v>
      </c>
      <c r="U235" s="33">
        <f>IFERROR(__xludf.DUMMYFUNCTION("""COMPUTED_VALUE"""),0.0)</f>
        <v>0</v>
      </c>
      <c r="V235" s="33">
        <f>IFERROR(__xludf.DUMMYFUNCTION("""COMPUTED_VALUE"""),0.0)</f>
        <v>0</v>
      </c>
      <c r="W235" s="33">
        <f>IFERROR(__xludf.DUMMYFUNCTION("""COMPUTED_VALUE"""),0.0)</f>
        <v>0</v>
      </c>
      <c r="X235" s="33">
        <f>IFERROR(__xludf.DUMMYFUNCTION("""COMPUTED_VALUE"""),0.0)</f>
        <v>0</v>
      </c>
      <c r="Y235" s="33">
        <f>IFERROR(__xludf.DUMMYFUNCTION("""COMPUTED_VALUE"""),0.0)</f>
        <v>0</v>
      </c>
      <c r="Z235" s="33">
        <f>IFERROR(__xludf.DUMMYFUNCTION("""COMPUTED_VALUE"""),0.0)</f>
        <v>0</v>
      </c>
      <c r="AA235" s="33">
        <f>IFERROR(__xludf.DUMMYFUNCTION("""COMPUTED_VALUE"""),0.0)</f>
        <v>0</v>
      </c>
      <c r="AB235" s="33">
        <f>IFERROR(__xludf.DUMMYFUNCTION("""COMPUTED_VALUE"""),0.0)</f>
        <v>0</v>
      </c>
      <c r="AC235" s="33">
        <f>IFERROR(__xludf.DUMMYFUNCTION("""COMPUTED_VALUE"""),11.4461111111111)</f>
        <v>11.44611111</v>
      </c>
      <c r="AD235" s="33">
        <f>IFERROR(__xludf.DUMMYFUNCTION("""COMPUTED_VALUE"""),1.05611111111111)</f>
        <v>1.056111111</v>
      </c>
      <c r="AE235" s="33">
        <f>IFERROR(__xludf.DUMMYFUNCTION("""COMPUTED_VALUE"""),18.8288888888888)</f>
        <v>18.82888889</v>
      </c>
      <c r="AF235" s="33">
        <f>IFERROR(__xludf.DUMMYFUNCTION("""COMPUTED_VALUE"""),0.0)</f>
        <v>0</v>
      </c>
    </row>
    <row r="236">
      <c r="A236" s="49">
        <f>IFERROR(__xludf.DUMMYFUNCTION("""COMPUTED_VALUE"""),46097.0)</f>
        <v>46097</v>
      </c>
      <c r="B236" s="33" t="str">
        <f>IFERROR(__xludf.DUMMYFUNCTION("""COMPUTED_VALUE"""),"f8fbcb9a13d17d5888164fffc1bbb7cd5c6608b2")</f>
        <v>f8fbcb9a13d17d5888164fffc1bbb7cd5c6608b2</v>
      </c>
      <c r="C236" s="33" t="str">
        <f>IFERROR(__xludf.DUMMYFUNCTION("""COMPUTED_VALUE"""),"Empire of Hidden King | Author - Nitesh")</f>
        <v>Empire of Hidden King | Author - Nitesh</v>
      </c>
      <c r="D236" s="33">
        <f>IFERROR(__xludf.DUMMYFUNCTION("""COMPUTED_VALUE"""),0.0)</f>
        <v>0</v>
      </c>
      <c r="E236" s="33">
        <f>IFERROR(__xludf.DUMMYFUNCTION("""COMPUTED_VALUE"""),0.0)</f>
        <v>0</v>
      </c>
      <c r="F236" s="33">
        <f>IFERROR(__xludf.DUMMYFUNCTION("""COMPUTED_VALUE"""),0.0)</f>
        <v>0</v>
      </c>
      <c r="G236" s="33">
        <f>IFERROR(__xludf.DUMMYFUNCTION("""COMPUTED_VALUE"""),0.0)</f>
        <v>0</v>
      </c>
      <c r="H236" s="33">
        <f>IFERROR(__xludf.DUMMYFUNCTION("""COMPUTED_VALUE"""),0.0)</f>
        <v>0</v>
      </c>
      <c r="I236" s="33">
        <f>IFERROR(__xludf.DUMMYFUNCTION("""COMPUTED_VALUE"""),0.0)</f>
        <v>0</v>
      </c>
      <c r="J236" s="33">
        <f>IFERROR(__xludf.DUMMYFUNCTION("""COMPUTED_VALUE"""),0.0)</f>
        <v>0</v>
      </c>
      <c r="K236" s="33">
        <f>IFERROR(__xludf.DUMMYFUNCTION("""COMPUTED_VALUE"""),0.0)</f>
        <v>0</v>
      </c>
      <c r="L236" s="33">
        <f>IFERROR(__xludf.DUMMYFUNCTION("""COMPUTED_VALUE"""),0.0)</f>
        <v>0</v>
      </c>
      <c r="M236" s="33">
        <f>IFERROR(__xludf.DUMMYFUNCTION("""COMPUTED_VALUE"""),0.0)</f>
        <v>0</v>
      </c>
      <c r="N236" s="33">
        <f>IFERROR(__xludf.DUMMYFUNCTION("""COMPUTED_VALUE"""),15.0)</f>
        <v>15</v>
      </c>
      <c r="O236" s="33">
        <f>IFERROR(__xludf.DUMMYFUNCTION("""COMPUTED_VALUE"""),2.0)</f>
        <v>2</v>
      </c>
      <c r="P236" s="33">
        <f>IFERROR(__xludf.DUMMYFUNCTION("""COMPUTED_VALUE"""),15.0)</f>
        <v>15</v>
      </c>
      <c r="Q236" s="33">
        <f>IFERROR(__xludf.DUMMYFUNCTION("""COMPUTED_VALUE"""),0.0)</f>
        <v>0</v>
      </c>
      <c r="R236" s="33">
        <f>IFERROR(__xludf.DUMMYFUNCTION("""COMPUTED_VALUE"""),0.0)</f>
        <v>0</v>
      </c>
      <c r="S236" s="33">
        <f>IFERROR(__xludf.DUMMYFUNCTION("""COMPUTED_VALUE"""),0.0)</f>
        <v>0</v>
      </c>
      <c r="T236" s="33">
        <f>IFERROR(__xludf.DUMMYFUNCTION("""COMPUTED_VALUE"""),0.0)</f>
        <v>0</v>
      </c>
      <c r="U236" s="33">
        <f>IFERROR(__xludf.DUMMYFUNCTION("""COMPUTED_VALUE"""),0.0)</f>
        <v>0</v>
      </c>
      <c r="V236" s="33">
        <f>IFERROR(__xludf.DUMMYFUNCTION("""COMPUTED_VALUE"""),0.0)</f>
        <v>0</v>
      </c>
      <c r="W236" s="33">
        <f>IFERROR(__xludf.DUMMYFUNCTION("""COMPUTED_VALUE"""),0.0)</f>
        <v>0</v>
      </c>
      <c r="X236" s="33">
        <f>IFERROR(__xludf.DUMMYFUNCTION("""COMPUTED_VALUE"""),0.0)</f>
        <v>0</v>
      </c>
      <c r="Y236" s="33">
        <f>IFERROR(__xludf.DUMMYFUNCTION("""COMPUTED_VALUE"""),0.0)</f>
        <v>0</v>
      </c>
      <c r="Z236" s="33">
        <f>IFERROR(__xludf.DUMMYFUNCTION("""COMPUTED_VALUE"""),0.0)</f>
        <v>0</v>
      </c>
      <c r="AA236" s="33">
        <f>IFERROR(__xludf.DUMMYFUNCTION("""COMPUTED_VALUE"""),0.0)</f>
        <v>0</v>
      </c>
      <c r="AB236" s="33">
        <f>IFERROR(__xludf.DUMMYFUNCTION("""COMPUTED_VALUE"""),0.0)</f>
        <v>0</v>
      </c>
      <c r="AC236" s="33">
        <f>IFERROR(__xludf.DUMMYFUNCTION("""COMPUTED_VALUE"""),4.18249999999999)</f>
        <v>4.1825</v>
      </c>
      <c r="AD236" s="33">
        <f>IFERROR(__xludf.DUMMYFUNCTION("""COMPUTED_VALUE"""),0.5025)</f>
        <v>0.5025</v>
      </c>
      <c r="AE236" s="33">
        <f>IFERROR(__xludf.DUMMYFUNCTION("""COMPUTED_VALUE"""),3.65749999999999)</f>
        <v>3.6575</v>
      </c>
      <c r="AF236" s="33">
        <f>IFERROR(__xludf.DUMMYFUNCTION("""COMPUTED_VALUE"""),0.0)</f>
        <v>0</v>
      </c>
    </row>
    <row r="237">
      <c r="A237" s="49">
        <f>IFERROR(__xludf.DUMMYFUNCTION("""COMPUTED_VALUE"""),46090.0)</f>
        <v>46090</v>
      </c>
      <c r="B237" s="33" t="str">
        <f>IFERROR(__xludf.DUMMYFUNCTION("""COMPUTED_VALUE"""),"017fddbaa7617afdd8289be5c433df09dcde1da2")</f>
        <v>017fddbaa7617afdd8289be5c433df09dcde1da2</v>
      </c>
      <c r="C237" s="33" t="str">
        <f>IFERROR(__xludf.DUMMYFUNCTION("""COMPUTED_VALUE"""),"His Secret Fortune - Production Show_id")</f>
        <v>His Secret Fortune - Production Show_id</v>
      </c>
      <c r="D237" s="33">
        <f>IFERROR(__xludf.DUMMYFUNCTION("""COMPUTED_VALUE"""),0.0)</f>
        <v>0</v>
      </c>
      <c r="E237" s="33">
        <f>IFERROR(__xludf.DUMMYFUNCTION("""COMPUTED_VALUE"""),2.0)</f>
        <v>2</v>
      </c>
      <c r="F237" s="33">
        <f>IFERROR(__xludf.DUMMYFUNCTION("""COMPUTED_VALUE"""),9.0)</f>
        <v>9</v>
      </c>
      <c r="G237" s="33">
        <f>IFERROR(__xludf.DUMMYFUNCTION("""COMPUTED_VALUE"""),10.0)</f>
        <v>10</v>
      </c>
      <c r="H237" s="33">
        <f>IFERROR(__xludf.DUMMYFUNCTION("""COMPUTED_VALUE"""),17.0)</f>
        <v>17</v>
      </c>
      <c r="I237" s="33">
        <f>IFERROR(__xludf.DUMMYFUNCTION("""COMPUTED_VALUE"""),7.0)</f>
        <v>7</v>
      </c>
      <c r="J237" s="33">
        <f>IFERROR(__xludf.DUMMYFUNCTION("""COMPUTED_VALUE"""),17.0)</f>
        <v>17</v>
      </c>
      <c r="K237" s="33">
        <f>IFERROR(__xludf.DUMMYFUNCTION("""COMPUTED_VALUE"""),10.0)</f>
        <v>10</v>
      </c>
      <c r="L237" s="33">
        <f>IFERROR(__xludf.DUMMYFUNCTION("""COMPUTED_VALUE"""),10.0)</f>
        <v>10</v>
      </c>
      <c r="M237" s="33">
        <f>IFERROR(__xludf.DUMMYFUNCTION("""COMPUTED_VALUE"""),12.0)</f>
        <v>12</v>
      </c>
      <c r="N237" s="33">
        <f>IFERROR(__xludf.DUMMYFUNCTION("""COMPUTED_VALUE"""),12.0)</f>
        <v>12</v>
      </c>
      <c r="O237" s="33">
        <f>IFERROR(__xludf.DUMMYFUNCTION("""COMPUTED_VALUE"""),7.0)</f>
        <v>7</v>
      </c>
      <c r="P237" s="33">
        <f>IFERROR(__xludf.DUMMYFUNCTION("""COMPUTED_VALUE"""),12.0)</f>
        <v>12</v>
      </c>
      <c r="Q237" s="33">
        <f>IFERROR(__xludf.DUMMYFUNCTION("""COMPUTED_VALUE"""),0.0)</f>
        <v>0</v>
      </c>
      <c r="R237" s="33">
        <f>IFERROR(__xludf.DUMMYFUNCTION("""COMPUTED_VALUE"""),0.0)</f>
        <v>0</v>
      </c>
      <c r="S237" s="33">
        <f>IFERROR(__xludf.DUMMYFUNCTION("""COMPUTED_VALUE"""),4052.0)</f>
        <v>4052</v>
      </c>
      <c r="T237" s="33">
        <f>IFERROR(__xludf.DUMMYFUNCTION("""COMPUTED_VALUE"""),2.08055555555555)</f>
        <v>2.080555556</v>
      </c>
      <c r="U237" s="33">
        <f>IFERROR(__xludf.DUMMYFUNCTION("""COMPUTED_VALUE"""),1.75222222222222)</f>
        <v>1.752222222</v>
      </c>
      <c r="V237" s="33">
        <f>IFERROR(__xludf.DUMMYFUNCTION("""COMPUTED_VALUE"""),1.86333333333333)</f>
        <v>1.863333333</v>
      </c>
      <c r="W237" s="33">
        <f>IFERROR(__xludf.DUMMYFUNCTION("""COMPUTED_VALUE"""),3.1125)</f>
        <v>3.1125</v>
      </c>
      <c r="X237" s="33">
        <f>IFERROR(__xludf.DUMMYFUNCTION("""COMPUTED_VALUE"""),1.24916666666666)</f>
        <v>1.249166667</v>
      </c>
      <c r="Y237" s="33">
        <f>IFERROR(__xludf.DUMMYFUNCTION("""COMPUTED_VALUE"""),3.10916666666666)</f>
        <v>3.109166667</v>
      </c>
      <c r="Z237" s="33">
        <f>IFERROR(__xludf.DUMMYFUNCTION("""COMPUTED_VALUE"""),1.89527777777777)</f>
        <v>1.895277778</v>
      </c>
      <c r="AA237" s="33">
        <f>IFERROR(__xludf.DUMMYFUNCTION("""COMPUTED_VALUE"""),1.89527777777777)</f>
        <v>1.895277778</v>
      </c>
      <c r="AB237" s="33">
        <f>IFERROR(__xludf.DUMMYFUNCTION("""COMPUTED_VALUE"""),2.20888888888888)</f>
        <v>2.208888889</v>
      </c>
      <c r="AC237" s="33">
        <f>IFERROR(__xludf.DUMMYFUNCTION("""COMPUTED_VALUE"""),2.20888888888888)</f>
        <v>2.208888889</v>
      </c>
      <c r="AD237" s="33">
        <f>IFERROR(__xludf.DUMMYFUNCTION("""COMPUTED_VALUE"""),1.32527777777777)</f>
        <v>1.325277778</v>
      </c>
      <c r="AE237" s="33">
        <f>IFERROR(__xludf.DUMMYFUNCTION("""COMPUTED_VALUE"""),2.20888888888888)</f>
        <v>2.208888889</v>
      </c>
      <c r="AF237" s="33">
        <f>IFERROR(__xludf.DUMMYFUNCTION("""COMPUTED_VALUE"""),11.0)</f>
        <v>11</v>
      </c>
    </row>
    <row r="238">
      <c r="A238" s="49">
        <f>IFERROR(__xludf.DUMMYFUNCTION("""COMPUTED_VALUE"""),46090.0)</f>
        <v>46090</v>
      </c>
      <c r="B238" s="33" t="str">
        <f>IFERROR(__xludf.DUMMYFUNCTION("""COMPUTED_VALUE"""),"2549f1505a3739b3e90a0b63921ad55271440d40")</f>
        <v>2549f1505a3739b3e90a0b63921ad55271440d40</v>
      </c>
      <c r="C238" s="33" t="str">
        <f>IFERROR(__xludf.DUMMYFUNCTION("""COMPUTED_VALUE"""),"Reborn in Martial World ")</f>
        <v>Reborn in Martial World </v>
      </c>
      <c r="D238" s="33">
        <f>IFERROR(__xludf.DUMMYFUNCTION("""COMPUTED_VALUE"""),0.0)</f>
        <v>0</v>
      </c>
      <c r="E238" s="33">
        <f>IFERROR(__xludf.DUMMYFUNCTION("""COMPUTED_VALUE"""),5.0)</f>
        <v>5</v>
      </c>
      <c r="F238" s="33">
        <f>IFERROR(__xludf.DUMMYFUNCTION("""COMPUTED_VALUE"""),0.0)</f>
        <v>0</v>
      </c>
      <c r="G238" s="33">
        <f>IFERROR(__xludf.DUMMYFUNCTION("""COMPUTED_VALUE"""),0.0)</f>
        <v>0</v>
      </c>
      <c r="H238" s="33">
        <f>IFERROR(__xludf.DUMMYFUNCTION("""COMPUTED_VALUE"""),0.0)</f>
        <v>0</v>
      </c>
      <c r="I238" s="33">
        <f>IFERROR(__xludf.DUMMYFUNCTION("""COMPUTED_VALUE"""),0.0)</f>
        <v>0</v>
      </c>
      <c r="J238" s="33">
        <f>IFERROR(__xludf.DUMMYFUNCTION("""COMPUTED_VALUE"""),0.0)</f>
        <v>0</v>
      </c>
      <c r="K238" s="33">
        <f>IFERROR(__xludf.DUMMYFUNCTION("""COMPUTED_VALUE"""),0.0)</f>
        <v>0</v>
      </c>
      <c r="L238" s="33">
        <f>IFERROR(__xludf.DUMMYFUNCTION("""COMPUTED_VALUE"""),0.0)</f>
        <v>0</v>
      </c>
      <c r="M238" s="33">
        <f>IFERROR(__xludf.DUMMYFUNCTION("""COMPUTED_VALUE"""),0.0)</f>
        <v>0</v>
      </c>
      <c r="N238" s="33">
        <f>IFERROR(__xludf.DUMMYFUNCTION("""COMPUTED_VALUE"""),5.0)</f>
        <v>5</v>
      </c>
      <c r="O238" s="33">
        <f>IFERROR(__xludf.DUMMYFUNCTION("""COMPUTED_VALUE"""),5.0)</f>
        <v>5</v>
      </c>
      <c r="P238" s="33">
        <f>IFERROR(__xludf.DUMMYFUNCTION("""COMPUTED_VALUE"""),5.0)</f>
        <v>5</v>
      </c>
      <c r="Q238" s="33">
        <f>IFERROR(__xludf.DUMMYFUNCTION("""COMPUTED_VALUE"""),0.0)</f>
        <v>0</v>
      </c>
      <c r="R238" s="33">
        <f>IFERROR(__xludf.DUMMYFUNCTION("""COMPUTED_VALUE"""),0.0)</f>
        <v>0</v>
      </c>
      <c r="S238" s="33">
        <f>IFERROR(__xludf.DUMMYFUNCTION("""COMPUTED_VALUE"""),12898.0)</f>
        <v>12898</v>
      </c>
      <c r="T238" s="33">
        <f>IFERROR(__xludf.DUMMYFUNCTION("""COMPUTED_VALUE"""),0.0)</f>
        <v>0</v>
      </c>
      <c r="U238" s="33">
        <f>IFERROR(__xludf.DUMMYFUNCTION("""COMPUTED_VALUE"""),0.0)</f>
        <v>0</v>
      </c>
      <c r="V238" s="33">
        <f>IFERROR(__xludf.DUMMYFUNCTION("""COMPUTED_VALUE"""),0.0)</f>
        <v>0</v>
      </c>
      <c r="W238" s="33">
        <f>IFERROR(__xludf.DUMMYFUNCTION("""COMPUTED_VALUE"""),0.0)</f>
        <v>0</v>
      </c>
      <c r="X238" s="33">
        <f>IFERROR(__xludf.DUMMYFUNCTION("""COMPUTED_VALUE"""),0.0)</f>
        <v>0</v>
      </c>
      <c r="Y238" s="33">
        <f>IFERROR(__xludf.DUMMYFUNCTION("""COMPUTED_VALUE"""),0.0)</f>
        <v>0</v>
      </c>
      <c r="Z238" s="33">
        <f>IFERROR(__xludf.DUMMYFUNCTION("""COMPUTED_VALUE"""),0.0)</f>
        <v>0</v>
      </c>
      <c r="AA238" s="33">
        <f>IFERROR(__xludf.DUMMYFUNCTION("""COMPUTED_VALUE"""),0.0)</f>
        <v>0</v>
      </c>
      <c r="AB238" s="33">
        <f>IFERROR(__xludf.DUMMYFUNCTION("""COMPUTED_VALUE"""),0.0)</f>
        <v>0</v>
      </c>
      <c r="AC238" s="33">
        <f>IFERROR(__xludf.DUMMYFUNCTION("""COMPUTED_VALUE"""),1.34666666666666)</f>
        <v>1.346666667</v>
      </c>
      <c r="AD238" s="33">
        <f>IFERROR(__xludf.DUMMYFUNCTION("""COMPUTED_VALUE"""),1.02305555555555)</f>
        <v>1.023055556</v>
      </c>
      <c r="AE238" s="33">
        <f>IFERROR(__xludf.DUMMYFUNCTION("""COMPUTED_VALUE"""),1.34666666666666)</f>
        <v>1.346666667</v>
      </c>
      <c r="AF238" s="33">
        <f>IFERROR(__xludf.DUMMYFUNCTION("""COMPUTED_VALUE"""),0.0)</f>
        <v>0</v>
      </c>
    </row>
    <row r="239">
      <c r="A239" s="49">
        <f>IFERROR(__xludf.DUMMYFUNCTION("""COMPUTED_VALUE"""),46090.0)</f>
        <v>46090</v>
      </c>
      <c r="B239" s="33" t="str">
        <f>IFERROR(__xludf.DUMMYFUNCTION("""COMPUTED_VALUE"""),"37e68193f879e91ec362f75f4b46511110658e2b")</f>
        <v>37e68193f879e91ec362f75f4b46511110658e2b</v>
      </c>
      <c r="C239" s="33" t="str">
        <f>IFERROR(__xludf.DUMMYFUNCTION("""COMPUTED_VALUE"""),"Shiva : Ek Pretyodha")</f>
        <v>Shiva : Ek Pretyodha</v>
      </c>
      <c r="D239" s="33">
        <f>IFERROR(__xludf.DUMMYFUNCTION("""COMPUTED_VALUE"""),0.0)</f>
        <v>0</v>
      </c>
      <c r="E239" s="33">
        <f>IFERROR(__xludf.DUMMYFUNCTION("""COMPUTED_VALUE"""),0.0)</f>
        <v>0</v>
      </c>
      <c r="F239" s="33">
        <f>IFERROR(__xludf.DUMMYFUNCTION("""COMPUTED_VALUE"""),0.0)</f>
        <v>0</v>
      </c>
      <c r="G239" s="33">
        <f>IFERROR(__xludf.DUMMYFUNCTION("""COMPUTED_VALUE"""),0.0)</f>
        <v>0</v>
      </c>
      <c r="H239" s="33">
        <f>IFERROR(__xludf.DUMMYFUNCTION("""COMPUTED_VALUE"""),0.0)</f>
        <v>0</v>
      </c>
      <c r="I239" s="33">
        <f>IFERROR(__xludf.DUMMYFUNCTION("""COMPUTED_VALUE"""),0.0)</f>
        <v>0</v>
      </c>
      <c r="J239" s="33">
        <f>IFERROR(__xludf.DUMMYFUNCTION("""COMPUTED_VALUE"""),0.0)</f>
        <v>0</v>
      </c>
      <c r="K239" s="33">
        <f>IFERROR(__xludf.DUMMYFUNCTION("""COMPUTED_VALUE"""),0.0)</f>
        <v>0</v>
      </c>
      <c r="L239" s="33">
        <f>IFERROR(__xludf.DUMMYFUNCTION("""COMPUTED_VALUE"""),0.0)</f>
        <v>0</v>
      </c>
      <c r="M239" s="33">
        <f>IFERROR(__xludf.DUMMYFUNCTION("""COMPUTED_VALUE"""),0.0)</f>
        <v>0</v>
      </c>
      <c r="N239" s="33">
        <f>IFERROR(__xludf.DUMMYFUNCTION("""COMPUTED_VALUE"""),1.0)</f>
        <v>1</v>
      </c>
      <c r="O239" s="33">
        <f>IFERROR(__xludf.DUMMYFUNCTION("""COMPUTED_VALUE"""),18.0)</f>
        <v>18</v>
      </c>
      <c r="P239" s="33">
        <f>IFERROR(__xludf.DUMMYFUNCTION("""COMPUTED_VALUE"""),18.0)</f>
        <v>18</v>
      </c>
      <c r="Q239" s="33">
        <f>IFERROR(__xludf.DUMMYFUNCTION("""COMPUTED_VALUE"""),0.0)</f>
        <v>0</v>
      </c>
      <c r="R239" s="33">
        <f>IFERROR(__xludf.DUMMYFUNCTION("""COMPUTED_VALUE"""),0.0)</f>
        <v>0</v>
      </c>
      <c r="S239" s="33">
        <f>IFERROR(__xludf.DUMMYFUNCTION("""COMPUTED_VALUE"""),0.0)</f>
        <v>0</v>
      </c>
      <c r="T239" s="33">
        <f>IFERROR(__xludf.DUMMYFUNCTION("""COMPUTED_VALUE"""),0.0)</f>
        <v>0</v>
      </c>
      <c r="U239" s="33">
        <f>IFERROR(__xludf.DUMMYFUNCTION("""COMPUTED_VALUE"""),0.0)</f>
        <v>0</v>
      </c>
      <c r="V239" s="33">
        <f>IFERROR(__xludf.DUMMYFUNCTION("""COMPUTED_VALUE"""),0.0)</f>
        <v>0</v>
      </c>
      <c r="W239" s="33">
        <f>IFERROR(__xludf.DUMMYFUNCTION("""COMPUTED_VALUE"""),0.0)</f>
        <v>0</v>
      </c>
      <c r="X239" s="33">
        <f>IFERROR(__xludf.DUMMYFUNCTION("""COMPUTED_VALUE"""),0.0)</f>
        <v>0</v>
      </c>
      <c r="Y239" s="33">
        <f>IFERROR(__xludf.DUMMYFUNCTION("""COMPUTED_VALUE"""),0.0)</f>
        <v>0</v>
      </c>
      <c r="Z239" s="33">
        <f>IFERROR(__xludf.DUMMYFUNCTION("""COMPUTED_VALUE"""),0.0)</f>
        <v>0</v>
      </c>
      <c r="AA239" s="33">
        <f>IFERROR(__xludf.DUMMYFUNCTION("""COMPUTED_VALUE"""),0.0)</f>
        <v>0</v>
      </c>
      <c r="AB239" s="33">
        <f>IFERROR(__xludf.DUMMYFUNCTION("""COMPUTED_VALUE"""),0.0)</f>
        <v>0</v>
      </c>
      <c r="AC239" s="33">
        <f>IFERROR(__xludf.DUMMYFUNCTION("""COMPUTED_VALUE"""),0.0)</f>
        <v>0</v>
      </c>
      <c r="AD239" s="33">
        <f>IFERROR(__xludf.DUMMYFUNCTION("""COMPUTED_VALUE"""),1.93944444444444)</f>
        <v>1.939444444</v>
      </c>
      <c r="AE239" s="33">
        <f>IFERROR(__xludf.DUMMYFUNCTION("""COMPUTED_VALUE"""),1.89055555555555)</f>
        <v>1.890555556</v>
      </c>
      <c r="AF239" s="33">
        <f>IFERROR(__xludf.DUMMYFUNCTION("""COMPUTED_VALUE"""),0.0)</f>
        <v>0</v>
      </c>
    </row>
    <row r="240">
      <c r="A240" s="49">
        <f>IFERROR(__xludf.DUMMYFUNCTION("""COMPUTED_VALUE"""),46090.0)</f>
        <v>46090</v>
      </c>
      <c r="B240" s="33" t="str">
        <f>IFERROR(__xludf.DUMMYFUNCTION("""COMPUTED_VALUE"""),"394d109f7b50d9a46fb591dbaaba2d0aac90a696")</f>
        <v>394d109f7b50d9a46fb591dbaaba2d0aac90a696</v>
      </c>
      <c r="C240" s="33" t="str">
        <f>IFERROR(__xludf.DUMMYFUNCTION("""COMPUTED_VALUE"""),"Empire of Hidden King (SRGJ) - Production Show_id")</f>
        <v>Empire of Hidden King (SRGJ) - Production Show_id</v>
      </c>
      <c r="D240" s="33">
        <f>IFERROR(__xludf.DUMMYFUNCTION("""COMPUTED_VALUE"""),7.0)</f>
        <v>7</v>
      </c>
      <c r="E240" s="33">
        <f>IFERROR(__xludf.DUMMYFUNCTION("""COMPUTED_VALUE"""),14.0)</f>
        <v>14</v>
      </c>
      <c r="F240" s="33">
        <f>IFERROR(__xludf.DUMMYFUNCTION("""COMPUTED_VALUE"""),15.0)</f>
        <v>15</v>
      </c>
      <c r="G240" s="33">
        <f>IFERROR(__xludf.DUMMYFUNCTION("""COMPUTED_VALUE"""),15.0)</f>
        <v>15</v>
      </c>
      <c r="H240" s="33">
        <f>IFERROR(__xludf.DUMMYFUNCTION("""COMPUTED_VALUE"""),17.0)</f>
        <v>17</v>
      </c>
      <c r="I240" s="33">
        <f>IFERROR(__xludf.DUMMYFUNCTION("""COMPUTED_VALUE"""),3.0)</f>
        <v>3</v>
      </c>
      <c r="J240" s="33">
        <f>IFERROR(__xludf.DUMMYFUNCTION("""COMPUTED_VALUE"""),18.0)</f>
        <v>18</v>
      </c>
      <c r="K240" s="33">
        <f>IFERROR(__xludf.DUMMYFUNCTION("""COMPUTED_VALUE"""),1.0)</f>
        <v>1</v>
      </c>
      <c r="L240" s="33">
        <f>IFERROR(__xludf.DUMMYFUNCTION("""COMPUTED_VALUE"""),1.0)</f>
        <v>1</v>
      </c>
      <c r="M240" s="33">
        <f>IFERROR(__xludf.DUMMYFUNCTION("""COMPUTED_VALUE"""),17.0)</f>
        <v>17</v>
      </c>
      <c r="N240" s="33">
        <f>IFERROR(__xludf.DUMMYFUNCTION("""COMPUTED_VALUE"""),17.0)</f>
        <v>17</v>
      </c>
      <c r="O240" s="33">
        <f>IFERROR(__xludf.DUMMYFUNCTION("""COMPUTED_VALUE"""),6.0)</f>
        <v>6</v>
      </c>
      <c r="P240" s="33">
        <f>IFERROR(__xludf.DUMMYFUNCTION("""COMPUTED_VALUE"""),17.0)</f>
        <v>17</v>
      </c>
      <c r="Q240" s="33">
        <f>IFERROR(__xludf.DUMMYFUNCTION("""COMPUTED_VALUE"""),0.0)</f>
        <v>0</v>
      </c>
      <c r="R240" s="33">
        <f>IFERROR(__xludf.DUMMYFUNCTION("""COMPUTED_VALUE"""),18779.0)</f>
        <v>18779</v>
      </c>
      <c r="S240" s="33">
        <f>IFERROR(__xludf.DUMMYFUNCTION("""COMPUTED_VALUE"""),40461.0)</f>
        <v>40461</v>
      </c>
      <c r="T240" s="33">
        <f>IFERROR(__xludf.DUMMYFUNCTION("""COMPUTED_VALUE"""),4.79527777777777)</f>
        <v>4.795277778</v>
      </c>
      <c r="U240" s="33">
        <f>IFERROR(__xludf.DUMMYFUNCTION("""COMPUTED_VALUE"""),4.25249999999999)</f>
        <v>4.2525</v>
      </c>
      <c r="V240" s="33">
        <f>IFERROR(__xludf.DUMMYFUNCTION("""COMPUTED_VALUE"""),4.17944444444444)</f>
        <v>4.179444444</v>
      </c>
      <c r="W240" s="33">
        <f>IFERROR(__xludf.DUMMYFUNCTION("""COMPUTED_VALUE"""),4.72138888888888)</f>
        <v>4.721388889</v>
      </c>
      <c r="X240" s="33">
        <f>IFERROR(__xludf.DUMMYFUNCTION("""COMPUTED_VALUE"""),0.815)</f>
        <v>0.815</v>
      </c>
      <c r="Y240" s="33">
        <f>IFERROR(__xludf.DUMMYFUNCTION("""COMPUTED_VALUE"""),5.00277777777777)</f>
        <v>5.002777778</v>
      </c>
      <c r="Z240" s="33">
        <f>IFERROR(__xludf.DUMMYFUNCTION("""COMPUTED_VALUE"""),0.271111111111111)</f>
        <v>0.2711111111</v>
      </c>
      <c r="AA240" s="33">
        <f>IFERROR(__xludf.DUMMYFUNCTION("""COMPUTED_VALUE"""),0.278888888888888)</f>
        <v>0.2788888889</v>
      </c>
      <c r="AB240" s="33">
        <f>IFERROR(__xludf.DUMMYFUNCTION("""COMPUTED_VALUE"""),4.73583333333333)</f>
        <v>4.735833333</v>
      </c>
      <c r="AC240" s="33">
        <f>IFERROR(__xludf.DUMMYFUNCTION("""COMPUTED_VALUE"""),4.73583333333333)</f>
        <v>4.735833333</v>
      </c>
      <c r="AD240" s="33">
        <f>IFERROR(__xludf.DUMMYFUNCTION("""COMPUTED_VALUE"""),1.64)</f>
        <v>1.64</v>
      </c>
      <c r="AE240" s="33">
        <f>IFERROR(__xludf.DUMMYFUNCTION("""COMPUTED_VALUE"""),4.73583333333333)</f>
        <v>4.735833333</v>
      </c>
      <c r="AF240" s="33">
        <f>IFERROR(__xludf.DUMMYFUNCTION("""COMPUTED_VALUE"""),17.0)</f>
        <v>17</v>
      </c>
    </row>
    <row r="241">
      <c r="A241" s="49">
        <f>IFERROR(__xludf.DUMMYFUNCTION("""COMPUTED_VALUE"""),46090.0)</f>
        <v>46090</v>
      </c>
      <c r="B241" s="33" t="str">
        <f>IFERROR(__xludf.DUMMYFUNCTION("""COMPUTED_VALUE"""),"5066c0736f9e9444f2b4da840d6860b1f7f47d11")</f>
        <v>5066c0736f9e9444f2b4da840d6860b1f7f47d11</v>
      </c>
      <c r="C241" s="33" t="str">
        <f>IFERROR(__xludf.DUMMYFUNCTION("""COMPUTED_VALUE"""),"The Warrior | Author - Dayaram Prajapati - Replica (For Production Only)")</f>
        <v>The Warrior | Author - Dayaram Prajapati - Replica (For Production Only)</v>
      </c>
      <c r="D241" s="33">
        <f>IFERROR(__xludf.DUMMYFUNCTION("""COMPUTED_VALUE"""),20.0)</f>
        <v>20</v>
      </c>
      <c r="E241" s="33">
        <f>IFERROR(__xludf.DUMMYFUNCTION("""COMPUTED_VALUE"""),18.0)</f>
        <v>18</v>
      </c>
      <c r="F241" s="33">
        <f>IFERROR(__xludf.DUMMYFUNCTION("""COMPUTED_VALUE"""),14.0)</f>
        <v>14</v>
      </c>
      <c r="G241" s="33">
        <f>IFERROR(__xludf.DUMMYFUNCTION("""COMPUTED_VALUE"""),18.0)</f>
        <v>18</v>
      </c>
      <c r="H241" s="33">
        <f>IFERROR(__xludf.DUMMYFUNCTION("""COMPUTED_VALUE"""),20.0)</f>
        <v>20</v>
      </c>
      <c r="I241" s="33">
        <f>IFERROR(__xludf.DUMMYFUNCTION("""COMPUTED_VALUE"""),3.0)</f>
        <v>3</v>
      </c>
      <c r="J241" s="33">
        <f>IFERROR(__xludf.DUMMYFUNCTION("""COMPUTED_VALUE"""),20.0)</f>
        <v>20</v>
      </c>
      <c r="K241" s="33">
        <f>IFERROR(__xludf.DUMMYFUNCTION("""COMPUTED_VALUE"""),5.0)</f>
        <v>5</v>
      </c>
      <c r="L241" s="33">
        <f>IFERROR(__xludf.DUMMYFUNCTION("""COMPUTED_VALUE"""),2.0)</f>
        <v>2</v>
      </c>
      <c r="M241" s="33">
        <f>IFERROR(__xludf.DUMMYFUNCTION("""COMPUTED_VALUE"""),18.0)</f>
        <v>18</v>
      </c>
      <c r="N241" s="33">
        <f>IFERROR(__xludf.DUMMYFUNCTION("""COMPUTED_VALUE"""),18.0)</f>
        <v>18</v>
      </c>
      <c r="O241" s="33">
        <f>IFERROR(__xludf.DUMMYFUNCTION("""COMPUTED_VALUE"""),6.0)</f>
        <v>6</v>
      </c>
      <c r="P241" s="33">
        <f>IFERROR(__xludf.DUMMYFUNCTION("""COMPUTED_VALUE"""),18.0)</f>
        <v>18</v>
      </c>
      <c r="Q241" s="33">
        <f>IFERROR(__xludf.DUMMYFUNCTION("""COMPUTED_VALUE"""),0.0)</f>
        <v>0</v>
      </c>
      <c r="R241" s="33">
        <f>IFERROR(__xludf.DUMMYFUNCTION("""COMPUTED_VALUE"""),57331.0)</f>
        <v>57331</v>
      </c>
      <c r="S241" s="33">
        <f>IFERROR(__xludf.DUMMYFUNCTION("""COMPUTED_VALUE"""),51682.0)</f>
        <v>51682</v>
      </c>
      <c r="T241" s="33">
        <f>IFERROR(__xludf.DUMMYFUNCTION("""COMPUTED_VALUE"""),4.27222222222222)</f>
        <v>4.272222222</v>
      </c>
      <c r="U241" s="33">
        <f>IFERROR(__xludf.DUMMYFUNCTION("""COMPUTED_VALUE"""),3.74361111111111)</f>
        <v>3.743611111</v>
      </c>
      <c r="V241" s="33">
        <f>IFERROR(__xludf.DUMMYFUNCTION("""COMPUTED_VALUE"""),4.73861111111111)</f>
        <v>4.738611111</v>
      </c>
      <c r="W241" s="33">
        <f>IFERROR(__xludf.DUMMYFUNCTION("""COMPUTED_VALUE"""),5.26666666666666)</f>
        <v>5.266666667</v>
      </c>
      <c r="X241" s="33">
        <f>IFERROR(__xludf.DUMMYFUNCTION("""COMPUTED_VALUE"""),0.809444444444444)</f>
        <v>0.8094444444</v>
      </c>
      <c r="Y241" s="33">
        <f>IFERROR(__xludf.DUMMYFUNCTION("""COMPUTED_VALUE"""),5.26861111111111)</f>
        <v>5.268611111</v>
      </c>
      <c r="Z241" s="33">
        <f>IFERROR(__xludf.DUMMYFUNCTION("""COMPUTED_VALUE"""),1.34111111111111)</f>
        <v>1.341111111</v>
      </c>
      <c r="AA241" s="33">
        <f>IFERROR(__xludf.DUMMYFUNCTION("""COMPUTED_VALUE"""),0.536111111111111)</f>
        <v>0.5361111111</v>
      </c>
      <c r="AB241" s="33">
        <f>IFERROR(__xludf.DUMMYFUNCTION("""COMPUTED_VALUE"""),4.67166666666666)</f>
        <v>4.671666667</v>
      </c>
      <c r="AC241" s="33">
        <f>IFERROR(__xludf.DUMMYFUNCTION("""COMPUTED_VALUE"""),4.67166666666666)</f>
        <v>4.671666667</v>
      </c>
      <c r="AD241" s="33">
        <f>IFERROR(__xludf.DUMMYFUNCTION("""COMPUTED_VALUE"""),1.60583333333333)</f>
        <v>1.605833333</v>
      </c>
      <c r="AE241" s="33">
        <f>IFERROR(__xludf.DUMMYFUNCTION("""COMPUTED_VALUE"""),4.67166666666666)</f>
        <v>4.671666667</v>
      </c>
      <c r="AF241" s="33">
        <f>IFERROR(__xludf.DUMMYFUNCTION("""COMPUTED_VALUE"""),16.0)</f>
        <v>16</v>
      </c>
    </row>
    <row r="242">
      <c r="A242" s="49">
        <f>IFERROR(__xludf.DUMMYFUNCTION("""COMPUTED_VALUE"""),46090.0)</f>
        <v>46090</v>
      </c>
      <c r="B242" s="33" t="str">
        <f>IFERROR(__xludf.DUMMYFUNCTION("""COMPUTED_VALUE"""),"54847eda0794e861da74c1034ace021b4643357b")</f>
        <v>54847eda0794e861da74c1034ace021b4643357b</v>
      </c>
      <c r="C242" s="33" t="str">
        <f>IFERROR(__xludf.DUMMYFUNCTION("""COMPUTED_VALUE"""),"Billionaire King's Love (Production)")</f>
        <v>Billionaire King's Love (Production)</v>
      </c>
      <c r="D242" s="33">
        <f>IFERROR(__xludf.DUMMYFUNCTION("""COMPUTED_VALUE"""),12.0)</f>
        <v>12</v>
      </c>
      <c r="E242" s="33">
        <f>IFERROR(__xludf.DUMMYFUNCTION("""COMPUTED_VALUE"""),5.0)</f>
        <v>5</v>
      </c>
      <c r="F242" s="33">
        <f>IFERROR(__xludf.DUMMYFUNCTION("""COMPUTED_VALUE"""),0.0)</f>
        <v>0</v>
      </c>
      <c r="G242" s="33">
        <f>IFERROR(__xludf.DUMMYFUNCTION("""COMPUTED_VALUE"""),0.0)</f>
        <v>0</v>
      </c>
      <c r="H242" s="33">
        <f>IFERROR(__xludf.DUMMYFUNCTION("""COMPUTED_VALUE"""),0.0)</f>
        <v>0</v>
      </c>
      <c r="I242" s="33">
        <f>IFERROR(__xludf.DUMMYFUNCTION("""COMPUTED_VALUE"""),0.0)</f>
        <v>0</v>
      </c>
      <c r="J242" s="33">
        <f>IFERROR(__xludf.DUMMYFUNCTION("""COMPUTED_VALUE"""),0.0)</f>
        <v>0</v>
      </c>
      <c r="K242" s="33">
        <f>IFERROR(__xludf.DUMMYFUNCTION("""COMPUTED_VALUE"""),0.0)</f>
        <v>0</v>
      </c>
      <c r="L242" s="33">
        <f>IFERROR(__xludf.DUMMYFUNCTION("""COMPUTED_VALUE"""),0.0)</f>
        <v>0</v>
      </c>
      <c r="M242" s="33">
        <f>IFERROR(__xludf.DUMMYFUNCTION("""COMPUTED_VALUE"""),0.0)</f>
        <v>0</v>
      </c>
      <c r="N242" s="33">
        <f>IFERROR(__xludf.DUMMYFUNCTION("""COMPUTED_VALUE"""),0.0)</f>
        <v>0</v>
      </c>
      <c r="O242" s="33">
        <f>IFERROR(__xludf.DUMMYFUNCTION("""COMPUTED_VALUE"""),0.0)</f>
        <v>0</v>
      </c>
      <c r="P242" s="33">
        <f>IFERROR(__xludf.DUMMYFUNCTION("""COMPUTED_VALUE"""),0.0)</f>
        <v>0</v>
      </c>
      <c r="Q242" s="33">
        <f>IFERROR(__xludf.DUMMYFUNCTION("""COMPUTED_VALUE"""),0.0)</f>
        <v>0</v>
      </c>
      <c r="R242" s="33">
        <f>IFERROR(__xludf.DUMMYFUNCTION("""COMPUTED_VALUE"""),29449.0)</f>
        <v>29449</v>
      </c>
      <c r="S242" s="33">
        <f>IFERROR(__xludf.DUMMYFUNCTION("""COMPUTED_VALUE"""),12222.0)</f>
        <v>12222</v>
      </c>
      <c r="T242" s="33">
        <f>IFERROR(__xludf.DUMMYFUNCTION("""COMPUTED_VALUE"""),0.0)</f>
        <v>0</v>
      </c>
      <c r="U242" s="33">
        <f>IFERROR(__xludf.DUMMYFUNCTION("""COMPUTED_VALUE"""),0.0)</f>
        <v>0</v>
      </c>
      <c r="V242" s="33">
        <f>IFERROR(__xludf.DUMMYFUNCTION("""COMPUTED_VALUE"""),0.0)</f>
        <v>0</v>
      </c>
      <c r="W242" s="33">
        <f>IFERROR(__xludf.DUMMYFUNCTION("""COMPUTED_VALUE"""),0.0)</f>
        <v>0</v>
      </c>
      <c r="X242" s="33">
        <f>IFERROR(__xludf.DUMMYFUNCTION("""COMPUTED_VALUE"""),0.0)</f>
        <v>0</v>
      </c>
      <c r="Y242" s="33">
        <f>IFERROR(__xludf.DUMMYFUNCTION("""COMPUTED_VALUE"""),0.0)</f>
        <v>0</v>
      </c>
      <c r="Z242" s="33">
        <f>IFERROR(__xludf.DUMMYFUNCTION("""COMPUTED_VALUE"""),0.0)</f>
        <v>0</v>
      </c>
      <c r="AA242" s="33">
        <f>IFERROR(__xludf.DUMMYFUNCTION("""COMPUTED_VALUE"""),0.0)</f>
        <v>0</v>
      </c>
      <c r="AB242" s="33">
        <f>IFERROR(__xludf.DUMMYFUNCTION("""COMPUTED_VALUE"""),0.0)</f>
        <v>0</v>
      </c>
      <c r="AC242" s="33">
        <f>IFERROR(__xludf.DUMMYFUNCTION("""COMPUTED_VALUE"""),0.0)</f>
        <v>0</v>
      </c>
      <c r="AD242" s="33">
        <f>IFERROR(__xludf.DUMMYFUNCTION("""COMPUTED_VALUE"""),0.0)</f>
        <v>0</v>
      </c>
      <c r="AE242" s="33">
        <f>IFERROR(__xludf.DUMMYFUNCTION("""COMPUTED_VALUE"""),0.0)</f>
        <v>0</v>
      </c>
      <c r="AF242" s="33">
        <f>IFERROR(__xludf.DUMMYFUNCTION("""COMPUTED_VALUE"""),0.0)</f>
        <v>0</v>
      </c>
    </row>
    <row r="243">
      <c r="A243" s="49">
        <f>IFERROR(__xludf.DUMMYFUNCTION("""COMPUTED_VALUE"""),46090.0)</f>
        <v>46090</v>
      </c>
      <c r="B243" s="33" t="str">
        <f>IFERROR(__xludf.DUMMYFUNCTION("""COMPUTED_VALUE"""),"5baf4c80faf4b2d4eb9401a1d0081872e0158e89")</f>
        <v>5baf4c80faf4b2d4eb9401a1d0081872e0158e89</v>
      </c>
      <c r="C243" s="33" t="str">
        <f>IFERROR(__xludf.DUMMYFUNCTION("""COMPUTED_VALUE"""),"Brahmyodha : The Destroyer - Production showId")</f>
        <v>Brahmyodha : The Destroyer - Production showId</v>
      </c>
      <c r="D243" s="33">
        <f>IFERROR(__xludf.DUMMYFUNCTION("""COMPUTED_VALUE"""),29.0)</f>
        <v>29</v>
      </c>
      <c r="E243" s="33">
        <f>IFERROR(__xludf.DUMMYFUNCTION("""COMPUTED_VALUE"""),20.0)</f>
        <v>20</v>
      </c>
      <c r="F243" s="33">
        <f>IFERROR(__xludf.DUMMYFUNCTION("""COMPUTED_VALUE"""),12.0)</f>
        <v>12</v>
      </c>
      <c r="G243" s="33">
        <f>IFERROR(__xludf.DUMMYFUNCTION("""COMPUTED_VALUE"""),3.0)</f>
        <v>3</v>
      </c>
      <c r="H243" s="33">
        <f>IFERROR(__xludf.DUMMYFUNCTION("""COMPUTED_VALUE"""),16.0)</f>
        <v>16</v>
      </c>
      <c r="I243" s="33">
        <f>IFERROR(__xludf.DUMMYFUNCTION("""COMPUTED_VALUE"""),6.0)</f>
        <v>6</v>
      </c>
      <c r="J243" s="33">
        <f>IFERROR(__xludf.DUMMYFUNCTION("""COMPUTED_VALUE"""),15.0)</f>
        <v>15</v>
      </c>
      <c r="K243" s="33">
        <f>IFERROR(__xludf.DUMMYFUNCTION("""COMPUTED_VALUE"""),1.0)</f>
        <v>1</v>
      </c>
      <c r="L243" s="33">
        <f>IFERROR(__xludf.DUMMYFUNCTION("""COMPUTED_VALUE"""),0.0)</f>
        <v>0</v>
      </c>
      <c r="M243" s="33">
        <f>IFERROR(__xludf.DUMMYFUNCTION("""COMPUTED_VALUE"""),16.0)</f>
        <v>16</v>
      </c>
      <c r="N243" s="33">
        <f>IFERROR(__xludf.DUMMYFUNCTION("""COMPUTED_VALUE"""),16.0)</f>
        <v>16</v>
      </c>
      <c r="O243" s="33">
        <f>IFERROR(__xludf.DUMMYFUNCTION("""COMPUTED_VALUE"""),5.0)</f>
        <v>5</v>
      </c>
      <c r="P243" s="33">
        <f>IFERROR(__xludf.DUMMYFUNCTION("""COMPUTED_VALUE"""),16.0)</f>
        <v>16</v>
      </c>
      <c r="Q243" s="33">
        <f>IFERROR(__xludf.DUMMYFUNCTION("""COMPUTED_VALUE"""),0.0)</f>
        <v>0</v>
      </c>
      <c r="R243" s="33">
        <f>IFERROR(__xludf.DUMMYFUNCTION("""COMPUTED_VALUE"""),71031.0)</f>
        <v>71031</v>
      </c>
      <c r="S243" s="33">
        <f>IFERROR(__xludf.DUMMYFUNCTION("""COMPUTED_VALUE"""),49519.0)</f>
        <v>49519</v>
      </c>
      <c r="T243" s="33">
        <f>IFERROR(__xludf.DUMMYFUNCTION("""COMPUTED_VALUE"""),3.73555555555555)</f>
        <v>3.735555556</v>
      </c>
      <c r="U243" s="33">
        <f>IFERROR(__xludf.DUMMYFUNCTION("""COMPUTED_VALUE"""),2.80416666666666)</f>
        <v>2.804166667</v>
      </c>
      <c r="V243" s="33">
        <f>IFERROR(__xludf.DUMMYFUNCTION("""COMPUTED_VALUE"""),0.706944444444444)</f>
        <v>0.7069444444</v>
      </c>
      <c r="W243" s="33">
        <f>IFERROR(__xludf.DUMMYFUNCTION("""COMPUTED_VALUE"""),3.74666666666666)</f>
        <v>3.746666667</v>
      </c>
      <c r="X243" s="33">
        <f>IFERROR(__xludf.DUMMYFUNCTION("""COMPUTED_VALUE"""),1.40083333333333)</f>
        <v>1.400833333</v>
      </c>
      <c r="Y243" s="33">
        <f>IFERROR(__xludf.DUMMYFUNCTION("""COMPUTED_VALUE"""),3.50444444444444)</f>
        <v>3.504444444</v>
      </c>
      <c r="Z243" s="33">
        <f>IFERROR(__xludf.DUMMYFUNCTION("""COMPUTED_VALUE"""),0.228888888888888)</f>
        <v>0.2288888889</v>
      </c>
      <c r="AA243" s="33">
        <f>IFERROR(__xludf.DUMMYFUNCTION("""COMPUTED_VALUE"""),0.0)</f>
        <v>0</v>
      </c>
      <c r="AB243" s="33">
        <f>IFERROR(__xludf.DUMMYFUNCTION("""COMPUTED_VALUE"""),3.74)</f>
        <v>3.74</v>
      </c>
      <c r="AC243" s="33">
        <f>IFERROR(__xludf.DUMMYFUNCTION("""COMPUTED_VALUE"""),3.73999999999999)</f>
        <v>3.74</v>
      </c>
      <c r="AD243" s="33">
        <f>IFERROR(__xludf.DUMMYFUNCTION("""COMPUTED_VALUE"""),1.09027777777777)</f>
        <v>1.090277778</v>
      </c>
      <c r="AE243" s="33">
        <f>IFERROR(__xludf.DUMMYFUNCTION("""COMPUTED_VALUE"""),3.74)</f>
        <v>3.74</v>
      </c>
      <c r="AF243" s="33">
        <f>IFERROR(__xludf.DUMMYFUNCTION("""COMPUTED_VALUE"""),16.0)</f>
        <v>16</v>
      </c>
    </row>
    <row r="244">
      <c r="A244" s="49">
        <f>IFERROR(__xludf.DUMMYFUNCTION("""COMPUTED_VALUE"""),46090.0)</f>
        <v>46090</v>
      </c>
      <c r="B244" s="33" t="str">
        <f>IFERROR(__xludf.DUMMYFUNCTION("""COMPUTED_VALUE"""),"641b6f77fd211e92df35a3bcbab67e6879e19a66")</f>
        <v>641b6f77fd211e92df35a3bcbab67e6879e19a66</v>
      </c>
      <c r="C244" s="33" t="str">
        <f>IFERROR(__xludf.DUMMYFUNCTION("""COMPUTED_VALUE"""),"Mahagatha | महागाथा | Author - S. Mauryavanshi")</f>
        <v>Mahagatha | महागाथा | Author - S. Mauryavanshi</v>
      </c>
      <c r="D244" s="33">
        <f>IFERROR(__xludf.DUMMYFUNCTION("""COMPUTED_VALUE"""),17.0)</f>
        <v>17</v>
      </c>
      <c r="E244" s="33">
        <f>IFERROR(__xludf.DUMMYFUNCTION("""COMPUTED_VALUE"""),12.0)</f>
        <v>12</v>
      </c>
      <c r="F244" s="33">
        <f>IFERROR(__xludf.DUMMYFUNCTION("""COMPUTED_VALUE"""),0.0)</f>
        <v>0</v>
      </c>
      <c r="G244" s="33">
        <f>IFERROR(__xludf.DUMMYFUNCTION("""COMPUTED_VALUE"""),0.0)</f>
        <v>0</v>
      </c>
      <c r="H244" s="33">
        <f>IFERROR(__xludf.DUMMYFUNCTION("""COMPUTED_VALUE"""),7.0)</f>
        <v>7</v>
      </c>
      <c r="I244" s="33">
        <f>IFERROR(__xludf.DUMMYFUNCTION("""COMPUTED_VALUE"""),7.0)</f>
        <v>7</v>
      </c>
      <c r="J244" s="33">
        <f>IFERROR(__xludf.DUMMYFUNCTION("""COMPUTED_VALUE"""),7.0)</f>
        <v>7</v>
      </c>
      <c r="K244" s="33">
        <f>IFERROR(__xludf.DUMMYFUNCTION("""COMPUTED_VALUE"""),4.0)</f>
        <v>4</v>
      </c>
      <c r="L244" s="33">
        <f>IFERROR(__xludf.DUMMYFUNCTION("""COMPUTED_VALUE"""),1.0)</f>
        <v>1</v>
      </c>
      <c r="M244" s="33">
        <f>IFERROR(__xludf.DUMMYFUNCTION("""COMPUTED_VALUE"""),10.0)</f>
        <v>10</v>
      </c>
      <c r="N244" s="33">
        <f>IFERROR(__xludf.DUMMYFUNCTION("""COMPUTED_VALUE"""),10.0)</f>
        <v>10</v>
      </c>
      <c r="O244" s="33">
        <f>IFERROR(__xludf.DUMMYFUNCTION("""COMPUTED_VALUE"""),5.0)</f>
        <v>5</v>
      </c>
      <c r="P244" s="33">
        <f>IFERROR(__xludf.DUMMYFUNCTION("""COMPUTED_VALUE"""),10.0)</f>
        <v>10</v>
      </c>
      <c r="Q244" s="33">
        <f>IFERROR(__xludf.DUMMYFUNCTION("""COMPUTED_VALUE"""),0.0)</f>
        <v>0</v>
      </c>
      <c r="R244" s="33">
        <f>IFERROR(__xludf.DUMMYFUNCTION("""COMPUTED_VALUE"""),45157.0)</f>
        <v>45157</v>
      </c>
      <c r="S244" s="33">
        <f>IFERROR(__xludf.DUMMYFUNCTION("""COMPUTED_VALUE"""),31751.0)</f>
        <v>31751</v>
      </c>
      <c r="T244" s="33">
        <f>IFERROR(__xludf.DUMMYFUNCTION("""COMPUTED_VALUE"""),1.93166666666666)</f>
        <v>1.931666667</v>
      </c>
      <c r="U244" s="33">
        <f>IFERROR(__xludf.DUMMYFUNCTION("""COMPUTED_VALUE"""),0.0)</f>
        <v>0</v>
      </c>
      <c r="V244" s="33">
        <f>IFERROR(__xludf.DUMMYFUNCTION("""COMPUTED_VALUE"""),0.0)</f>
        <v>0</v>
      </c>
      <c r="W244" s="33">
        <f>IFERROR(__xludf.DUMMYFUNCTION("""COMPUTED_VALUE"""),1.68888888888888)</f>
        <v>1.688888889</v>
      </c>
      <c r="X244" s="33">
        <f>IFERROR(__xludf.DUMMYFUNCTION("""COMPUTED_VALUE"""),1.68888888888888)</f>
        <v>1.688888889</v>
      </c>
      <c r="Y244" s="33">
        <f>IFERROR(__xludf.DUMMYFUNCTION("""COMPUTED_VALUE"""),1.68611111111111)</f>
        <v>1.686111111</v>
      </c>
      <c r="Z244" s="33">
        <f>IFERROR(__xludf.DUMMYFUNCTION("""COMPUTED_VALUE"""),0.973611111111111)</f>
        <v>0.9736111111</v>
      </c>
      <c r="AA244" s="33">
        <f>IFERROR(__xludf.DUMMYFUNCTION("""COMPUTED_VALUE"""),0.229166666666666)</f>
        <v>0.2291666667</v>
      </c>
      <c r="AB244" s="33">
        <f>IFERROR(__xludf.DUMMYFUNCTION("""COMPUTED_VALUE"""),2.40777777777777)</f>
        <v>2.407777778</v>
      </c>
      <c r="AC244" s="33">
        <f>IFERROR(__xludf.DUMMYFUNCTION("""COMPUTED_VALUE"""),2.40777777777777)</f>
        <v>2.407777778</v>
      </c>
      <c r="AD244" s="33">
        <f>IFERROR(__xludf.DUMMYFUNCTION("""COMPUTED_VALUE"""),1.12277777777777)</f>
        <v>1.122777778</v>
      </c>
      <c r="AE244" s="33">
        <f>IFERROR(__xludf.DUMMYFUNCTION("""COMPUTED_VALUE"""),2.40777777777777)</f>
        <v>2.407777778</v>
      </c>
      <c r="AF244" s="33">
        <f>IFERROR(__xludf.DUMMYFUNCTION("""COMPUTED_VALUE"""),8.0)</f>
        <v>8</v>
      </c>
    </row>
    <row r="245">
      <c r="A245" s="49">
        <f>IFERROR(__xludf.DUMMYFUNCTION("""COMPUTED_VALUE"""),46090.0)</f>
        <v>46090</v>
      </c>
      <c r="B245" s="33" t="str">
        <f>IFERROR(__xludf.DUMMYFUNCTION("""COMPUTED_VALUE"""),"6b246320a4c5853ce55127d5e00ee8805a97659a")</f>
        <v>6b246320a4c5853ce55127d5e00ee8805a97659a</v>
      </c>
      <c r="C245" s="33" t="str">
        <f>IFERROR(__xludf.DUMMYFUNCTION("""COMPUTED_VALUE"""),"Mystic Fate System - Production Show_id")</f>
        <v>Mystic Fate System - Production Show_id</v>
      </c>
      <c r="D245" s="33">
        <f>IFERROR(__xludf.DUMMYFUNCTION("""COMPUTED_VALUE"""),2.0)</f>
        <v>2</v>
      </c>
      <c r="E245" s="33">
        <f>IFERROR(__xludf.DUMMYFUNCTION("""COMPUTED_VALUE"""),0.0)</f>
        <v>0</v>
      </c>
      <c r="F245" s="33">
        <f>IFERROR(__xludf.DUMMYFUNCTION("""COMPUTED_VALUE"""),0.0)</f>
        <v>0</v>
      </c>
      <c r="G245" s="33">
        <f>IFERROR(__xludf.DUMMYFUNCTION("""COMPUTED_VALUE"""),0.0)</f>
        <v>0</v>
      </c>
      <c r="H245" s="33">
        <f>IFERROR(__xludf.DUMMYFUNCTION("""COMPUTED_VALUE"""),0.0)</f>
        <v>0</v>
      </c>
      <c r="I245" s="33">
        <f>IFERROR(__xludf.DUMMYFUNCTION("""COMPUTED_VALUE"""),0.0)</f>
        <v>0</v>
      </c>
      <c r="J245" s="33">
        <f>IFERROR(__xludf.DUMMYFUNCTION("""COMPUTED_VALUE"""),0.0)</f>
        <v>0</v>
      </c>
      <c r="K245" s="33">
        <f>IFERROR(__xludf.DUMMYFUNCTION("""COMPUTED_VALUE"""),0.0)</f>
        <v>0</v>
      </c>
      <c r="L245" s="33">
        <f>IFERROR(__xludf.DUMMYFUNCTION("""COMPUTED_VALUE"""),0.0)</f>
        <v>0</v>
      </c>
      <c r="M245" s="33">
        <f>IFERROR(__xludf.DUMMYFUNCTION("""COMPUTED_VALUE"""),0.0)</f>
        <v>0</v>
      </c>
      <c r="N245" s="33">
        <f>IFERROR(__xludf.DUMMYFUNCTION("""COMPUTED_VALUE"""),0.0)</f>
        <v>0</v>
      </c>
      <c r="O245" s="33">
        <f>IFERROR(__xludf.DUMMYFUNCTION("""COMPUTED_VALUE"""),0.0)</f>
        <v>0</v>
      </c>
      <c r="P245" s="33">
        <f>IFERROR(__xludf.DUMMYFUNCTION("""COMPUTED_VALUE"""),0.0)</f>
        <v>0</v>
      </c>
      <c r="Q245" s="33">
        <f>IFERROR(__xludf.DUMMYFUNCTION("""COMPUTED_VALUE"""),0.0)</f>
        <v>0</v>
      </c>
      <c r="R245" s="33">
        <f>IFERROR(__xludf.DUMMYFUNCTION("""COMPUTED_VALUE"""),5075.0)</f>
        <v>5075</v>
      </c>
      <c r="S245" s="33">
        <f>IFERROR(__xludf.DUMMYFUNCTION("""COMPUTED_VALUE"""),0.0)</f>
        <v>0</v>
      </c>
      <c r="T245" s="33">
        <f>IFERROR(__xludf.DUMMYFUNCTION("""COMPUTED_VALUE"""),0.0)</f>
        <v>0</v>
      </c>
      <c r="U245" s="33">
        <f>IFERROR(__xludf.DUMMYFUNCTION("""COMPUTED_VALUE"""),0.0)</f>
        <v>0</v>
      </c>
      <c r="V245" s="33">
        <f>IFERROR(__xludf.DUMMYFUNCTION("""COMPUTED_VALUE"""),0.0)</f>
        <v>0</v>
      </c>
      <c r="W245" s="33">
        <f>IFERROR(__xludf.DUMMYFUNCTION("""COMPUTED_VALUE"""),0.0)</f>
        <v>0</v>
      </c>
      <c r="X245" s="33">
        <f>IFERROR(__xludf.DUMMYFUNCTION("""COMPUTED_VALUE"""),0.0)</f>
        <v>0</v>
      </c>
      <c r="Y245" s="33">
        <f>IFERROR(__xludf.DUMMYFUNCTION("""COMPUTED_VALUE"""),0.0)</f>
        <v>0</v>
      </c>
      <c r="Z245" s="33">
        <f>IFERROR(__xludf.DUMMYFUNCTION("""COMPUTED_VALUE"""),0.0)</f>
        <v>0</v>
      </c>
      <c r="AA245" s="33">
        <f>IFERROR(__xludf.DUMMYFUNCTION("""COMPUTED_VALUE"""),0.0)</f>
        <v>0</v>
      </c>
      <c r="AB245" s="33">
        <f>IFERROR(__xludf.DUMMYFUNCTION("""COMPUTED_VALUE"""),0.0)</f>
        <v>0</v>
      </c>
      <c r="AC245" s="33">
        <f>IFERROR(__xludf.DUMMYFUNCTION("""COMPUTED_VALUE"""),0.0)</f>
        <v>0</v>
      </c>
      <c r="AD245" s="33">
        <f>IFERROR(__xludf.DUMMYFUNCTION("""COMPUTED_VALUE"""),0.0)</f>
        <v>0</v>
      </c>
      <c r="AE245" s="33">
        <f>IFERROR(__xludf.DUMMYFUNCTION("""COMPUTED_VALUE"""),0.0)</f>
        <v>0</v>
      </c>
      <c r="AF245" s="33">
        <f>IFERROR(__xludf.DUMMYFUNCTION("""COMPUTED_VALUE"""),0.0)</f>
        <v>0</v>
      </c>
    </row>
    <row r="246">
      <c r="A246" s="49">
        <f>IFERROR(__xludf.DUMMYFUNCTION("""COMPUTED_VALUE"""),46090.0)</f>
        <v>46090</v>
      </c>
      <c r="B246" s="33" t="str">
        <f>IFERROR(__xludf.DUMMYFUNCTION("""COMPUTED_VALUE"""),"7ea3277f02ef13c60cfa72336d009bf7ee6c17e8")</f>
        <v>7ea3277f02ef13c60cfa72336d009bf7ee6c17e8</v>
      </c>
      <c r="C246" s="33" t="str">
        <f>IFERROR(__xludf.DUMMYFUNCTION("""COMPUTED_VALUE"""),"Saaya the Dark Love - Production Show_id")</f>
        <v>Saaya the Dark Love - Production Show_id</v>
      </c>
      <c r="D246" s="33">
        <f>IFERROR(__xludf.DUMMYFUNCTION("""COMPUTED_VALUE"""),25.0)</f>
        <v>25</v>
      </c>
      <c r="E246" s="33">
        <f>IFERROR(__xludf.DUMMYFUNCTION("""COMPUTED_VALUE"""),25.0)</f>
        <v>25</v>
      </c>
      <c r="F246" s="33">
        <f>IFERROR(__xludf.DUMMYFUNCTION("""COMPUTED_VALUE"""),4.0)</f>
        <v>4</v>
      </c>
      <c r="G246" s="33">
        <f>IFERROR(__xludf.DUMMYFUNCTION("""COMPUTED_VALUE"""),5.0)</f>
        <v>5</v>
      </c>
      <c r="H246" s="33">
        <f>IFERROR(__xludf.DUMMYFUNCTION("""COMPUTED_VALUE"""),9.0)</f>
        <v>9</v>
      </c>
      <c r="I246" s="33">
        <f>IFERROR(__xludf.DUMMYFUNCTION("""COMPUTED_VALUE"""),3.0)</f>
        <v>3</v>
      </c>
      <c r="J246" s="33">
        <f>IFERROR(__xludf.DUMMYFUNCTION("""COMPUTED_VALUE"""),11.0)</f>
        <v>11</v>
      </c>
      <c r="K246" s="33">
        <f>IFERROR(__xludf.DUMMYFUNCTION("""COMPUTED_VALUE"""),9.0)</f>
        <v>9</v>
      </c>
      <c r="L246" s="33">
        <f>IFERROR(__xludf.DUMMYFUNCTION("""COMPUTED_VALUE"""),0.0)</f>
        <v>0</v>
      </c>
      <c r="M246" s="33">
        <f>IFERROR(__xludf.DUMMYFUNCTION("""COMPUTED_VALUE"""),1.0)</f>
        <v>1</v>
      </c>
      <c r="N246" s="33">
        <f>IFERROR(__xludf.DUMMYFUNCTION("""COMPUTED_VALUE"""),0.0)</f>
        <v>0</v>
      </c>
      <c r="O246" s="33">
        <f>IFERROR(__xludf.DUMMYFUNCTION("""COMPUTED_VALUE"""),0.0)</f>
        <v>0</v>
      </c>
      <c r="P246" s="33">
        <f>IFERROR(__xludf.DUMMYFUNCTION("""COMPUTED_VALUE"""),0.0)</f>
        <v>0</v>
      </c>
      <c r="Q246" s="33">
        <f>IFERROR(__xludf.DUMMYFUNCTION("""COMPUTED_VALUE"""),0.0)</f>
        <v>0</v>
      </c>
      <c r="R246" s="33">
        <f>IFERROR(__xludf.DUMMYFUNCTION("""COMPUTED_VALUE"""),62271.0)</f>
        <v>62271</v>
      </c>
      <c r="S246" s="33">
        <f>IFERROR(__xludf.DUMMYFUNCTION("""COMPUTED_VALUE"""),59336.0)</f>
        <v>59336</v>
      </c>
      <c r="T246" s="33">
        <f>IFERROR(__xludf.DUMMYFUNCTION("""COMPUTED_VALUE"""),0.827777777777778)</f>
        <v>0.8277777778</v>
      </c>
      <c r="U246" s="33">
        <f>IFERROR(__xludf.DUMMYFUNCTION("""COMPUTED_VALUE"""),1.09694444444444)</f>
        <v>1.096944444</v>
      </c>
      <c r="V246" s="33">
        <f>IFERROR(__xludf.DUMMYFUNCTION("""COMPUTED_VALUE"""),1.40027777777777)</f>
        <v>1.400277778</v>
      </c>
      <c r="W246" s="33">
        <f>IFERROR(__xludf.DUMMYFUNCTION("""COMPUTED_VALUE"""),2.48777777777777)</f>
        <v>2.487777778</v>
      </c>
      <c r="X246" s="33">
        <f>IFERROR(__xludf.DUMMYFUNCTION("""COMPUTED_VALUE"""),0.816666666666666)</f>
        <v>0.8166666667</v>
      </c>
      <c r="Y246" s="33">
        <f>IFERROR(__xludf.DUMMYFUNCTION("""COMPUTED_VALUE"""),3.22305555555555)</f>
        <v>3.223055556</v>
      </c>
      <c r="Z246" s="33">
        <f>IFERROR(__xludf.DUMMYFUNCTION("""COMPUTED_VALUE"""),2.47777777777777)</f>
        <v>2.477777778</v>
      </c>
      <c r="AA246" s="33">
        <f>IFERROR(__xludf.DUMMYFUNCTION("""COMPUTED_VALUE"""),0.0)</f>
        <v>0</v>
      </c>
      <c r="AB246" s="33">
        <f>IFERROR(__xludf.DUMMYFUNCTION("""COMPUTED_VALUE"""),0.280277777777777)</f>
        <v>0.2802777778</v>
      </c>
      <c r="AC246" s="33">
        <f>IFERROR(__xludf.DUMMYFUNCTION("""COMPUTED_VALUE"""),0.0)</f>
        <v>0</v>
      </c>
      <c r="AD246" s="33">
        <f>IFERROR(__xludf.DUMMYFUNCTION("""COMPUTED_VALUE"""),0.0)</f>
        <v>0</v>
      </c>
      <c r="AE246" s="33">
        <f>IFERROR(__xludf.DUMMYFUNCTION("""COMPUTED_VALUE"""),0.0)</f>
        <v>0</v>
      </c>
      <c r="AF246" s="33">
        <f>IFERROR(__xludf.DUMMYFUNCTION("""COMPUTED_VALUE"""),3.0)</f>
        <v>3</v>
      </c>
    </row>
    <row r="247">
      <c r="A247" s="49">
        <f>IFERROR(__xludf.DUMMYFUNCTION("""COMPUTED_VALUE"""),46090.0)</f>
        <v>46090</v>
      </c>
      <c r="B247" s="33" t="str">
        <f>IFERROR(__xludf.DUMMYFUNCTION("""COMPUTED_VALUE"""),"81de0bc81be63a15ef7b7f2a301e23b4f3d49745")</f>
        <v>81de0bc81be63a15ef7b7f2a301e23b4f3d49745</v>
      </c>
      <c r="C247" s="33" t="str">
        <f>IFERROR(__xludf.DUMMYFUNCTION("""COMPUTED_VALUE"""),"Married to a Hard Hearted")</f>
        <v>Married to a Hard Hearted</v>
      </c>
      <c r="D247" s="33">
        <f>IFERROR(__xludf.DUMMYFUNCTION("""COMPUTED_VALUE"""),0.0)</f>
        <v>0</v>
      </c>
      <c r="E247" s="33">
        <f>IFERROR(__xludf.DUMMYFUNCTION("""COMPUTED_VALUE"""),14.0)</f>
        <v>14</v>
      </c>
      <c r="F247" s="33">
        <f>IFERROR(__xludf.DUMMYFUNCTION("""COMPUTED_VALUE"""),0.0)</f>
        <v>0</v>
      </c>
      <c r="G247" s="33">
        <f>IFERROR(__xludf.DUMMYFUNCTION("""COMPUTED_VALUE"""),0.0)</f>
        <v>0</v>
      </c>
      <c r="H247" s="33">
        <f>IFERROR(__xludf.DUMMYFUNCTION("""COMPUTED_VALUE"""),16.0)</f>
        <v>16</v>
      </c>
      <c r="I247" s="33">
        <f>IFERROR(__xludf.DUMMYFUNCTION("""COMPUTED_VALUE"""),16.0)</f>
        <v>16</v>
      </c>
      <c r="J247" s="33">
        <f>IFERROR(__xludf.DUMMYFUNCTION("""COMPUTED_VALUE"""),16.0)</f>
        <v>16</v>
      </c>
      <c r="K247" s="33">
        <f>IFERROR(__xludf.DUMMYFUNCTION("""COMPUTED_VALUE"""),3.0)</f>
        <v>3</v>
      </c>
      <c r="L247" s="33">
        <f>IFERROR(__xludf.DUMMYFUNCTION("""COMPUTED_VALUE"""),0.0)</f>
        <v>0</v>
      </c>
      <c r="M247" s="33">
        <f>IFERROR(__xludf.DUMMYFUNCTION("""COMPUTED_VALUE"""),16.0)</f>
        <v>16</v>
      </c>
      <c r="N247" s="33">
        <f>IFERROR(__xludf.DUMMYFUNCTION("""COMPUTED_VALUE"""),16.0)</f>
        <v>16</v>
      </c>
      <c r="O247" s="33">
        <f>IFERROR(__xludf.DUMMYFUNCTION("""COMPUTED_VALUE"""),6.0)</f>
        <v>6</v>
      </c>
      <c r="P247" s="33">
        <f>IFERROR(__xludf.DUMMYFUNCTION("""COMPUTED_VALUE"""),16.0)</f>
        <v>16</v>
      </c>
      <c r="Q247" s="33">
        <f>IFERROR(__xludf.DUMMYFUNCTION("""COMPUTED_VALUE"""),0.0)</f>
        <v>0</v>
      </c>
      <c r="R247" s="33">
        <f>IFERROR(__xludf.DUMMYFUNCTION("""COMPUTED_VALUE"""),0.0)</f>
        <v>0</v>
      </c>
      <c r="S247" s="33">
        <f>IFERROR(__xludf.DUMMYFUNCTION("""COMPUTED_VALUE"""),31178.0)</f>
        <v>31178</v>
      </c>
      <c r="T247" s="33">
        <f>IFERROR(__xludf.DUMMYFUNCTION("""COMPUTED_VALUE"""),3.07972222222222)</f>
        <v>3.079722222</v>
      </c>
      <c r="U247" s="33">
        <f>IFERROR(__xludf.DUMMYFUNCTION("""COMPUTED_VALUE"""),0.0)</f>
        <v>0</v>
      </c>
      <c r="V247" s="33">
        <f>IFERROR(__xludf.DUMMYFUNCTION("""COMPUTED_VALUE"""),0.0)</f>
        <v>0</v>
      </c>
      <c r="W247" s="33">
        <f>IFERROR(__xludf.DUMMYFUNCTION("""COMPUTED_VALUE"""),3.16638888888888)</f>
        <v>3.166388889</v>
      </c>
      <c r="X247" s="33">
        <f>IFERROR(__xludf.DUMMYFUNCTION("""COMPUTED_VALUE"""),3.16638888888888)</f>
        <v>3.166388889</v>
      </c>
      <c r="Y247" s="33">
        <f>IFERROR(__xludf.DUMMYFUNCTION("""COMPUTED_VALUE"""),3.12944444444444)</f>
        <v>3.129444444</v>
      </c>
      <c r="Z247" s="33">
        <f>IFERROR(__xludf.DUMMYFUNCTION("""COMPUTED_VALUE"""),0.608888888888888)</f>
        <v>0.6088888889</v>
      </c>
      <c r="AA247" s="33">
        <f>IFERROR(__xludf.DUMMYFUNCTION("""COMPUTED_VALUE"""),0.0)</f>
        <v>0</v>
      </c>
      <c r="AB247" s="33">
        <f>IFERROR(__xludf.DUMMYFUNCTION("""COMPUTED_VALUE"""),3.1175)</f>
        <v>3.1175</v>
      </c>
      <c r="AC247" s="33">
        <f>IFERROR(__xludf.DUMMYFUNCTION("""COMPUTED_VALUE"""),3.11749999999999)</f>
        <v>3.1175</v>
      </c>
      <c r="AD247" s="33">
        <f>IFERROR(__xludf.DUMMYFUNCTION("""COMPUTED_VALUE"""),1.14305555555555)</f>
        <v>1.143055556</v>
      </c>
      <c r="AE247" s="33">
        <f>IFERROR(__xludf.DUMMYFUNCTION("""COMPUTED_VALUE"""),3.1175)</f>
        <v>3.1175</v>
      </c>
      <c r="AF247" s="33">
        <f>IFERROR(__xludf.DUMMYFUNCTION("""COMPUTED_VALUE"""),16.0)</f>
        <v>16</v>
      </c>
    </row>
    <row r="248">
      <c r="A248" s="49">
        <f>IFERROR(__xludf.DUMMYFUNCTION("""COMPUTED_VALUE"""),46090.0)</f>
        <v>46090</v>
      </c>
      <c r="B248" s="33" t="str">
        <f>IFERROR(__xludf.DUMMYFUNCTION("""COMPUTED_VALUE"""),"859785ba4869b28dddcfcb0e75295d1e1ad9b5a9")</f>
        <v>859785ba4869b28dddcfcb0e75295d1e1ad9b5a9</v>
      </c>
      <c r="C248" s="33" t="str">
        <f>IFERROR(__xludf.DUMMYFUNCTION("""COMPUTED_VALUE"""),"King of Dragon | किंग ऑफ ड्रैगन | Author - Nitesh")</f>
        <v>King of Dragon | किंग ऑफ ड्रैगन | Author - Nitesh</v>
      </c>
      <c r="D248" s="33">
        <f>IFERROR(__xludf.DUMMYFUNCTION("""COMPUTED_VALUE"""),0.0)</f>
        <v>0</v>
      </c>
      <c r="E248" s="33">
        <f>IFERROR(__xludf.DUMMYFUNCTION("""COMPUTED_VALUE"""),0.0)</f>
        <v>0</v>
      </c>
      <c r="F248" s="33">
        <f>IFERROR(__xludf.DUMMYFUNCTION("""COMPUTED_VALUE"""),0.0)</f>
        <v>0</v>
      </c>
      <c r="G248" s="33">
        <f>IFERROR(__xludf.DUMMYFUNCTION("""COMPUTED_VALUE"""),0.0)</f>
        <v>0</v>
      </c>
      <c r="H248" s="33">
        <f>IFERROR(__xludf.DUMMYFUNCTION("""COMPUTED_VALUE"""),0.0)</f>
        <v>0</v>
      </c>
      <c r="I248" s="33">
        <f>IFERROR(__xludf.DUMMYFUNCTION("""COMPUTED_VALUE"""),0.0)</f>
        <v>0</v>
      </c>
      <c r="J248" s="33">
        <f>IFERROR(__xludf.DUMMYFUNCTION("""COMPUTED_VALUE"""),0.0)</f>
        <v>0</v>
      </c>
      <c r="K248" s="33">
        <f>IFERROR(__xludf.DUMMYFUNCTION("""COMPUTED_VALUE"""),0.0)</f>
        <v>0</v>
      </c>
      <c r="L248" s="33">
        <f>IFERROR(__xludf.DUMMYFUNCTION("""COMPUTED_VALUE"""),0.0)</f>
        <v>0</v>
      </c>
      <c r="M248" s="33">
        <f>IFERROR(__xludf.DUMMYFUNCTION("""COMPUTED_VALUE"""),0.0)</f>
        <v>0</v>
      </c>
      <c r="N248" s="33">
        <f>IFERROR(__xludf.DUMMYFUNCTION("""COMPUTED_VALUE"""),0.0)</f>
        <v>0</v>
      </c>
      <c r="O248" s="33">
        <f>IFERROR(__xludf.DUMMYFUNCTION("""COMPUTED_VALUE"""),2.0)</f>
        <v>2</v>
      </c>
      <c r="P248" s="33">
        <f>IFERROR(__xludf.DUMMYFUNCTION("""COMPUTED_VALUE"""),6.0)</f>
        <v>6</v>
      </c>
      <c r="Q248" s="33">
        <f>IFERROR(__xludf.DUMMYFUNCTION("""COMPUTED_VALUE"""),0.0)</f>
        <v>0</v>
      </c>
      <c r="R248" s="33">
        <f>IFERROR(__xludf.DUMMYFUNCTION("""COMPUTED_VALUE"""),0.0)</f>
        <v>0</v>
      </c>
      <c r="S248" s="33">
        <f>IFERROR(__xludf.DUMMYFUNCTION("""COMPUTED_VALUE"""),0.0)</f>
        <v>0</v>
      </c>
      <c r="T248" s="33">
        <f>IFERROR(__xludf.DUMMYFUNCTION("""COMPUTED_VALUE"""),0.0)</f>
        <v>0</v>
      </c>
      <c r="U248" s="33">
        <f>IFERROR(__xludf.DUMMYFUNCTION("""COMPUTED_VALUE"""),0.0)</f>
        <v>0</v>
      </c>
      <c r="V248" s="33">
        <f>IFERROR(__xludf.DUMMYFUNCTION("""COMPUTED_VALUE"""),0.0)</f>
        <v>0</v>
      </c>
      <c r="W248" s="33">
        <f>IFERROR(__xludf.DUMMYFUNCTION("""COMPUTED_VALUE"""),0.0)</f>
        <v>0</v>
      </c>
      <c r="X248" s="33">
        <f>IFERROR(__xludf.DUMMYFUNCTION("""COMPUTED_VALUE"""),0.0)</f>
        <v>0</v>
      </c>
      <c r="Y248" s="33">
        <f>IFERROR(__xludf.DUMMYFUNCTION("""COMPUTED_VALUE"""),0.0)</f>
        <v>0</v>
      </c>
      <c r="Z248" s="33">
        <f>IFERROR(__xludf.DUMMYFUNCTION("""COMPUTED_VALUE"""),0.0)</f>
        <v>0</v>
      </c>
      <c r="AA248" s="33">
        <f>IFERROR(__xludf.DUMMYFUNCTION("""COMPUTED_VALUE"""),0.0)</f>
        <v>0</v>
      </c>
      <c r="AB248" s="33">
        <f>IFERROR(__xludf.DUMMYFUNCTION("""COMPUTED_VALUE"""),0.0)</f>
        <v>0</v>
      </c>
      <c r="AC248" s="33">
        <f>IFERROR(__xludf.DUMMYFUNCTION("""COMPUTED_VALUE"""),0.0)</f>
        <v>0</v>
      </c>
      <c r="AD248" s="33">
        <f>IFERROR(__xludf.DUMMYFUNCTION("""COMPUTED_VALUE"""),0.575833333333333)</f>
        <v>0.5758333333</v>
      </c>
      <c r="AE248" s="33">
        <f>IFERROR(__xludf.DUMMYFUNCTION("""COMPUTED_VALUE"""),1.66138888888888)</f>
        <v>1.661388889</v>
      </c>
      <c r="AF248" s="33">
        <f>IFERROR(__xludf.DUMMYFUNCTION("""COMPUTED_VALUE"""),0.0)</f>
        <v>0</v>
      </c>
    </row>
    <row r="249">
      <c r="A249" s="49">
        <f>IFERROR(__xludf.DUMMYFUNCTION("""COMPUTED_VALUE"""),46090.0)</f>
        <v>46090</v>
      </c>
      <c r="B249" s="33" t="str">
        <f>IFERROR(__xludf.DUMMYFUNCTION("""COMPUTED_VALUE"""),"96f1f89e4494e06fb7f9e3c4645563fa62ef9320")</f>
        <v>96f1f89e4494e06fb7f9e3c4645563fa62ef9320</v>
      </c>
      <c r="C249" s="33" t="str">
        <f>IFERROR(__xludf.DUMMYFUNCTION("""COMPUTED_VALUE"""),"King of Dragon - Production Show_id")</f>
        <v>King of Dragon - Production Show_id</v>
      </c>
      <c r="D249" s="33">
        <f>IFERROR(__xludf.DUMMYFUNCTION("""COMPUTED_VALUE"""),15.0)</f>
        <v>15</v>
      </c>
      <c r="E249" s="33">
        <f>IFERROR(__xludf.DUMMYFUNCTION("""COMPUTED_VALUE"""),11.0)</f>
        <v>11</v>
      </c>
      <c r="F249" s="33">
        <f>IFERROR(__xludf.DUMMYFUNCTION("""COMPUTED_VALUE"""),20.0)</f>
        <v>20</v>
      </c>
      <c r="G249" s="33">
        <f>IFERROR(__xludf.DUMMYFUNCTION("""COMPUTED_VALUE"""),15.0)</f>
        <v>15</v>
      </c>
      <c r="H249" s="33">
        <f>IFERROR(__xludf.DUMMYFUNCTION("""COMPUTED_VALUE"""),15.0)</f>
        <v>15</v>
      </c>
      <c r="I249" s="33">
        <f>IFERROR(__xludf.DUMMYFUNCTION("""COMPUTED_VALUE"""),1.0)</f>
        <v>1</v>
      </c>
      <c r="J249" s="33">
        <f>IFERROR(__xludf.DUMMYFUNCTION("""COMPUTED_VALUE"""),17.0)</f>
        <v>17</v>
      </c>
      <c r="K249" s="33">
        <f>IFERROR(__xludf.DUMMYFUNCTION("""COMPUTED_VALUE"""),7.0)</f>
        <v>7</v>
      </c>
      <c r="L249" s="33">
        <f>IFERROR(__xludf.DUMMYFUNCTION("""COMPUTED_VALUE"""),4.0)</f>
        <v>4</v>
      </c>
      <c r="M249" s="33">
        <f>IFERROR(__xludf.DUMMYFUNCTION("""COMPUTED_VALUE"""),15.0)</f>
        <v>15</v>
      </c>
      <c r="N249" s="33">
        <f>IFERROR(__xludf.DUMMYFUNCTION("""COMPUTED_VALUE"""),15.0)</f>
        <v>15</v>
      </c>
      <c r="O249" s="33">
        <f>IFERROR(__xludf.DUMMYFUNCTION("""COMPUTED_VALUE"""),6.0)</f>
        <v>6</v>
      </c>
      <c r="P249" s="33">
        <f>IFERROR(__xludf.DUMMYFUNCTION("""COMPUTED_VALUE"""),15.0)</f>
        <v>15</v>
      </c>
      <c r="Q249" s="33">
        <f>IFERROR(__xludf.DUMMYFUNCTION("""COMPUTED_VALUE"""),0.0)</f>
        <v>0</v>
      </c>
      <c r="R249" s="33">
        <f>IFERROR(__xludf.DUMMYFUNCTION("""COMPUTED_VALUE"""),37958.0)</f>
        <v>37958</v>
      </c>
      <c r="S249" s="33">
        <f>IFERROR(__xludf.DUMMYFUNCTION("""COMPUTED_VALUE"""),28063.0)</f>
        <v>28063</v>
      </c>
      <c r="T249" s="33">
        <f>IFERROR(__xludf.DUMMYFUNCTION("""COMPUTED_VALUE"""),3.25472222222222)</f>
        <v>3.254722222</v>
      </c>
      <c r="U249" s="33">
        <f>IFERROR(__xludf.DUMMYFUNCTION("""COMPUTED_VALUE"""),5.88055555555555)</f>
        <v>5.880555556</v>
      </c>
      <c r="V249" s="33">
        <f>IFERROR(__xludf.DUMMYFUNCTION("""COMPUTED_VALUE"""),4.36722222222222)</f>
        <v>4.367222222</v>
      </c>
      <c r="W249" s="33">
        <f>IFERROR(__xludf.DUMMYFUNCTION("""COMPUTED_VALUE"""),4.36722222222222)</f>
        <v>4.367222222</v>
      </c>
      <c r="X249" s="33">
        <f>IFERROR(__xludf.DUMMYFUNCTION("""COMPUTED_VALUE"""),0.303611111111111)</f>
        <v>0.3036111111</v>
      </c>
      <c r="Y249" s="33">
        <f>IFERROR(__xludf.DUMMYFUNCTION("""COMPUTED_VALUE"""),4.93722222222222)</f>
        <v>4.937222222</v>
      </c>
      <c r="Z249" s="33">
        <f>IFERROR(__xludf.DUMMYFUNCTION("""COMPUTED_VALUE"""),1.98305555555555)</f>
        <v>1.983055556</v>
      </c>
      <c r="AA249" s="33">
        <f>IFERROR(__xludf.DUMMYFUNCTION("""COMPUTED_VALUE"""),1.13333333333333)</f>
        <v>1.133333333</v>
      </c>
      <c r="AB249" s="33">
        <f>IFERROR(__xludf.DUMMYFUNCTION("""COMPUTED_VALUE"""),4.3025)</f>
        <v>4.3025</v>
      </c>
      <c r="AC249" s="33">
        <f>IFERROR(__xludf.DUMMYFUNCTION("""COMPUTED_VALUE"""),4.3025)</f>
        <v>4.3025</v>
      </c>
      <c r="AD249" s="33">
        <f>IFERROR(__xludf.DUMMYFUNCTION("""COMPUTED_VALUE"""),1.57)</f>
        <v>1.57</v>
      </c>
      <c r="AE249" s="33">
        <f>IFERROR(__xludf.DUMMYFUNCTION("""COMPUTED_VALUE"""),4.3025)</f>
        <v>4.3025</v>
      </c>
      <c r="AF249" s="33">
        <f>IFERROR(__xludf.DUMMYFUNCTION("""COMPUTED_VALUE"""),11.0)</f>
        <v>11</v>
      </c>
    </row>
    <row r="250">
      <c r="A250" s="49">
        <f>IFERROR(__xludf.DUMMYFUNCTION("""COMPUTED_VALUE"""),46090.0)</f>
        <v>46090</v>
      </c>
      <c r="B250" s="33" t="str">
        <f>IFERROR(__xludf.DUMMYFUNCTION("""COMPUTED_VALUE"""),"a3ba65aa427077188e1ad7dbcbcafae266683ca9")</f>
        <v>a3ba65aa427077188e1ad7dbcbcafae266683ca9</v>
      </c>
      <c r="C250" s="33" t="str">
        <f>IFERROR(__xludf.DUMMYFUNCTION("""COMPUTED_VALUE"""),"The Warrior | Author - Dayaram Prajapati")</f>
        <v>The Warrior | Author - Dayaram Prajapati</v>
      </c>
      <c r="D250" s="33">
        <f>IFERROR(__xludf.DUMMYFUNCTION("""COMPUTED_VALUE"""),15.0)</f>
        <v>15</v>
      </c>
      <c r="E250" s="33">
        <f>IFERROR(__xludf.DUMMYFUNCTION("""COMPUTED_VALUE"""),5.0)</f>
        <v>5</v>
      </c>
      <c r="F250" s="33">
        <f>IFERROR(__xludf.DUMMYFUNCTION("""COMPUTED_VALUE"""),0.0)</f>
        <v>0</v>
      </c>
      <c r="G250" s="33">
        <f>IFERROR(__xludf.DUMMYFUNCTION("""COMPUTED_VALUE"""),0.0)</f>
        <v>0</v>
      </c>
      <c r="H250" s="33">
        <f>IFERROR(__xludf.DUMMYFUNCTION("""COMPUTED_VALUE"""),0.0)</f>
        <v>0</v>
      </c>
      <c r="I250" s="33">
        <f>IFERROR(__xludf.DUMMYFUNCTION("""COMPUTED_VALUE"""),0.0)</f>
        <v>0</v>
      </c>
      <c r="J250" s="33">
        <f>IFERROR(__xludf.DUMMYFUNCTION("""COMPUTED_VALUE"""),0.0)</f>
        <v>0</v>
      </c>
      <c r="K250" s="33">
        <f>IFERROR(__xludf.DUMMYFUNCTION("""COMPUTED_VALUE"""),0.0)</f>
        <v>0</v>
      </c>
      <c r="L250" s="33">
        <f>IFERROR(__xludf.DUMMYFUNCTION("""COMPUTED_VALUE"""),0.0)</f>
        <v>0</v>
      </c>
      <c r="M250" s="33">
        <f>IFERROR(__xludf.DUMMYFUNCTION("""COMPUTED_VALUE"""),14.0)</f>
        <v>14</v>
      </c>
      <c r="N250" s="33">
        <f>IFERROR(__xludf.DUMMYFUNCTION("""COMPUTED_VALUE"""),5.0)</f>
        <v>5</v>
      </c>
      <c r="O250" s="33">
        <f>IFERROR(__xludf.DUMMYFUNCTION("""COMPUTED_VALUE"""),5.0)</f>
        <v>5</v>
      </c>
      <c r="P250" s="33">
        <f>IFERROR(__xludf.DUMMYFUNCTION("""COMPUTED_VALUE"""),5.0)</f>
        <v>5</v>
      </c>
      <c r="Q250" s="33">
        <f>IFERROR(__xludf.DUMMYFUNCTION("""COMPUTED_VALUE"""),0.0)</f>
        <v>0</v>
      </c>
      <c r="R250" s="33">
        <f>IFERROR(__xludf.DUMMYFUNCTION("""COMPUTED_VALUE"""),46061.0)</f>
        <v>46061</v>
      </c>
      <c r="S250" s="33">
        <f>IFERROR(__xludf.DUMMYFUNCTION("""COMPUTED_VALUE"""),13870.0)</f>
        <v>13870</v>
      </c>
      <c r="T250" s="33">
        <f>IFERROR(__xludf.DUMMYFUNCTION("""COMPUTED_VALUE"""),0.0)</f>
        <v>0</v>
      </c>
      <c r="U250" s="33">
        <f>IFERROR(__xludf.DUMMYFUNCTION("""COMPUTED_VALUE"""),0.0)</f>
        <v>0</v>
      </c>
      <c r="V250" s="33">
        <f>IFERROR(__xludf.DUMMYFUNCTION("""COMPUTED_VALUE"""),0.0)</f>
        <v>0</v>
      </c>
      <c r="W250" s="33">
        <f>IFERROR(__xludf.DUMMYFUNCTION("""COMPUTED_VALUE"""),0.0)</f>
        <v>0</v>
      </c>
      <c r="X250" s="33">
        <f>IFERROR(__xludf.DUMMYFUNCTION("""COMPUTED_VALUE"""),0.0)</f>
        <v>0</v>
      </c>
      <c r="Y250" s="33">
        <f>IFERROR(__xludf.DUMMYFUNCTION("""COMPUTED_VALUE"""),0.0)</f>
        <v>0</v>
      </c>
      <c r="Z250" s="33">
        <f>IFERROR(__xludf.DUMMYFUNCTION("""COMPUTED_VALUE"""),0.0)</f>
        <v>0</v>
      </c>
      <c r="AA250" s="33">
        <f>IFERROR(__xludf.DUMMYFUNCTION("""COMPUTED_VALUE"""),0.0)</f>
        <v>0</v>
      </c>
      <c r="AB250" s="33">
        <f>IFERROR(__xludf.DUMMYFUNCTION("""COMPUTED_VALUE"""),4.34444444444444)</f>
        <v>4.344444444</v>
      </c>
      <c r="AC250" s="33">
        <f>IFERROR(__xludf.DUMMYFUNCTION("""COMPUTED_VALUE"""),1.37305555555555)</f>
        <v>1.373055556</v>
      </c>
      <c r="AD250" s="33">
        <f>IFERROR(__xludf.DUMMYFUNCTION("""COMPUTED_VALUE"""),1.225)</f>
        <v>1.225</v>
      </c>
      <c r="AE250" s="33">
        <f>IFERROR(__xludf.DUMMYFUNCTION("""COMPUTED_VALUE"""),1.37305555555555)</f>
        <v>1.373055556</v>
      </c>
      <c r="AF250" s="33">
        <f>IFERROR(__xludf.DUMMYFUNCTION("""COMPUTED_VALUE"""),0.0)</f>
        <v>0</v>
      </c>
    </row>
    <row r="251">
      <c r="A251" s="49">
        <f>IFERROR(__xludf.DUMMYFUNCTION("""COMPUTED_VALUE"""),46090.0)</f>
        <v>46090</v>
      </c>
      <c r="B251" s="33" t="str">
        <f>IFERROR(__xludf.DUMMYFUNCTION("""COMPUTED_VALUE"""),"aa81f1feb820ed6f22bd7b22b55890db740929cb")</f>
        <v>aa81f1feb820ed6f22bd7b22b55890db740929cb</v>
      </c>
      <c r="C251" s="33" t="str">
        <f>IFERROR(__xludf.DUMMYFUNCTION("""COMPUTED_VALUE"""),"Shunya Samrat")</f>
        <v>Shunya Samrat</v>
      </c>
      <c r="D251" s="33">
        <f>IFERROR(__xludf.DUMMYFUNCTION("""COMPUTED_VALUE"""),43.0)</f>
        <v>43</v>
      </c>
      <c r="E251" s="33">
        <f>IFERROR(__xludf.DUMMYFUNCTION("""COMPUTED_VALUE"""),43.0)</f>
        <v>43</v>
      </c>
      <c r="F251" s="33">
        <f>IFERROR(__xludf.DUMMYFUNCTION("""COMPUTED_VALUE"""),0.0)</f>
        <v>0</v>
      </c>
      <c r="G251" s="33">
        <f>IFERROR(__xludf.DUMMYFUNCTION("""COMPUTED_VALUE"""),0.0)</f>
        <v>0</v>
      </c>
      <c r="H251" s="33">
        <f>IFERROR(__xludf.DUMMYFUNCTION("""COMPUTED_VALUE"""),0.0)</f>
        <v>0</v>
      </c>
      <c r="I251" s="33">
        <f>IFERROR(__xludf.DUMMYFUNCTION("""COMPUTED_VALUE"""),0.0)</f>
        <v>0</v>
      </c>
      <c r="J251" s="33">
        <f>IFERROR(__xludf.DUMMYFUNCTION("""COMPUTED_VALUE"""),0.0)</f>
        <v>0</v>
      </c>
      <c r="K251" s="33">
        <f>IFERROR(__xludf.DUMMYFUNCTION("""COMPUTED_VALUE"""),0.0)</f>
        <v>0</v>
      </c>
      <c r="L251" s="33">
        <f>IFERROR(__xludf.DUMMYFUNCTION("""COMPUTED_VALUE"""),0.0)</f>
        <v>0</v>
      </c>
      <c r="M251" s="33">
        <f>IFERROR(__xludf.DUMMYFUNCTION("""COMPUTED_VALUE"""),0.0)</f>
        <v>0</v>
      </c>
      <c r="N251" s="33">
        <f>IFERROR(__xludf.DUMMYFUNCTION("""COMPUTED_VALUE"""),43.0)</f>
        <v>43</v>
      </c>
      <c r="O251" s="33">
        <f>IFERROR(__xludf.DUMMYFUNCTION("""COMPUTED_VALUE"""),5.0)</f>
        <v>5</v>
      </c>
      <c r="P251" s="33">
        <f>IFERROR(__xludf.DUMMYFUNCTION("""COMPUTED_VALUE"""),43.0)</f>
        <v>43</v>
      </c>
      <c r="Q251" s="33">
        <f>IFERROR(__xludf.DUMMYFUNCTION("""COMPUTED_VALUE"""),0.0)</f>
        <v>0</v>
      </c>
      <c r="R251" s="33">
        <f>IFERROR(__xludf.DUMMYFUNCTION("""COMPUTED_VALUE"""),91447.0)</f>
        <v>91447</v>
      </c>
      <c r="S251" s="33">
        <f>IFERROR(__xludf.DUMMYFUNCTION("""COMPUTED_VALUE"""),91447.0)</f>
        <v>91447</v>
      </c>
      <c r="T251" s="33">
        <f>IFERROR(__xludf.DUMMYFUNCTION("""COMPUTED_VALUE"""),0.0)</f>
        <v>0</v>
      </c>
      <c r="U251" s="33">
        <f>IFERROR(__xludf.DUMMYFUNCTION("""COMPUTED_VALUE"""),0.0)</f>
        <v>0</v>
      </c>
      <c r="V251" s="33">
        <f>IFERROR(__xludf.DUMMYFUNCTION("""COMPUTED_VALUE"""),0.0)</f>
        <v>0</v>
      </c>
      <c r="W251" s="33">
        <f>IFERROR(__xludf.DUMMYFUNCTION("""COMPUTED_VALUE"""),0.0)</f>
        <v>0</v>
      </c>
      <c r="X251" s="33">
        <f>IFERROR(__xludf.DUMMYFUNCTION("""COMPUTED_VALUE"""),0.0)</f>
        <v>0</v>
      </c>
      <c r="Y251" s="33">
        <f>IFERROR(__xludf.DUMMYFUNCTION("""COMPUTED_VALUE"""),0.0)</f>
        <v>0</v>
      </c>
      <c r="Z251" s="33">
        <f>IFERROR(__xludf.DUMMYFUNCTION("""COMPUTED_VALUE"""),0.0)</f>
        <v>0</v>
      </c>
      <c r="AA251" s="33">
        <f>IFERROR(__xludf.DUMMYFUNCTION("""COMPUTED_VALUE"""),0.0)</f>
        <v>0</v>
      </c>
      <c r="AB251" s="33">
        <f>IFERROR(__xludf.DUMMYFUNCTION("""COMPUTED_VALUE"""),0.0)</f>
        <v>0</v>
      </c>
      <c r="AC251" s="33">
        <f>IFERROR(__xludf.DUMMYFUNCTION("""COMPUTED_VALUE"""),10.0680555555555)</f>
        <v>10.06805556</v>
      </c>
      <c r="AD251" s="33">
        <f>IFERROR(__xludf.DUMMYFUNCTION("""COMPUTED_VALUE"""),1.06861111111111)</f>
        <v>1.068611111</v>
      </c>
      <c r="AE251" s="33">
        <f>IFERROR(__xludf.DUMMYFUNCTION("""COMPUTED_VALUE"""),10.0680555555555)</f>
        <v>10.06805556</v>
      </c>
      <c r="AF251" s="33">
        <f>IFERROR(__xludf.DUMMYFUNCTION("""COMPUTED_VALUE"""),0.0)</f>
        <v>0</v>
      </c>
    </row>
    <row r="252">
      <c r="A252" s="49">
        <f>IFERROR(__xludf.DUMMYFUNCTION("""COMPUTED_VALUE"""),46090.0)</f>
        <v>46090</v>
      </c>
      <c r="B252" s="33" t="str">
        <f>IFERROR(__xludf.DUMMYFUNCTION("""COMPUTED_VALUE"""),"b19f613216d474cd2927d5f4832a949dca2dc33e")</f>
        <v>b19f613216d474cd2927d5f4832a949dca2dc33e</v>
      </c>
      <c r="C252" s="33" t="str">
        <f>IFERROR(__xludf.DUMMYFUNCTION("""COMPUTED_VALUE"""),"The Immortal (Production)")</f>
        <v>The Immortal (Production)</v>
      </c>
      <c r="D252" s="33">
        <f>IFERROR(__xludf.DUMMYFUNCTION("""COMPUTED_VALUE"""),5.0)</f>
        <v>5</v>
      </c>
      <c r="E252" s="33">
        <f>IFERROR(__xludf.DUMMYFUNCTION("""COMPUTED_VALUE"""),0.0)</f>
        <v>0</v>
      </c>
      <c r="F252" s="33">
        <f>IFERROR(__xludf.DUMMYFUNCTION("""COMPUTED_VALUE"""),0.0)</f>
        <v>0</v>
      </c>
      <c r="G252" s="33">
        <f>IFERROR(__xludf.DUMMYFUNCTION("""COMPUTED_VALUE"""),0.0)</f>
        <v>0</v>
      </c>
      <c r="H252" s="33">
        <f>IFERROR(__xludf.DUMMYFUNCTION("""COMPUTED_VALUE"""),0.0)</f>
        <v>0</v>
      </c>
      <c r="I252" s="33">
        <f>IFERROR(__xludf.DUMMYFUNCTION("""COMPUTED_VALUE"""),0.0)</f>
        <v>0</v>
      </c>
      <c r="J252" s="33">
        <f>IFERROR(__xludf.DUMMYFUNCTION("""COMPUTED_VALUE"""),0.0)</f>
        <v>0</v>
      </c>
      <c r="K252" s="33">
        <f>IFERROR(__xludf.DUMMYFUNCTION("""COMPUTED_VALUE"""),0.0)</f>
        <v>0</v>
      </c>
      <c r="L252" s="33">
        <f>IFERROR(__xludf.DUMMYFUNCTION("""COMPUTED_VALUE"""),0.0)</f>
        <v>0</v>
      </c>
      <c r="M252" s="33">
        <f>IFERROR(__xludf.DUMMYFUNCTION("""COMPUTED_VALUE"""),0.0)</f>
        <v>0</v>
      </c>
      <c r="N252" s="33">
        <f>IFERROR(__xludf.DUMMYFUNCTION("""COMPUTED_VALUE"""),0.0)</f>
        <v>0</v>
      </c>
      <c r="O252" s="33">
        <f>IFERROR(__xludf.DUMMYFUNCTION("""COMPUTED_VALUE"""),0.0)</f>
        <v>0</v>
      </c>
      <c r="P252" s="33">
        <f>IFERROR(__xludf.DUMMYFUNCTION("""COMPUTED_VALUE"""),0.0)</f>
        <v>0</v>
      </c>
      <c r="Q252" s="33">
        <f>IFERROR(__xludf.DUMMYFUNCTION("""COMPUTED_VALUE"""),0.0)</f>
        <v>0</v>
      </c>
      <c r="R252" s="33">
        <f>IFERROR(__xludf.DUMMYFUNCTION("""COMPUTED_VALUE"""),10364.0)</f>
        <v>10364</v>
      </c>
      <c r="S252" s="33">
        <f>IFERROR(__xludf.DUMMYFUNCTION("""COMPUTED_VALUE"""),0.0)</f>
        <v>0</v>
      </c>
      <c r="T252" s="33">
        <f>IFERROR(__xludf.DUMMYFUNCTION("""COMPUTED_VALUE"""),0.0)</f>
        <v>0</v>
      </c>
      <c r="U252" s="33">
        <f>IFERROR(__xludf.DUMMYFUNCTION("""COMPUTED_VALUE"""),0.0)</f>
        <v>0</v>
      </c>
      <c r="V252" s="33">
        <f>IFERROR(__xludf.DUMMYFUNCTION("""COMPUTED_VALUE"""),0.0)</f>
        <v>0</v>
      </c>
      <c r="W252" s="33">
        <f>IFERROR(__xludf.DUMMYFUNCTION("""COMPUTED_VALUE"""),0.0)</f>
        <v>0</v>
      </c>
      <c r="X252" s="33">
        <f>IFERROR(__xludf.DUMMYFUNCTION("""COMPUTED_VALUE"""),0.0)</f>
        <v>0</v>
      </c>
      <c r="Y252" s="33">
        <f>IFERROR(__xludf.DUMMYFUNCTION("""COMPUTED_VALUE"""),0.0)</f>
        <v>0</v>
      </c>
      <c r="Z252" s="33">
        <f>IFERROR(__xludf.DUMMYFUNCTION("""COMPUTED_VALUE"""),0.0)</f>
        <v>0</v>
      </c>
      <c r="AA252" s="33">
        <f>IFERROR(__xludf.DUMMYFUNCTION("""COMPUTED_VALUE"""),0.0)</f>
        <v>0</v>
      </c>
      <c r="AB252" s="33">
        <f>IFERROR(__xludf.DUMMYFUNCTION("""COMPUTED_VALUE"""),0.0)</f>
        <v>0</v>
      </c>
      <c r="AC252" s="33">
        <f>IFERROR(__xludf.DUMMYFUNCTION("""COMPUTED_VALUE"""),0.0)</f>
        <v>0</v>
      </c>
      <c r="AD252" s="33">
        <f>IFERROR(__xludf.DUMMYFUNCTION("""COMPUTED_VALUE"""),0.0)</f>
        <v>0</v>
      </c>
      <c r="AE252" s="33">
        <f>IFERROR(__xludf.DUMMYFUNCTION("""COMPUTED_VALUE"""),0.0)</f>
        <v>0</v>
      </c>
      <c r="AF252" s="33">
        <f>IFERROR(__xludf.DUMMYFUNCTION("""COMPUTED_VALUE"""),0.0)</f>
        <v>0</v>
      </c>
    </row>
    <row r="253">
      <c r="A253" s="49">
        <f>IFERROR(__xludf.DUMMYFUNCTION("""COMPUTED_VALUE"""),46090.0)</f>
        <v>46090</v>
      </c>
      <c r="B253" s="33" t="str">
        <f>IFERROR(__xludf.DUMMYFUNCTION("""COMPUTED_VALUE"""),"b236b697a3dda78049a484b58d63a75f4503ad66")</f>
        <v>b236b697a3dda78049a484b58d63a75f4503ad66</v>
      </c>
      <c r="C253" s="33" t="str">
        <f>IFERROR(__xludf.DUMMYFUNCTION("""COMPUTED_VALUE"""),"Rudra - Rise of Supreme Yoddha - Production Show_id")</f>
        <v>Rudra - Rise of Supreme Yoddha - Production Show_id</v>
      </c>
      <c r="D253" s="33">
        <f>IFERROR(__xludf.DUMMYFUNCTION("""COMPUTED_VALUE"""),0.0)</f>
        <v>0</v>
      </c>
      <c r="E253" s="33">
        <f>IFERROR(__xludf.DUMMYFUNCTION("""COMPUTED_VALUE"""),0.0)</f>
        <v>0</v>
      </c>
      <c r="F253" s="33">
        <f>IFERROR(__xludf.DUMMYFUNCTION("""COMPUTED_VALUE"""),0.0)</f>
        <v>0</v>
      </c>
      <c r="G253" s="33">
        <f>IFERROR(__xludf.DUMMYFUNCTION("""COMPUTED_VALUE"""),2.0)</f>
        <v>2</v>
      </c>
      <c r="H253" s="33">
        <f>IFERROR(__xludf.DUMMYFUNCTION("""COMPUTED_VALUE"""),6.0)</f>
        <v>6</v>
      </c>
      <c r="I253" s="33">
        <f>IFERROR(__xludf.DUMMYFUNCTION("""COMPUTED_VALUE"""),4.0)</f>
        <v>4</v>
      </c>
      <c r="J253" s="33">
        <f>IFERROR(__xludf.DUMMYFUNCTION("""COMPUTED_VALUE"""),7.0)</f>
        <v>7</v>
      </c>
      <c r="K253" s="33">
        <f>IFERROR(__xludf.DUMMYFUNCTION("""COMPUTED_VALUE"""),6.0)</f>
        <v>6</v>
      </c>
      <c r="L253" s="33">
        <f>IFERROR(__xludf.DUMMYFUNCTION("""COMPUTED_VALUE"""),1.0)</f>
        <v>1</v>
      </c>
      <c r="M253" s="33">
        <f>IFERROR(__xludf.DUMMYFUNCTION("""COMPUTED_VALUE"""),10.0)</f>
        <v>10</v>
      </c>
      <c r="N253" s="33">
        <f>IFERROR(__xludf.DUMMYFUNCTION("""COMPUTED_VALUE"""),10.0)</f>
        <v>10</v>
      </c>
      <c r="O253" s="33">
        <f>IFERROR(__xludf.DUMMYFUNCTION("""COMPUTED_VALUE"""),5.0)</f>
        <v>5</v>
      </c>
      <c r="P253" s="33">
        <f>IFERROR(__xludf.DUMMYFUNCTION("""COMPUTED_VALUE"""),10.0)</f>
        <v>10</v>
      </c>
      <c r="Q253" s="33">
        <f>IFERROR(__xludf.DUMMYFUNCTION("""COMPUTED_VALUE"""),0.0)</f>
        <v>0</v>
      </c>
      <c r="R253" s="33">
        <f>IFERROR(__xludf.DUMMYFUNCTION("""COMPUTED_VALUE"""),0.0)</f>
        <v>0</v>
      </c>
      <c r="S253" s="33">
        <f>IFERROR(__xludf.DUMMYFUNCTION("""COMPUTED_VALUE"""),0.0)</f>
        <v>0</v>
      </c>
      <c r="T253" s="33">
        <f>IFERROR(__xludf.DUMMYFUNCTION("""COMPUTED_VALUE"""),0.344166666666666)</f>
        <v>0.3441666667</v>
      </c>
      <c r="U253" s="33">
        <f>IFERROR(__xludf.DUMMYFUNCTION("""COMPUTED_VALUE"""),0.0)</f>
        <v>0</v>
      </c>
      <c r="V253" s="33">
        <f>IFERROR(__xludf.DUMMYFUNCTION("""COMPUTED_VALUE"""),0.428055555555555)</f>
        <v>0.4280555556</v>
      </c>
      <c r="W253" s="33">
        <f>IFERROR(__xludf.DUMMYFUNCTION("""COMPUTED_VALUE"""),1.17472222222222)</f>
        <v>1.174722222</v>
      </c>
      <c r="X253" s="33">
        <f>IFERROR(__xludf.DUMMYFUNCTION("""COMPUTED_VALUE"""),0.746666666666666)</f>
        <v>0.7466666667</v>
      </c>
      <c r="Y253" s="33">
        <f>IFERROR(__xludf.DUMMYFUNCTION("""COMPUTED_VALUE"""),1.39333333333333)</f>
        <v>1.393333333</v>
      </c>
      <c r="Z253" s="33">
        <f>IFERROR(__xludf.DUMMYFUNCTION("""COMPUTED_VALUE"""),1.14888888888888)</f>
        <v>1.148888889</v>
      </c>
      <c r="AA253" s="33">
        <f>IFERROR(__xludf.DUMMYFUNCTION("""COMPUTED_VALUE"""),0.190833333333333)</f>
        <v>0.1908333333</v>
      </c>
      <c r="AB253" s="33">
        <f>IFERROR(__xludf.DUMMYFUNCTION("""COMPUTED_VALUE"""),1.93194444444444)</f>
        <v>1.931944444</v>
      </c>
      <c r="AC253" s="33">
        <f>IFERROR(__xludf.DUMMYFUNCTION("""COMPUTED_VALUE"""),1.93194444444444)</f>
        <v>1.931944444</v>
      </c>
      <c r="AD253" s="33">
        <f>IFERROR(__xludf.DUMMYFUNCTION("""COMPUTED_VALUE"""),0.951388888888888)</f>
        <v>0.9513888889</v>
      </c>
      <c r="AE253" s="33">
        <f>IFERROR(__xludf.DUMMYFUNCTION("""COMPUTED_VALUE"""),1.93194444444444)</f>
        <v>1.931944444</v>
      </c>
      <c r="AF253" s="33">
        <f>IFERROR(__xludf.DUMMYFUNCTION("""COMPUTED_VALUE"""),2.0)</f>
        <v>2</v>
      </c>
    </row>
    <row r="254">
      <c r="A254" s="49">
        <f>IFERROR(__xludf.DUMMYFUNCTION("""COMPUTED_VALUE"""),46090.0)</f>
        <v>46090</v>
      </c>
      <c r="B254" s="33" t="str">
        <f>IFERROR(__xludf.DUMMYFUNCTION("""COMPUTED_VALUE"""),"b4277fe045604b0c31d4c58c59733d8d995662ff")</f>
        <v>b4277fe045604b0c31d4c58c59733d8d995662ff</v>
      </c>
      <c r="C254" s="33" t="str">
        <f>IFERROR(__xludf.DUMMYFUNCTION("""COMPUTED_VALUE"""),"Divine Power - Production Show_id")</f>
        <v>Divine Power - Production Show_id</v>
      </c>
      <c r="D254" s="33">
        <f>IFERROR(__xludf.DUMMYFUNCTION("""COMPUTED_VALUE"""),8.0)</f>
        <v>8</v>
      </c>
      <c r="E254" s="33">
        <f>IFERROR(__xludf.DUMMYFUNCTION("""COMPUTED_VALUE"""),10.0)</f>
        <v>10</v>
      </c>
      <c r="F254" s="33">
        <f>IFERROR(__xludf.DUMMYFUNCTION("""COMPUTED_VALUE"""),6.0)</f>
        <v>6</v>
      </c>
      <c r="G254" s="33">
        <f>IFERROR(__xludf.DUMMYFUNCTION("""COMPUTED_VALUE"""),5.0)</f>
        <v>5</v>
      </c>
      <c r="H254" s="33">
        <f>IFERROR(__xludf.DUMMYFUNCTION("""COMPUTED_VALUE"""),5.0)</f>
        <v>5</v>
      </c>
      <c r="I254" s="33">
        <f>IFERROR(__xludf.DUMMYFUNCTION("""COMPUTED_VALUE"""),0.0)</f>
        <v>0</v>
      </c>
      <c r="J254" s="33">
        <f>IFERROR(__xludf.DUMMYFUNCTION("""COMPUTED_VALUE"""),5.0)</f>
        <v>5</v>
      </c>
      <c r="K254" s="33">
        <f>IFERROR(__xludf.DUMMYFUNCTION("""COMPUTED_VALUE"""),0.0)</f>
        <v>0</v>
      </c>
      <c r="L254" s="33">
        <f>IFERROR(__xludf.DUMMYFUNCTION("""COMPUTED_VALUE"""),0.0)</f>
        <v>0</v>
      </c>
      <c r="M254" s="33">
        <f>IFERROR(__xludf.DUMMYFUNCTION("""COMPUTED_VALUE"""),3.0)</f>
        <v>3</v>
      </c>
      <c r="N254" s="33">
        <f>IFERROR(__xludf.DUMMYFUNCTION("""COMPUTED_VALUE"""),0.0)</f>
        <v>0</v>
      </c>
      <c r="O254" s="33">
        <f>IFERROR(__xludf.DUMMYFUNCTION("""COMPUTED_VALUE"""),0.0)</f>
        <v>0</v>
      </c>
      <c r="P254" s="33">
        <f>IFERROR(__xludf.DUMMYFUNCTION("""COMPUTED_VALUE"""),0.0)</f>
        <v>0</v>
      </c>
      <c r="Q254" s="33">
        <f>IFERROR(__xludf.DUMMYFUNCTION("""COMPUTED_VALUE"""),0.0)</f>
        <v>0</v>
      </c>
      <c r="R254" s="33">
        <f>IFERROR(__xludf.DUMMYFUNCTION("""COMPUTED_VALUE"""),18154.0)</f>
        <v>18154</v>
      </c>
      <c r="S254" s="33">
        <f>IFERROR(__xludf.DUMMYFUNCTION("""COMPUTED_VALUE"""),24023.0)</f>
        <v>24023</v>
      </c>
      <c r="T254" s="33">
        <f>IFERROR(__xludf.DUMMYFUNCTION("""COMPUTED_VALUE"""),3.05305555555555)</f>
        <v>3.053055556</v>
      </c>
      <c r="U254" s="33">
        <f>IFERROR(__xludf.DUMMYFUNCTION("""COMPUTED_VALUE"""),1.65138888888888)</f>
        <v>1.651388889</v>
      </c>
      <c r="V254" s="33">
        <f>IFERROR(__xludf.DUMMYFUNCTION("""COMPUTED_VALUE"""),1.37277777777777)</f>
        <v>1.372777778</v>
      </c>
      <c r="W254" s="33">
        <f>IFERROR(__xludf.DUMMYFUNCTION("""COMPUTED_VALUE"""),1.37277777777777)</f>
        <v>1.372777778</v>
      </c>
      <c r="X254" s="33">
        <f>IFERROR(__xludf.DUMMYFUNCTION("""COMPUTED_VALUE"""),0.0)</f>
        <v>0</v>
      </c>
      <c r="Y254" s="33">
        <f>IFERROR(__xludf.DUMMYFUNCTION("""COMPUTED_VALUE"""),1.37277777777777)</f>
        <v>1.372777778</v>
      </c>
      <c r="Z254" s="33">
        <f>IFERROR(__xludf.DUMMYFUNCTION("""COMPUTED_VALUE"""),0.0)</f>
        <v>0</v>
      </c>
      <c r="AA254" s="33">
        <f>IFERROR(__xludf.DUMMYFUNCTION("""COMPUTED_VALUE"""),0.0)</f>
        <v>0</v>
      </c>
      <c r="AB254" s="33">
        <f>IFERROR(__xludf.DUMMYFUNCTION("""COMPUTED_VALUE"""),0.866666666666666)</f>
        <v>0.8666666667</v>
      </c>
      <c r="AC254" s="33">
        <f>IFERROR(__xludf.DUMMYFUNCTION("""COMPUTED_VALUE"""),0.0)</f>
        <v>0</v>
      </c>
      <c r="AD254" s="33">
        <f>IFERROR(__xludf.DUMMYFUNCTION("""COMPUTED_VALUE"""),0.0)</f>
        <v>0</v>
      </c>
      <c r="AE254" s="33">
        <f>IFERROR(__xludf.DUMMYFUNCTION("""COMPUTED_VALUE"""),0.0)</f>
        <v>0</v>
      </c>
      <c r="AF254" s="33">
        <f>IFERROR(__xludf.DUMMYFUNCTION("""COMPUTED_VALUE"""),11.0)</f>
        <v>11</v>
      </c>
    </row>
    <row r="255">
      <c r="A255" s="49">
        <f>IFERROR(__xludf.DUMMYFUNCTION("""COMPUTED_VALUE"""),46090.0)</f>
        <v>46090</v>
      </c>
      <c r="B255" s="33" t="str">
        <f>IFERROR(__xludf.DUMMYFUNCTION("""COMPUTED_VALUE"""),"b9727274f880f47671ad54caad4904a491fad9c7")</f>
        <v>b9727274f880f47671ad54caad4904a491fad9c7</v>
      </c>
      <c r="C255" s="33" t="str">
        <f>IFERROR(__xludf.DUMMYFUNCTION("""COMPUTED_VALUE"""),"Brahmand Ka Rakshak - Production Show")</f>
        <v>Brahmand Ka Rakshak - Production Show</v>
      </c>
      <c r="D255" s="33">
        <f>IFERROR(__xludf.DUMMYFUNCTION("""COMPUTED_VALUE"""),37.0)</f>
        <v>37</v>
      </c>
      <c r="E255" s="33">
        <f>IFERROR(__xludf.DUMMYFUNCTION("""COMPUTED_VALUE"""),32.0)</f>
        <v>32</v>
      </c>
      <c r="F255" s="33">
        <f>IFERROR(__xludf.DUMMYFUNCTION("""COMPUTED_VALUE"""),8.0)</f>
        <v>8</v>
      </c>
      <c r="G255" s="33">
        <f>IFERROR(__xludf.DUMMYFUNCTION("""COMPUTED_VALUE"""),5.0)</f>
        <v>5</v>
      </c>
      <c r="H255" s="33">
        <f>IFERROR(__xludf.DUMMYFUNCTION("""COMPUTED_VALUE"""),27.0)</f>
        <v>27</v>
      </c>
      <c r="I255" s="33">
        <f>IFERROR(__xludf.DUMMYFUNCTION("""COMPUTED_VALUE"""),22.0)</f>
        <v>22</v>
      </c>
      <c r="J255" s="33">
        <f>IFERROR(__xludf.DUMMYFUNCTION("""COMPUTED_VALUE"""),27.0)</f>
        <v>27</v>
      </c>
      <c r="K255" s="33">
        <f>IFERROR(__xludf.DUMMYFUNCTION("""COMPUTED_VALUE"""),8.0)</f>
        <v>8</v>
      </c>
      <c r="L255" s="33">
        <f>IFERROR(__xludf.DUMMYFUNCTION("""COMPUTED_VALUE"""),8.0)</f>
        <v>8</v>
      </c>
      <c r="M255" s="33">
        <f>IFERROR(__xludf.DUMMYFUNCTION("""COMPUTED_VALUE"""),27.0)</f>
        <v>27</v>
      </c>
      <c r="N255" s="33">
        <f>IFERROR(__xludf.DUMMYFUNCTION("""COMPUTED_VALUE"""),24.0)</f>
        <v>24</v>
      </c>
      <c r="O255" s="33">
        <f>IFERROR(__xludf.DUMMYFUNCTION("""COMPUTED_VALUE"""),6.0)</f>
        <v>6</v>
      </c>
      <c r="P255" s="33">
        <f>IFERROR(__xludf.DUMMYFUNCTION("""COMPUTED_VALUE"""),24.0)</f>
        <v>24</v>
      </c>
      <c r="Q255" s="33">
        <f>IFERROR(__xludf.DUMMYFUNCTION("""COMPUTED_VALUE"""),0.0)</f>
        <v>0</v>
      </c>
      <c r="R255" s="33">
        <f>IFERROR(__xludf.DUMMYFUNCTION("""COMPUTED_VALUE"""),85240.0)</f>
        <v>85240</v>
      </c>
      <c r="S255" s="33">
        <f>IFERROR(__xludf.DUMMYFUNCTION("""COMPUTED_VALUE"""),79694.0)</f>
        <v>79694</v>
      </c>
      <c r="T255" s="33">
        <f>IFERROR(__xludf.DUMMYFUNCTION("""COMPUTED_VALUE"""),6.22138888888888)</f>
        <v>6.221388889</v>
      </c>
      <c r="U255" s="33">
        <f>IFERROR(__xludf.DUMMYFUNCTION("""COMPUTED_VALUE"""),1.58972222222222)</f>
        <v>1.589722222</v>
      </c>
      <c r="V255" s="33">
        <f>IFERROR(__xludf.DUMMYFUNCTION("""COMPUTED_VALUE"""),1.0)</f>
        <v>1</v>
      </c>
      <c r="W255" s="33">
        <f>IFERROR(__xludf.DUMMYFUNCTION("""COMPUTED_VALUE"""),5.63166666666666)</f>
        <v>5.631666667</v>
      </c>
      <c r="X255" s="33">
        <f>IFERROR(__xludf.DUMMYFUNCTION("""COMPUTED_VALUE"""),4.63166666666666)</f>
        <v>4.631666667</v>
      </c>
      <c r="Y255" s="33">
        <f>IFERROR(__xludf.DUMMYFUNCTION("""COMPUTED_VALUE"""),5.66027777777777)</f>
        <v>5.660277778</v>
      </c>
      <c r="Z255" s="33">
        <f>IFERROR(__xludf.DUMMYFUNCTION("""COMPUTED_VALUE"""),1.71861111111111)</f>
        <v>1.718611111</v>
      </c>
      <c r="AA255" s="33">
        <f>IFERROR(__xludf.DUMMYFUNCTION("""COMPUTED_VALUE"""),1.71194444444444)</f>
        <v>1.711944444</v>
      </c>
      <c r="AB255" s="33">
        <f>IFERROR(__xludf.DUMMYFUNCTION("""COMPUTED_VALUE"""),5.53999999999999)</f>
        <v>5.54</v>
      </c>
      <c r="AC255" s="33">
        <f>IFERROR(__xludf.DUMMYFUNCTION("""COMPUTED_VALUE"""),4.88944444444444)</f>
        <v>4.889444444</v>
      </c>
      <c r="AD255" s="33">
        <f>IFERROR(__xludf.DUMMYFUNCTION("""COMPUTED_VALUE"""),1.18611111111111)</f>
        <v>1.186111111</v>
      </c>
      <c r="AE255" s="33">
        <f>IFERROR(__xludf.DUMMYFUNCTION("""COMPUTED_VALUE"""),4.88944444444444)</f>
        <v>4.889444444</v>
      </c>
      <c r="AF255" s="33">
        <f>IFERROR(__xludf.DUMMYFUNCTION("""COMPUTED_VALUE"""),30.0)</f>
        <v>30</v>
      </c>
    </row>
    <row r="256">
      <c r="A256" s="49">
        <f>IFERROR(__xludf.DUMMYFUNCTION("""COMPUTED_VALUE"""),46090.0)</f>
        <v>46090</v>
      </c>
      <c r="B256" s="33" t="str">
        <f>IFERROR(__xludf.DUMMYFUNCTION("""COMPUTED_VALUE"""),"bb6f447c782519839d8793fda0d35f90bad4421a")</f>
        <v>bb6f447c782519839d8793fda0d35f90bad4421a</v>
      </c>
      <c r="C256" s="33" t="str">
        <f>IFERROR(__xludf.DUMMYFUNCTION("""COMPUTED_VALUE"""),"Ruthless")</f>
        <v>Ruthless</v>
      </c>
      <c r="D256" s="33">
        <f>IFERROR(__xludf.DUMMYFUNCTION("""COMPUTED_VALUE"""),17.0)</f>
        <v>17</v>
      </c>
      <c r="E256" s="33">
        <f>IFERROR(__xludf.DUMMYFUNCTION("""COMPUTED_VALUE"""),14.0)</f>
        <v>14</v>
      </c>
      <c r="F256" s="33">
        <f>IFERROR(__xludf.DUMMYFUNCTION("""COMPUTED_VALUE"""),0.0)</f>
        <v>0</v>
      </c>
      <c r="G256" s="33">
        <f>IFERROR(__xludf.DUMMYFUNCTION("""COMPUTED_VALUE"""),0.0)</f>
        <v>0</v>
      </c>
      <c r="H256" s="33">
        <f>IFERROR(__xludf.DUMMYFUNCTION("""COMPUTED_VALUE"""),13.0)</f>
        <v>13</v>
      </c>
      <c r="I256" s="33">
        <f>IFERROR(__xludf.DUMMYFUNCTION("""COMPUTED_VALUE"""),11.0)</f>
        <v>11</v>
      </c>
      <c r="J256" s="33">
        <f>IFERROR(__xludf.DUMMYFUNCTION("""COMPUTED_VALUE"""),14.0)</f>
        <v>14</v>
      </c>
      <c r="K256" s="33">
        <f>IFERROR(__xludf.DUMMYFUNCTION("""COMPUTED_VALUE"""),5.0)</f>
        <v>5</v>
      </c>
      <c r="L256" s="33">
        <f>IFERROR(__xludf.DUMMYFUNCTION("""COMPUTED_VALUE"""),0.0)</f>
        <v>0</v>
      </c>
      <c r="M256" s="33">
        <f>IFERROR(__xludf.DUMMYFUNCTION("""COMPUTED_VALUE"""),14.0)</f>
        <v>14</v>
      </c>
      <c r="N256" s="33">
        <f>IFERROR(__xludf.DUMMYFUNCTION("""COMPUTED_VALUE"""),12.0)</f>
        <v>12</v>
      </c>
      <c r="O256" s="33">
        <f>IFERROR(__xludf.DUMMYFUNCTION("""COMPUTED_VALUE"""),7.0)</f>
        <v>7</v>
      </c>
      <c r="P256" s="33">
        <f>IFERROR(__xludf.DUMMYFUNCTION("""COMPUTED_VALUE"""),12.0)</f>
        <v>12</v>
      </c>
      <c r="Q256" s="33">
        <f>IFERROR(__xludf.DUMMYFUNCTION("""COMPUTED_VALUE"""),0.0)</f>
        <v>0</v>
      </c>
      <c r="R256" s="33">
        <f>IFERROR(__xludf.DUMMYFUNCTION("""COMPUTED_VALUE"""),41499.0)</f>
        <v>41499</v>
      </c>
      <c r="S256" s="33">
        <f>IFERROR(__xludf.DUMMYFUNCTION("""COMPUTED_VALUE"""),31487.0)</f>
        <v>31487</v>
      </c>
      <c r="T256" s="33">
        <f>IFERROR(__xludf.DUMMYFUNCTION("""COMPUTED_VALUE"""),1.49305555555555)</f>
        <v>1.493055556</v>
      </c>
      <c r="U256" s="33">
        <f>IFERROR(__xludf.DUMMYFUNCTION("""COMPUTED_VALUE"""),0.0)</f>
        <v>0</v>
      </c>
      <c r="V256" s="33">
        <f>IFERROR(__xludf.DUMMYFUNCTION("""COMPUTED_VALUE"""),0.0)</f>
        <v>0</v>
      </c>
      <c r="W256" s="33">
        <f>IFERROR(__xludf.DUMMYFUNCTION("""COMPUTED_VALUE"""),2.66083333333333)</f>
        <v>2.660833333</v>
      </c>
      <c r="X256" s="33">
        <f>IFERROR(__xludf.DUMMYFUNCTION("""COMPUTED_VALUE"""),2.25722222222222)</f>
        <v>2.257222222</v>
      </c>
      <c r="Y256" s="33">
        <f>IFERROR(__xludf.DUMMYFUNCTION("""COMPUTED_VALUE"""),2.91055555555555)</f>
        <v>2.910555556</v>
      </c>
      <c r="Z256" s="33">
        <f>IFERROR(__xludf.DUMMYFUNCTION("""COMPUTED_VALUE"""),1.10444444444444)</f>
        <v>1.104444444</v>
      </c>
      <c r="AA256" s="33">
        <f>IFERROR(__xludf.DUMMYFUNCTION("""COMPUTED_VALUE"""),0.0)</f>
        <v>0</v>
      </c>
      <c r="AB256" s="33">
        <f>IFERROR(__xludf.DUMMYFUNCTION("""COMPUTED_VALUE"""),2.92388888888888)</f>
        <v>2.923888889</v>
      </c>
      <c r="AC256" s="33">
        <f>IFERROR(__xludf.DUMMYFUNCTION("""COMPUTED_VALUE"""),2.45027777777777)</f>
        <v>2.450277778</v>
      </c>
      <c r="AD256" s="33">
        <f>IFERROR(__xludf.DUMMYFUNCTION("""COMPUTED_VALUE"""),1.8075)</f>
        <v>1.8075</v>
      </c>
      <c r="AE256" s="33">
        <f>IFERROR(__xludf.DUMMYFUNCTION("""COMPUTED_VALUE"""),2.45027777777777)</f>
        <v>2.450277778</v>
      </c>
      <c r="AF256" s="33">
        <f>IFERROR(__xludf.DUMMYFUNCTION("""COMPUTED_VALUE"""),7.0)</f>
        <v>7</v>
      </c>
    </row>
    <row r="257">
      <c r="A257" s="49">
        <f>IFERROR(__xludf.DUMMYFUNCTION("""COMPUTED_VALUE"""),46090.0)</f>
        <v>46090</v>
      </c>
      <c r="B257" s="33" t="str">
        <f>IFERROR(__xludf.DUMMYFUNCTION("""COMPUTED_VALUE"""),"ca6c466ebfcd2658a9f1641045f468c15417a1e7")</f>
        <v>ca6c466ebfcd2658a9f1641045f468c15417a1e7</v>
      </c>
      <c r="C257" s="33" t="str">
        <f>IFERROR(__xludf.DUMMYFUNCTION("""COMPUTED_VALUE"""),"My Mysterious Princess")</f>
        <v>My Mysterious Princess</v>
      </c>
      <c r="D257" s="33">
        <f>IFERROR(__xludf.DUMMYFUNCTION("""COMPUTED_VALUE"""),0.0)</f>
        <v>0</v>
      </c>
      <c r="E257" s="33">
        <f>IFERROR(__xludf.DUMMYFUNCTION("""COMPUTED_VALUE"""),0.0)</f>
        <v>0</v>
      </c>
      <c r="F257" s="33">
        <f>IFERROR(__xludf.DUMMYFUNCTION("""COMPUTED_VALUE"""),1.0)</f>
        <v>1</v>
      </c>
      <c r="G257" s="33">
        <f>IFERROR(__xludf.DUMMYFUNCTION("""COMPUTED_VALUE"""),0.0)</f>
        <v>0</v>
      </c>
      <c r="H257" s="33">
        <f>IFERROR(__xludf.DUMMYFUNCTION("""COMPUTED_VALUE"""),11.0)</f>
        <v>11</v>
      </c>
      <c r="I257" s="33">
        <f>IFERROR(__xludf.DUMMYFUNCTION("""COMPUTED_VALUE"""),2.0)</f>
        <v>2</v>
      </c>
      <c r="J257" s="33">
        <f>IFERROR(__xludf.DUMMYFUNCTION("""COMPUTED_VALUE"""),13.0)</f>
        <v>13</v>
      </c>
      <c r="K257" s="33">
        <f>IFERROR(__xludf.DUMMYFUNCTION("""COMPUTED_VALUE"""),6.0)</f>
        <v>6</v>
      </c>
      <c r="L257" s="33">
        <f>IFERROR(__xludf.DUMMYFUNCTION("""COMPUTED_VALUE"""),0.0)</f>
        <v>0</v>
      </c>
      <c r="M257" s="33">
        <f>IFERROR(__xludf.DUMMYFUNCTION("""COMPUTED_VALUE"""),16.0)</f>
        <v>16</v>
      </c>
      <c r="N257" s="33">
        <f>IFERROR(__xludf.DUMMYFUNCTION("""COMPUTED_VALUE"""),16.0)</f>
        <v>16</v>
      </c>
      <c r="O257" s="33">
        <f>IFERROR(__xludf.DUMMYFUNCTION("""COMPUTED_VALUE"""),6.0)</f>
        <v>6</v>
      </c>
      <c r="P257" s="33">
        <f>IFERROR(__xludf.DUMMYFUNCTION("""COMPUTED_VALUE"""),16.0)</f>
        <v>16</v>
      </c>
      <c r="Q257" s="33">
        <f>IFERROR(__xludf.DUMMYFUNCTION("""COMPUTED_VALUE"""),0.0)</f>
        <v>0</v>
      </c>
      <c r="R257" s="33">
        <f>IFERROR(__xludf.DUMMYFUNCTION("""COMPUTED_VALUE"""),0.0)</f>
        <v>0</v>
      </c>
      <c r="S257" s="33">
        <f>IFERROR(__xludf.DUMMYFUNCTION("""COMPUTED_VALUE"""),0.0)</f>
        <v>0</v>
      </c>
      <c r="T257" s="33">
        <f>IFERROR(__xludf.DUMMYFUNCTION("""COMPUTED_VALUE"""),0.0)</f>
        <v>0</v>
      </c>
      <c r="U257" s="33">
        <f>IFERROR(__xludf.DUMMYFUNCTION("""COMPUTED_VALUE"""),0.218055555555555)</f>
        <v>0.2180555556</v>
      </c>
      <c r="V257" s="33">
        <f>IFERROR(__xludf.DUMMYFUNCTION("""COMPUTED_VALUE"""),0.0)</f>
        <v>0</v>
      </c>
      <c r="W257" s="33">
        <f>IFERROR(__xludf.DUMMYFUNCTION("""COMPUTED_VALUE"""),2.50138888888888)</f>
        <v>2.501388889</v>
      </c>
      <c r="X257" s="33">
        <f>IFERROR(__xludf.DUMMYFUNCTION("""COMPUTED_VALUE"""),0.503611111111111)</f>
        <v>0.5036111111</v>
      </c>
      <c r="Y257" s="33">
        <f>IFERROR(__xludf.DUMMYFUNCTION("""COMPUTED_VALUE"""),2.99416666666666)</f>
        <v>2.994166667</v>
      </c>
      <c r="Z257" s="33">
        <f>IFERROR(__xludf.DUMMYFUNCTION("""COMPUTED_VALUE"""),1.40055555555555)</f>
        <v>1.400555556</v>
      </c>
      <c r="AA257" s="33">
        <f>IFERROR(__xludf.DUMMYFUNCTION("""COMPUTED_VALUE"""),0.0)</f>
        <v>0</v>
      </c>
      <c r="AB257" s="33">
        <f>IFERROR(__xludf.DUMMYFUNCTION("""COMPUTED_VALUE"""),3.63972222222222)</f>
        <v>3.639722222</v>
      </c>
      <c r="AC257" s="33">
        <f>IFERROR(__xludf.DUMMYFUNCTION("""COMPUTED_VALUE"""),3.63722222222222)</f>
        <v>3.637222222</v>
      </c>
      <c r="AD257" s="33">
        <f>IFERROR(__xludf.DUMMYFUNCTION("""COMPUTED_VALUE"""),1.32972222222222)</f>
        <v>1.329722222</v>
      </c>
      <c r="AE257" s="33">
        <f>IFERROR(__xludf.DUMMYFUNCTION("""COMPUTED_VALUE"""),3.63722222222222)</f>
        <v>3.637222222</v>
      </c>
      <c r="AF257" s="33">
        <f>IFERROR(__xludf.DUMMYFUNCTION("""COMPUTED_VALUE"""),0.0)</f>
        <v>0</v>
      </c>
    </row>
    <row r="258">
      <c r="A258" s="49">
        <f>IFERROR(__xludf.DUMMYFUNCTION("""COMPUTED_VALUE"""),46090.0)</f>
        <v>46090</v>
      </c>
      <c r="B258" s="33" t="str">
        <f>IFERROR(__xludf.DUMMYFUNCTION("""COMPUTED_VALUE"""),"dbbc7f35e9eb33b7562f0fd82896e827101bf13c")</f>
        <v>dbbc7f35e9eb33b7562f0fd82896e827101bf13c</v>
      </c>
      <c r="C258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58" s="33">
        <f>IFERROR(__xludf.DUMMYFUNCTION("""COMPUTED_VALUE"""),0.0)</f>
        <v>0</v>
      </c>
      <c r="E258" s="33">
        <f>IFERROR(__xludf.DUMMYFUNCTION("""COMPUTED_VALUE"""),0.0)</f>
        <v>0</v>
      </c>
      <c r="F258" s="33">
        <f>IFERROR(__xludf.DUMMYFUNCTION("""COMPUTED_VALUE"""),0.0)</f>
        <v>0</v>
      </c>
      <c r="G258" s="33">
        <f>IFERROR(__xludf.DUMMYFUNCTION("""COMPUTED_VALUE"""),0.0)</f>
        <v>0</v>
      </c>
      <c r="H258" s="33">
        <f>IFERROR(__xludf.DUMMYFUNCTION("""COMPUTED_VALUE"""),0.0)</f>
        <v>0</v>
      </c>
      <c r="I258" s="33">
        <f>IFERROR(__xludf.DUMMYFUNCTION("""COMPUTED_VALUE"""),0.0)</f>
        <v>0</v>
      </c>
      <c r="J258" s="33">
        <f>IFERROR(__xludf.DUMMYFUNCTION("""COMPUTED_VALUE"""),0.0)</f>
        <v>0</v>
      </c>
      <c r="K258" s="33">
        <f>IFERROR(__xludf.DUMMYFUNCTION("""COMPUTED_VALUE"""),0.0)</f>
        <v>0</v>
      </c>
      <c r="L258" s="33">
        <f>IFERROR(__xludf.DUMMYFUNCTION("""COMPUTED_VALUE"""),0.0)</f>
        <v>0</v>
      </c>
      <c r="M258" s="33">
        <f>IFERROR(__xludf.DUMMYFUNCTION("""COMPUTED_VALUE"""),0.0)</f>
        <v>0</v>
      </c>
      <c r="N258" s="33">
        <f>IFERROR(__xludf.DUMMYFUNCTION("""COMPUTED_VALUE"""),5.0)</f>
        <v>5</v>
      </c>
      <c r="O258" s="33">
        <f>IFERROR(__xludf.DUMMYFUNCTION("""COMPUTED_VALUE"""),5.0)</f>
        <v>5</v>
      </c>
      <c r="P258" s="33">
        <f>IFERROR(__xludf.DUMMYFUNCTION("""COMPUTED_VALUE"""),5.0)</f>
        <v>5</v>
      </c>
      <c r="Q258" s="33">
        <f>IFERROR(__xludf.DUMMYFUNCTION("""COMPUTED_VALUE"""),0.0)</f>
        <v>0</v>
      </c>
      <c r="R258" s="33">
        <f>IFERROR(__xludf.DUMMYFUNCTION("""COMPUTED_VALUE"""),0.0)</f>
        <v>0</v>
      </c>
      <c r="S258" s="33">
        <f>IFERROR(__xludf.DUMMYFUNCTION("""COMPUTED_VALUE"""),0.0)</f>
        <v>0</v>
      </c>
      <c r="T258" s="33">
        <f>IFERROR(__xludf.DUMMYFUNCTION("""COMPUTED_VALUE"""),0.0)</f>
        <v>0</v>
      </c>
      <c r="U258" s="33">
        <f>IFERROR(__xludf.DUMMYFUNCTION("""COMPUTED_VALUE"""),0.0)</f>
        <v>0</v>
      </c>
      <c r="V258" s="33">
        <f>IFERROR(__xludf.DUMMYFUNCTION("""COMPUTED_VALUE"""),0.0)</f>
        <v>0</v>
      </c>
      <c r="W258" s="33">
        <f>IFERROR(__xludf.DUMMYFUNCTION("""COMPUTED_VALUE"""),0.0)</f>
        <v>0</v>
      </c>
      <c r="X258" s="33">
        <f>IFERROR(__xludf.DUMMYFUNCTION("""COMPUTED_VALUE"""),0.0)</f>
        <v>0</v>
      </c>
      <c r="Y258" s="33">
        <f>IFERROR(__xludf.DUMMYFUNCTION("""COMPUTED_VALUE"""),0.0)</f>
        <v>0</v>
      </c>
      <c r="Z258" s="33">
        <f>IFERROR(__xludf.DUMMYFUNCTION("""COMPUTED_VALUE"""),0.0)</f>
        <v>0</v>
      </c>
      <c r="AA258" s="33">
        <f>IFERROR(__xludf.DUMMYFUNCTION("""COMPUTED_VALUE"""),0.0)</f>
        <v>0</v>
      </c>
      <c r="AB258" s="33">
        <f>IFERROR(__xludf.DUMMYFUNCTION("""COMPUTED_VALUE"""),0.0)</f>
        <v>0</v>
      </c>
      <c r="AC258" s="33">
        <f>IFERROR(__xludf.DUMMYFUNCTION("""COMPUTED_VALUE"""),0.0)</f>
        <v>0</v>
      </c>
      <c r="AD258" s="33">
        <f>IFERROR(__xludf.DUMMYFUNCTION("""COMPUTED_VALUE"""),0.901111111111111)</f>
        <v>0.9011111111</v>
      </c>
      <c r="AE258" s="33">
        <f>IFERROR(__xludf.DUMMYFUNCTION("""COMPUTED_VALUE"""),1.33222222222222)</f>
        <v>1.332222222</v>
      </c>
      <c r="AF258" s="33">
        <f>IFERROR(__xludf.DUMMYFUNCTION("""COMPUTED_VALUE"""),0.0)</f>
        <v>0</v>
      </c>
    </row>
    <row r="259">
      <c r="A259" s="49">
        <f>IFERROR(__xludf.DUMMYFUNCTION("""COMPUTED_VALUE"""),46090.0)</f>
        <v>46090</v>
      </c>
      <c r="B259" s="33" t="str">
        <f>IFERROR(__xludf.DUMMYFUNCTION("""COMPUTED_VALUE"""),"e493cee863483a057af12de782cd20043a19ed05")</f>
        <v>e493cee863483a057af12de782cd20043a19ed05</v>
      </c>
      <c r="C259" s="33" t="str">
        <f>IFERROR(__xludf.DUMMYFUNCTION("""COMPUTED_VALUE"""),"Malang")</f>
        <v>Malang</v>
      </c>
      <c r="D259" s="33">
        <f>IFERROR(__xludf.DUMMYFUNCTION("""COMPUTED_VALUE"""),0.0)</f>
        <v>0</v>
      </c>
      <c r="E259" s="33">
        <f>IFERROR(__xludf.DUMMYFUNCTION("""COMPUTED_VALUE"""),2.0)</f>
        <v>2</v>
      </c>
      <c r="F259" s="33">
        <f>IFERROR(__xludf.DUMMYFUNCTION("""COMPUTED_VALUE"""),0.0)</f>
        <v>0</v>
      </c>
      <c r="G259" s="33">
        <f>IFERROR(__xludf.DUMMYFUNCTION("""COMPUTED_VALUE"""),0.0)</f>
        <v>0</v>
      </c>
      <c r="H259" s="33">
        <f>IFERROR(__xludf.DUMMYFUNCTION("""COMPUTED_VALUE"""),4.0)</f>
        <v>4</v>
      </c>
      <c r="I259" s="33">
        <f>IFERROR(__xludf.DUMMYFUNCTION("""COMPUTED_VALUE"""),4.0)</f>
        <v>4</v>
      </c>
      <c r="J259" s="33">
        <f>IFERROR(__xludf.DUMMYFUNCTION("""COMPUTED_VALUE"""),4.0)</f>
        <v>4</v>
      </c>
      <c r="K259" s="33">
        <f>IFERROR(__xludf.DUMMYFUNCTION("""COMPUTED_VALUE"""),1.0)</f>
        <v>1</v>
      </c>
      <c r="L259" s="33">
        <f>IFERROR(__xludf.DUMMYFUNCTION("""COMPUTED_VALUE"""),0.0)</f>
        <v>0</v>
      </c>
      <c r="M259" s="33">
        <f>IFERROR(__xludf.DUMMYFUNCTION("""COMPUTED_VALUE"""),4.0)</f>
        <v>4</v>
      </c>
      <c r="N259" s="33">
        <f>IFERROR(__xludf.DUMMYFUNCTION("""COMPUTED_VALUE"""),2.0)</f>
        <v>2</v>
      </c>
      <c r="O259" s="33">
        <f>IFERROR(__xludf.DUMMYFUNCTION("""COMPUTED_VALUE"""),3.0)</f>
        <v>3</v>
      </c>
      <c r="P259" s="33">
        <f>IFERROR(__xludf.DUMMYFUNCTION("""COMPUTED_VALUE"""),2.0)</f>
        <v>2</v>
      </c>
      <c r="Q259" s="33">
        <f>IFERROR(__xludf.DUMMYFUNCTION("""COMPUTED_VALUE"""),0.0)</f>
        <v>0</v>
      </c>
      <c r="R259" s="33">
        <f>IFERROR(__xludf.DUMMYFUNCTION("""COMPUTED_VALUE"""),0.0)</f>
        <v>0</v>
      </c>
      <c r="S259" s="33">
        <f>IFERROR(__xludf.DUMMYFUNCTION("""COMPUTED_VALUE"""),4566.0)</f>
        <v>4566</v>
      </c>
      <c r="T259" s="33">
        <f>IFERROR(__xludf.DUMMYFUNCTION("""COMPUTED_VALUE"""),0.388055555555555)</f>
        <v>0.3880555556</v>
      </c>
      <c r="U259" s="33">
        <f>IFERROR(__xludf.DUMMYFUNCTION("""COMPUTED_VALUE"""),0.0)</f>
        <v>0</v>
      </c>
      <c r="V259" s="33">
        <f>IFERROR(__xludf.DUMMYFUNCTION("""COMPUTED_VALUE"""),0.0)</f>
        <v>0</v>
      </c>
      <c r="W259" s="33">
        <f>IFERROR(__xludf.DUMMYFUNCTION("""COMPUTED_VALUE"""),0.809444444444444)</f>
        <v>0.8094444444</v>
      </c>
      <c r="X259" s="33">
        <f>IFERROR(__xludf.DUMMYFUNCTION("""COMPUTED_VALUE"""),0.809444444444444)</f>
        <v>0.8094444444</v>
      </c>
      <c r="Y259" s="33">
        <f>IFERROR(__xludf.DUMMYFUNCTION("""COMPUTED_VALUE"""),0.800555555555555)</f>
        <v>0.8005555556</v>
      </c>
      <c r="Z259" s="33">
        <f>IFERROR(__xludf.DUMMYFUNCTION("""COMPUTED_VALUE"""),0.208055555555555)</f>
        <v>0.2080555556</v>
      </c>
      <c r="AA259" s="33">
        <f>IFERROR(__xludf.DUMMYFUNCTION("""COMPUTED_VALUE"""),0.0)</f>
        <v>0</v>
      </c>
      <c r="AB259" s="33">
        <f>IFERROR(__xludf.DUMMYFUNCTION("""COMPUTED_VALUE"""),0.800555555555555)</f>
        <v>0.8005555556</v>
      </c>
      <c r="AC259" s="33">
        <f>IFERROR(__xludf.DUMMYFUNCTION("""COMPUTED_VALUE"""),0.417777777777777)</f>
        <v>0.4177777778</v>
      </c>
      <c r="AD259" s="33">
        <f>IFERROR(__xludf.DUMMYFUNCTION("""COMPUTED_VALUE"""),0.588055555555555)</f>
        <v>0.5880555556</v>
      </c>
      <c r="AE259" s="33">
        <f>IFERROR(__xludf.DUMMYFUNCTION("""COMPUTED_VALUE"""),0.417777777777777)</f>
        <v>0.4177777778</v>
      </c>
      <c r="AF259" s="33">
        <f>IFERROR(__xludf.DUMMYFUNCTION("""COMPUTED_VALUE"""),2.0)</f>
        <v>2</v>
      </c>
    </row>
    <row r="260">
      <c r="A260" s="49">
        <f>IFERROR(__xludf.DUMMYFUNCTION("""COMPUTED_VALUE"""),46090.0)</f>
        <v>46090</v>
      </c>
      <c r="B260" s="33" t="str">
        <f>IFERROR(__xludf.DUMMYFUNCTION("""COMPUTED_VALUE"""),"f43f4253dc3c596ff8f2e3cc9f3b677981a70310")</f>
        <v>f43f4253dc3c596ff8f2e3cc9f3b677981a70310</v>
      </c>
      <c r="C260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60" s="33">
        <f>IFERROR(__xludf.DUMMYFUNCTION("""COMPUTED_VALUE"""),18.0)</f>
        <v>18</v>
      </c>
      <c r="E260" s="33">
        <f>IFERROR(__xludf.DUMMYFUNCTION("""COMPUTED_VALUE"""),15.0)</f>
        <v>15</v>
      </c>
      <c r="F260" s="33">
        <f>IFERROR(__xludf.DUMMYFUNCTION("""COMPUTED_VALUE"""),0.0)</f>
        <v>0</v>
      </c>
      <c r="G260" s="33">
        <f>IFERROR(__xludf.DUMMYFUNCTION("""COMPUTED_VALUE"""),0.0)</f>
        <v>0</v>
      </c>
      <c r="H260" s="33">
        <f>IFERROR(__xludf.DUMMYFUNCTION("""COMPUTED_VALUE"""),0.0)</f>
        <v>0</v>
      </c>
      <c r="I260" s="33">
        <f>IFERROR(__xludf.DUMMYFUNCTION("""COMPUTED_VALUE"""),0.0)</f>
        <v>0</v>
      </c>
      <c r="J260" s="33">
        <f>IFERROR(__xludf.DUMMYFUNCTION("""COMPUTED_VALUE"""),0.0)</f>
        <v>0</v>
      </c>
      <c r="K260" s="33">
        <f>IFERROR(__xludf.DUMMYFUNCTION("""COMPUTED_VALUE"""),0.0)</f>
        <v>0</v>
      </c>
      <c r="L260" s="33">
        <f>IFERROR(__xludf.DUMMYFUNCTION("""COMPUTED_VALUE"""),0.0)</f>
        <v>0</v>
      </c>
      <c r="M260" s="33">
        <f>IFERROR(__xludf.DUMMYFUNCTION("""COMPUTED_VALUE"""),0.0)</f>
        <v>0</v>
      </c>
      <c r="N260" s="33">
        <f>IFERROR(__xludf.DUMMYFUNCTION("""COMPUTED_VALUE"""),15.0)</f>
        <v>15</v>
      </c>
      <c r="O260" s="33">
        <f>IFERROR(__xludf.DUMMYFUNCTION("""COMPUTED_VALUE"""),5.0)</f>
        <v>5</v>
      </c>
      <c r="P260" s="33">
        <f>IFERROR(__xludf.DUMMYFUNCTION("""COMPUTED_VALUE"""),18.0)</f>
        <v>18</v>
      </c>
      <c r="Q260" s="33">
        <f>IFERROR(__xludf.DUMMYFUNCTION("""COMPUTED_VALUE"""),0.0)</f>
        <v>0</v>
      </c>
      <c r="R260" s="33">
        <f>IFERROR(__xludf.DUMMYFUNCTION("""COMPUTED_VALUE"""),44027.0)</f>
        <v>44027</v>
      </c>
      <c r="S260" s="33">
        <f>IFERROR(__xludf.DUMMYFUNCTION("""COMPUTED_VALUE"""),36554.0)</f>
        <v>36554</v>
      </c>
      <c r="T260" s="33">
        <f>IFERROR(__xludf.DUMMYFUNCTION("""COMPUTED_VALUE"""),0.0)</f>
        <v>0</v>
      </c>
      <c r="U260" s="33">
        <f>IFERROR(__xludf.DUMMYFUNCTION("""COMPUTED_VALUE"""),0.0)</f>
        <v>0</v>
      </c>
      <c r="V260" s="33">
        <f>IFERROR(__xludf.DUMMYFUNCTION("""COMPUTED_VALUE"""),0.0)</f>
        <v>0</v>
      </c>
      <c r="W260" s="33">
        <f>IFERROR(__xludf.DUMMYFUNCTION("""COMPUTED_VALUE"""),0.0)</f>
        <v>0</v>
      </c>
      <c r="X260" s="33">
        <f>IFERROR(__xludf.DUMMYFUNCTION("""COMPUTED_VALUE"""),0.0)</f>
        <v>0</v>
      </c>
      <c r="Y260" s="33">
        <f>IFERROR(__xludf.DUMMYFUNCTION("""COMPUTED_VALUE"""),0.0)</f>
        <v>0</v>
      </c>
      <c r="Z260" s="33">
        <f>IFERROR(__xludf.DUMMYFUNCTION("""COMPUTED_VALUE"""),0.0)</f>
        <v>0</v>
      </c>
      <c r="AA260" s="33">
        <f>IFERROR(__xludf.DUMMYFUNCTION("""COMPUTED_VALUE"""),0.0)</f>
        <v>0</v>
      </c>
      <c r="AB260" s="33">
        <f>IFERROR(__xludf.DUMMYFUNCTION("""COMPUTED_VALUE"""),0.0)</f>
        <v>0</v>
      </c>
      <c r="AC260" s="33">
        <f>IFERROR(__xludf.DUMMYFUNCTION("""COMPUTED_VALUE"""),1.17277777777777)</f>
        <v>1.172777778</v>
      </c>
      <c r="AD260" s="33">
        <f>IFERROR(__xludf.DUMMYFUNCTION("""COMPUTED_VALUE"""),1.31027777777777)</f>
        <v>1.310277778</v>
      </c>
      <c r="AE260" s="33">
        <f>IFERROR(__xludf.DUMMYFUNCTION("""COMPUTED_VALUE"""),4.14638888888889)</f>
        <v>4.146388889</v>
      </c>
      <c r="AF260" s="33">
        <f>IFERROR(__xludf.DUMMYFUNCTION("""COMPUTED_VALUE"""),0.0)</f>
        <v>0</v>
      </c>
    </row>
    <row r="261">
      <c r="A261" s="49">
        <f>IFERROR(__xludf.DUMMYFUNCTION("""COMPUTED_VALUE"""),46090.0)</f>
        <v>46090</v>
      </c>
      <c r="B261" s="33" t="str">
        <f>IFERROR(__xludf.DUMMYFUNCTION("""COMPUTED_VALUE"""),"f8fbcb9a13d17d5888164fffc1bbb7cd5c6608b2")</f>
        <v>f8fbcb9a13d17d5888164fffc1bbb7cd5c6608b2</v>
      </c>
      <c r="C261" s="33" t="str">
        <f>IFERROR(__xludf.DUMMYFUNCTION("""COMPUTED_VALUE"""),"Empire of Hidden King | Author - Nitesh")</f>
        <v>Empire of Hidden King | Author - Nitesh</v>
      </c>
      <c r="D261" s="33">
        <f>IFERROR(__xludf.DUMMYFUNCTION("""COMPUTED_VALUE"""),0.0)</f>
        <v>0</v>
      </c>
      <c r="E261" s="33">
        <f>IFERROR(__xludf.DUMMYFUNCTION("""COMPUTED_VALUE"""),0.0)</f>
        <v>0</v>
      </c>
      <c r="F261" s="33">
        <f>IFERROR(__xludf.DUMMYFUNCTION("""COMPUTED_VALUE"""),0.0)</f>
        <v>0</v>
      </c>
      <c r="G261" s="33">
        <f>IFERROR(__xludf.DUMMYFUNCTION("""COMPUTED_VALUE"""),0.0)</f>
        <v>0</v>
      </c>
      <c r="H261" s="33">
        <f>IFERROR(__xludf.DUMMYFUNCTION("""COMPUTED_VALUE"""),0.0)</f>
        <v>0</v>
      </c>
      <c r="I261" s="33">
        <f>IFERROR(__xludf.DUMMYFUNCTION("""COMPUTED_VALUE"""),0.0)</f>
        <v>0</v>
      </c>
      <c r="J261" s="33">
        <f>IFERROR(__xludf.DUMMYFUNCTION("""COMPUTED_VALUE"""),0.0)</f>
        <v>0</v>
      </c>
      <c r="K261" s="33">
        <f>IFERROR(__xludf.DUMMYFUNCTION("""COMPUTED_VALUE"""),0.0)</f>
        <v>0</v>
      </c>
      <c r="L261" s="33">
        <f>IFERROR(__xludf.DUMMYFUNCTION("""COMPUTED_VALUE"""),0.0)</f>
        <v>0</v>
      </c>
      <c r="M261" s="33">
        <f>IFERROR(__xludf.DUMMYFUNCTION("""COMPUTED_VALUE"""),0.0)</f>
        <v>0</v>
      </c>
      <c r="N261" s="33">
        <f>IFERROR(__xludf.DUMMYFUNCTION("""COMPUTED_VALUE"""),12.0)</f>
        <v>12</v>
      </c>
      <c r="O261" s="33">
        <f>IFERROR(__xludf.DUMMYFUNCTION("""COMPUTED_VALUE"""),0.0)</f>
        <v>0</v>
      </c>
      <c r="P261" s="33">
        <f>IFERROR(__xludf.DUMMYFUNCTION("""COMPUTED_VALUE"""),12.0)</f>
        <v>12</v>
      </c>
      <c r="Q261" s="33">
        <f>IFERROR(__xludf.DUMMYFUNCTION("""COMPUTED_VALUE"""),0.0)</f>
        <v>0</v>
      </c>
      <c r="R261" s="33">
        <f>IFERROR(__xludf.DUMMYFUNCTION("""COMPUTED_VALUE"""),0.0)</f>
        <v>0</v>
      </c>
      <c r="S261" s="33">
        <f>IFERROR(__xludf.DUMMYFUNCTION("""COMPUTED_VALUE"""),0.0)</f>
        <v>0</v>
      </c>
      <c r="T261" s="33">
        <f>IFERROR(__xludf.DUMMYFUNCTION("""COMPUTED_VALUE"""),0.0)</f>
        <v>0</v>
      </c>
      <c r="U261" s="33">
        <f>IFERROR(__xludf.DUMMYFUNCTION("""COMPUTED_VALUE"""),0.0)</f>
        <v>0</v>
      </c>
      <c r="V261" s="33">
        <f>IFERROR(__xludf.DUMMYFUNCTION("""COMPUTED_VALUE"""),0.0)</f>
        <v>0</v>
      </c>
      <c r="W261" s="33">
        <f>IFERROR(__xludf.DUMMYFUNCTION("""COMPUTED_VALUE"""),0.0)</f>
        <v>0</v>
      </c>
      <c r="X261" s="33">
        <f>IFERROR(__xludf.DUMMYFUNCTION("""COMPUTED_VALUE"""),0.0)</f>
        <v>0</v>
      </c>
      <c r="Y261" s="33">
        <f>IFERROR(__xludf.DUMMYFUNCTION("""COMPUTED_VALUE"""),0.0)</f>
        <v>0</v>
      </c>
      <c r="Z261" s="33">
        <f>IFERROR(__xludf.DUMMYFUNCTION("""COMPUTED_VALUE"""),0.0)</f>
        <v>0</v>
      </c>
      <c r="AA261" s="33">
        <f>IFERROR(__xludf.DUMMYFUNCTION("""COMPUTED_VALUE"""),0.0)</f>
        <v>0</v>
      </c>
      <c r="AB261" s="33">
        <f>IFERROR(__xludf.DUMMYFUNCTION("""COMPUTED_VALUE"""),0.0)</f>
        <v>0</v>
      </c>
      <c r="AC261" s="33">
        <f>IFERROR(__xludf.DUMMYFUNCTION("""COMPUTED_VALUE"""),3.42916666666666)</f>
        <v>3.429166667</v>
      </c>
      <c r="AD261" s="33">
        <f>IFERROR(__xludf.DUMMYFUNCTION("""COMPUTED_VALUE"""),0.0)</f>
        <v>0</v>
      </c>
      <c r="AE261" s="33">
        <f>IFERROR(__xludf.DUMMYFUNCTION("""COMPUTED_VALUE"""),3.0525)</f>
        <v>3.0525</v>
      </c>
      <c r="AF261" s="33">
        <f>IFERROR(__xludf.DUMMYFUNCTION("""COMPUTED_VALUE"""),0.0)</f>
        <v>0</v>
      </c>
    </row>
    <row r="262">
      <c r="A262" s="49">
        <f>IFERROR(__xludf.DUMMYFUNCTION("""COMPUTED_VALUE"""),46083.0)</f>
        <v>46083</v>
      </c>
      <c r="B262" s="33" t="str">
        <f>IFERROR(__xludf.DUMMYFUNCTION("""COMPUTED_VALUE"""),"017fddbaa7617afdd8289be5c433df09dcde1da2")</f>
        <v>017fddbaa7617afdd8289be5c433df09dcde1da2</v>
      </c>
      <c r="C262" s="33" t="str">
        <f>IFERROR(__xludf.DUMMYFUNCTION("""COMPUTED_VALUE"""),"His Secret Fortune - Production Show_id")</f>
        <v>His Secret Fortune - Production Show_id</v>
      </c>
      <c r="D262" s="33">
        <f>IFERROR(__xludf.DUMMYFUNCTION("""COMPUTED_VALUE"""),0.0)</f>
        <v>0</v>
      </c>
      <c r="E262" s="33">
        <f>IFERROR(__xludf.DUMMYFUNCTION("""COMPUTED_VALUE"""),5.0)</f>
        <v>5</v>
      </c>
      <c r="F262" s="33">
        <f>IFERROR(__xludf.DUMMYFUNCTION("""COMPUTED_VALUE"""),7.0)</f>
        <v>7</v>
      </c>
      <c r="G262" s="33">
        <f>IFERROR(__xludf.DUMMYFUNCTION("""COMPUTED_VALUE"""),6.0)</f>
        <v>6</v>
      </c>
      <c r="H262" s="33">
        <f>IFERROR(__xludf.DUMMYFUNCTION("""COMPUTED_VALUE"""),10.0)</f>
        <v>10</v>
      </c>
      <c r="I262" s="33">
        <f>IFERROR(__xludf.DUMMYFUNCTION("""COMPUTED_VALUE"""),4.0)</f>
        <v>4</v>
      </c>
      <c r="J262" s="33">
        <f>IFERROR(__xludf.DUMMYFUNCTION("""COMPUTED_VALUE"""),11.0)</f>
        <v>11</v>
      </c>
      <c r="K262" s="33">
        <f>IFERROR(__xludf.DUMMYFUNCTION("""COMPUTED_VALUE"""),6.0)</f>
        <v>6</v>
      </c>
      <c r="L262" s="33">
        <f>IFERROR(__xludf.DUMMYFUNCTION("""COMPUTED_VALUE"""),6.0)</f>
        <v>6</v>
      </c>
      <c r="M262" s="33">
        <f>IFERROR(__xludf.DUMMYFUNCTION("""COMPUTED_VALUE"""),12.0)</f>
        <v>12</v>
      </c>
      <c r="N262" s="33">
        <f>IFERROR(__xludf.DUMMYFUNCTION("""COMPUTED_VALUE"""),12.0)</f>
        <v>12</v>
      </c>
      <c r="O262" s="33">
        <f>IFERROR(__xludf.DUMMYFUNCTION("""COMPUTED_VALUE"""),7.0)</f>
        <v>7</v>
      </c>
      <c r="P262" s="33">
        <f>IFERROR(__xludf.DUMMYFUNCTION("""COMPUTED_VALUE"""),12.0)</f>
        <v>12</v>
      </c>
      <c r="Q262" s="33">
        <f>IFERROR(__xludf.DUMMYFUNCTION("""COMPUTED_VALUE"""),0.0)</f>
        <v>0</v>
      </c>
      <c r="R262" s="33">
        <f>IFERROR(__xludf.DUMMYFUNCTION("""COMPUTED_VALUE"""),0.0)</f>
        <v>0</v>
      </c>
      <c r="S262" s="33">
        <f>IFERROR(__xludf.DUMMYFUNCTION("""COMPUTED_VALUE"""),10695.0)</f>
        <v>10695</v>
      </c>
      <c r="T262" s="33">
        <f>IFERROR(__xludf.DUMMYFUNCTION("""COMPUTED_VALUE"""),3.00611111111111)</f>
        <v>3.006111111</v>
      </c>
      <c r="U262" s="33">
        <f>IFERROR(__xludf.DUMMYFUNCTION("""COMPUTED_VALUE"""),1.29722222222222)</f>
        <v>1.297222222</v>
      </c>
      <c r="V262" s="33">
        <f>IFERROR(__xludf.DUMMYFUNCTION("""COMPUTED_VALUE"""),1.16222222222222)</f>
        <v>1.162222222</v>
      </c>
      <c r="W262" s="33">
        <f>IFERROR(__xludf.DUMMYFUNCTION("""COMPUTED_VALUE"""),1.95027777777777)</f>
        <v>1.950277778</v>
      </c>
      <c r="X262" s="33">
        <f>IFERROR(__xludf.DUMMYFUNCTION("""COMPUTED_VALUE"""),0.788055555555555)</f>
        <v>0.7880555556</v>
      </c>
      <c r="Y262" s="33">
        <f>IFERROR(__xludf.DUMMYFUNCTION("""COMPUTED_VALUE"""),2.13472222222222)</f>
        <v>2.134722222</v>
      </c>
      <c r="Z262" s="33">
        <f>IFERROR(__xludf.DUMMYFUNCTION("""COMPUTED_VALUE"""),1.20111111111111)</f>
        <v>1.201111111</v>
      </c>
      <c r="AA262" s="33">
        <f>IFERROR(__xludf.DUMMYFUNCTION("""COMPUTED_VALUE"""),1.20111111111111)</f>
        <v>1.201111111</v>
      </c>
      <c r="AB262" s="33">
        <f>IFERROR(__xludf.DUMMYFUNCTION("""COMPUTED_VALUE"""),2.315)</f>
        <v>2.315</v>
      </c>
      <c r="AC262" s="33">
        <f>IFERROR(__xludf.DUMMYFUNCTION("""COMPUTED_VALUE"""),2.315)</f>
        <v>2.315</v>
      </c>
      <c r="AD262" s="33">
        <f>IFERROR(__xludf.DUMMYFUNCTION("""COMPUTED_VALUE"""),1.19166666666666)</f>
        <v>1.191666667</v>
      </c>
      <c r="AE262" s="33">
        <f>IFERROR(__xludf.DUMMYFUNCTION("""COMPUTED_VALUE"""),2.315)</f>
        <v>2.315</v>
      </c>
      <c r="AF262" s="33">
        <f>IFERROR(__xludf.DUMMYFUNCTION("""COMPUTED_VALUE"""),16.0)</f>
        <v>16</v>
      </c>
    </row>
    <row r="263">
      <c r="A263" s="49">
        <f>IFERROR(__xludf.DUMMYFUNCTION("""COMPUTED_VALUE"""),46083.0)</f>
        <v>46083</v>
      </c>
      <c r="B263" s="33" t="str">
        <f>IFERROR(__xludf.DUMMYFUNCTION("""COMPUTED_VALUE"""),"2549f1505a3739b3e90a0b63921ad55271440d40")</f>
        <v>2549f1505a3739b3e90a0b63921ad55271440d40</v>
      </c>
      <c r="C263" s="33" t="str">
        <f>IFERROR(__xludf.DUMMYFUNCTION("""COMPUTED_VALUE"""),"Reborn in Martial World ")</f>
        <v>Reborn in Martial World </v>
      </c>
      <c r="D263" s="33">
        <f>IFERROR(__xludf.DUMMYFUNCTION("""COMPUTED_VALUE"""),0.0)</f>
        <v>0</v>
      </c>
      <c r="E263" s="33">
        <f>IFERROR(__xludf.DUMMYFUNCTION("""COMPUTED_VALUE"""),5.0)</f>
        <v>5</v>
      </c>
      <c r="F263" s="33">
        <f>IFERROR(__xludf.DUMMYFUNCTION("""COMPUTED_VALUE"""),0.0)</f>
        <v>0</v>
      </c>
      <c r="G263" s="33">
        <f>IFERROR(__xludf.DUMMYFUNCTION("""COMPUTED_VALUE"""),0.0)</f>
        <v>0</v>
      </c>
      <c r="H263" s="33">
        <f>IFERROR(__xludf.DUMMYFUNCTION("""COMPUTED_VALUE"""),0.0)</f>
        <v>0</v>
      </c>
      <c r="I263" s="33">
        <f>IFERROR(__xludf.DUMMYFUNCTION("""COMPUTED_VALUE"""),0.0)</f>
        <v>0</v>
      </c>
      <c r="J263" s="33">
        <f>IFERROR(__xludf.DUMMYFUNCTION("""COMPUTED_VALUE"""),0.0)</f>
        <v>0</v>
      </c>
      <c r="K263" s="33">
        <f>IFERROR(__xludf.DUMMYFUNCTION("""COMPUTED_VALUE"""),0.0)</f>
        <v>0</v>
      </c>
      <c r="L263" s="33">
        <f>IFERROR(__xludf.DUMMYFUNCTION("""COMPUTED_VALUE"""),0.0)</f>
        <v>0</v>
      </c>
      <c r="M263" s="33">
        <f>IFERROR(__xludf.DUMMYFUNCTION("""COMPUTED_VALUE"""),0.0)</f>
        <v>0</v>
      </c>
      <c r="N263" s="33">
        <f>IFERROR(__xludf.DUMMYFUNCTION("""COMPUTED_VALUE"""),5.0)</f>
        <v>5</v>
      </c>
      <c r="O263" s="33">
        <f>IFERROR(__xludf.DUMMYFUNCTION("""COMPUTED_VALUE"""),4.0)</f>
        <v>4</v>
      </c>
      <c r="P263" s="33">
        <f>IFERROR(__xludf.DUMMYFUNCTION("""COMPUTED_VALUE"""),5.0)</f>
        <v>5</v>
      </c>
      <c r="Q263" s="33">
        <f>IFERROR(__xludf.DUMMYFUNCTION("""COMPUTED_VALUE"""),0.0)</f>
        <v>0</v>
      </c>
      <c r="R263" s="33">
        <f>IFERROR(__xludf.DUMMYFUNCTION("""COMPUTED_VALUE"""),0.0)</f>
        <v>0</v>
      </c>
      <c r="S263" s="33">
        <f>IFERROR(__xludf.DUMMYFUNCTION("""COMPUTED_VALUE"""),12897.0)</f>
        <v>12897</v>
      </c>
      <c r="T263" s="33">
        <f>IFERROR(__xludf.DUMMYFUNCTION("""COMPUTED_VALUE"""),0.0)</f>
        <v>0</v>
      </c>
      <c r="U263" s="33">
        <f>IFERROR(__xludf.DUMMYFUNCTION("""COMPUTED_VALUE"""),0.0)</f>
        <v>0</v>
      </c>
      <c r="V263" s="33">
        <f>IFERROR(__xludf.DUMMYFUNCTION("""COMPUTED_VALUE"""),0.0)</f>
        <v>0</v>
      </c>
      <c r="W263" s="33">
        <f>IFERROR(__xludf.DUMMYFUNCTION("""COMPUTED_VALUE"""),0.0)</f>
        <v>0</v>
      </c>
      <c r="X263" s="33">
        <f>IFERROR(__xludf.DUMMYFUNCTION("""COMPUTED_VALUE"""),0.0)</f>
        <v>0</v>
      </c>
      <c r="Y263" s="33">
        <f>IFERROR(__xludf.DUMMYFUNCTION("""COMPUTED_VALUE"""),0.0)</f>
        <v>0</v>
      </c>
      <c r="Z263" s="33">
        <f>IFERROR(__xludf.DUMMYFUNCTION("""COMPUTED_VALUE"""),0.0)</f>
        <v>0</v>
      </c>
      <c r="AA263" s="33">
        <f>IFERROR(__xludf.DUMMYFUNCTION("""COMPUTED_VALUE"""),0.0)</f>
        <v>0</v>
      </c>
      <c r="AB263" s="33">
        <f>IFERROR(__xludf.DUMMYFUNCTION("""COMPUTED_VALUE"""),0.0)</f>
        <v>0</v>
      </c>
      <c r="AC263" s="33">
        <f>IFERROR(__xludf.DUMMYFUNCTION("""COMPUTED_VALUE"""),1.33722222222222)</f>
        <v>1.337222222</v>
      </c>
      <c r="AD263" s="33">
        <f>IFERROR(__xludf.DUMMYFUNCTION("""COMPUTED_VALUE"""),0.816944444444444)</f>
        <v>0.8169444444</v>
      </c>
      <c r="AE263" s="33">
        <f>IFERROR(__xludf.DUMMYFUNCTION("""COMPUTED_VALUE"""),1.33722222222222)</f>
        <v>1.337222222</v>
      </c>
      <c r="AF263" s="33">
        <f>IFERROR(__xludf.DUMMYFUNCTION("""COMPUTED_VALUE"""),0.0)</f>
        <v>0</v>
      </c>
    </row>
    <row r="264">
      <c r="A264" s="49">
        <f>IFERROR(__xludf.DUMMYFUNCTION("""COMPUTED_VALUE"""),46083.0)</f>
        <v>46083</v>
      </c>
      <c r="B264" s="33" t="str">
        <f>IFERROR(__xludf.DUMMYFUNCTION("""COMPUTED_VALUE"""),"37e68193f879e91ec362f75f4b46511110658e2b")</f>
        <v>37e68193f879e91ec362f75f4b46511110658e2b</v>
      </c>
      <c r="C264" s="33" t="str">
        <f>IFERROR(__xludf.DUMMYFUNCTION("""COMPUTED_VALUE"""),"Shiva : Ek Pretyodha")</f>
        <v>Shiva : Ek Pretyodha</v>
      </c>
      <c r="D264" s="33">
        <f>IFERROR(__xludf.DUMMYFUNCTION("""COMPUTED_VALUE"""),0.0)</f>
        <v>0</v>
      </c>
      <c r="E264" s="33">
        <f>IFERROR(__xludf.DUMMYFUNCTION("""COMPUTED_VALUE"""),0.0)</f>
        <v>0</v>
      </c>
      <c r="F264" s="33">
        <f>IFERROR(__xludf.DUMMYFUNCTION("""COMPUTED_VALUE"""),0.0)</f>
        <v>0</v>
      </c>
      <c r="G264" s="33">
        <f>IFERROR(__xludf.DUMMYFUNCTION("""COMPUTED_VALUE"""),0.0)</f>
        <v>0</v>
      </c>
      <c r="H264" s="33">
        <f>IFERROR(__xludf.DUMMYFUNCTION("""COMPUTED_VALUE"""),0.0)</f>
        <v>0</v>
      </c>
      <c r="I264" s="33">
        <f>IFERROR(__xludf.DUMMYFUNCTION("""COMPUTED_VALUE"""),0.0)</f>
        <v>0</v>
      </c>
      <c r="J264" s="33">
        <f>IFERROR(__xludf.DUMMYFUNCTION("""COMPUTED_VALUE"""),0.0)</f>
        <v>0</v>
      </c>
      <c r="K264" s="33">
        <f>IFERROR(__xludf.DUMMYFUNCTION("""COMPUTED_VALUE"""),0.0)</f>
        <v>0</v>
      </c>
      <c r="L264" s="33">
        <f>IFERROR(__xludf.DUMMYFUNCTION("""COMPUTED_VALUE"""),0.0)</f>
        <v>0</v>
      </c>
      <c r="M264" s="33">
        <f>IFERROR(__xludf.DUMMYFUNCTION("""COMPUTED_VALUE"""),0.0)</f>
        <v>0</v>
      </c>
      <c r="N264" s="33">
        <f>IFERROR(__xludf.DUMMYFUNCTION("""COMPUTED_VALUE"""),21.0)</f>
        <v>21</v>
      </c>
      <c r="O264" s="33">
        <f>IFERROR(__xludf.DUMMYFUNCTION("""COMPUTED_VALUE"""),20.0)</f>
        <v>20</v>
      </c>
      <c r="P264" s="33">
        <f>IFERROR(__xludf.DUMMYFUNCTION("""COMPUTED_VALUE"""),19.0)</f>
        <v>19</v>
      </c>
      <c r="Q264" s="33">
        <f>IFERROR(__xludf.DUMMYFUNCTION("""COMPUTED_VALUE"""),0.0)</f>
        <v>0</v>
      </c>
      <c r="R264" s="33">
        <f>IFERROR(__xludf.DUMMYFUNCTION("""COMPUTED_VALUE"""),0.0)</f>
        <v>0</v>
      </c>
      <c r="S264" s="33">
        <f>IFERROR(__xludf.DUMMYFUNCTION("""COMPUTED_VALUE"""),0.0)</f>
        <v>0</v>
      </c>
      <c r="T264" s="33">
        <f>IFERROR(__xludf.DUMMYFUNCTION("""COMPUTED_VALUE"""),0.0)</f>
        <v>0</v>
      </c>
      <c r="U264" s="33">
        <f>IFERROR(__xludf.DUMMYFUNCTION("""COMPUTED_VALUE"""),0.0)</f>
        <v>0</v>
      </c>
      <c r="V264" s="33">
        <f>IFERROR(__xludf.DUMMYFUNCTION("""COMPUTED_VALUE"""),0.0)</f>
        <v>0</v>
      </c>
      <c r="W264" s="33">
        <f>IFERROR(__xludf.DUMMYFUNCTION("""COMPUTED_VALUE"""),0.0)</f>
        <v>0</v>
      </c>
      <c r="X264" s="33">
        <f>IFERROR(__xludf.DUMMYFUNCTION("""COMPUTED_VALUE"""),0.0)</f>
        <v>0</v>
      </c>
      <c r="Y264" s="33">
        <f>IFERROR(__xludf.DUMMYFUNCTION("""COMPUTED_VALUE"""),0.0)</f>
        <v>0</v>
      </c>
      <c r="Z264" s="33">
        <f>IFERROR(__xludf.DUMMYFUNCTION("""COMPUTED_VALUE"""),0.0)</f>
        <v>0</v>
      </c>
      <c r="AA264" s="33">
        <f>IFERROR(__xludf.DUMMYFUNCTION("""COMPUTED_VALUE"""),0.0)</f>
        <v>0</v>
      </c>
      <c r="AB264" s="33">
        <f>IFERROR(__xludf.DUMMYFUNCTION("""COMPUTED_VALUE"""),0.0)</f>
        <v>0</v>
      </c>
      <c r="AC264" s="33">
        <f>IFERROR(__xludf.DUMMYFUNCTION("""COMPUTED_VALUE"""),4.07944444444444)</f>
        <v>4.079444444</v>
      </c>
      <c r="AD264" s="33">
        <f>IFERROR(__xludf.DUMMYFUNCTION("""COMPUTED_VALUE"""),2.48972222222222)</f>
        <v>2.489722222</v>
      </c>
      <c r="AE264" s="33">
        <f>IFERROR(__xludf.DUMMYFUNCTION("""COMPUTED_VALUE"""),2.41527777777777)</f>
        <v>2.415277778</v>
      </c>
      <c r="AF264" s="33">
        <f>IFERROR(__xludf.DUMMYFUNCTION("""COMPUTED_VALUE"""),0.0)</f>
        <v>0</v>
      </c>
    </row>
    <row r="265">
      <c r="A265" s="49">
        <f>IFERROR(__xludf.DUMMYFUNCTION("""COMPUTED_VALUE"""),46083.0)</f>
        <v>46083</v>
      </c>
      <c r="B265" s="33" t="str">
        <f>IFERROR(__xludf.DUMMYFUNCTION("""COMPUTED_VALUE"""),"394d109f7b50d9a46fb591dbaaba2d0aac90a696")</f>
        <v>394d109f7b50d9a46fb591dbaaba2d0aac90a696</v>
      </c>
      <c r="C265" s="33" t="str">
        <f>IFERROR(__xludf.DUMMYFUNCTION("""COMPUTED_VALUE"""),"Empire of Hidden King (SRGJ) - Production Show_id")</f>
        <v>Empire of Hidden King (SRGJ) - Production Show_id</v>
      </c>
      <c r="D265" s="33">
        <f>IFERROR(__xludf.DUMMYFUNCTION("""COMPUTED_VALUE"""),8.0)</f>
        <v>8</v>
      </c>
      <c r="E265" s="33">
        <f>IFERROR(__xludf.DUMMYFUNCTION("""COMPUTED_VALUE"""),13.0)</f>
        <v>13</v>
      </c>
      <c r="F265" s="33">
        <f>IFERROR(__xludf.DUMMYFUNCTION("""COMPUTED_VALUE"""),6.0)</f>
        <v>6</v>
      </c>
      <c r="G265" s="33">
        <f>IFERROR(__xludf.DUMMYFUNCTION("""COMPUTED_VALUE"""),6.0)</f>
        <v>6</v>
      </c>
      <c r="H265" s="33">
        <f>IFERROR(__xludf.DUMMYFUNCTION("""COMPUTED_VALUE"""),7.0)</f>
        <v>7</v>
      </c>
      <c r="I265" s="33">
        <f>IFERROR(__xludf.DUMMYFUNCTION("""COMPUTED_VALUE"""),1.0)</f>
        <v>1</v>
      </c>
      <c r="J265" s="33">
        <f>IFERROR(__xludf.DUMMYFUNCTION("""COMPUTED_VALUE"""),6.0)</f>
        <v>6</v>
      </c>
      <c r="K265" s="33">
        <f>IFERROR(__xludf.DUMMYFUNCTION("""COMPUTED_VALUE"""),1.0)</f>
        <v>1</v>
      </c>
      <c r="L265" s="33">
        <f>IFERROR(__xludf.DUMMYFUNCTION("""COMPUTED_VALUE"""),0.0)</f>
        <v>0</v>
      </c>
      <c r="M265" s="33">
        <f>IFERROR(__xludf.DUMMYFUNCTION("""COMPUTED_VALUE"""),10.0)</f>
        <v>10</v>
      </c>
      <c r="N265" s="33">
        <f>IFERROR(__xludf.DUMMYFUNCTION("""COMPUTED_VALUE"""),10.0)</f>
        <v>10</v>
      </c>
      <c r="O265" s="33">
        <f>IFERROR(__xludf.DUMMYFUNCTION("""COMPUTED_VALUE"""),5.0)</f>
        <v>5</v>
      </c>
      <c r="P265" s="33">
        <f>IFERROR(__xludf.DUMMYFUNCTION("""COMPUTED_VALUE"""),10.0)</f>
        <v>10</v>
      </c>
      <c r="Q265" s="33">
        <f>IFERROR(__xludf.DUMMYFUNCTION("""COMPUTED_VALUE"""),0.0)</f>
        <v>0</v>
      </c>
      <c r="R265" s="33">
        <f>IFERROR(__xludf.DUMMYFUNCTION("""COMPUTED_VALUE"""),21396.0)</f>
        <v>21396</v>
      </c>
      <c r="S265" s="33">
        <f>IFERROR(__xludf.DUMMYFUNCTION("""COMPUTED_VALUE"""),40930.0)</f>
        <v>40930</v>
      </c>
      <c r="T265" s="33">
        <f>IFERROR(__xludf.DUMMYFUNCTION("""COMPUTED_VALUE"""),1.92555555555555)</f>
        <v>1.925555556</v>
      </c>
      <c r="U265" s="33">
        <f>IFERROR(__xludf.DUMMYFUNCTION("""COMPUTED_VALUE"""),1.65499999999999)</f>
        <v>1.655</v>
      </c>
      <c r="V265" s="33">
        <f>IFERROR(__xludf.DUMMYFUNCTION("""COMPUTED_VALUE"""),1.67722222222222)</f>
        <v>1.677222222</v>
      </c>
      <c r="W265" s="33">
        <f>IFERROR(__xludf.DUMMYFUNCTION("""COMPUTED_VALUE"""),1.94777777777777)</f>
        <v>1.947777778</v>
      </c>
      <c r="X265" s="33">
        <f>IFERROR(__xludf.DUMMYFUNCTION("""COMPUTED_VALUE"""),0.270555555555555)</f>
        <v>0.2705555556</v>
      </c>
      <c r="Y265" s="33">
        <f>IFERROR(__xludf.DUMMYFUNCTION("""COMPUTED_VALUE"""),1.67722222222222)</f>
        <v>1.677222222</v>
      </c>
      <c r="Z265" s="33">
        <f>IFERROR(__xludf.DUMMYFUNCTION("""COMPUTED_VALUE"""),0.277777777777777)</f>
        <v>0.2777777778</v>
      </c>
      <c r="AA265" s="33">
        <f>IFERROR(__xludf.DUMMYFUNCTION("""COMPUTED_VALUE"""),0.0)</f>
        <v>0</v>
      </c>
      <c r="AB265" s="33">
        <f>IFERROR(__xludf.DUMMYFUNCTION("""COMPUTED_VALUE"""),2.79555555555555)</f>
        <v>2.795555556</v>
      </c>
      <c r="AC265" s="33">
        <f>IFERROR(__xludf.DUMMYFUNCTION("""COMPUTED_VALUE"""),2.79555555555555)</f>
        <v>2.795555556</v>
      </c>
      <c r="AD265" s="33">
        <f>IFERROR(__xludf.DUMMYFUNCTION("""COMPUTED_VALUE"""),1.30666666666666)</f>
        <v>1.306666667</v>
      </c>
      <c r="AE265" s="33">
        <f>IFERROR(__xludf.DUMMYFUNCTION("""COMPUTED_VALUE"""),2.79555555555555)</f>
        <v>2.795555556</v>
      </c>
      <c r="AF265" s="33">
        <f>IFERROR(__xludf.DUMMYFUNCTION("""COMPUTED_VALUE"""),7.0)</f>
        <v>7</v>
      </c>
    </row>
    <row r="266">
      <c r="A266" s="49">
        <f>IFERROR(__xludf.DUMMYFUNCTION("""COMPUTED_VALUE"""),46083.0)</f>
        <v>46083</v>
      </c>
      <c r="B266" s="33" t="str">
        <f>IFERROR(__xludf.DUMMYFUNCTION("""COMPUTED_VALUE"""),"5066c0736f9e9444f2b4da840d6860b1f7f47d11")</f>
        <v>5066c0736f9e9444f2b4da840d6860b1f7f47d11</v>
      </c>
      <c r="C266" s="33" t="str">
        <f>IFERROR(__xludf.DUMMYFUNCTION("""COMPUTED_VALUE"""),"The Warrior | Author - Dayaram Prajapati - Replica (For Production Only)")</f>
        <v>The Warrior | Author - Dayaram Prajapati - Replica (For Production Only)</v>
      </c>
      <c r="D266" s="33">
        <f>IFERROR(__xludf.DUMMYFUNCTION("""COMPUTED_VALUE"""),14.0)</f>
        <v>14</v>
      </c>
      <c r="E266" s="33">
        <f>IFERROR(__xludf.DUMMYFUNCTION("""COMPUTED_VALUE"""),16.0)</f>
        <v>16</v>
      </c>
      <c r="F266" s="33">
        <f>IFERROR(__xludf.DUMMYFUNCTION("""COMPUTED_VALUE"""),6.0)</f>
        <v>6</v>
      </c>
      <c r="G266" s="33">
        <f>IFERROR(__xludf.DUMMYFUNCTION("""COMPUTED_VALUE"""),9.0)</f>
        <v>9</v>
      </c>
      <c r="H266" s="33">
        <f>IFERROR(__xludf.DUMMYFUNCTION("""COMPUTED_VALUE"""),9.0)</f>
        <v>9</v>
      </c>
      <c r="I266" s="33">
        <f>IFERROR(__xludf.DUMMYFUNCTION("""COMPUTED_VALUE"""),0.0)</f>
        <v>0</v>
      </c>
      <c r="J266" s="33">
        <f>IFERROR(__xludf.DUMMYFUNCTION("""COMPUTED_VALUE"""),13.0)</f>
        <v>13</v>
      </c>
      <c r="K266" s="33">
        <f>IFERROR(__xludf.DUMMYFUNCTION("""COMPUTED_VALUE"""),2.0)</f>
        <v>2</v>
      </c>
      <c r="L266" s="33">
        <f>IFERROR(__xludf.DUMMYFUNCTION("""COMPUTED_VALUE"""),2.0)</f>
        <v>2</v>
      </c>
      <c r="M266" s="33">
        <f>IFERROR(__xludf.DUMMYFUNCTION("""COMPUTED_VALUE"""),13.0)</f>
        <v>13</v>
      </c>
      <c r="N266" s="33">
        <f>IFERROR(__xludf.DUMMYFUNCTION("""COMPUTED_VALUE"""),13.0)</f>
        <v>13</v>
      </c>
      <c r="O266" s="33">
        <f>IFERROR(__xludf.DUMMYFUNCTION("""COMPUTED_VALUE"""),5.0)</f>
        <v>5</v>
      </c>
      <c r="P266" s="33">
        <f>IFERROR(__xludf.DUMMYFUNCTION("""COMPUTED_VALUE"""),13.0)</f>
        <v>13</v>
      </c>
      <c r="Q266" s="33">
        <f>IFERROR(__xludf.DUMMYFUNCTION("""COMPUTED_VALUE"""),0.0)</f>
        <v>0</v>
      </c>
      <c r="R266" s="33">
        <f>IFERROR(__xludf.DUMMYFUNCTION("""COMPUTED_VALUE"""),41500.0)</f>
        <v>41500</v>
      </c>
      <c r="S266" s="33">
        <f>IFERROR(__xludf.DUMMYFUNCTION("""COMPUTED_VALUE"""),43253.0)</f>
        <v>43253</v>
      </c>
      <c r="T266" s="33">
        <f>IFERROR(__xludf.DUMMYFUNCTION("""COMPUTED_VALUE"""),1.51861111111111)</f>
        <v>1.518611111</v>
      </c>
      <c r="U266" s="33">
        <f>IFERROR(__xludf.DUMMYFUNCTION("""COMPUTED_VALUE"""),1.51861111111111)</f>
        <v>1.518611111</v>
      </c>
      <c r="V266" s="33">
        <f>IFERROR(__xludf.DUMMYFUNCTION("""COMPUTED_VALUE"""),2.46694444444444)</f>
        <v>2.466944444</v>
      </c>
      <c r="W266" s="33">
        <f>IFERROR(__xludf.DUMMYFUNCTION("""COMPUTED_VALUE"""),2.46694444444444)</f>
        <v>2.466944444</v>
      </c>
      <c r="X266" s="33">
        <f>IFERROR(__xludf.DUMMYFUNCTION("""COMPUTED_VALUE"""),0.0)</f>
        <v>0</v>
      </c>
      <c r="Y266" s="33">
        <f>IFERROR(__xludf.DUMMYFUNCTION("""COMPUTED_VALUE"""),3.49555555555555)</f>
        <v>3.495555556</v>
      </c>
      <c r="Z266" s="33">
        <f>IFERROR(__xludf.DUMMYFUNCTION("""COMPUTED_VALUE"""),0.553333333333333)</f>
        <v>0.5533333333</v>
      </c>
      <c r="AA266" s="33">
        <f>IFERROR(__xludf.DUMMYFUNCTION("""COMPUTED_VALUE"""),0.553333333333333)</f>
        <v>0.5533333333</v>
      </c>
      <c r="AB266" s="33">
        <f>IFERROR(__xludf.DUMMYFUNCTION("""COMPUTED_VALUE"""),3.49555555555555)</f>
        <v>3.495555556</v>
      </c>
      <c r="AC266" s="33">
        <f>IFERROR(__xludf.DUMMYFUNCTION("""COMPUTED_VALUE"""),3.49555555555555)</f>
        <v>3.495555556</v>
      </c>
      <c r="AD266" s="33">
        <f>IFERROR(__xludf.DUMMYFUNCTION("""COMPUTED_VALUE"""),1.20416666666666)</f>
        <v>1.204166667</v>
      </c>
      <c r="AE266" s="33">
        <f>IFERROR(__xludf.DUMMYFUNCTION("""COMPUTED_VALUE"""),3.49555555555555)</f>
        <v>3.495555556</v>
      </c>
      <c r="AF266" s="33">
        <f>IFERROR(__xludf.DUMMYFUNCTION("""COMPUTED_VALUE"""),6.0)</f>
        <v>6</v>
      </c>
    </row>
    <row r="267">
      <c r="A267" s="49">
        <f>IFERROR(__xludf.DUMMYFUNCTION("""COMPUTED_VALUE"""),46083.0)</f>
        <v>46083</v>
      </c>
      <c r="B267" s="33" t="str">
        <f>IFERROR(__xludf.DUMMYFUNCTION("""COMPUTED_VALUE"""),"54847eda0794e861da74c1034ace021b4643357b")</f>
        <v>54847eda0794e861da74c1034ace021b4643357b</v>
      </c>
      <c r="C267" s="33" t="str">
        <f>IFERROR(__xludf.DUMMYFUNCTION("""COMPUTED_VALUE"""),"Billionaire King's Love (Production)")</f>
        <v>Billionaire King's Love (Production)</v>
      </c>
      <c r="D267" s="33">
        <f>IFERROR(__xludf.DUMMYFUNCTION("""COMPUTED_VALUE"""),4.0)</f>
        <v>4</v>
      </c>
      <c r="E267" s="33">
        <f>IFERROR(__xludf.DUMMYFUNCTION("""COMPUTED_VALUE"""),0.0)</f>
        <v>0</v>
      </c>
      <c r="F267" s="33">
        <f>IFERROR(__xludf.DUMMYFUNCTION("""COMPUTED_VALUE"""),0.0)</f>
        <v>0</v>
      </c>
      <c r="G267" s="33">
        <f>IFERROR(__xludf.DUMMYFUNCTION("""COMPUTED_VALUE"""),0.0)</f>
        <v>0</v>
      </c>
      <c r="H267" s="33">
        <f>IFERROR(__xludf.DUMMYFUNCTION("""COMPUTED_VALUE"""),0.0)</f>
        <v>0</v>
      </c>
      <c r="I267" s="33">
        <f>IFERROR(__xludf.DUMMYFUNCTION("""COMPUTED_VALUE"""),0.0)</f>
        <v>0</v>
      </c>
      <c r="J267" s="33">
        <f>IFERROR(__xludf.DUMMYFUNCTION("""COMPUTED_VALUE"""),0.0)</f>
        <v>0</v>
      </c>
      <c r="K267" s="33">
        <f>IFERROR(__xludf.DUMMYFUNCTION("""COMPUTED_VALUE"""),0.0)</f>
        <v>0</v>
      </c>
      <c r="L267" s="33">
        <f>IFERROR(__xludf.DUMMYFUNCTION("""COMPUTED_VALUE"""),0.0)</f>
        <v>0</v>
      </c>
      <c r="M267" s="33">
        <f>IFERROR(__xludf.DUMMYFUNCTION("""COMPUTED_VALUE"""),0.0)</f>
        <v>0</v>
      </c>
      <c r="N267" s="33">
        <f>IFERROR(__xludf.DUMMYFUNCTION("""COMPUTED_VALUE"""),0.0)</f>
        <v>0</v>
      </c>
      <c r="O267" s="33">
        <f>IFERROR(__xludf.DUMMYFUNCTION("""COMPUTED_VALUE"""),0.0)</f>
        <v>0</v>
      </c>
      <c r="P267" s="33">
        <f>IFERROR(__xludf.DUMMYFUNCTION("""COMPUTED_VALUE"""),0.0)</f>
        <v>0</v>
      </c>
      <c r="Q267" s="33">
        <f>IFERROR(__xludf.DUMMYFUNCTION("""COMPUTED_VALUE"""),0.0)</f>
        <v>0</v>
      </c>
      <c r="R267" s="33">
        <f>IFERROR(__xludf.DUMMYFUNCTION("""COMPUTED_VALUE"""),9602.0)</f>
        <v>9602</v>
      </c>
      <c r="S267" s="33">
        <f>IFERROR(__xludf.DUMMYFUNCTION("""COMPUTED_VALUE"""),0.0)</f>
        <v>0</v>
      </c>
      <c r="T267" s="33">
        <f>IFERROR(__xludf.DUMMYFUNCTION("""COMPUTED_VALUE"""),0.0)</f>
        <v>0</v>
      </c>
      <c r="U267" s="33">
        <f>IFERROR(__xludf.DUMMYFUNCTION("""COMPUTED_VALUE"""),0.0)</f>
        <v>0</v>
      </c>
      <c r="V267" s="33">
        <f>IFERROR(__xludf.DUMMYFUNCTION("""COMPUTED_VALUE"""),0.0)</f>
        <v>0</v>
      </c>
      <c r="W267" s="33">
        <f>IFERROR(__xludf.DUMMYFUNCTION("""COMPUTED_VALUE"""),0.0)</f>
        <v>0</v>
      </c>
      <c r="X267" s="33">
        <f>IFERROR(__xludf.DUMMYFUNCTION("""COMPUTED_VALUE"""),0.0)</f>
        <v>0</v>
      </c>
      <c r="Y267" s="33">
        <f>IFERROR(__xludf.DUMMYFUNCTION("""COMPUTED_VALUE"""),0.0)</f>
        <v>0</v>
      </c>
      <c r="Z267" s="33">
        <f>IFERROR(__xludf.DUMMYFUNCTION("""COMPUTED_VALUE"""),0.0)</f>
        <v>0</v>
      </c>
      <c r="AA267" s="33">
        <f>IFERROR(__xludf.DUMMYFUNCTION("""COMPUTED_VALUE"""),0.0)</f>
        <v>0</v>
      </c>
      <c r="AB267" s="33">
        <f>IFERROR(__xludf.DUMMYFUNCTION("""COMPUTED_VALUE"""),0.0)</f>
        <v>0</v>
      </c>
      <c r="AC267" s="33">
        <f>IFERROR(__xludf.DUMMYFUNCTION("""COMPUTED_VALUE"""),0.0)</f>
        <v>0</v>
      </c>
      <c r="AD267" s="33">
        <f>IFERROR(__xludf.DUMMYFUNCTION("""COMPUTED_VALUE"""),0.0)</f>
        <v>0</v>
      </c>
      <c r="AE267" s="33">
        <f>IFERROR(__xludf.DUMMYFUNCTION("""COMPUTED_VALUE"""),0.0)</f>
        <v>0</v>
      </c>
      <c r="AF267" s="33">
        <f>IFERROR(__xludf.DUMMYFUNCTION("""COMPUTED_VALUE"""),0.0)</f>
        <v>0</v>
      </c>
    </row>
    <row r="268">
      <c r="A268" s="49">
        <f>IFERROR(__xludf.DUMMYFUNCTION("""COMPUTED_VALUE"""),46083.0)</f>
        <v>46083</v>
      </c>
      <c r="B268" s="33" t="str">
        <f>IFERROR(__xludf.DUMMYFUNCTION("""COMPUTED_VALUE"""),"5baf4c80faf4b2d4eb9401a1d0081872e0158e89")</f>
        <v>5baf4c80faf4b2d4eb9401a1d0081872e0158e89</v>
      </c>
      <c r="C268" s="33" t="str">
        <f>IFERROR(__xludf.DUMMYFUNCTION("""COMPUTED_VALUE"""),"Brahmyodha : The Destroyer - Production showId")</f>
        <v>Brahmyodha : The Destroyer - Production showId</v>
      </c>
      <c r="D268" s="33">
        <f>IFERROR(__xludf.DUMMYFUNCTION("""COMPUTED_VALUE"""),10.0)</f>
        <v>10</v>
      </c>
      <c r="E268" s="33">
        <f>IFERROR(__xludf.DUMMYFUNCTION("""COMPUTED_VALUE"""),12.0)</f>
        <v>12</v>
      </c>
      <c r="F268" s="33">
        <f>IFERROR(__xludf.DUMMYFUNCTION("""COMPUTED_VALUE"""),7.0)</f>
        <v>7</v>
      </c>
      <c r="G268" s="33">
        <f>IFERROR(__xludf.DUMMYFUNCTION("""COMPUTED_VALUE"""),0.0)</f>
        <v>0</v>
      </c>
      <c r="H268" s="33">
        <f>IFERROR(__xludf.DUMMYFUNCTION("""COMPUTED_VALUE"""),16.0)</f>
        <v>16</v>
      </c>
      <c r="I268" s="33">
        <f>IFERROR(__xludf.DUMMYFUNCTION("""COMPUTED_VALUE"""),8.0)</f>
        <v>8</v>
      </c>
      <c r="J268" s="33">
        <f>IFERROR(__xludf.DUMMYFUNCTION("""COMPUTED_VALUE"""),18.0)</f>
        <v>18</v>
      </c>
      <c r="K268" s="33">
        <f>IFERROR(__xludf.DUMMYFUNCTION("""COMPUTED_VALUE"""),0.0)</f>
        <v>0</v>
      </c>
      <c r="L268" s="33">
        <f>IFERROR(__xludf.DUMMYFUNCTION("""COMPUTED_VALUE"""),0.0)</f>
        <v>0</v>
      </c>
      <c r="M268" s="33">
        <f>IFERROR(__xludf.DUMMYFUNCTION("""COMPUTED_VALUE"""),17.0)</f>
        <v>17</v>
      </c>
      <c r="N268" s="33">
        <f>IFERROR(__xludf.DUMMYFUNCTION("""COMPUTED_VALUE"""),17.0)</f>
        <v>17</v>
      </c>
      <c r="O268" s="33">
        <f>IFERROR(__xludf.DUMMYFUNCTION("""COMPUTED_VALUE"""),5.0)</f>
        <v>5</v>
      </c>
      <c r="P268" s="33">
        <f>IFERROR(__xludf.DUMMYFUNCTION("""COMPUTED_VALUE"""),17.0)</f>
        <v>17</v>
      </c>
      <c r="Q268" s="33">
        <f>IFERROR(__xludf.DUMMYFUNCTION("""COMPUTED_VALUE"""),0.0)</f>
        <v>0</v>
      </c>
      <c r="R268" s="33">
        <f>IFERROR(__xludf.DUMMYFUNCTION("""COMPUTED_VALUE"""),25198.0)</f>
        <v>25198</v>
      </c>
      <c r="S268" s="33">
        <f>IFERROR(__xludf.DUMMYFUNCTION("""COMPUTED_VALUE"""),30307.0)</f>
        <v>30307</v>
      </c>
      <c r="T268" s="33">
        <f>IFERROR(__xludf.DUMMYFUNCTION("""COMPUTED_VALUE"""),3.57416666666666)</f>
        <v>3.574166667</v>
      </c>
      <c r="U268" s="33">
        <f>IFERROR(__xludf.DUMMYFUNCTION("""COMPUTED_VALUE"""),1.66444444444444)</f>
        <v>1.664444444</v>
      </c>
      <c r="V268" s="33">
        <f>IFERROR(__xludf.DUMMYFUNCTION("""COMPUTED_VALUE"""),0.0)</f>
        <v>0</v>
      </c>
      <c r="W268" s="33">
        <f>IFERROR(__xludf.DUMMYFUNCTION("""COMPUTED_VALUE"""),3.81833333333333)</f>
        <v>3.818333333</v>
      </c>
      <c r="X268" s="33">
        <f>IFERROR(__xludf.DUMMYFUNCTION("""COMPUTED_VALUE"""),1.90972222222222)</f>
        <v>1.909722222</v>
      </c>
      <c r="Y268" s="33">
        <f>IFERROR(__xludf.DUMMYFUNCTION("""COMPUTED_VALUE"""),4.26944444444444)</f>
        <v>4.269444444</v>
      </c>
      <c r="Z268" s="33">
        <f>IFERROR(__xludf.DUMMYFUNCTION("""COMPUTED_VALUE"""),0.0)</f>
        <v>0</v>
      </c>
      <c r="AA268" s="33">
        <f>IFERROR(__xludf.DUMMYFUNCTION("""COMPUTED_VALUE"""),0.0)</f>
        <v>0</v>
      </c>
      <c r="AB268" s="33">
        <f>IFERROR(__xludf.DUMMYFUNCTION("""COMPUTED_VALUE"""),4.03388888888888)</f>
        <v>4.033888889</v>
      </c>
      <c r="AC268" s="33">
        <f>IFERROR(__xludf.DUMMYFUNCTION("""COMPUTED_VALUE"""),4.03388888888888)</f>
        <v>4.033888889</v>
      </c>
      <c r="AD268" s="33">
        <f>IFERROR(__xludf.DUMMYFUNCTION("""COMPUTED_VALUE"""),1.05277777777777)</f>
        <v>1.052777778</v>
      </c>
      <c r="AE268" s="33">
        <f>IFERROR(__xludf.DUMMYFUNCTION("""COMPUTED_VALUE"""),4.03388888888888)</f>
        <v>4.033888889</v>
      </c>
      <c r="AF268" s="33">
        <f>IFERROR(__xludf.DUMMYFUNCTION("""COMPUTED_VALUE"""),15.0)</f>
        <v>15</v>
      </c>
    </row>
    <row r="269">
      <c r="A269" s="49">
        <f>IFERROR(__xludf.DUMMYFUNCTION("""COMPUTED_VALUE"""),46083.0)</f>
        <v>46083</v>
      </c>
      <c r="B269" s="33" t="str">
        <f>IFERROR(__xludf.DUMMYFUNCTION("""COMPUTED_VALUE"""),"641b6f77fd211e92df35a3bcbab67e6879e19a66")</f>
        <v>641b6f77fd211e92df35a3bcbab67e6879e19a66</v>
      </c>
      <c r="C269" s="33" t="str">
        <f>IFERROR(__xludf.DUMMYFUNCTION("""COMPUTED_VALUE"""),"Mahagatha | महागाथा | Author - S. Mauryavanshi")</f>
        <v>Mahagatha | महागाथा | Author - S. Mauryavanshi</v>
      </c>
      <c r="D269" s="33">
        <f>IFERROR(__xludf.DUMMYFUNCTION("""COMPUTED_VALUE"""),10.0)</f>
        <v>10</v>
      </c>
      <c r="E269" s="33">
        <f>IFERROR(__xludf.DUMMYFUNCTION("""COMPUTED_VALUE"""),13.0)</f>
        <v>13</v>
      </c>
      <c r="F269" s="33">
        <f>IFERROR(__xludf.DUMMYFUNCTION("""COMPUTED_VALUE"""),1.0)</f>
        <v>1</v>
      </c>
      <c r="G269" s="33">
        <f>IFERROR(__xludf.DUMMYFUNCTION("""COMPUTED_VALUE"""),0.0)</f>
        <v>0</v>
      </c>
      <c r="H269" s="33">
        <f>IFERROR(__xludf.DUMMYFUNCTION("""COMPUTED_VALUE"""),13.0)</f>
        <v>13</v>
      </c>
      <c r="I269" s="33">
        <f>IFERROR(__xludf.DUMMYFUNCTION("""COMPUTED_VALUE"""),12.0)</f>
        <v>12</v>
      </c>
      <c r="J269" s="33">
        <f>IFERROR(__xludf.DUMMYFUNCTION("""COMPUTED_VALUE"""),13.0)</f>
        <v>13</v>
      </c>
      <c r="K269" s="33">
        <f>IFERROR(__xludf.DUMMYFUNCTION("""COMPUTED_VALUE"""),0.0)</f>
        <v>0</v>
      </c>
      <c r="L269" s="33">
        <f>IFERROR(__xludf.DUMMYFUNCTION("""COMPUTED_VALUE"""),0.0)</f>
        <v>0</v>
      </c>
      <c r="M269" s="33">
        <f>IFERROR(__xludf.DUMMYFUNCTION("""COMPUTED_VALUE"""),10.0)</f>
        <v>10</v>
      </c>
      <c r="N269" s="33">
        <f>IFERROR(__xludf.DUMMYFUNCTION("""COMPUTED_VALUE"""),10.0)</f>
        <v>10</v>
      </c>
      <c r="O269" s="33">
        <f>IFERROR(__xludf.DUMMYFUNCTION("""COMPUTED_VALUE"""),7.0)</f>
        <v>7</v>
      </c>
      <c r="P269" s="33">
        <f>IFERROR(__xludf.DUMMYFUNCTION("""COMPUTED_VALUE"""),10.0)</f>
        <v>10</v>
      </c>
      <c r="Q269" s="33">
        <f>IFERROR(__xludf.DUMMYFUNCTION("""COMPUTED_VALUE"""),0.0)</f>
        <v>0</v>
      </c>
      <c r="R269" s="33">
        <f>IFERROR(__xludf.DUMMYFUNCTION("""COMPUTED_VALUE"""),26620.0)</f>
        <v>26620</v>
      </c>
      <c r="S269" s="33">
        <f>IFERROR(__xludf.DUMMYFUNCTION("""COMPUTED_VALUE"""),33430.0)</f>
        <v>33430</v>
      </c>
      <c r="T269" s="33">
        <f>IFERROR(__xludf.DUMMYFUNCTION("""COMPUTED_VALUE"""),3.05888888888888)</f>
        <v>3.058888889</v>
      </c>
      <c r="U269" s="33">
        <f>IFERROR(__xludf.DUMMYFUNCTION("""COMPUTED_VALUE"""),0.229722222222222)</f>
        <v>0.2297222222</v>
      </c>
      <c r="V269" s="33">
        <f>IFERROR(__xludf.DUMMYFUNCTION("""COMPUTED_VALUE"""),0.0)</f>
        <v>0</v>
      </c>
      <c r="W269" s="33">
        <f>IFERROR(__xludf.DUMMYFUNCTION("""COMPUTED_VALUE"""),3.05583333333333)</f>
        <v>3.055833333</v>
      </c>
      <c r="X269" s="33">
        <f>IFERROR(__xludf.DUMMYFUNCTION("""COMPUTED_VALUE"""),2.82916666666666)</f>
        <v>2.829166667</v>
      </c>
      <c r="Y269" s="33">
        <f>IFERROR(__xludf.DUMMYFUNCTION("""COMPUTED_VALUE"""),3.04777777777777)</f>
        <v>3.047777778</v>
      </c>
      <c r="Z269" s="33">
        <f>IFERROR(__xludf.DUMMYFUNCTION("""COMPUTED_VALUE"""),0.0)</f>
        <v>0</v>
      </c>
      <c r="AA269" s="33">
        <f>IFERROR(__xludf.DUMMYFUNCTION("""COMPUTED_VALUE"""),0.0)</f>
        <v>0</v>
      </c>
      <c r="AB269" s="33">
        <f>IFERROR(__xludf.DUMMYFUNCTION("""COMPUTED_VALUE"""),2.30944444444444)</f>
        <v>2.309444444</v>
      </c>
      <c r="AC269" s="33">
        <f>IFERROR(__xludf.DUMMYFUNCTION("""COMPUTED_VALUE"""),2.30944444444444)</f>
        <v>2.309444444</v>
      </c>
      <c r="AD269" s="33">
        <f>IFERROR(__xludf.DUMMYFUNCTION("""COMPUTED_VALUE"""),1.55027777777777)</f>
        <v>1.550277778</v>
      </c>
      <c r="AE269" s="33">
        <f>IFERROR(__xludf.DUMMYFUNCTION("""COMPUTED_VALUE"""),2.30944444444444)</f>
        <v>2.309444444</v>
      </c>
      <c r="AF269" s="33">
        <f>IFERROR(__xludf.DUMMYFUNCTION("""COMPUTED_VALUE"""),13.0)</f>
        <v>13</v>
      </c>
    </row>
    <row r="270">
      <c r="A270" s="49">
        <f>IFERROR(__xludf.DUMMYFUNCTION("""COMPUTED_VALUE"""),46083.0)</f>
        <v>46083</v>
      </c>
      <c r="B270" s="33" t="str">
        <f>IFERROR(__xludf.DUMMYFUNCTION("""COMPUTED_VALUE"""),"7ea3277f02ef13c60cfa72336d009bf7ee6c17e8")</f>
        <v>7ea3277f02ef13c60cfa72336d009bf7ee6c17e8</v>
      </c>
      <c r="C270" s="33" t="str">
        <f>IFERROR(__xludf.DUMMYFUNCTION("""COMPUTED_VALUE"""),"Saaya the Dark Love - Production Show_id")</f>
        <v>Saaya the Dark Love - Production Show_id</v>
      </c>
      <c r="D270" s="33">
        <f>IFERROR(__xludf.DUMMYFUNCTION("""COMPUTED_VALUE"""),7.0)</f>
        <v>7</v>
      </c>
      <c r="E270" s="33">
        <f>IFERROR(__xludf.DUMMYFUNCTION("""COMPUTED_VALUE"""),0.0)</f>
        <v>0</v>
      </c>
      <c r="F270" s="33">
        <f>IFERROR(__xludf.DUMMYFUNCTION("""COMPUTED_VALUE"""),4.0)</f>
        <v>4</v>
      </c>
      <c r="G270" s="33">
        <f>IFERROR(__xludf.DUMMYFUNCTION("""COMPUTED_VALUE"""),2.0)</f>
        <v>2</v>
      </c>
      <c r="H270" s="33">
        <f>IFERROR(__xludf.DUMMYFUNCTION("""COMPUTED_VALUE"""),4.0)</f>
        <v>4</v>
      </c>
      <c r="I270" s="33">
        <f>IFERROR(__xludf.DUMMYFUNCTION("""COMPUTED_VALUE"""),2.0)</f>
        <v>2</v>
      </c>
      <c r="J270" s="33">
        <f>IFERROR(__xludf.DUMMYFUNCTION("""COMPUTED_VALUE"""),2.0)</f>
        <v>2</v>
      </c>
      <c r="K270" s="33">
        <f>IFERROR(__xludf.DUMMYFUNCTION("""COMPUTED_VALUE"""),0.0)</f>
        <v>0</v>
      </c>
      <c r="L270" s="33">
        <f>IFERROR(__xludf.DUMMYFUNCTION("""COMPUTED_VALUE"""),0.0)</f>
        <v>0</v>
      </c>
      <c r="M270" s="33">
        <f>IFERROR(__xludf.DUMMYFUNCTION("""COMPUTED_VALUE"""),0.0)</f>
        <v>0</v>
      </c>
      <c r="N270" s="33">
        <f>IFERROR(__xludf.DUMMYFUNCTION("""COMPUTED_VALUE"""),0.0)</f>
        <v>0</v>
      </c>
      <c r="O270" s="33">
        <f>IFERROR(__xludf.DUMMYFUNCTION("""COMPUTED_VALUE"""),0.0)</f>
        <v>0</v>
      </c>
      <c r="P270" s="33">
        <f>IFERROR(__xludf.DUMMYFUNCTION("""COMPUTED_VALUE"""),0.0)</f>
        <v>0</v>
      </c>
      <c r="Q270" s="33">
        <f>IFERROR(__xludf.DUMMYFUNCTION("""COMPUTED_VALUE"""),0.0)</f>
        <v>0</v>
      </c>
      <c r="R270" s="33">
        <f>IFERROR(__xludf.DUMMYFUNCTION("""COMPUTED_VALUE"""),16612.0)</f>
        <v>16612</v>
      </c>
      <c r="S270" s="33">
        <f>IFERROR(__xludf.DUMMYFUNCTION("""COMPUTED_VALUE"""),0.0)</f>
        <v>0</v>
      </c>
      <c r="T270" s="33">
        <f>IFERROR(__xludf.DUMMYFUNCTION("""COMPUTED_VALUE"""),2.64388888888888)</f>
        <v>2.643888889</v>
      </c>
      <c r="U270" s="33">
        <f>IFERROR(__xludf.DUMMYFUNCTION("""COMPUTED_VALUE"""),1.10055555555555)</f>
        <v>1.100555556</v>
      </c>
      <c r="V270" s="33">
        <f>IFERROR(__xludf.DUMMYFUNCTION("""COMPUTED_VALUE"""),0.545555555555555)</f>
        <v>0.5455555556</v>
      </c>
      <c r="W270" s="33">
        <f>IFERROR(__xludf.DUMMYFUNCTION("""COMPUTED_VALUE"""),1.08888888888888)</f>
        <v>1.088888889</v>
      </c>
      <c r="X270" s="33">
        <f>IFERROR(__xludf.DUMMYFUNCTION("""COMPUTED_VALUE"""),0.543333333333333)</f>
        <v>0.5433333333</v>
      </c>
      <c r="Y270" s="33">
        <f>IFERROR(__xludf.DUMMYFUNCTION("""COMPUTED_VALUE"""),0.548055555555555)</f>
        <v>0.5480555556</v>
      </c>
      <c r="Z270" s="33">
        <f>IFERROR(__xludf.DUMMYFUNCTION("""COMPUTED_VALUE"""),0.0)</f>
        <v>0</v>
      </c>
      <c r="AA270" s="33">
        <f>IFERROR(__xludf.DUMMYFUNCTION("""COMPUTED_VALUE"""),0.0)</f>
        <v>0</v>
      </c>
      <c r="AB270" s="33">
        <f>IFERROR(__xludf.DUMMYFUNCTION("""COMPUTED_VALUE"""),0.0)</f>
        <v>0</v>
      </c>
      <c r="AC270" s="33">
        <f>IFERROR(__xludf.DUMMYFUNCTION("""COMPUTED_VALUE"""),0.0)</f>
        <v>0</v>
      </c>
      <c r="AD270" s="33">
        <f>IFERROR(__xludf.DUMMYFUNCTION("""COMPUTED_VALUE"""),0.0)</f>
        <v>0</v>
      </c>
      <c r="AE270" s="33">
        <f>IFERROR(__xludf.DUMMYFUNCTION("""COMPUTED_VALUE"""),0.0)</f>
        <v>0</v>
      </c>
      <c r="AF270" s="33">
        <f>IFERROR(__xludf.DUMMYFUNCTION("""COMPUTED_VALUE"""),9.0)</f>
        <v>9</v>
      </c>
    </row>
    <row r="271">
      <c r="A271" s="49">
        <f>IFERROR(__xludf.DUMMYFUNCTION("""COMPUTED_VALUE"""),46083.0)</f>
        <v>46083</v>
      </c>
      <c r="B271" s="33" t="str">
        <f>IFERROR(__xludf.DUMMYFUNCTION("""COMPUTED_VALUE"""),"81de0bc81be63a15ef7b7f2a301e23b4f3d49745")</f>
        <v>81de0bc81be63a15ef7b7f2a301e23b4f3d49745</v>
      </c>
      <c r="C271" s="33" t="str">
        <f>IFERROR(__xludf.DUMMYFUNCTION("""COMPUTED_VALUE"""),"Married to a Hard Hearted")</f>
        <v>Married to a Hard Hearted</v>
      </c>
      <c r="D271" s="33">
        <f>IFERROR(__xludf.DUMMYFUNCTION("""COMPUTED_VALUE"""),0.0)</f>
        <v>0</v>
      </c>
      <c r="E271" s="33">
        <f>IFERROR(__xludf.DUMMYFUNCTION("""COMPUTED_VALUE"""),15.0)</f>
        <v>15</v>
      </c>
      <c r="F271" s="33">
        <f>IFERROR(__xludf.DUMMYFUNCTION("""COMPUTED_VALUE"""),6.0)</f>
        <v>6</v>
      </c>
      <c r="G271" s="33">
        <f>IFERROR(__xludf.DUMMYFUNCTION("""COMPUTED_VALUE"""),0.0)</f>
        <v>0</v>
      </c>
      <c r="H271" s="33">
        <f>IFERROR(__xludf.DUMMYFUNCTION("""COMPUTED_VALUE"""),13.0)</f>
        <v>13</v>
      </c>
      <c r="I271" s="33">
        <f>IFERROR(__xludf.DUMMYFUNCTION("""COMPUTED_VALUE"""),7.0)</f>
        <v>7</v>
      </c>
      <c r="J271" s="33">
        <f>IFERROR(__xludf.DUMMYFUNCTION("""COMPUTED_VALUE"""),13.0)</f>
        <v>13</v>
      </c>
      <c r="K271" s="33">
        <f>IFERROR(__xludf.DUMMYFUNCTION("""COMPUTED_VALUE"""),1.0)</f>
        <v>1</v>
      </c>
      <c r="L271" s="33">
        <f>IFERROR(__xludf.DUMMYFUNCTION("""COMPUTED_VALUE"""),0.0)</f>
        <v>0</v>
      </c>
      <c r="M271" s="33">
        <f>IFERROR(__xludf.DUMMYFUNCTION("""COMPUTED_VALUE"""),15.0)</f>
        <v>15</v>
      </c>
      <c r="N271" s="33">
        <f>IFERROR(__xludf.DUMMYFUNCTION("""COMPUTED_VALUE"""),15.0)</f>
        <v>15</v>
      </c>
      <c r="O271" s="33">
        <f>IFERROR(__xludf.DUMMYFUNCTION("""COMPUTED_VALUE"""),6.0)</f>
        <v>6</v>
      </c>
      <c r="P271" s="33">
        <f>IFERROR(__xludf.DUMMYFUNCTION("""COMPUTED_VALUE"""),15.0)</f>
        <v>15</v>
      </c>
      <c r="Q271" s="33">
        <f>IFERROR(__xludf.DUMMYFUNCTION("""COMPUTED_VALUE"""),0.0)</f>
        <v>0</v>
      </c>
      <c r="R271" s="33">
        <f>IFERROR(__xludf.DUMMYFUNCTION("""COMPUTED_VALUE"""),0.0)</f>
        <v>0</v>
      </c>
      <c r="S271" s="33">
        <f>IFERROR(__xludf.DUMMYFUNCTION("""COMPUTED_VALUE"""),33537.0)</f>
        <v>33537</v>
      </c>
      <c r="T271" s="33">
        <f>IFERROR(__xludf.DUMMYFUNCTION("""COMPUTED_VALUE"""),2.50222222222222)</f>
        <v>2.502222222</v>
      </c>
      <c r="U271" s="33">
        <f>IFERROR(__xludf.DUMMYFUNCTION("""COMPUTED_VALUE"""),1.16194444444444)</f>
        <v>1.161944444</v>
      </c>
      <c r="V271" s="33">
        <f>IFERROR(__xludf.DUMMYFUNCTION("""COMPUTED_VALUE"""),0.0)</f>
        <v>0</v>
      </c>
      <c r="W271" s="33">
        <f>IFERROR(__xludf.DUMMYFUNCTION("""COMPUTED_VALUE"""),2.49472222222222)</f>
        <v>2.494722222</v>
      </c>
      <c r="X271" s="33">
        <f>IFERROR(__xludf.DUMMYFUNCTION("""COMPUTED_VALUE"""),1.34111111111111)</f>
        <v>1.341111111</v>
      </c>
      <c r="Y271" s="33">
        <f>IFERROR(__xludf.DUMMYFUNCTION("""COMPUTED_VALUE"""),2.48611111111111)</f>
        <v>2.486111111</v>
      </c>
      <c r="Z271" s="33">
        <f>IFERROR(__xludf.DUMMYFUNCTION("""COMPUTED_VALUE"""),0.19)</f>
        <v>0.19</v>
      </c>
      <c r="AA271" s="33">
        <f>IFERROR(__xludf.DUMMYFUNCTION("""COMPUTED_VALUE"""),0.0)</f>
        <v>0</v>
      </c>
      <c r="AB271" s="33">
        <f>IFERROR(__xludf.DUMMYFUNCTION("""COMPUTED_VALUE"""),2.8875)</f>
        <v>2.8875</v>
      </c>
      <c r="AC271" s="33">
        <f>IFERROR(__xludf.DUMMYFUNCTION("""COMPUTED_VALUE"""),2.88749999999999)</f>
        <v>2.8875</v>
      </c>
      <c r="AD271" s="33">
        <f>IFERROR(__xludf.DUMMYFUNCTION("""COMPUTED_VALUE"""),1.16472222222222)</f>
        <v>1.164722222</v>
      </c>
      <c r="AE271" s="33">
        <f>IFERROR(__xludf.DUMMYFUNCTION("""COMPUTED_VALUE"""),2.88749999999999)</f>
        <v>2.8875</v>
      </c>
      <c r="AF271" s="33">
        <f>IFERROR(__xludf.DUMMYFUNCTION("""COMPUTED_VALUE"""),13.0)</f>
        <v>13</v>
      </c>
    </row>
    <row r="272">
      <c r="A272" s="49">
        <f>IFERROR(__xludf.DUMMYFUNCTION("""COMPUTED_VALUE"""),46083.0)</f>
        <v>46083</v>
      </c>
      <c r="B272" s="33" t="str">
        <f>IFERROR(__xludf.DUMMYFUNCTION("""COMPUTED_VALUE"""),"859785ba4869b28dddcfcb0e75295d1e1ad9b5a9")</f>
        <v>859785ba4869b28dddcfcb0e75295d1e1ad9b5a9</v>
      </c>
      <c r="C272" s="33" t="str">
        <f>IFERROR(__xludf.DUMMYFUNCTION("""COMPUTED_VALUE"""),"King of Dragon | किंग ऑफ ड्रैगन | Author - Nitesh")</f>
        <v>King of Dragon | किंग ऑफ ड्रैगन | Author - Nitesh</v>
      </c>
      <c r="D272" s="33">
        <f>IFERROR(__xludf.DUMMYFUNCTION("""COMPUTED_VALUE"""),0.0)</f>
        <v>0</v>
      </c>
      <c r="E272" s="33">
        <f>IFERROR(__xludf.DUMMYFUNCTION("""COMPUTED_VALUE"""),0.0)</f>
        <v>0</v>
      </c>
      <c r="F272" s="33">
        <f>IFERROR(__xludf.DUMMYFUNCTION("""COMPUTED_VALUE"""),0.0)</f>
        <v>0</v>
      </c>
      <c r="G272" s="33">
        <f>IFERROR(__xludf.DUMMYFUNCTION("""COMPUTED_VALUE"""),0.0)</f>
        <v>0</v>
      </c>
      <c r="H272" s="33">
        <f>IFERROR(__xludf.DUMMYFUNCTION("""COMPUTED_VALUE"""),0.0)</f>
        <v>0</v>
      </c>
      <c r="I272" s="33">
        <f>IFERROR(__xludf.DUMMYFUNCTION("""COMPUTED_VALUE"""),0.0)</f>
        <v>0</v>
      </c>
      <c r="J272" s="33">
        <f>IFERROR(__xludf.DUMMYFUNCTION("""COMPUTED_VALUE"""),0.0)</f>
        <v>0</v>
      </c>
      <c r="K272" s="33">
        <f>IFERROR(__xludf.DUMMYFUNCTION("""COMPUTED_VALUE"""),0.0)</f>
        <v>0</v>
      </c>
      <c r="L272" s="33">
        <f>IFERROR(__xludf.DUMMYFUNCTION("""COMPUTED_VALUE"""),0.0)</f>
        <v>0</v>
      </c>
      <c r="M272" s="33">
        <f>IFERROR(__xludf.DUMMYFUNCTION("""COMPUTED_VALUE"""),0.0)</f>
        <v>0</v>
      </c>
      <c r="N272" s="33">
        <f>IFERROR(__xludf.DUMMYFUNCTION("""COMPUTED_VALUE"""),0.0)</f>
        <v>0</v>
      </c>
      <c r="O272" s="33">
        <f>IFERROR(__xludf.DUMMYFUNCTION("""COMPUTED_VALUE"""),3.0)</f>
        <v>3</v>
      </c>
      <c r="P272" s="33">
        <f>IFERROR(__xludf.DUMMYFUNCTION("""COMPUTED_VALUE"""),5.0)</f>
        <v>5</v>
      </c>
      <c r="Q272" s="33">
        <f>IFERROR(__xludf.DUMMYFUNCTION("""COMPUTED_VALUE"""),0.0)</f>
        <v>0</v>
      </c>
      <c r="R272" s="33">
        <f>IFERROR(__xludf.DUMMYFUNCTION("""COMPUTED_VALUE"""),0.0)</f>
        <v>0</v>
      </c>
      <c r="S272" s="33">
        <f>IFERROR(__xludf.DUMMYFUNCTION("""COMPUTED_VALUE"""),0.0)</f>
        <v>0</v>
      </c>
      <c r="T272" s="33">
        <f>IFERROR(__xludf.DUMMYFUNCTION("""COMPUTED_VALUE"""),0.0)</f>
        <v>0</v>
      </c>
      <c r="U272" s="33">
        <f>IFERROR(__xludf.DUMMYFUNCTION("""COMPUTED_VALUE"""),0.0)</f>
        <v>0</v>
      </c>
      <c r="V272" s="33">
        <f>IFERROR(__xludf.DUMMYFUNCTION("""COMPUTED_VALUE"""),0.0)</f>
        <v>0</v>
      </c>
      <c r="W272" s="33">
        <f>IFERROR(__xludf.DUMMYFUNCTION("""COMPUTED_VALUE"""),0.0)</f>
        <v>0</v>
      </c>
      <c r="X272" s="33">
        <f>IFERROR(__xludf.DUMMYFUNCTION("""COMPUTED_VALUE"""),0.0)</f>
        <v>0</v>
      </c>
      <c r="Y272" s="33">
        <f>IFERROR(__xludf.DUMMYFUNCTION("""COMPUTED_VALUE"""),0.0)</f>
        <v>0</v>
      </c>
      <c r="Z272" s="33">
        <f>IFERROR(__xludf.DUMMYFUNCTION("""COMPUTED_VALUE"""),0.0)</f>
        <v>0</v>
      </c>
      <c r="AA272" s="33">
        <f>IFERROR(__xludf.DUMMYFUNCTION("""COMPUTED_VALUE"""),0.0)</f>
        <v>0</v>
      </c>
      <c r="AB272" s="33">
        <f>IFERROR(__xludf.DUMMYFUNCTION("""COMPUTED_VALUE"""),0.0)</f>
        <v>0</v>
      </c>
      <c r="AC272" s="33">
        <f>IFERROR(__xludf.DUMMYFUNCTION("""COMPUTED_VALUE"""),0.0)</f>
        <v>0</v>
      </c>
      <c r="AD272" s="33">
        <f>IFERROR(__xludf.DUMMYFUNCTION("""COMPUTED_VALUE"""),0.873888888888888)</f>
        <v>0.8738888889</v>
      </c>
      <c r="AE272" s="33">
        <f>IFERROR(__xludf.DUMMYFUNCTION("""COMPUTED_VALUE"""),1.40333333333333)</f>
        <v>1.403333333</v>
      </c>
      <c r="AF272" s="33">
        <f>IFERROR(__xludf.DUMMYFUNCTION("""COMPUTED_VALUE"""),0.0)</f>
        <v>0</v>
      </c>
    </row>
    <row r="273">
      <c r="A273" s="49">
        <f>IFERROR(__xludf.DUMMYFUNCTION("""COMPUTED_VALUE"""),46083.0)</f>
        <v>46083</v>
      </c>
      <c r="B273" s="33" t="str">
        <f>IFERROR(__xludf.DUMMYFUNCTION("""COMPUTED_VALUE"""),"96f1f89e4494e06fb7f9e3c4645563fa62ef9320")</f>
        <v>96f1f89e4494e06fb7f9e3c4645563fa62ef9320</v>
      </c>
      <c r="C273" s="33" t="str">
        <f>IFERROR(__xludf.DUMMYFUNCTION("""COMPUTED_VALUE"""),"King of Dragon - Production Show_id")</f>
        <v>King of Dragon - Production Show_id</v>
      </c>
      <c r="D273" s="33">
        <f>IFERROR(__xludf.DUMMYFUNCTION("""COMPUTED_VALUE"""),17.0)</f>
        <v>17</v>
      </c>
      <c r="E273" s="33">
        <f>IFERROR(__xludf.DUMMYFUNCTION("""COMPUTED_VALUE"""),13.0)</f>
        <v>13</v>
      </c>
      <c r="F273" s="33">
        <f>IFERROR(__xludf.DUMMYFUNCTION("""COMPUTED_VALUE"""),16.0)</f>
        <v>16</v>
      </c>
      <c r="G273" s="33">
        <f>IFERROR(__xludf.DUMMYFUNCTION("""COMPUTED_VALUE"""),14.0)</f>
        <v>14</v>
      </c>
      <c r="H273" s="33">
        <f>IFERROR(__xludf.DUMMYFUNCTION("""COMPUTED_VALUE"""),14.0)</f>
        <v>14</v>
      </c>
      <c r="I273" s="33">
        <f>IFERROR(__xludf.DUMMYFUNCTION("""COMPUTED_VALUE"""),1.0)</f>
        <v>1</v>
      </c>
      <c r="J273" s="33">
        <f>IFERROR(__xludf.DUMMYFUNCTION("""COMPUTED_VALUE"""),11.0)</f>
        <v>11</v>
      </c>
      <c r="K273" s="33">
        <f>IFERROR(__xludf.DUMMYFUNCTION("""COMPUTED_VALUE"""),8.0)</f>
        <v>8</v>
      </c>
      <c r="L273" s="33">
        <f>IFERROR(__xludf.DUMMYFUNCTION("""COMPUTED_VALUE"""),7.0)</f>
        <v>7</v>
      </c>
      <c r="M273" s="33">
        <f>IFERROR(__xludf.DUMMYFUNCTION("""COMPUTED_VALUE"""),11.0)</f>
        <v>11</v>
      </c>
      <c r="N273" s="33">
        <f>IFERROR(__xludf.DUMMYFUNCTION("""COMPUTED_VALUE"""),12.0)</f>
        <v>12</v>
      </c>
      <c r="O273" s="33">
        <f>IFERROR(__xludf.DUMMYFUNCTION("""COMPUTED_VALUE"""),7.0)</f>
        <v>7</v>
      </c>
      <c r="P273" s="33">
        <f>IFERROR(__xludf.DUMMYFUNCTION("""COMPUTED_VALUE"""),12.0)</f>
        <v>12</v>
      </c>
      <c r="Q273" s="33">
        <f>IFERROR(__xludf.DUMMYFUNCTION("""COMPUTED_VALUE"""),0.0)</f>
        <v>0</v>
      </c>
      <c r="R273" s="33">
        <f>IFERROR(__xludf.DUMMYFUNCTION("""COMPUTED_VALUE"""),44301.0)</f>
        <v>44301</v>
      </c>
      <c r="S273" s="33">
        <f>IFERROR(__xludf.DUMMYFUNCTION("""COMPUTED_VALUE"""),33235.0)</f>
        <v>33235</v>
      </c>
      <c r="T273" s="33">
        <f>IFERROR(__xludf.DUMMYFUNCTION("""COMPUTED_VALUE"""),7.19833333333333)</f>
        <v>7.198333333</v>
      </c>
      <c r="U273" s="33">
        <f>IFERROR(__xludf.DUMMYFUNCTION("""COMPUTED_VALUE"""),4.57361111111111)</f>
        <v>4.573611111</v>
      </c>
      <c r="V273" s="33">
        <f>IFERROR(__xludf.DUMMYFUNCTION("""COMPUTED_VALUE"""),3.96194444444444)</f>
        <v>3.961944444</v>
      </c>
      <c r="W273" s="33">
        <f>IFERROR(__xludf.DUMMYFUNCTION("""COMPUTED_VALUE"""),3.96249999999999)</f>
        <v>3.9625</v>
      </c>
      <c r="X273" s="33">
        <f>IFERROR(__xludf.DUMMYFUNCTION("""COMPUTED_VALUE"""),0.29)</f>
        <v>0.29</v>
      </c>
      <c r="Y273" s="33">
        <f>IFERROR(__xludf.DUMMYFUNCTION("""COMPUTED_VALUE"""),3.09055555555555)</f>
        <v>3.090555556</v>
      </c>
      <c r="Z273" s="33">
        <f>IFERROR(__xludf.DUMMYFUNCTION("""COMPUTED_VALUE"""),2.21833333333333)</f>
        <v>2.218333333</v>
      </c>
      <c r="AA273" s="33">
        <f>IFERROR(__xludf.DUMMYFUNCTION("""COMPUTED_VALUE"""),1.92583333333333)</f>
        <v>1.925833333</v>
      </c>
      <c r="AB273" s="33">
        <f>IFERROR(__xludf.DUMMYFUNCTION("""COMPUTED_VALUE"""),3.055)</f>
        <v>3.055</v>
      </c>
      <c r="AC273" s="33">
        <f>IFERROR(__xludf.DUMMYFUNCTION("""COMPUTED_VALUE"""),3.29027777777777)</f>
        <v>3.290277778</v>
      </c>
      <c r="AD273" s="33">
        <f>IFERROR(__xludf.DUMMYFUNCTION("""COMPUTED_VALUE"""),1.85055555555555)</f>
        <v>1.850555556</v>
      </c>
      <c r="AE273" s="33">
        <f>IFERROR(__xludf.DUMMYFUNCTION("""COMPUTED_VALUE"""),3.29027777777777)</f>
        <v>3.290277778</v>
      </c>
      <c r="AF273" s="33">
        <f>IFERROR(__xludf.DUMMYFUNCTION("""COMPUTED_VALUE"""),25.0)</f>
        <v>25</v>
      </c>
    </row>
    <row r="274">
      <c r="A274" s="49">
        <f>IFERROR(__xludf.DUMMYFUNCTION("""COMPUTED_VALUE"""),46083.0)</f>
        <v>46083</v>
      </c>
      <c r="B274" s="33" t="str">
        <f>IFERROR(__xludf.DUMMYFUNCTION("""COMPUTED_VALUE"""),"a3ba65aa427077188e1ad7dbcbcafae266683ca9")</f>
        <v>a3ba65aa427077188e1ad7dbcbcafae266683ca9</v>
      </c>
      <c r="C274" s="33" t="str">
        <f>IFERROR(__xludf.DUMMYFUNCTION("""COMPUTED_VALUE"""),"The Warrior | Author - Dayaram Prajapati")</f>
        <v>The Warrior | Author - Dayaram Prajapati</v>
      </c>
      <c r="D274" s="33">
        <f>IFERROR(__xludf.DUMMYFUNCTION("""COMPUTED_VALUE"""),0.0)</f>
        <v>0</v>
      </c>
      <c r="E274" s="33">
        <f>IFERROR(__xludf.DUMMYFUNCTION("""COMPUTED_VALUE"""),5.0)</f>
        <v>5</v>
      </c>
      <c r="F274" s="33">
        <f>IFERROR(__xludf.DUMMYFUNCTION("""COMPUTED_VALUE"""),0.0)</f>
        <v>0</v>
      </c>
      <c r="G274" s="33">
        <f>IFERROR(__xludf.DUMMYFUNCTION("""COMPUTED_VALUE"""),0.0)</f>
        <v>0</v>
      </c>
      <c r="H274" s="33">
        <f>IFERROR(__xludf.DUMMYFUNCTION("""COMPUTED_VALUE"""),0.0)</f>
        <v>0</v>
      </c>
      <c r="I274" s="33">
        <f>IFERROR(__xludf.DUMMYFUNCTION("""COMPUTED_VALUE"""),0.0)</f>
        <v>0</v>
      </c>
      <c r="J274" s="33">
        <f>IFERROR(__xludf.DUMMYFUNCTION("""COMPUTED_VALUE"""),0.0)</f>
        <v>0</v>
      </c>
      <c r="K274" s="33">
        <f>IFERROR(__xludf.DUMMYFUNCTION("""COMPUTED_VALUE"""),0.0)</f>
        <v>0</v>
      </c>
      <c r="L274" s="33">
        <f>IFERROR(__xludf.DUMMYFUNCTION("""COMPUTED_VALUE"""),0.0)</f>
        <v>0</v>
      </c>
      <c r="M274" s="33">
        <f>IFERROR(__xludf.DUMMYFUNCTION("""COMPUTED_VALUE"""),0.0)</f>
        <v>0</v>
      </c>
      <c r="N274" s="33">
        <f>IFERROR(__xludf.DUMMYFUNCTION("""COMPUTED_VALUE"""),5.0)</f>
        <v>5</v>
      </c>
      <c r="O274" s="33">
        <f>IFERROR(__xludf.DUMMYFUNCTION("""COMPUTED_VALUE"""),4.0)</f>
        <v>4</v>
      </c>
      <c r="P274" s="33">
        <f>IFERROR(__xludf.DUMMYFUNCTION("""COMPUTED_VALUE"""),5.0)</f>
        <v>5</v>
      </c>
      <c r="Q274" s="33">
        <f>IFERROR(__xludf.DUMMYFUNCTION("""COMPUTED_VALUE"""),0.0)</f>
        <v>0</v>
      </c>
      <c r="R274" s="33">
        <f>IFERROR(__xludf.DUMMYFUNCTION("""COMPUTED_VALUE"""),0.0)</f>
        <v>0</v>
      </c>
      <c r="S274" s="33">
        <f>IFERROR(__xludf.DUMMYFUNCTION("""COMPUTED_VALUE"""),14420.0)</f>
        <v>14420</v>
      </c>
      <c r="T274" s="33">
        <f>IFERROR(__xludf.DUMMYFUNCTION("""COMPUTED_VALUE"""),0.0)</f>
        <v>0</v>
      </c>
      <c r="U274" s="33">
        <f>IFERROR(__xludf.DUMMYFUNCTION("""COMPUTED_VALUE"""),0.0)</f>
        <v>0</v>
      </c>
      <c r="V274" s="33">
        <f>IFERROR(__xludf.DUMMYFUNCTION("""COMPUTED_VALUE"""),0.0)</f>
        <v>0</v>
      </c>
      <c r="W274" s="33">
        <f>IFERROR(__xludf.DUMMYFUNCTION("""COMPUTED_VALUE"""),0.0)</f>
        <v>0</v>
      </c>
      <c r="X274" s="33">
        <f>IFERROR(__xludf.DUMMYFUNCTION("""COMPUTED_VALUE"""),0.0)</f>
        <v>0</v>
      </c>
      <c r="Y274" s="33">
        <f>IFERROR(__xludf.DUMMYFUNCTION("""COMPUTED_VALUE"""),0.0)</f>
        <v>0</v>
      </c>
      <c r="Z274" s="33">
        <f>IFERROR(__xludf.DUMMYFUNCTION("""COMPUTED_VALUE"""),0.0)</f>
        <v>0</v>
      </c>
      <c r="AA274" s="33">
        <f>IFERROR(__xludf.DUMMYFUNCTION("""COMPUTED_VALUE"""),0.0)</f>
        <v>0</v>
      </c>
      <c r="AB274" s="33">
        <f>IFERROR(__xludf.DUMMYFUNCTION("""COMPUTED_VALUE"""),0.0)</f>
        <v>0</v>
      </c>
      <c r="AC274" s="33">
        <f>IFERROR(__xludf.DUMMYFUNCTION("""COMPUTED_VALUE"""),1.47722222222222)</f>
        <v>1.477222222</v>
      </c>
      <c r="AD274" s="33">
        <f>IFERROR(__xludf.DUMMYFUNCTION("""COMPUTED_VALUE"""),1.00805555555555)</f>
        <v>1.008055556</v>
      </c>
      <c r="AE274" s="33">
        <f>IFERROR(__xludf.DUMMYFUNCTION("""COMPUTED_VALUE"""),1.47722222222222)</f>
        <v>1.477222222</v>
      </c>
      <c r="AF274" s="33">
        <f>IFERROR(__xludf.DUMMYFUNCTION("""COMPUTED_VALUE"""),0.0)</f>
        <v>0</v>
      </c>
    </row>
    <row r="275">
      <c r="A275" s="49">
        <f>IFERROR(__xludf.DUMMYFUNCTION("""COMPUTED_VALUE"""),46083.0)</f>
        <v>46083</v>
      </c>
      <c r="B275" s="33" t="str">
        <f>IFERROR(__xludf.DUMMYFUNCTION("""COMPUTED_VALUE"""),"aa81f1feb820ed6f22bd7b22b55890db740929cb")</f>
        <v>aa81f1feb820ed6f22bd7b22b55890db740929cb</v>
      </c>
      <c r="C275" s="33" t="str">
        <f>IFERROR(__xludf.DUMMYFUNCTION("""COMPUTED_VALUE"""),"Shunya Samrat")</f>
        <v>Shunya Samrat</v>
      </c>
      <c r="D275" s="33">
        <f>IFERROR(__xludf.DUMMYFUNCTION("""COMPUTED_VALUE"""),5.0)</f>
        <v>5</v>
      </c>
      <c r="E275" s="33">
        <f>IFERROR(__xludf.DUMMYFUNCTION("""COMPUTED_VALUE"""),5.0)</f>
        <v>5</v>
      </c>
      <c r="F275" s="33">
        <f>IFERROR(__xludf.DUMMYFUNCTION("""COMPUTED_VALUE"""),0.0)</f>
        <v>0</v>
      </c>
      <c r="G275" s="33">
        <f>IFERROR(__xludf.DUMMYFUNCTION("""COMPUTED_VALUE"""),0.0)</f>
        <v>0</v>
      </c>
      <c r="H275" s="33">
        <f>IFERROR(__xludf.DUMMYFUNCTION("""COMPUTED_VALUE"""),0.0)</f>
        <v>0</v>
      </c>
      <c r="I275" s="33">
        <f>IFERROR(__xludf.DUMMYFUNCTION("""COMPUTED_VALUE"""),0.0)</f>
        <v>0</v>
      </c>
      <c r="J275" s="33">
        <f>IFERROR(__xludf.DUMMYFUNCTION("""COMPUTED_VALUE"""),0.0)</f>
        <v>0</v>
      </c>
      <c r="K275" s="33">
        <f>IFERROR(__xludf.DUMMYFUNCTION("""COMPUTED_VALUE"""),0.0)</f>
        <v>0</v>
      </c>
      <c r="L275" s="33">
        <f>IFERROR(__xludf.DUMMYFUNCTION("""COMPUTED_VALUE"""),0.0)</f>
        <v>0</v>
      </c>
      <c r="M275" s="33">
        <f>IFERROR(__xludf.DUMMYFUNCTION("""COMPUTED_VALUE"""),0.0)</f>
        <v>0</v>
      </c>
      <c r="N275" s="33">
        <f>IFERROR(__xludf.DUMMYFUNCTION("""COMPUTED_VALUE"""),5.0)</f>
        <v>5</v>
      </c>
      <c r="O275" s="33">
        <f>IFERROR(__xludf.DUMMYFUNCTION("""COMPUTED_VALUE"""),3.0)</f>
        <v>3</v>
      </c>
      <c r="P275" s="33">
        <f>IFERROR(__xludf.DUMMYFUNCTION("""COMPUTED_VALUE"""),5.0)</f>
        <v>5</v>
      </c>
      <c r="Q275" s="33">
        <f>IFERROR(__xludf.DUMMYFUNCTION("""COMPUTED_VALUE"""),0.0)</f>
        <v>0</v>
      </c>
      <c r="R275" s="33">
        <f>IFERROR(__xludf.DUMMYFUNCTION("""COMPUTED_VALUE"""),11419.0)</f>
        <v>11419</v>
      </c>
      <c r="S275" s="33">
        <f>IFERROR(__xludf.DUMMYFUNCTION("""COMPUTED_VALUE"""),11419.0)</f>
        <v>11419</v>
      </c>
      <c r="T275" s="33">
        <f>IFERROR(__xludf.DUMMYFUNCTION("""COMPUTED_VALUE"""),0.0)</f>
        <v>0</v>
      </c>
      <c r="U275" s="33">
        <f>IFERROR(__xludf.DUMMYFUNCTION("""COMPUTED_VALUE"""),0.0)</f>
        <v>0</v>
      </c>
      <c r="V275" s="33">
        <f>IFERROR(__xludf.DUMMYFUNCTION("""COMPUTED_VALUE"""),0.0)</f>
        <v>0</v>
      </c>
      <c r="W275" s="33">
        <f>IFERROR(__xludf.DUMMYFUNCTION("""COMPUTED_VALUE"""),0.0)</f>
        <v>0</v>
      </c>
      <c r="X275" s="33">
        <f>IFERROR(__xludf.DUMMYFUNCTION("""COMPUTED_VALUE"""),0.0)</f>
        <v>0</v>
      </c>
      <c r="Y275" s="33">
        <f>IFERROR(__xludf.DUMMYFUNCTION("""COMPUTED_VALUE"""),0.0)</f>
        <v>0</v>
      </c>
      <c r="Z275" s="33">
        <f>IFERROR(__xludf.DUMMYFUNCTION("""COMPUTED_VALUE"""),0.0)</f>
        <v>0</v>
      </c>
      <c r="AA275" s="33">
        <f>IFERROR(__xludf.DUMMYFUNCTION("""COMPUTED_VALUE"""),0.0)</f>
        <v>0</v>
      </c>
      <c r="AB275" s="33">
        <f>IFERROR(__xludf.DUMMYFUNCTION("""COMPUTED_VALUE"""),0.0)</f>
        <v>0</v>
      </c>
      <c r="AC275" s="33">
        <f>IFERROR(__xludf.DUMMYFUNCTION("""COMPUTED_VALUE"""),1.17166666666666)</f>
        <v>1.171666667</v>
      </c>
      <c r="AD275" s="33">
        <f>IFERROR(__xludf.DUMMYFUNCTION("""COMPUTED_VALUE"""),0.624722222222222)</f>
        <v>0.6247222222</v>
      </c>
      <c r="AE275" s="33">
        <f>IFERROR(__xludf.DUMMYFUNCTION("""COMPUTED_VALUE"""),1.17166666666666)</f>
        <v>1.171666667</v>
      </c>
      <c r="AF275" s="33">
        <f>IFERROR(__xludf.DUMMYFUNCTION("""COMPUTED_VALUE"""),0.0)</f>
        <v>0</v>
      </c>
    </row>
    <row r="276">
      <c r="A276" s="49">
        <f>IFERROR(__xludf.DUMMYFUNCTION("""COMPUTED_VALUE"""),46083.0)</f>
        <v>46083</v>
      </c>
      <c r="B276" s="33" t="str">
        <f>IFERROR(__xludf.DUMMYFUNCTION("""COMPUTED_VALUE"""),"b236b697a3dda78049a484b58d63a75f4503ad66")</f>
        <v>b236b697a3dda78049a484b58d63a75f4503ad66</v>
      </c>
      <c r="C276" s="33" t="str">
        <f>IFERROR(__xludf.DUMMYFUNCTION("""COMPUTED_VALUE"""),"Rudra - Rise of Supreme Yoddha - Production Show_id")</f>
        <v>Rudra - Rise of Supreme Yoddha - Production Show_id</v>
      </c>
      <c r="D276" s="33">
        <f>IFERROR(__xludf.DUMMYFUNCTION("""COMPUTED_VALUE"""),0.0)</f>
        <v>0</v>
      </c>
      <c r="E276" s="33">
        <f>IFERROR(__xludf.DUMMYFUNCTION("""COMPUTED_VALUE"""),5.0)</f>
        <v>5</v>
      </c>
      <c r="F276" s="33">
        <f>IFERROR(__xludf.DUMMYFUNCTION("""COMPUTED_VALUE"""),7.0)</f>
        <v>7</v>
      </c>
      <c r="G276" s="33">
        <f>IFERROR(__xludf.DUMMYFUNCTION("""COMPUTED_VALUE"""),5.0)</f>
        <v>5</v>
      </c>
      <c r="H276" s="33">
        <f>IFERROR(__xludf.DUMMYFUNCTION("""COMPUTED_VALUE"""),14.0)</f>
        <v>14</v>
      </c>
      <c r="I276" s="33">
        <f>IFERROR(__xludf.DUMMYFUNCTION("""COMPUTED_VALUE"""),9.0)</f>
        <v>9</v>
      </c>
      <c r="J276" s="33">
        <f>IFERROR(__xludf.DUMMYFUNCTION("""COMPUTED_VALUE"""),13.0)</f>
        <v>13</v>
      </c>
      <c r="K276" s="33">
        <f>IFERROR(__xludf.DUMMYFUNCTION("""COMPUTED_VALUE"""),5.0)</f>
        <v>5</v>
      </c>
      <c r="L276" s="33">
        <f>IFERROR(__xludf.DUMMYFUNCTION("""COMPUTED_VALUE"""),2.0)</f>
        <v>2</v>
      </c>
      <c r="M276" s="33">
        <f>IFERROR(__xludf.DUMMYFUNCTION("""COMPUTED_VALUE"""),10.0)</f>
        <v>10</v>
      </c>
      <c r="N276" s="33">
        <f>IFERROR(__xludf.DUMMYFUNCTION("""COMPUTED_VALUE"""),10.0)</f>
        <v>10</v>
      </c>
      <c r="O276" s="33">
        <f>IFERROR(__xludf.DUMMYFUNCTION("""COMPUTED_VALUE"""),6.0)</f>
        <v>6</v>
      </c>
      <c r="P276" s="33">
        <f>IFERROR(__xludf.DUMMYFUNCTION("""COMPUTED_VALUE"""),10.0)</f>
        <v>10</v>
      </c>
      <c r="Q276" s="33">
        <f>IFERROR(__xludf.DUMMYFUNCTION("""COMPUTED_VALUE"""),0.0)</f>
        <v>0</v>
      </c>
      <c r="R276" s="33">
        <f>IFERROR(__xludf.DUMMYFUNCTION("""COMPUTED_VALUE"""),0.0)</f>
        <v>0</v>
      </c>
      <c r="S276" s="33">
        <f>IFERROR(__xludf.DUMMYFUNCTION("""COMPUTED_VALUE"""),10362.0)</f>
        <v>10362</v>
      </c>
      <c r="T276" s="33">
        <f>IFERROR(__xludf.DUMMYFUNCTION("""COMPUTED_VALUE"""),3.3425)</f>
        <v>3.3425</v>
      </c>
      <c r="U276" s="33">
        <f>IFERROR(__xludf.DUMMYFUNCTION("""COMPUTED_VALUE"""),1.35222222222222)</f>
        <v>1.352222222</v>
      </c>
      <c r="V276" s="33">
        <f>IFERROR(__xludf.DUMMYFUNCTION("""COMPUTED_VALUE"""),0.938611111111111)</f>
        <v>0.9386111111</v>
      </c>
      <c r="W276" s="33">
        <f>IFERROR(__xludf.DUMMYFUNCTION("""COMPUTED_VALUE"""),2.67861111111111)</f>
        <v>2.678611111</v>
      </c>
      <c r="X276" s="33">
        <f>IFERROR(__xludf.DUMMYFUNCTION("""COMPUTED_VALUE"""),1.74)</f>
        <v>1.74</v>
      </c>
      <c r="Y276" s="33">
        <f>IFERROR(__xludf.DUMMYFUNCTION("""COMPUTED_VALUE"""),2.48722222222222)</f>
        <v>2.487222222</v>
      </c>
      <c r="Z276" s="33">
        <f>IFERROR(__xludf.DUMMYFUNCTION("""COMPUTED_VALUE"""),0.986388888888889)</f>
        <v>0.9863888889</v>
      </c>
      <c r="AA276" s="33">
        <f>IFERROR(__xludf.DUMMYFUNCTION("""COMPUTED_VALUE"""),0.3925)</f>
        <v>0.3925</v>
      </c>
      <c r="AB276" s="33">
        <f>IFERROR(__xludf.DUMMYFUNCTION("""COMPUTED_VALUE"""),1.94861111111111)</f>
        <v>1.948611111</v>
      </c>
      <c r="AC276" s="33">
        <f>IFERROR(__xludf.DUMMYFUNCTION("""COMPUTED_VALUE"""),1.94861111111111)</f>
        <v>1.948611111</v>
      </c>
      <c r="AD276" s="33">
        <f>IFERROR(__xludf.DUMMYFUNCTION("""COMPUTED_VALUE"""),1.16333333333333)</f>
        <v>1.163333333</v>
      </c>
      <c r="AE276" s="33">
        <f>IFERROR(__xludf.DUMMYFUNCTION("""COMPUTED_VALUE"""),1.94861111111111)</f>
        <v>1.948611111</v>
      </c>
      <c r="AF276" s="33">
        <f>IFERROR(__xludf.DUMMYFUNCTION("""COMPUTED_VALUE"""),17.0)</f>
        <v>17</v>
      </c>
    </row>
    <row r="277">
      <c r="A277" s="49">
        <f>IFERROR(__xludf.DUMMYFUNCTION("""COMPUTED_VALUE"""),46083.0)</f>
        <v>46083</v>
      </c>
      <c r="B277" s="33" t="str">
        <f>IFERROR(__xludf.DUMMYFUNCTION("""COMPUTED_VALUE"""),"b4277fe045604b0c31d4c58c59733d8d995662ff")</f>
        <v>b4277fe045604b0c31d4c58c59733d8d995662ff</v>
      </c>
      <c r="C277" s="33" t="str">
        <f>IFERROR(__xludf.DUMMYFUNCTION("""COMPUTED_VALUE"""),"Divine Power - Production Show_id")</f>
        <v>Divine Power - Production Show_id</v>
      </c>
      <c r="D277" s="33">
        <f>IFERROR(__xludf.DUMMYFUNCTION("""COMPUTED_VALUE"""),5.0)</f>
        <v>5</v>
      </c>
      <c r="E277" s="33">
        <f>IFERROR(__xludf.DUMMYFUNCTION("""COMPUTED_VALUE"""),9.0)</f>
        <v>9</v>
      </c>
      <c r="F277" s="33">
        <f>IFERROR(__xludf.DUMMYFUNCTION("""COMPUTED_VALUE"""),0.0)</f>
        <v>0</v>
      </c>
      <c r="G277" s="33">
        <f>IFERROR(__xludf.DUMMYFUNCTION("""COMPUTED_VALUE"""),0.0)</f>
        <v>0</v>
      </c>
      <c r="H277" s="33">
        <f>IFERROR(__xludf.DUMMYFUNCTION("""COMPUTED_VALUE"""),0.0)</f>
        <v>0</v>
      </c>
      <c r="I277" s="33">
        <f>IFERROR(__xludf.DUMMYFUNCTION("""COMPUTED_VALUE"""),0.0)</f>
        <v>0</v>
      </c>
      <c r="J277" s="33">
        <f>IFERROR(__xludf.DUMMYFUNCTION("""COMPUTED_VALUE"""),0.0)</f>
        <v>0</v>
      </c>
      <c r="K277" s="33">
        <f>IFERROR(__xludf.DUMMYFUNCTION("""COMPUTED_VALUE"""),0.0)</f>
        <v>0</v>
      </c>
      <c r="L277" s="33">
        <f>IFERROR(__xludf.DUMMYFUNCTION("""COMPUTED_VALUE"""),0.0)</f>
        <v>0</v>
      </c>
      <c r="M277" s="33">
        <f>IFERROR(__xludf.DUMMYFUNCTION("""COMPUTED_VALUE"""),0.0)</f>
        <v>0</v>
      </c>
      <c r="N277" s="33">
        <f>IFERROR(__xludf.DUMMYFUNCTION("""COMPUTED_VALUE"""),0.0)</f>
        <v>0</v>
      </c>
      <c r="O277" s="33">
        <f>IFERROR(__xludf.DUMMYFUNCTION("""COMPUTED_VALUE"""),0.0)</f>
        <v>0</v>
      </c>
      <c r="P277" s="33">
        <f>IFERROR(__xludf.DUMMYFUNCTION("""COMPUTED_VALUE"""),0.0)</f>
        <v>0</v>
      </c>
      <c r="Q277" s="33">
        <f>IFERROR(__xludf.DUMMYFUNCTION("""COMPUTED_VALUE"""),0.0)</f>
        <v>0</v>
      </c>
      <c r="R277" s="33">
        <f>IFERROR(__xludf.DUMMYFUNCTION("""COMPUTED_VALUE"""),12240.0)</f>
        <v>12240</v>
      </c>
      <c r="S277" s="33">
        <f>IFERROR(__xludf.DUMMYFUNCTION("""COMPUTED_VALUE"""),23539.0)</f>
        <v>23539</v>
      </c>
      <c r="T277" s="33">
        <f>IFERROR(__xludf.DUMMYFUNCTION("""COMPUTED_VALUE"""),0.318888888888888)</f>
        <v>0.3188888889</v>
      </c>
      <c r="U277" s="33">
        <f>IFERROR(__xludf.DUMMYFUNCTION("""COMPUTED_VALUE"""),0.0)</f>
        <v>0</v>
      </c>
      <c r="V277" s="33">
        <f>IFERROR(__xludf.DUMMYFUNCTION("""COMPUTED_VALUE"""),0.0)</f>
        <v>0</v>
      </c>
      <c r="W277" s="33">
        <f>IFERROR(__xludf.DUMMYFUNCTION("""COMPUTED_VALUE"""),0.0)</f>
        <v>0</v>
      </c>
      <c r="X277" s="33">
        <f>IFERROR(__xludf.DUMMYFUNCTION("""COMPUTED_VALUE"""),0.0)</f>
        <v>0</v>
      </c>
      <c r="Y277" s="33">
        <f>IFERROR(__xludf.DUMMYFUNCTION("""COMPUTED_VALUE"""),0.0)</f>
        <v>0</v>
      </c>
      <c r="Z277" s="33">
        <f>IFERROR(__xludf.DUMMYFUNCTION("""COMPUTED_VALUE"""),0.0)</f>
        <v>0</v>
      </c>
      <c r="AA277" s="33">
        <f>IFERROR(__xludf.DUMMYFUNCTION("""COMPUTED_VALUE"""),0.0)</f>
        <v>0</v>
      </c>
      <c r="AB277" s="33">
        <f>IFERROR(__xludf.DUMMYFUNCTION("""COMPUTED_VALUE"""),0.0)</f>
        <v>0</v>
      </c>
      <c r="AC277" s="33">
        <f>IFERROR(__xludf.DUMMYFUNCTION("""COMPUTED_VALUE"""),0.0)</f>
        <v>0</v>
      </c>
      <c r="AD277" s="33">
        <f>IFERROR(__xludf.DUMMYFUNCTION("""COMPUTED_VALUE"""),0.0)</f>
        <v>0</v>
      </c>
      <c r="AE277" s="33">
        <f>IFERROR(__xludf.DUMMYFUNCTION("""COMPUTED_VALUE"""),0.0)</f>
        <v>0</v>
      </c>
      <c r="AF277" s="33">
        <f>IFERROR(__xludf.DUMMYFUNCTION("""COMPUTED_VALUE"""),1.0)</f>
        <v>1</v>
      </c>
    </row>
    <row r="278">
      <c r="A278" s="49">
        <f>IFERROR(__xludf.DUMMYFUNCTION("""COMPUTED_VALUE"""),46083.0)</f>
        <v>46083</v>
      </c>
      <c r="B278" s="33" t="str">
        <f>IFERROR(__xludf.DUMMYFUNCTION("""COMPUTED_VALUE"""),"b9727274f880f47671ad54caad4904a491fad9c7")</f>
        <v>b9727274f880f47671ad54caad4904a491fad9c7</v>
      </c>
      <c r="C278" s="33" t="str">
        <f>IFERROR(__xludf.DUMMYFUNCTION("""COMPUTED_VALUE"""),"Brahmand Ka Rakshak - Production Show")</f>
        <v>Brahmand Ka Rakshak - Production Show</v>
      </c>
      <c r="D278" s="33">
        <f>IFERROR(__xludf.DUMMYFUNCTION("""COMPUTED_VALUE"""),21.0)</f>
        <v>21</v>
      </c>
      <c r="E278" s="33">
        <f>IFERROR(__xludf.DUMMYFUNCTION("""COMPUTED_VALUE"""),28.0)</f>
        <v>28</v>
      </c>
      <c r="F278" s="33">
        <f>IFERROR(__xludf.DUMMYFUNCTION("""COMPUTED_VALUE"""),11.0)</f>
        <v>11</v>
      </c>
      <c r="G278" s="33">
        <f>IFERROR(__xludf.DUMMYFUNCTION("""COMPUTED_VALUE"""),12.0)</f>
        <v>12</v>
      </c>
      <c r="H278" s="33">
        <f>IFERROR(__xludf.DUMMYFUNCTION("""COMPUTED_VALUE"""),31.0)</f>
        <v>31</v>
      </c>
      <c r="I278" s="33">
        <f>IFERROR(__xludf.DUMMYFUNCTION("""COMPUTED_VALUE"""),19.0)</f>
        <v>19</v>
      </c>
      <c r="J278" s="33">
        <f>IFERROR(__xludf.DUMMYFUNCTION("""COMPUTED_VALUE"""),29.0)</f>
        <v>29</v>
      </c>
      <c r="K278" s="33">
        <f>IFERROR(__xludf.DUMMYFUNCTION("""COMPUTED_VALUE"""),4.0)</f>
        <v>4</v>
      </c>
      <c r="L278" s="33">
        <f>IFERROR(__xludf.DUMMYFUNCTION("""COMPUTED_VALUE"""),11.0)</f>
        <v>11</v>
      </c>
      <c r="M278" s="33">
        <f>IFERROR(__xludf.DUMMYFUNCTION("""COMPUTED_VALUE"""),28.0)</f>
        <v>28</v>
      </c>
      <c r="N278" s="33">
        <f>IFERROR(__xludf.DUMMYFUNCTION("""COMPUTED_VALUE"""),25.0)</f>
        <v>25</v>
      </c>
      <c r="O278" s="33">
        <f>IFERROR(__xludf.DUMMYFUNCTION("""COMPUTED_VALUE"""),6.0)</f>
        <v>6</v>
      </c>
      <c r="P278" s="33">
        <f>IFERROR(__xludf.DUMMYFUNCTION("""COMPUTED_VALUE"""),25.0)</f>
        <v>25</v>
      </c>
      <c r="Q278" s="33">
        <f>IFERROR(__xludf.DUMMYFUNCTION("""COMPUTED_VALUE"""),0.0)</f>
        <v>0</v>
      </c>
      <c r="R278" s="33">
        <f>IFERROR(__xludf.DUMMYFUNCTION("""COMPUTED_VALUE"""),46178.0)</f>
        <v>46178</v>
      </c>
      <c r="S278" s="33">
        <f>IFERROR(__xludf.DUMMYFUNCTION("""COMPUTED_VALUE"""),68067.0)</f>
        <v>68067</v>
      </c>
      <c r="T278" s="33">
        <f>IFERROR(__xludf.DUMMYFUNCTION("""COMPUTED_VALUE"""),6.22305555555555)</f>
        <v>6.223055556</v>
      </c>
      <c r="U278" s="33">
        <f>IFERROR(__xludf.DUMMYFUNCTION("""COMPUTED_VALUE"""),2.39611111111111)</f>
        <v>2.396111111</v>
      </c>
      <c r="V278" s="33">
        <f>IFERROR(__xludf.DUMMYFUNCTION("""COMPUTED_VALUE"""),2.60694444444444)</f>
        <v>2.606944444</v>
      </c>
      <c r="W278" s="33">
        <f>IFERROR(__xludf.DUMMYFUNCTION("""COMPUTED_VALUE"""),6.43388888888888)</f>
        <v>6.433888889</v>
      </c>
      <c r="X278" s="33">
        <f>IFERROR(__xludf.DUMMYFUNCTION("""COMPUTED_VALUE"""),3.82694444444444)</f>
        <v>3.826944444</v>
      </c>
      <c r="Y278" s="33">
        <f>IFERROR(__xludf.DUMMYFUNCTION("""COMPUTED_VALUE"""),6.03972222222222)</f>
        <v>6.039722222</v>
      </c>
      <c r="Z278" s="33">
        <f>IFERROR(__xludf.DUMMYFUNCTION("""COMPUTED_VALUE"""),0.876111111111111)</f>
        <v>0.8761111111</v>
      </c>
      <c r="AA278" s="33">
        <f>IFERROR(__xludf.DUMMYFUNCTION("""COMPUTED_VALUE"""),2.29083333333333)</f>
        <v>2.290833333</v>
      </c>
      <c r="AB278" s="33">
        <f>IFERROR(__xludf.DUMMYFUNCTION("""COMPUTED_VALUE"""),5.89194444444444)</f>
        <v>5.891944444</v>
      </c>
      <c r="AC278" s="33">
        <f>IFERROR(__xludf.DUMMYFUNCTION("""COMPUTED_VALUE"""),5.21833333333333)</f>
        <v>5.218333333</v>
      </c>
      <c r="AD278" s="33">
        <f>IFERROR(__xludf.DUMMYFUNCTION("""COMPUTED_VALUE"""),1.15694444444444)</f>
        <v>1.156944444</v>
      </c>
      <c r="AE278" s="33">
        <f>IFERROR(__xludf.DUMMYFUNCTION("""COMPUTED_VALUE"""),5.21833333333333)</f>
        <v>5.218333333</v>
      </c>
      <c r="AF278" s="33">
        <f>IFERROR(__xludf.DUMMYFUNCTION("""COMPUTED_VALUE"""),30.0)</f>
        <v>30</v>
      </c>
    </row>
    <row r="279">
      <c r="A279" s="49">
        <f>IFERROR(__xludf.DUMMYFUNCTION("""COMPUTED_VALUE"""),46083.0)</f>
        <v>46083</v>
      </c>
      <c r="B279" s="33" t="str">
        <f>IFERROR(__xludf.DUMMYFUNCTION("""COMPUTED_VALUE"""),"bb6f447c782519839d8793fda0d35f90bad4421a")</f>
        <v>bb6f447c782519839d8793fda0d35f90bad4421a</v>
      </c>
      <c r="C279" s="33" t="str">
        <f>IFERROR(__xludf.DUMMYFUNCTION("""COMPUTED_VALUE"""),"Ruthless")</f>
        <v>Ruthless</v>
      </c>
      <c r="D279" s="33">
        <f>IFERROR(__xludf.DUMMYFUNCTION("""COMPUTED_VALUE"""),9.0)</f>
        <v>9</v>
      </c>
      <c r="E279" s="33">
        <f>IFERROR(__xludf.DUMMYFUNCTION("""COMPUTED_VALUE"""),2.0)</f>
        <v>2</v>
      </c>
      <c r="F279" s="33">
        <f>IFERROR(__xludf.DUMMYFUNCTION("""COMPUTED_VALUE"""),6.0)</f>
        <v>6</v>
      </c>
      <c r="G279" s="33">
        <f>IFERROR(__xludf.DUMMYFUNCTION("""COMPUTED_VALUE"""),0.0)</f>
        <v>0</v>
      </c>
      <c r="H279" s="33">
        <f>IFERROR(__xludf.DUMMYFUNCTION("""COMPUTED_VALUE"""),12.0)</f>
        <v>12</v>
      </c>
      <c r="I279" s="33">
        <f>IFERROR(__xludf.DUMMYFUNCTION("""COMPUTED_VALUE"""),1.0)</f>
        <v>1</v>
      </c>
      <c r="J279" s="33">
        <f>IFERROR(__xludf.DUMMYFUNCTION("""COMPUTED_VALUE"""),14.0)</f>
        <v>14</v>
      </c>
      <c r="K279" s="33">
        <f>IFERROR(__xludf.DUMMYFUNCTION("""COMPUTED_VALUE"""),8.0)</f>
        <v>8</v>
      </c>
      <c r="L279" s="33">
        <f>IFERROR(__xludf.DUMMYFUNCTION("""COMPUTED_VALUE"""),0.0)</f>
        <v>0</v>
      </c>
      <c r="M279" s="33">
        <f>IFERROR(__xludf.DUMMYFUNCTION("""COMPUTED_VALUE"""),16.0)</f>
        <v>16</v>
      </c>
      <c r="N279" s="33">
        <f>IFERROR(__xludf.DUMMYFUNCTION("""COMPUTED_VALUE"""),16.0)</f>
        <v>16</v>
      </c>
      <c r="O279" s="33">
        <f>IFERROR(__xludf.DUMMYFUNCTION("""COMPUTED_VALUE"""),5.0)</f>
        <v>5</v>
      </c>
      <c r="P279" s="33">
        <f>IFERROR(__xludf.DUMMYFUNCTION("""COMPUTED_VALUE"""),16.0)</f>
        <v>16</v>
      </c>
      <c r="Q279" s="33">
        <f>IFERROR(__xludf.DUMMYFUNCTION("""COMPUTED_VALUE"""),0.0)</f>
        <v>0</v>
      </c>
      <c r="R279" s="33">
        <f>IFERROR(__xludf.DUMMYFUNCTION("""COMPUTED_VALUE"""),20705.0)</f>
        <v>20705</v>
      </c>
      <c r="S279" s="33">
        <f>IFERROR(__xludf.DUMMYFUNCTION("""COMPUTED_VALUE"""),4623.0)</f>
        <v>4623</v>
      </c>
      <c r="T279" s="33">
        <f>IFERROR(__xludf.DUMMYFUNCTION("""COMPUTED_VALUE"""),2.54833333333333)</f>
        <v>2.548333333</v>
      </c>
      <c r="U279" s="33">
        <f>IFERROR(__xludf.DUMMYFUNCTION("""COMPUTED_VALUE"""),1.1925)</f>
        <v>1.1925</v>
      </c>
      <c r="V279" s="33">
        <f>IFERROR(__xludf.DUMMYFUNCTION("""COMPUTED_VALUE"""),0.0)</f>
        <v>0</v>
      </c>
      <c r="W279" s="33">
        <f>IFERROR(__xludf.DUMMYFUNCTION("""COMPUTED_VALUE"""),2.55333333333333)</f>
        <v>2.553333333</v>
      </c>
      <c r="X279" s="33">
        <f>IFERROR(__xludf.DUMMYFUNCTION("""COMPUTED_VALUE"""),0.181944444444444)</f>
        <v>0.1819444444</v>
      </c>
      <c r="Y279" s="33">
        <f>IFERROR(__xludf.DUMMYFUNCTION("""COMPUTED_VALUE"""),3.06555555555555)</f>
        <v>3.065555556</v>
      </c>
      <c r="Z279" s="33">
        <f>IFERROR(__xludf.DUMMYFUNCTION("""COMPUTED_VALUE"""),1.76722222222222)</f>
        <v>1.767222222</v>
      </c>
      <c r="AA279" s="33">
        <f>IFERROR(__xludf.DUMMYFUNCTION("""COMPUTED_VALUE"""),0.0)</f>
        <v>0</v>
      </c>
      <c r="AB279" s="33">
        <f>IFERROR(__xludf.DUMMYFUNCTION("""COMPUTED_VALUE"""),3.58555555555555)</f>
        <v>3.585555556</v>
      </c>
      <c r="AC279" s="33">
        <f>IFERROR(__xludf.DUMMYFUNCTION("""COMPUTED_VALUE"""),3.58555555555555)</f>
        <v>3.585555556</v>
      </c>
      <c r="AD279" s="33">
        <f>IFERROR(__xludf.DUMMYFUNCTION("""COMPUTED_VALUE"""),1.19888888888888)</f>
        <v>1.198888889</v>
      </c>
      <c r="AE279" s="33">
        <f>IFERROR(__xludf.DUMMYFUNCTION("""COMPUTED_VALUE"""),3.58555555555555)</f>
        <v>3.585555556</v>
      </c>
      <c r="AF279" s="33">
        <f>IFERROR(__xludf.DUMMYFUNCTION("""COMPUTED_VALUE"""),13.0)</f>
        <v>13</v>
      </c>
    </row>
    <row r="280">
      <c r="A280" s="49">
        <f>IFERROR(__xludf.DUMMYFUNCTION("""COMPUTED_VALUE"""),46083.0)</f>
        <v>46083</v>
      </c>
      <c r="B280" s="33" t="str">
        <f>IFERROR(__xludf.DUMMYFUNCTION("""COMPUTED_VALUE"""),"ca6c466ebfcd2658a9f1641045f468c15417a1e7")</f>
        <v>ca6c466ebfcd2658a9f1641045f468c15417a1e7</v>
      </c>
      <c r="C280" s="33" t="str">
        <f>IFERROR(__xludf.DUMMYFUNCTION("""COMPUTED_VALUE"""),"My Mysterious Princess")</f>
        <v>My Mysterious Princess</v>
      </c>
      <c r="D280" s="33">
        <f>IFERROR(__xludf.DUMMYFUNCTION("""COMPUTED_VALUE"""),0.0)</f>
        <v>0</v>
      </c>
      <c r="E280" s="33">
        <f>IFERROR(__xludf.DUMMYFUNCTION("""COMPUTED_VALUE"""),15.0)</f>
        <v>15</v>
      </c>
      <c r="F280" s="33">
        <f>IFERROR(__xludf.DUMMYFUNCTION("""COMPUTED_VALUE"""),17.0)</f>
        <v>17</v>
      </c>
      <c r="G280" s="33">
        <f>IFERROR(__xludf.DUMMYFUNCTION("""COMPUTED_VALUE"""),0.0)</f>
        <v>0</v>
      </c>
      <c r="H280" s="33">
        <f>IFERROR(__xludf.DUMMYFUNCTION("""COMPUTED_VALUE"""),17.0)</f>
        <v>17</v>
      </c>
      <c r="I280" s="33">
        <f>IFERROR(__xludf.DUMMYFUNCTION("""COMPUTED_VALUE"""),5.0)</f>
        <v>5</v>
      </c>
      <c r="J280" s="33">
        <f>IFERROR(__xludf.DUMMYFUNCTION("""COMPUTED_VALUE"""),16.0)</f>
        <v>16</v>
      </c>
      <c r="K280" s="33">
        <f>IFERROR(__xludf.DUMMYFUNCTION("""COMPUTED_VALUE"""),3.0)</f>
        <v>3</v>
      </c>
      <c r="L280" s="33">
        <f>IFERROR(__xludf.DUMMYFUNCTION("""COMPUTED_VALUE"""),0.0)</f>
        <v>0</v>
      </c>
      <c r="M280" s="33">
        <f>IFERROR(__xludf.DUMMYFUNCTION("""COMPUTED_VALUE"""),12.0)</f>
        <v>12</v>
      </c>
      <c r="N280" s="33">
        <f>IFERROR(__xludf.DUMMYFUNCTION("""COMPUTED_VALUE"""),12.0)</f>
        <v>12</v>
      </c>
      <c r="O280" s="33">
        <f>IFERROR(__xludf.DUMMYFUNCTION("""COMPUTED_VALUE"""),7.0)</f>
        <v>7</v>
      </c>
      <c r="P280" s="33">
        <f>IFERROR(__xludf.DUMMYFUNCTION("""COMPUTED_VALUE"""),12.0)</f>
        <v>12</v>
      </c>
      <c r="Q280" s="33">
        <f>IFERROR(__xludf.DUMMYFUNCTION("""COMPUTED_VALUE"""),0.0)</f>
        <v>0</v>
      </c>
      <c r="R280" s="33">
        <f>IFERROR(__xludf.DUMMYFUNCTION("""COMPUTED_VALUE"""),0.0)</f>
        <v>0</v>
      </c>
      <c r="S280" s="33">
        <f>IFERROR(__xludf.DUMMYFUNCTION("""COMPUTED_VALUE"""),33621.0)</f>
        <v>33621</v>
      </c>
      <c r="T280" s="33">
        <f>IFERROR(__xludf.DUMMYFUNCTION("""COMPUTED_VALUE"""),4.79166666666666)</f>
        <v>4.791666667</v>
      </c>
      <c r="U280" s="33">
        <f>IFERROR(__xludf.DUMMYFUNCTION("""COMPUTED_VALUE"""),3.83527777777777)</f>
        <v>3.835277778</v>
      </c>
      <c r="V280" s="33">
        <f>IFERROR(__xludf.DUMMYFUNCTION("""COMPUTED_VALUE"""),0.0)</f>
        <v>0</v>
      </c>
      <c r="W280" s="33">
        <f>IFERROR(__xludf.DUMMYFUNCTION("""COMPUTED_VALUE"""),3.925)</f>
        <v>3.925</v>
      </c>
      <c r="X280" s="33">
        <f>IFERROR(__xludf.DUMMYFUNCTION("""COMPUTED_VALUE"""),1.18527777777777)</f>
        <v>1.185277778</v>
      </c>
      <c r="Y280" s="33">
        <f>IFERROR(__xludf.DUMMYFUNCTION("""COMPUTED_VALUE"""),3.66833333333333)</f>
        <v>3.668333333</v>
      </c>
      <c r="Z280" s="33">
        <f>IFERROR(__xludf.DUMMYFUNCTION("""COMPUTED_VALUE"""),0.682222222222222)</f>
        <v>0.6822222222</v>
      </c>
      <c r="AA280" s="33">
        <f>IFERROR(__xludf.DUMMYFUNCTION("""COMPUTED_VALUE"""),0.0)</f>
        <v>0</v>
      </c>
      <c r="AB280" s="33">
        <f>IFERROR(__xludf.DUMMYFUNCTION("""COMPUTED_VALUE"""),2.74555555555555)</f>
        <v>2.745555556</v>
      </c>
      <c r="AC280" s="33">
        <f>IFERROR(__xludf.DUMMYFUNCTION("""COMPUTED_VALUE"""),2.74555555555555)</f>
        <v>2.745555556</v>
      </c>
      <c r="AD280" s="33">
        <f>IFERROR(__xludf.DUMMYFUNCTION("""COMPUTED_VALUE"""),1.59333333333333)</f>
        <v>1.593333333</v>
      </c>
      <c r="AE280" s="33">
        <f>IFERROR(__xludf.DUMMYFUNCTION("""COMPUTED_VALUE"""),2.74555555555555)</f>
        <v>2.745555556</v>
      </c>
      <c r="AF280" s="33">
        <f>IFERROR(__xludf.DUMMYFUNCTION("""COMPUTED_VALUE"""),21.0)</f>
        <v>21</v>
      </c>
    </row>
    <row r="281">
      <c r="A281" s="49">
        <f>IFERROR(__xludf.DUMMYFUNCTION("""COMPUTED_VALUE"""),46083.0)</f>
        <v>46083</v>
      </c>
      <c r="B281" s="33" t="str">
        <f>IFERROR(__xludf.DUMMYFUNCTION("""COMPUTED_VALUE"""),"dbbc7f35e9eb33b7562f0fd82896e827101bf13c")</f>
        <v>dbbc7f35e9eb33b7562f0fd82896e827101bf13c</v>
      </c>
      <c r="C281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81" s="33">
        <f>IFERROR(__xludf.DUMMYFUNCTION("""COMPUTED_VALUE"""),0.0)</f>
        <v>0</v>
      </c>
      <c r="E281" s="33">
        <f>IFERROR(__xludf.DUMMYFUNCTION("""COMPUTED_VALUE"""),0.0)</f>
        <v>0</v>
      </c>
      <c r="F281" s="33">
        <f>IFERROR(__xludf.DUMMYFUNCTION("""COMPUTED_VALUE"""),0.0)</f>
        <v>0</v>
      </c>
      <c r="G281" s="33">
        <f>IFERROR(__xludf.DUMMYFUNCTION("""COMPUTED_VALUE"""),0.0)</f>
        <v>0</v>
      </c>
      <c r="H281" s="33">
        <f>IFERROR(__xludf.DUMMYFUNCTION("""COMPUTED_VALUE"""),0.0)</f>
        <v>0</v>
      </c>
      <c r="I281" s="33">
        <f>IFERROR(__xludf.DUMMYFUNCTION("""COMPUTED_VALUE"""),0.0)</f>
        <v>0</v>
      </c>
      <c r="J281" s="33">
        <f>IFERROR(__xludf.DUMMYFUNCTION("""COMPUTED_VALUE"""),0.0)</f>
        <v>0</v>
      </c>
      <c r="K281" s="33">
        <f>IFERROR(__xludf.DUMMYFUNCTION("""COMPUTED_VALUE"""),0.0)</f>
        <v>0</v>
      </c>
      <c r="L281" s="33">
        <f>IFERROR(__xludf.DUMMYFUNCTION("""COMPUTED_VALUE"""),0.0)</f>
        <v>0</v>
      </c>
      <c r="M281" s="33">
        <f>IFERROR(__xludf.DUMMYFUNCTION("""COMPUTED_VALUE"""),0.0)</f>
        <v>0</v>
      </c>
      <c r="N281" s="33">
        <f>IFERROR(__xludf.DUMMYFUNCTION("""COMPUTED_VALUE"""),5.0)</f>
        <v>5</v>
      </c>
      <c r="O281" s="33">
        <f>IFERROR(__xludf.DUMMYFUNCTION("""COMPUTED_VALUE"""),4.0)</f>
        <v>4</v>
      </c>
      <c r="P281" s="33">
        <f>IFERROR(__xludf.DUMMYFUNCTION("""COMPUTED_VALUE"""),5.0)</f>
        <v>5</v>
      </c>
      <c r="Q281" s="33">
        <f>IFERROR(__xludf.DUMMYFUNCTION("""COMPUTED_VALUE"""),0.0)</f>
        <v>0</v>
      </c>
      <c r="R281" s="33">
        <f>IFERROR(__xludf.DUMMYFUNCTION("""COMPUTED_VALUE"""),0.0)</f>
        <v>0</v>
      </c>
      <c r="S281" s="33">
        <f>IFERROR(__xludf.DUMMYFUNCTION("""COMPUTED_VALUE"""),0.0)</f>
        <v>0</v>
      </c>
      <c r="T281" s="33">
        <f>IFERROR(__xludf.DUMMYFUNCTION("""COMPUTED_VALUE"""),0.0)</f>
        <v>0</v>
      </c>
      <c r="U281" s="33">
        <f>IFERROR(__xludf.DUMMYFUNCTION("""COMPUTED_VALUE"""),0.0)</f>
        <v>0</v>
      </c>
      <c r="V281" s="33">
        <f>IFERROR(__xludf.DUMMYFUNCTION("""COMPUTED_VALUE"""),0.0)</f>
        <v>0</v>
      </c>
      <c r="W281" s="33">
        <f>IFERROR(__xludf.DUMMYFUNCTION("""COMPUTED_VALUE"""),0.0)</f>
        <v>0</v>
      </c>
      <c r="X281" s="33">
        <f>IFERROR(__xludf.DUMMYFUNCTION("""COMPUTED_VALUE"""),0.0)</f>
        <v>0</v>
      </c>
      <c r="Y281" s="33">
        <f>IFERROR(__xludf.DUMMYFUNCTION("""COMPUTED_VALUE"""),0.0)</f>
        <v>0</v>
      </c>
      <c r="Z281" s="33">
        <f>IFERROR(__xludf.DUMMYFUNCTION("""COMPUTED_VALUE"""),0.0)</f>
        <v>0</v>
      </c>
      <c r="AA281" s="33">
        <f>IFERROR(__xludf.DUMMYFUNCTION("""COMPUTED_VALUE"""),0.0)</f>
        <v>0</v>
      </c>
      <c r="AB281" s="33">
        <f>IFERROR(__xludf.DUMMYFUNCTION("""COMPUTED_VALUE"""),0.0)</f>
        <v>0</v>
      </c>
      <c r="AC281" s="33">
        <f>IFERROR(__xludf.DUMMYFUNCTION("""COMPUTED_VALUE"""),0.0)</f>
        <v>0</v>
      </c>
      <c r="AD281" s="33">
        <f>IFERROR(__xludf.DUMMYFUNCTION("""COMPUTED_VALUE"""),0.757222222222222)</f>
        <v>0.7572222222</v>
      </c>
      <c r="AE281" s="33">
        <f>IFERROR(__xludf.DUMMYFUNCTION("""COMPUTED_VALUE"""),1.35916666666666)</f>
        <v>1.359166667</v>
      </c>
      <c r="AF281" s="33">
        <f>IFERROR(__xludf.DUMMYFUNCTION("""COMPUTED_VALUE"""),0.0)</f>
        <v>0</v>
      </c>
    </row>
    <row r="282">
      <c r="A282" s="49">
        <f>IFERROR(__xludf.DUMMYFUNCTION("""COMPUTED_VALUE"""),46083.0)</f>
        <v>46083</v>
      </c>
      <c r="B282" s="33" t="str">
        <f>IFERROR(__xludf.DUMMYFUNCTION("""COMPUTED_VALUE"""),"e493cee863483a057af12de782cd20043a19ed05")</f>
        <v>e493cee863483a057af12de782cd20043a19ed05</v>
      </c>
      <c r="C282" s="33" t="str">
        <f>IFERROR(__xludf.DUMMYFUNCTION("""COMPUTED_VALUE"""),"Malang")</f>
        <v>Malang</v>
      </c>
      <c r="D282" s="33">
        <f>IFERROR(__xludf.DUMMYFUNCTION("""COMPUTED_VALUE"""),0.0)</f>
        <v>0</v>
      </c>
      <c r="E282" s="33">
        <f>IFERROR(__xludf.DUMMYFUNCTION("""COMPUTED_VALUE"""),5.0)</f>
        <v>5</v>
      </c>
      <c r="F282" s="33">
        <f>IFERROR(__xludf.DUMMYFUNCTION("""COMPUTED_VALUE"""),3.0)</f>
        <v>3</v>
      </c>
      <c r="G282" s="33">
        <f>IFERROR(__xludf.DUMMYFUNCTION("""COMPUTED_VALUE"""),0.0)</f>
        <v>0</v>
      </c>
      <c r="H282" s="33">
        <f>IFERROR(__xludf.DUMMYFUNCTION("""COMPUTED_VALUE"""),6.0)</f>
        <v>6</v>
      </c>
      <c r="I282" s="33">
        <f>IFERROR(__xludf.DUMMYFUNCTION("""COMPUTED_VALUE"""),3.0)</f>
        <v>3</v>
      </c>
      <c r="J282" s="33">
        <f>IFERROR(__xludf.DUMMYFUNCTION("""COMPUTED_VALUE"""),6.0)</f>
        <v>6</v>
      </c>
      <c r="K282" s="33">
        <f>IFERROR(__xludf.DUMMYFUNCTION("""COMPUTED_VALUE"""),4.0)</f>
        <v>4</v>
      </c>
      <c r="L282" s="33">
        <f>IFERROR(__xludf.DUMMYFUNCTION("""COMPUTED_VALUE"""),0.0)</f>
        <v>0</v>
      </c>
      <c r="M282" s="33">
        <f>IFERROR(__xludf.DUMMYFUNCTION("""COMPUTED_VALUE"""),6.0)</f>
        <v>6</v>
      </c>
      <c r="N282" s="33">
        <f>IFERROR(__xludf.DUMMYFUNCTION("""COMPUTED_VALUE"""),6.0)</f>
        <v>6</v>
      </c>
      <c r="O282" s="33">
        <f>IFERROR(__xludf.DUMMYFUNCTION("""COMPUTED_VALUE"""),6.0)</f>
        <v>6</v>
      </c>
      <c r="P282" s="33">
        <f>IFERROR(__xludf.DUMMYFUNCTION("""COMPUTED_VALUE"""),6.0)</f>
        <v>6</v>
      </c>
      <c r="Q282" s="33">
        <f>IFERROR(__xludf.DUMMYFUNCTION("""COMPUTED_VALUE"""),0.0)</f>
        <v>0</v>
      </c>
      <c r="R282" s="33">
        <f>IFERROR(__xludf.DUMMYFUNCTION("""COMPUTED_VALUE"""),0.0)</f>
        <v>0</v>
      </c>
      <c r="S282" s="33">
        <f>IFERROR(__xludf.DUMMYFUNCTION("""COMPUTED_VALUE"""),11400.0)</f>
        <v>11400</v>
      </c>
      <c r="T282" s="33">
        <f>IFERROR(__xludf.DUMMYFUNCTION("""COMPUTED_VALUE"""),1.5475)</f>
        <v>1.5475</v>
      </c>
      <c r="U282" s="33">
        <f>IFERROR(__xludf.DUMMYFUNCTION("""COMPUTED_VALUE"""),0.570833333333333)</f>
        <v>0.5708333333</v>
      </c>
      <c r="V282" s="33">
        <f>IFERROR(__xludf.DUMMYFUNCTION("""COMPUTED_VALUE"""),0.0)</f>
        <v>0</v>
      </c>
      <c r="W282" s="33">
        <f>IFERROR(__xludf.DUMMYFUNCTION("""COMPUTED_VALUE"""),1.12555555555555)</f>
        <v>1.125555556</v>
      </c>
      <c r="X282" s="33">
        <f>IFERROR(__xludf.DUMMYFUNCTION("""COMPUTED_VALUE"""),0.555277777777777)</f>
        <v>0.5552777778</v>
      </c>
      <c r="Y282" s="33">
        <f>IFERROR(__xludf.DUMMYFUNCTION("""COMPUTED_VALUE"""),1.125)</f>
        <v>1.125</v>
      </c>
      <c r="Z282" s="33">
        <f>IFERROR(__xludf.DUMMYFUNCTION("""COMPUTED_VALUE"""),0.739444444444444)</f>
        <v>0.7394444444</v>
      </c>
      <c r="AA282" s="33">
        <f>IFERROR(__xludf.DUMMYFUNCTION("""COMPUTED_VALUE"""),0.0)</f>
        <v>0</v>
      </c>
      <c r="AB282" s="33">
        <f>IFERROR(__xludf.DUMMYFUNCTION("""COMPUTED_VALUE"""),1.125)</f>
        <v>1.125</v>
      </c>
      <c r="AC282" s="33">
        <f>IFERROR(__xludf.DUMMYFUNCTION("""COMPUTED_VALUE"""),1.125)</f>
        <v>1.125</v>
      </c>
      <c r="AD282" s="33">
        <f>IFERROR(__xludf.DUMMYFUNCTION("""COMPUTED_VALUE"""),1.15361111111111)</f>
        <v>1.153611111</v>
      </c>
      <c r="AE282" s="33">
        <f>IFERROR(__xludf.DUMMYFUNCTION("""COMPUTED_VALUE"""),1.125)</f>
        <v>1.125</v>
      </c>
      <c r="AF282" s="33">
        <f>IFERROR(__xludf.DUMMYFUNCTION("""COMPUTED_VALUE"""),8.0)</f>
        <v>8</v>
      </c>
    </row>
    <row r="283">
      <c r="A283" s="49">
        <f>IFERROR(__xludf.DUMMYFUNCTION("""COMPUTED_VALUE"""),46083.0)</f>
        <v>46083</v>
      </c>
      <c r="B283" s="33" t="str">
        <f>IFERROR(__xludf.DUMMYFUNCTION("""COMPUTED_VALUE"""),"f43f4253dc3c596ff8f2e3cc9f3b677981a70310")</f>
        <v>f43f4253dc3c596ff8f2e3cc9f3b677981a70310</v>
      </c>
      <c r="C283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83" s="33">
        <f>IFERROR(__xludf.DUMMYFUNCTION("""COMPUTED_VALUE"""),6.0)</f>
        <v>6</v>
      </c>
      <c r="E283" s="33">
        <f>IFERROR(__xludf.DUMMYFUNCTION("""COMPUTED_VALUE"""),4.0)</f>
        <v>4</v>
      </c>
      <c r="F283" s="33">
        <f>IFERROR(__xludf.DUMMYFUNCTION("""COMPUTED_VALUE"""),0.0)</f>
        <v>0</v>
      </c>
      <c r="G283" s="33">
        <f>IFERROR(__xludf.DUMMYFUNCTION("""COMPUTED_VALUE"""),0.0)</f>
        <v>0</v>
      </c>
      <c r="H283" s="33">
        <f>IFERROR(__xludf.DUMMYFUNCTION("""COMPUTED_VALUE"""),0.0)</f>
        <v>0</v>
      </c>
      <c r="I283" s="33">
        <f>IFERROR(__xludf.DUMMYFUNCTION("""COMPUTED_VALUE"""),0.0)</f>
        <v>0</v>
      </c>
      <c r="J283" s="33">
        <f>IFERROR(__xludf.DUMMYFUNCTION("""COMPUTED_VALUE"""),0.0)</f>
        <v>0</v>
      </c>
      <c r="K283" s="33">
        <f>IFERROR(__xludf.DUMMYFUNCTION("""COMPUTED_VALUE"""),0.0)</f>
        <v>0</v>
      </c>
      <c r="L283" s="33">
        <f>IFERROR(__xludf.DUMMYFUNCTION("""COMPUTED_VALUE"""),0.0)</f>
        <v>0</v>
      </c>
      <c r="M283" s="33">
        <f>IFERROR(__xludf.DUMMYFUNCTION("""COMPUTED_VALUE"""),0.0)</f>
        <v>0</v>
      </c>
      <c r="N283" s="33">
        <f>IFERROR(__xludf.DUMMYFUNCTION("""COMPUTED_VALUE"""),17.0)</f>
        <v>17</v>
      </c>
      <c r="O283" s="33">
        <f>IFERROR(__xludf.DUMMYFUNCTION("""COMPUTED_VALUE"""),4.0)</f>
        <v>4</v>
      </c>
      <c r="P283" s="33">
        <f>IFERROR(__xludf.DUMMYFUNCTION("""COMPUTED_VALUE"""),4.0)</f>
        <v>4</v>
      </c>
      <c r="Q283" s="33">
        <f>IFERROR(__xludf.DUMMYFUNCTION("""COMPUTED_VALUE"""),0.0)</f>
        <v>0</v>
      </c>
      <c r="R283" s="33">
        <f>IFERROR(__xludf.DUMMYFUNCTION("""COMPUTED_VALUE"""),15802.0)</f>
        <v>15802</v>
      </c>
      <c r="S283" s="33">
        <f>IFERROR(__xludf.DUMMYFUNCTION("""COMPUTED_VALUE"""),10102.0)</f>
        <v>10102</v>
      </c>
      <c r="T283" s="33">
        <f>IFERROR(__xludf.DUMMYFUNCTION("""COMPUTED_VALUE"""),0.0)</f>
        <v>0</v>
      </c>
      <c r="U283" s="33">
        <f>IFERROR(__xludf.DUMMYFUNCTION("""COMPUTED_VALUE"""),0.0)</f>
        <v>0</v>
      </c>
      <c r="V283" s="33">
        <f>IFERROR(__xludf.DUMMYFUNCTION("""COMPUTED_VALUE"""),0.0)</f>
        <v>0</v>
      </c>
      <c r="W283" s="33">
        <f>IFERROR(__xludf.DUMMYFUNCTION("""COMPUTED_VALUE"""),0.0)</f>
        <v>0</v>
      </c>
      <c r="X283" s="33">
        <f>IFERROR(__xludf.DUMMYFUNCTION("""COMPUTED_VALUE"""),0.0)</f>
        <v>0</v>
      </c>
      <c r="Y283" s="33">
        <f>IFERROR(__xludf.DUMMYFUNCTION("""COMPUTED_VALUE"""),0.0)</f>
        <v>0</v>
      </c>
      <c r="Z283" s="33">
        <f>IFERROR(__xludf.DUMMYFUNCTION("""COMPUTED_VALUE"""),0.0)</f>
        <v>0</v>
      </c>
      <c r="AA283" s="33">
        <f>IFERROR(__xludf.DUMMYFUNCTION("""COMPUTED_VALUE"""),0.0)</f>
        <v>0</v>
      </c>
      <c r="AB283" s="33">
        <f>IFERROR(__xludf.DUMMYFUNCTION("""COMPUTED_VALUE"""),0.0)</f>
        <v>0</v>
      </c>
      <c r="AC283" s="33">
        <f>IFERROR(__xludf.DUMMYFUNCTION("""COMPUTED_VALUE"""),1.00555555555555)</f>
        <v>1.005555556</v>
      </c>
      <c r="AD283" s="33">
        <f>IFERROR(__xludf.DUMMYFUNCTION("""COMPUTED_VALUE"""),1.04666666666666)</f>
        <v>1.046666667</v>
      </c>
      <c r="AE283" s="33">
        <f>IFERROR(__xludf.DUMMYFUNCTION("""COMPUTED_VALUE"""),0.916666666666666)</f>
        <v>0.9166666667</v>
      </c>
      <c r="AF283" s="33">
        <f>IFERROR(__xludf.DUMMYFUNCTION("""COMPUTED_VALUE"""),0.0)</f>
        <v>0</v>
      </c>
    </row>
    <row r="284">
      <c r="A284" s="49">
        <f>IFERROR(__xludf.DUMMYFUNCTION("""COMPUTED_VALUE"""),46083.0)</f>
        <v>46083</v>
      </c>
      <c r="B284" s="33" t="str">
        <f>IFERROR(__xludf.DUMMYFUNCTION("""COMPUTED_VALUE"""),"f8fbcb9a13d17d5888164fffc1bbb7cd5c6608b2")</f>
        <v>f8fbcb9a13d17d5888164fffc1bbb7cd5c6608b2</v>
      </c>
      <c r="C284" s="33" t="str">
        <f>IFERROR(__xludf.DUMMYFUNCTION("""COMPUTED_VALUE"""),"Empire of Hidden King | Author - Nitesh")</f>
        <v>Empire of Hidden King | Author - Nitesh</v>
      </c>
      <c r="D284" s="33">
        <f>IFERROR(__xludf.DUMMYFUNCTION("""COMPUTED_VALUE"""),0.0)</f>
        <v>0</v>
      </c>
      <c r="E284" s="33">
        <f>IFERROR(__xludf.DUMMYFUNCTION("""COMPUTED_VALUE"""),0.0)</f>
        <v>0</v>
      </c>
      <c r="F284" s="33">
        <f>IFERROR(__xludf.DUMMYFUNCTION("""COMPUTED_VALUE"""),0.0)</f>
        <v>0</v>
      </c>
      <c r="G284" s="33">
        <f>IFERROR(__xludf.DUMMYFUNCTION("""COMPUTED_VALUE"""),0.0)</f>
        <v>0</v>
      </c>
      <c r="H284" s="33">
        <f>IFERROR(__xludf.DUMMYFUNCTION("""COMPUTED_VALUE"""),0.0)</f>
        <v>0</v>
      </c>
      <c r="I284" s="33">
        <f>IFERROR(__xludf.DUMMYFUNCTION("""COMPUTED_VALUE"""),0.0)</f>
        <v>0</v>
      </c>
      <c r="J284" s="33">
        <f>IFERROR(__xludf.DUMMYFUNCTION("""COMPUTED_VALUE"""),0.0)</f>
        <v>0</v>
      </c>
      <c r="K284" s="33">
        <f>IFERROR(__xludf.DUMMYFUNCTION("""COMPUTED_VALUE"""),0.0)</f>
        <v>0</v>
      </c>
      <c r="L284" s="33">
        <f>IFERROR(__xludf.DUMMYFUNCTION("""COMPUTED_VALUE"""),0.0)</f>
        <v>0</v>
      </c>
      <c r="M284" s="33">
        <f>IFERROR(__xludf.DUMMYFUNCTION("""COMPUTED_VALUE"""),0.0)</f>
        <v>0</v>
      </c>
      <c r="N284" s="33">
        <f>IFERROR(__xludf.DUMMYFUNCTION("""COMPUTED_VALUE"""),8.0)</f>
        <v>8</v>
      </c>
      <c r="O284" s="33">
        <f>IFERROR(__xludf.DUMMYFUNCTION("""COMPUTED_VALUE"""),0.0)</f>
        <v>0</v>
      </c>
      <c r="P284" s="33">
        <f>IFERROR(__xludf.DUMMYFUNCTION("""COMPUTED_VALUE"""),8.0)</f>
        <v>8</v>
      </c>
      <c r="Q284" s="33">
        <f>IFERROR(__xludf.DUMMYFUNCTION("""COMPUTED_VALUE"""),0.0)</f>
        <v>0</v>
      </c>
      <c r="R284" s="33">
        <f>IFERROR(__xludf.DUMMYFUNCTION("""COMPUTED_VALUE"""),0.0)</f>
        <v>0</v>
      </c>
      <c r="S284" s="33">
        <f>IFERROR(__xludf.DUMMYFUNCTION("""COMPUTED_VALUE"""),0.0)</f>
        <v>0</v>
      </c>
      <c r="T284" s="33">
        <f>IFERROR(__xludf.DUMMYFUNCTION("""COMPUTED_VALUE"""),0.0)</f>
        <v>0</v>
      </c>
      <c r="U284" s="33">
        <f>IFERROR(__xludf.DUMMYFUNCTION("""COMPUTED_VALUE"""),0.0)</f>
        <v>0</v>
      </c>
      <c r="V284" s="33">
        <f>IFERROR(__xludf.DUMMYFUNCTION("""COMPUTED_VALUE"""),0.0)</f>
        <v>0</v>
      </c>
      <c r="W284" s="33">
        <f>IFERROR(__xludf.DUMMYFUNCTION("""COMPUTED_VALUE"""),0.0)</f>
        <v>0</v>
      </c>
      <c r="X284" s="33">
        <f>IFERROR(__xludf.DUMMYFUNCTION("""COMPUTED_VALUE"""),0.0)</f>
        <v>0</v>
      </c>
      <c r="Y284" s="33">
        <f>IFERROR(__xludf.DUMMYFUNCTION("""COMPUTED_VALUE"""),0.0)</f>
        <v>0</v>
      </c>
      <c r="Z284" s="33">
        <f>IFERROR(__xludf.DUMMYFUNCTION("""COMPUTED_VALUE"""),0.0)</f>
        <v>0</v>
      </c>
      <c r="AA284" s="33">
        <f>IFERROR(__xludf.DUMMYFUNCTION("""COMPUTED_VALUE"""),0.0)</f>
        <v>0</v>
      </c>
      <c r="AB284" s="33">
        <f>IFERROR(__xludf.DUMMYFUNCTION("""COMPUTED_VALUE"""),0.0)</f>
        <v>0</v>
      </c>
      <c r="AC284" s="33">
        <f>IFERROR(__xludf.DUMMYFUNCTION("""COMPUTED_VALUE"""),2.26111111111111)</f>
        <v>2.261111111</v>
      </c>
      <c r="AD284" s="33">
        <f>IFERROR(__xludf.DUMMYFUNCTION("""COMPUTED_VALUE"""),0.0)</f>
        <v>0</v>
      </c>
      <c r="AE284" s="33">
        <f>IFERROR(__xludf.DUMMYFUNCTION("""COMPUTED_VALUE"""),1.98111111111111)</f>
        <v>1.981111111</v>
      </c>
      <c r="AF284" s="33">
        <f>IFERROR(__xludf.DUMMYFUNCTION("""COMPUTED_VALUE"""),0.0)</f>
        <v>0</v>
      </c>
    </row>
    <row r="285">
      <c r="A285" s="49">
        <f>IFERROR(__xludf.DUMMYFUNCTION("""COMPUTED_VALUE"""),46076.0)</f>
        <v>46076</v>
      </c>
      <c r="B285" s="33" t="str">
        <f>IFERROR(__xludf.DUMMYFUNCTION("""COMPUTED_VALUE"""),"017fddbaa7617afdd8289be5c433df09dcde1da2")</f>
        <v>017fddbaa7617afdd8289be5c433df09dcde1da2</v>
      </c>
      <c r="C285" s="33" t="str">
        <f>IFERROR(__xludf.DUMMYFUNCTION("""COMPUTED_VALUE"""),"His Secret Fortune - Production Show_id")</f>
        <v>His Secret Fortune - Production Show_id</v>
      </c>
      <c r="D285" s="33">
        <f>IFERROR(__xludf.DUMMYFUNCTION("""COMPUTED_VALUE"""),0.0)</f>
        <v>0</v>
      </c>
      <c r="E285" s="33">
        <f>IFERROR(__xludf.DUMMYFUNCTION("""COMPUTED_VALUE"""),1.0)</f>
        <v>1</v>
      </c>
      <c r="F285" s="33">
        <f>IFERROR(__xludf.DUMMYFUNCTION("""COMPUTED_VALUE"""),7.0)</f>
        <v>7</v>
      </c>
      <c r="G285" s="33">
        <f>IFERROR(__xludf.DUMMYFUNCTION("""COMPUTED_VALUE"""),7.0)</f>
        <v>7</v>
      </c>
      <c r="H285" s="33">
        <f>IFERROR(__xludf.DUMMYFUNCTION("""COMPUTED_VALUE"""),15.0)</f>
        <v>15</v>
      </c>
      <c r="I285" s="33">
        <f>IFERROR(__xludf.DUMMYFUNCTION("""COMPUTED_VALUE"""),8.0)</f>
        <v>8</v>
      </c>
      <c r="J285" s="33">
        <f>IFERROR(__xludf.DUMMYFUNCTION("""COMPUTED_VALUE"""),15.0)</f>
        <v>15</v>
      </c>
      <c r="K285" s="33">
        <f>IFERROR(__xludf.DUMMYFUNCTION("""COMPUTED_VALUE"""),14.0)</f>
        <v>14</v>
      </c>
      <c r="L285" s="33">
        <f>IFERROR(__xludf.DUMMYFUNCTION("""COMPUTED_VALUE"""),14.0)</f>
        <v>14</v>
      </c>
      <c r="M285" s="33">
        <f>IFERROR(__xludf.DUMMYFUNCTION("""COMPUTED_VALUE"""),13.0)</f>
        <v>13</v>
      </c>
      <c r="N285" s="33">
        <f>IFERROR(__xludf.DUMMYFUNCTION("""COMPUTED_VALUE"""),24.0)</f>
        <v>24</v>
      </c>
      <c r="O285" s="33">
        <f>IFERROR(__xludf.DUMMYFUNCTION("""COMPUTED_VALUE"""),6.0)</f>
        <v>6</v>
      </c>
      <c r="P285" s="33">
        <f>IFERROR(__xludf.DUMMYFUNCTION("""COMPUTED_VALUE"""),24.0)</f>
        <v>24</v>
      </c>
      <c r="Q285" s="33">
        <f>IFERROR(__xludf.DUMMYFUNCTION("""COMPUTED_VALUE"""),0.0)</f>
        <v>0</v>
      </c>
      <c r="R285" s="33">
        <f>IFERROR(__xludf.DUMMYFUNCTION("""COMPUTED_VALUE"""),0.0)</f>
        <v>0</v>
      </c>
      <c r="S285" s="33">
        <f>IFERROR(__xludf.DUMMYFUNCTION("""COMPUTED_VALUE"""),2420.0)</f>
        <v>2420</v>
      </c>
      <c r="T285" s="33">
        <f>IFERROR(__xludf.DUMMYFUNCTION("""COMPUTED_VALUE"""),2.28249999999999)</f>
        <v>2.2825</v>
      </c>
      <c r="U285" s="33">
        <f>IFERROR(__xludf.DUMMYFUNCTION("""COMPUTED_VALUE"""),1.34972222222222)</f>
        <v>1.349722222</v>
      </c>
      <c r="V285" s="33">
        <f>IFERROR(__xludf.DUMMYFUNCTION("""COMPUTED_VALUE"""),1.32861111111111)</f>
        <v>1.328611111</v>
      </c>
      <c r="W285" s="33">
        <f>IFERROR(__xludf.DUMMYFUNCTION("""COMPUTED_VALUE"""),2.79388888888888)</f>
        <v>2.793888889</v>
      </c>
      <c r="X285" s="33">
        <f>IFERROR(__xludf.DUMMYFUNCTION("""COMPUTED_VALUE"""),1.46527777777777)</f>
        <v>1.465277778</v>
      </c>
      <c r="Y285" s="33">
        <f>IFERROR(__xludf.DUMMYFUNCTION("""COMPUTED_VALUE"""),2.77138888888888)</f>
        <v>2.771388889</v>
      </c>
      <c r="Z285" s="33">
        <f>IFERROR(__xludf.DUMMYFUNCTION("""COMPUTED_VALUE"""),2.60083333333333)</f>
        <v>2.600833333</v>
      </c>
      <c r="AA285" s="33">
        <f>IFERROR(__xludf.DUMMYFUNCTION("""COMPUTED_VALUE"""),2.59916666666666)</f>
        <v>2.599166667</v>
      </c>
      <c r="AB285" s="33">
        <f>IFERROR(__xludf.DUMMYFUNCTION("""COMPUTED_VALUE"""),2.30666666666666)</f>
        <v>2.306666667</v>
      </c>
      <c r="AC285" s="33">
        <f>IFERROR(__xludf.DUMMYFUNCTION("""COMPUTED_VALUE"""),4.38888888888888)</f>
        <v>4.388888889</v>
      </c>
      <c r="AD285" s="33">
        <f>IFERROR(__xludf.DUMMYFUNCTION("""COMPUTED_VALUE"""),1.13138888888888)</f>
        <v>1.131388889</v>
      </c>
      <c r="AE285" s="33">
        <f>IFERROR(__xludf.DUMMYFUNCTION("""COMPUTED_VALUE"""),4.38888888888888)</f>
        <v>4.388888889</v>
      </c>
      <c r="AF285" s="33">
        <f>IFERROR(__xludf.DUMMYFUNCTION("""COMPUTED_VALUE"""),12.0)</f>
        <v>12</v>
      </c>
    </row>
    <row r="286">
      <c r="A286" s="49">
        <f>IFERROR(__xludf.DUMMYFUNCTION("""COMPUTED_VALUE"""),46076.0)</f>
        <v>46076</v>
      </c>
      <c r="B286" s="33" t="str">
        <f>IFERROR(__xludf.DUMMYFUNCTION("""COMPUTED_VALUE"""),"2549f1505a3739b3e90a0b63921ad55271440d40")</f>
        <v>2549f1505a3739b3e90a0b63921ad55271440d40</v>
      </c>
      <c r="C286" s="33" t="str">
        <f>IFERROR(__xludf.DUMMYFUNCTION("""COMPUTED_VALUE"""),"Reborn in Martial World ")</f>
        <v>Reborn in Martial World </v>
      </c>
      <c r="D286" s="33">
        <f>IFERROR(__xludf.DUMMYFUNCTION("""COMPUTED_VALUE"""),0.0)</f>
        <v>0</v>
      </c>
      <c r="E286" s="33">
        <f>IFERROR(__xludf.DUMMYFUNCTION("""COMPUTED_VALUE"""),5.0)</f>
        <v>5</v>
      </c>
      <c r="F286" s="33">
        <f>IFERROR(__xludf.DUMMYFUNCTION("""COMPUTED_VALUE"""),0.0)</f>
        <v>0</v>
      </c>
      <c r="G286" s="33">
        <f>IFERROR(__xludf.DUMMYFUNCTION("""COMPUTED_VALUE"""),0.0)</f>
        <v>0</v>
      </c>
      <c r="H286" s="33">
        <f>IFERROR(__xludf.DUMMYFUNCTION("""COMPUTED_VALUE"""),0.0)</f>
        <v>0</v>
      </c>
      <c r="I286" s="33">
        <f>IFERROR(__xludf.DUMMYFUNCTION("""COMPUTED_VALUE"""),0.0)</f>
        <v>0</v>
      </c>
      <c r="J286" s="33">
        <f>IFERROR(__xludf.DUMMYFUNCTION("""COMPUTED_VALUE"""),0.0)</f>
        <v>0</v>
      </c>
      <c r="K286" s="33">
        <f>IFERROR(__xludf.DUMMYFUNCTION("""COMPUTED_VALUE"""),0.0)</f>
        <v>0</v>
      </c>
      <c r="L286" s="33">
        <f>IFERROR(__xludf.DUMMYFUNCTION("""COMPUTED_VALUE"""),0.0)</f>
        <v>0</v>
      </c>
      <c r="M286" s="33">
        <f>IFERROR(__xludf.DUMMYFUNCTION("""COMPUTED_VALUE"""),0.0)</f>
        <v>0</v>
      </c>
      <c r="N286" s="33">
        <f>IFERROR(__xludf.DUMMYFUNCTION("""COMPUTED_VALUE"""),5.0)</f>
        <v>5</v>
      </c>
      <c r="O286" s="33">
        <f>IFERROR(__xludf.DUMMYFUNCTION("""COMPUTED_VALUE"""),5.0)</f>
        <v>5</v>
      </c>
      <c r="P286" s="33">
        <f>IFERROR(__xludf.DUMMYFUNCTION("""COMPUTED_VALUE"""),5.0)</f>
        <v>5</v>
      </c>
      <c r="Q286" s="33">
        <f>IFERROR(__xludf.DUMMYFUNCTION("""COMPUTED_VALUE"""),0.0)</f>
        <v>0</v>
      </c>
      <c r="R286" s="33">
        <f>IFERROR(__xludf.DUMMYFUNCTION("""COMPUTED_VALUE"""),0.0)</f>
        <v>0</v>
      </c>
      <c r="S286" s="33">
        <f>IFERROR(__xludf.DUMMYFUNCTION("""COMPUTED_VALUE"""),12689.0)</f>
        <v>12689</v>
      </c>
      <c r="T286" s="33">
        <f>IFERROR(__xludf.DUMMYFUNCTION("""COMPUTED_VALUE"""),0.0)</f>
        <v>0</v>
      </c>
      <c r="U286" s="33">
        <f>IFERROR(__xludf.DUMMYFUNCTION("""COMPUTED_VALUE"""),0.0)</f>
        <v>0</v>
      </c>
      <c r="V286" s="33">
        <f>IFERROR(__xludf.DUMMYFUNCTION("""COMPUTED_VALUE"""),0.0)</f>
        <v>0</v>
      </c>
      <c r="W286" s="33">
        <f>IFERROR(__xludf.DUMMYFUNCTION("""COMPUTED_VALUE"""),0.0)</f>
        <v>0</v>
      </c>
      <c r="X286" s="33">
        <f>IFERROR(__xludf.DUMMYFUNCTION("""COMPUTED_VALUE"""),0.0)</f>
        <v>0</v>
      </c>
      <c r="Y286" s="33">
        <f>IFERROR(__xludf.DUMMYFUNCTION("""COMPUTED_VALUE"""),0.0)</f>
        <v>0</v>
      </c>
      <c r="Z286" s="33">
        <f>IFERROR(__xludf.DUMMYFUNCTION("""COMPUTED_VALUE"""),0.0)</f>
        <v>0</v>
      </c>
      <c r="AA286" s="33">
        <f>IFERROR(__xludf.DUMMYFUNCTION("""COMPUTED_VALUE"""),0.0)</f>
        <v>0</v>
      </c>
      <c r="AB286" s="33">
        <f>IFERROR(__xludf.DUMMYFUNCTION("""COMPUTED_VALUE"""),0.0)</f>
        <v>0</v>
      </c>
      <c r="AC286" s="33">
        <f>IFERROR(__xludf.DUMMYFUNCTION("""COMPUTED_VALUE"""),1.31194444444444)</f>
        <v>1.311944444</v>
      </c>
      <c r="AD286" s="33">
        <f>IFERROR(__xludf.DUMMYFUNCTION("""COMPUTED_VALUE"""),0.998611111111111)</f>
        <v>0.9986111111</v>
      </c>
      <c r="AE286" s="33">
        <f>IFERROR(__xludf.DUMMYFUNCTION("""COMPUTED_VALUE"""),1.31194444444444)</f>
        <v>1.311944444</v>
      </c>
      <c r="AF286" s="33">
        <f>IFERROR(__xludf.DUMMYFUNCTION("""COMPUTED_VALUE"""),0.0)</f>
        <v>0</v>
      </c>
    </row>
    <row r="287">
      <c r="A287" s="49">
        <f>IFERROR(__xludf.DUMMYFUNCTION("""COMPUTED_VALUE"""),46076.0)</f>
        <v>46076</v>
      </c>
      <c r="B287" s="33" t="str">
        <f>IFERROR(__xludf.DUMMYFUNCTION("""COMPUTED_VALUE"""),"37e68193f879e91ec362f75f4b46511110658e2b")</f>
        <v>37e68193f879e91ec362f75f4b46511110658e2b</v>
      </c>
      <c r="C287" s="33" t="str">
        <f>IFERROR(__xludf.DUMMYFUNCTION("""COMPUTED_VALUE"""),"Shiva : Ek Pretyodha")</f>
        <v>Shiva : Ek Pretyodha</v>
      </c>
      <c r="D287" s="33">
        <f>IFERROR(__xludf.DUMMYFUNCTION("""COMPUTED_VALUE"""),0.0)</f>
        <v>0</v>
      </c>
      <c r="E287" s="33">
        <f>IFERROR(__xludf.DUMMYFUNCTION("""COMPUTED_VALUE"""),0.0)</f>
        <v>0</v>
      </c>
      <c r="F287" s="33">
        <f>IFERROR(__xludf.DUMMYFUNCTION("""COMPUTED_VALUE"""),0.0)</f>
        <v>0</v>
      </c>
      <c r="G287" s="33">
        <f>IFERROR(__xludf.DUMMYFUNCTION("""COMPUTED_VALUE"""),0.0)</f>
        <v>0</v>
      </c>
      <c r="H287" s="33">
        <f>IFERROR(__xludf.DUMMYFUNCTION("""COMPUTED_VALUE"""),0.0)</f>
        <v>0</v>
      </c>
      <c r="I287" s="33">
        <f>IFERROR(__xludf.DUMMYFUNCTION("""COMPUTED_VALUE"""),0.0)</f>
        <v>0</v>
      </c>
      <c r="J287" s="33">
        <f>IFERROR(__xludf.DUMMYFUNCTION("""COMPUTED_VALUE"""),0.0)</f>
        <v>0</v>
      </c>
      <c r="K287" s="33">
        <f>IFERROR(__xludf.DUMMYFUNCTION("""COMPUTED_VALUE"""),0.0)</f>
        <v>0</v>
      </c>
      <c r="L287" s="33">
        <f>IFERROR(__xludf.DUMMYFUNCTION("""COMPUTED_VALUE"""),0.0)</f>
        <v>0</v>
      </c>
      <c r="M287" s="33">
        <f>IFERROR(__xludf.DUMMYFUNCTION("""COMPUTED_VALUE"""),0.0)</f>
        <v>0</v>
      </c>
      <c r="N287" s="33">
        <f>IFERROR(__xludf.DUMMYFUNCTION("""COMPUTED_VALUE"""),75.0)</f>
        <v>75</v>
      </c>
      <c r="O287" s="33">
        <f>IFERROR(__xludf.DUMMYFUNCTION("""COMPUTED_VALUE"""),28.0)</f>
        <v>28</v>
      </c>
      <c r="P287" s="33">
        <f>IFERROR(__xludf.DUMMYFUNCTION("""COMPUTED_VALUE"""),32.0)</f>
        <v>32</v>
      </c>
      <c r="Q287" s="33">
        <f>IFERROR(__xludf.DUMMYFUNCTION("""COMPUTED_VALUE"""),0.0)</f>
        <v>0</v>
      </c>
      <c r="R287" s="33">
        <f>IFERROR(__xludf.DUMMYFUNCTION("""COMPUTED_VALUE"""),0.0)</f>
        <v>0</v>
      </c>
      <c r="S287" s="33">
        <f>IFERROR(__xludf.DUMMYFUNCTION("""COMPUTED_VALUE"""),0.0)</f>
        <v>0</v>
      </c>
      <c r="T287" s="33">
        <f>IFERROR(__xludf.DUMMYFUNCTION("""COMPUTED_VALUE"""),0.0)</f>
        <v>0</v>
      </c>
      <c r="U287" s="33">
        <f>IFERROR(__xludf.DUMMYFUNCTION("""COMPUTED_VALUE"""),0.0)</f>
        <v>0</v>
      </c>
      <c r="V287" s="33">
        <f>IFERROR(__xludf.DUMMYFUNCTION("""COMPUTED_VALUE"""),0.0)</f>
        <v>0</v>
      </c>
      <c r="W287" s="33">
        <f>IFERROR(__xludf.DUMMYFUNCTION("""COMPUTED_VALUE"""),0.0)</f>
        <v>0</v>
      </c>
      <c r="X287" s="33">
        <f>IFERROR(__xludf.DUMMYFUNCTION("""COMPUTED_VALUE"""),0.0)</f>
        <v>0</v>
      </c>
      <c r="Y287" s="33">
        <f>IFERROR(__xludf.DUMMYFUNCTION("""COMPUTED_VALUE"""),0.0)</f>
        <v>0</v>
      </c>
      <c r="Z287" s="33">
        <f>IFERROR(__xludf.DUMMYFUNCTION("""COMPUTED_VALUE"""),0.0)</f>
        <v>0</v>
      </c>
      <c r="AA287" s="33">
        <f>IFERROR(__xludf.DUMMYFUNCTION("""COMPUTED_VALUE"""),0.0)</f>
        <v>0</v>
      </c>
      <c r="AB287" s="33">
        <f>IFERROR(__xludf.DUMMYFUNCTION("""COMPUTED_VALUE"""),0.0)</f>
        <v>0</v>
      </c>
      <c r="AC287" s="33">
        <f>IFERROR(__xludf.DUMMYFUNCTION("""COMPUTED_VALUE"""),12.6088888888888)</f>
        <v>12.60888889</v>
      </c>
      <c r="AD287" s="33">
        <f>IFERROR(__xludf.DUMMYFUNCTION("""COMPUTED_VALUE"""),4.15361111111111)</f>
        <v>4.153611111</v>
      </c>
      <c r="AE287" s="33">
        <f>IFERROR(__xludf.DUMMYFUNCTION("""COMPUTED_VALUE"""),4.63666666666666)</f>
        <v>4.636666667</v>
      </c>
      <c r="AF287" s="33">
        <f>IFERROR(__xludf.DUMMYFUNCTION("""COMPUTED_VALUE"""),0.0)</f>
        <v>0</v>
      </c>
    </row>
    <row r="288">
      <c r="A288" s="49">
        <f>IFERROR(__xludf.DUMMYFUNCTION("""COMPUTED_VALUE"""),46076.0)</f>
        <v>46076</v>
      </c>
      <c r="B288" s="33" t="str">
        <f>IFERROR(__xludf.DUMMYFUNCTION("""COMPUTED_VALUE"""),"394d109f7b50d9a46fb591dbaaba2d0aac90a696")</f>
        <v>394d109f7b50d9a46fb591dbaaba2d0aac90a696</v>
      </c>
      <c r="C288" s="33" t="str">
        <f>IFERROR(__xludf.DUMMYFUNCTION("""COMPUTED_VALUE"""),"Empire of Hidden King (SRGJ) - Production Show_id")</f>
        <v>Empire of Hidden King (SRGJ) - Production Show_id</v>
      </c>
      <c r="D288" s="33">
        <f>IFERROR(__xludf.DUMMYFUNCTION("""COMPUTED_VALUE"""),3.0)</f>
        <v>3</v>
      </c>
      <c r="E288" s="33">
        <f>IFERROR(__xludf.DUMMYFUNCTION("""COMPUTED_VALUE"""),18.0)</f>
        <v>18</v>
      </c>
      <c r="F288" s="33">
        <f>IFERROR(__xludf.DUMMYFUNCTION("""COMPUTED_VALUE"""),10.0)</f>
        <v>10</v>
      </c>
      <c r="G288" s="33">
        <f>IFERROR(__xludf.DUMMYFUNCTION("""COMPUTED_VALUE"""),7.0)</f>
        <v>7</v>
      </c>
      <c r="H288" s="33">
        <f>IFERROR(__xludf.DUMMYFUNCTION("""COMPUTED_VALUE"""),8.0)</f>
        <v>8</v>
      </c>
      <c r="I288" s="33">
        <f>IFERROR(__xludf.DUMMYFUNCTION("""COMPUTED_VALUE"""),1.0)</f>
        <v>1</v>
      </c>
      <c r="J288" s="33">
        <f>IFERROR(__xludf.DUMMYFUNCTION("""COMPUTED_VALUE"""),12.0)</f>
        <v>12</v>
      </c>
      <c r="K288" s="33">
        <f>IFERROR(__xludf.DUMMYFUNCTION("""COMPUTED_VALUE"""),2.0)</f>
        <v>2</v>
      </c>
      <c r="L288" s="33">
        <f>IFERROR(__xludf.DUMMYFUNCTION("""COMPUTED_VALUE"""),2.0)</f>
        <v>2</v>
      </c>
      <c r="M288" s="33">
        <f>IFERROR(__xludf.DUMMYFUNCTION("""COMPUTED_VALUE"""),11.0)</f>
        <v>11</v>
      </c>
      <c r="N288" s="33">
        <f>IFERROR(__xludf.DUMMYFUNCTION("""COMPUTED_VALUE"""),12.0)</f>
        <v>12</v>
      </c>
      <c r="O288" s="33">
        <f>IFERROR(__xludf.DUMMYFUNCTION("""COMPUTED_VALUE"""),6.0)</f>
        <v>6</v>
      </c>
      <c r="P288" s="33">
        <f>IFERROR(__xludf.DUMMYFUNCTION("""COMPUTED_VALUE"""),12.0)</f>
        <v>12</v>
      </c>
      <c r="Q288" s="33">
        <f>IFERROR(__xludf.DUMMYFUNCTION("""COMPUTED_VALUE"""),0.0)</f>
        <v>0</v>
      </c>
      <c r="R288" s="33">
        <f>IFERROR(__xludf.DUMMYFUNCTION("""COMPUTED_VALUE"""),7954.0)</f>
        <v>7954</v>
      </c>
      <c r="S288" s="33">
        <f>IFERROR(__xludf.DUMMYFUNCTION("""COMPUTED_VALUE"""),53035.0)</f>
        <v>53035</v>
      </c>
      <c r="T288" s="33">
        <f>IFERROR(__xludf.DUMMYFUNCTION("""COMPUTED_VALUE"""),3.06888888888888)</f>
        <v>3.068888889</v>
      </c>
      <c r="U288" s="33">
        <f>IFERROR(__xludf.DUMMYFUNCTION("""COMPUTED_VALUE"""),2.80027777777777)</f>
        <v>2.800277778</v>
      </c>
      <c r="V288" s="33">
        <f>IFERROR(__xludf.DUMMYFUNCTION("""COMPUTED_VALUE"""),1.98388888888888)</f>
        <v>1.983888889</v>
      </c>
      <c r="W288" s="33">
        <f>IFERROR(__xludf.DUMMYFUNCTION("""COMPUTED_VALUE"""),2.2525)</f>
        <v>2.2525</v>
      </c>
      <c r="X288" s="33">
        <f>IFERROR(__xludf.DUMMYFUNCTION("""COMPUTED_VALUE"""),0.268611111111111)</f>
        <v>0.2686111111</v>
      </c>
      <c r="Y288" s="33">
        <f>IFERROR(__xludf.DUMMYFUNCTION("""COMPUTED_VALUE"""),3.32611111111111)</f>
        <v>3.326111111</v>
      </c>
      <c r="Z288" s="33">
        <f>IFERROR(__xludf.DUMMYFUNCTION("""COMPUTED_VALUE"""),0.544722222222222)</f>
        <v>0.5447222222</v>
      </c>
      <c r="AA288" s="33">
        <f>IFERROR(__xludf.DUMMYFUNCTION("""COMPUTED_VALUE"""),0.545555555555555)</f>
        <v>0.5455555556</v>
      </c>
      <c r="AB288" s="33">
        <f>IFERROR(__xludf.DUMMYFUNCTION("""COMPUTED_VALUE"""),2.98583333333333)</f>
        <v>2.985833333</v>
      </c>
      <c r="AC288" s="33">
        <f>IFERROR(__xludf.DUMMYFUNCTION("""COMPUTED_VALUE"""),3.25)</f>
        <v>3.25</v>
      </c>
      <c r="AD288" s="33">
        <f>IFERROR(__xludf.DUMMYFUNCTION("""COMPUTED_VALUE"""),1.61583333333333)</f>
        <v>1.615833333</v>
      </c>
      <c r="AE288" s="33">
        <f>IFERROR(__xludf.DUMMYFUNCTION("""COMPUTED_VALUE"""),3.25)</f>
        <v>3.25</v>
      </c>
      <c r="AF288" s="33">
        <f>IFERROR(__xludf.DUMMYFUNCTION("""COMPUTED_VALUE"""),11.0)</f>
        <v>11</v>
      </c>
    </row>
    <row r="289">
      <c r="A289" s="49">
        <f>IFERROR(__xludf.DUMMYFUNCTION("""COMPUTED_VALUE"""),46076.0)</f>
        <v>46076</v>
      </c>
      <c r="B289" s="33" t="str">
        <f>IFERROR(__xludf.DUMMYFUNCTION("""COMPUTED_VALUE"""),"5066c0736f9e9444f2b4da840d6860b1f7f47d11")</f>
        <v>5066c0736f9e9444f2b4da840d6860b1f7f47d11</v>
      </c>
      <c r="C289" s="33" t="str">
        <f>IFERROR(__xludf.DUMMYFUNCTION("""COMPUTED_VALUE"""),"The Warrior | Author - Dayaram Prajapati - Replica (For Production Only)")</f>
        <v>The Warrior | Author - Dayaram Prajapati - Replica (For Production Only)</v>
      </c>
      <c r="D289" s="33">
        <f>IFERROR(__xludf.DUMMYFUNCTION("""COMPUTED_VALUE"""),20.0)</f>
        <v>20</v>
      </c>
      <c r="E289" s="33">
        <f>IFERROR(__xludf.DUMMYFUNCTION("""COMPUTED_VALUE"""),15.0)</f>
        <v>15</v>
      </c>
      <c r="F289" s="33">
        <f>IFERROR(__xludf.DUMMYFUNCTION("""COMPUTED_VALUE"""),16.0)</f>
        <v>16</v>
      </c>
      <c r="G289" s="33">
        <f>IFERROR(__xludf.DUMMYFUNCTION("""COMPUTED_VALUE"""),17.0)</f>
        <v>17</v>
      </c>
      <c r="H289" s="33">
        <f>IFERROR(__xludf.DUMMYFUNCTION("""COMPUTED_VALUE"""),22.0)</f>
        <v>22</v>
      </c>
      <c r="I289" s="33">
        <f>IFERROR(__xludf.DUMMYFUNCTION("""COMPUTED_VALUE"""),5.0)</f>
        <v>5</v>
      </c>
      <c r="J289" s="33">
        <f>IFERROR(__xludf.DUMMYFUNCTION("""COMPUTED_VALUE"""),18.0)</f>
        <v>18</v>
      </c>
      <c r="K289" s="33">
        <f>IFERROR(__xludf.DUMMYFUNCTION("""COMPUTED_VALUE"""),2.0)</f>
        <v>2</v>
      </c>
      <c r="L289" s="33">
        <f>IFERROR(__xludf.DUMMYFUNCTION("""COMPUTED_VALUE"""),1.0)</f>
        <v>1</v>
      </c>
      <c r="M289" s="33">
        <f>IFERROR(__xludf.DUMMYFUNCTION("""COMPUTED_VALUE"""),18.0)</f>
        <v>18</v>
      </c>
      <c r="N289" s="33">
        <f>IFERROR(__xludf.DUMMYFUNCTION("""COMPUTED_VALUE"""),18.0)</f>
        <v>18</v>
      </c>
      <c r="O289" s="33">
        <f>IFERROR(__xludf.DUMMYFUNCTION("""COMPUTED_VALUE"""),7.0)</f>
        <v>7</v>
      </c>
      <c r="P289" s="33">
        <f>IFERROR(__xludf.DUMMYFUNCTION("""COMPUTED_VALUE"""),18.0)</f>
        <v>18</v>
      </c>
      <c r="Q289" s="33">
        <f>IFERROR(__xludf.DUMMYFUNCTION("""COMPUTED_VALUE"""),0.0)</f>
        <v>0</v>
      </c>
      <c r="R289" s="33">
        <f>IFERROR(__xludf.DUMMYFUNCTION("""COMPUTED_VALUE"""),60256.0)</f>
        <v>60256</v>
      </c>
      <c r="S289" s="33">
        <f>IFERROR(__xludf.DUMMYFUNCTION("""COMPUTED_VALUE"""),38874.0)</f>
        <v>38874</v>
      </c>
      <c r="T289" s="33">
        <f>IFERROR(__xludf.DUMMYFUNCTION("""COMPUTED_VALUE"""),5.43388888888888)</f>
        <v>5.433888889</v>
      </c>
      <c r="U289" s="33">
        <f>IFERROR(__xludf.DUMMYFUNCTION("""COMPUTED_VALUE"""),4.42888888888888)</f>
        <v>4.428888889</v>
      </c>
      <c r="V289" s="33">
        <f>IFERROR(__xludf.DUMMYFUNCTION("""COMPUTED_VALUE"""),4.59722222222222)</f>
        <v>4.597222222</v>
      </c>
      <c r="W289" s="33">
        <f>IFERROR(__xludf.DUMMYFUNCTION("""COMPUTED_VALUE"""),5.91944444444444)</f>
        <v>5.919444444</v>
      </c>
      <c r="X289" s="33">
        <f>IFERROR(__xludf.DUMMYFUNCTION("""COMPUTED_VALUE"""),1.32222222222222)</f>
        <v>1.322222222</v>
      </c>
      <c r="Y289" s="33">
        <f>IFERROR(__xludf.DUMMYFUNCTION("""COMPUTED_VALUE"""),4.89444444444444)</f>
        <v>4.894444444</v>
      </c>
      <c r="Z289" s="33">
        <f>IFERROR(__xludf.DUMMYFUNCTION("""COMPUTED_VALUE"""),0.523055555555555)</f>
        <v>0.5230555556</v>
      </c>
      <c r="AA289" s="33">
        <f>IFERROR(__xludf.DUMMYFUNCTION("""COMPUTED_VALUE"""),0.238888888888888)</f>
        <v>0.2388888889</v>
      </c>
      <c r="AB289" s="33">
        <f>IFERROR(__xludf.DUMMYFUNCTION("""COMPUTED_VALUE"""),4.89444444444444)</f>
        <v>4.894444444</v>
      </c>
      <c r="AC289" s="33">
        <f>IFERROR(__xludf.DUMMYFUNCTION("""COMPUTED_VALUE"""),4.89444444444444)</f>
        <v>4.894444444</v>
      </c>
      <c r="AD289" s="33">
        <f>IFERROR(__xludf.DUMMYFUNCTION("""COMPUTED_VALUE"""),1.72722222222222)</f>
        <v>1.727222222</v>
      </c>
      <c r="AE289" s="33">
        <f>IFERROR(__xludf.DUMMYFUNCTION("""COMPUTED_VALUE"""),4.89444444444444)</f>
        <v>4.894444444</v>
      </c>
      <c r="AF289" s="33">
        <f>IFERROR(__xludf.DUMMYFUNCTION("""COMPUTED_VALUE"""),20.0)</f>
        <v>20</v>
      </c>
    </row>
    <row r="290">
      <c r="A290" s="49">
        <f>IFERROR(__xludf.DUMMYFUNCTION("""COMPUTED_VALUE"""),46076.0)</f>
        <v>46076</v>
      </c>
      <c r="B290" s="33" t="str">
        <f>IFERROR(__xludf.DUMMYFUNCTION("""COMPUTED_VALUE"""),"5baf4c80faf4b2d4eb9401a1d0081872e0158e89")</f>
        <v>5baf4c80faf4b2d4eb9401a1d0081872e0158e89</v>
      </c>
      <c r="C290" s="33" t="str">
        <f>IFERROR(__xludf.DUMMYFUNCTION("""COMPUTED_VALUE"""),"Brahmyodha : The Destroyer - Production showId")</f>
        <v>Brahmyodha : The Destroyer - Production showId</v>
      </c>
      <c r="D290" s="33">
        <f>IFERROR(__xludf.DUMMYFUNCTION("""COMPUTED_VALUE"""),21.0)</f>
        <v>21</v>
      </c>
      <c r="E290" s="33">
        <f>IFERROR(__xludf.DUMMYFUNCTION("""COMPUTED_VALUE"""),21.0)</f>
        <v>21</v>
      </c>
      <c r="F290" s="33">
        <f>IFERROR(__xludf.DUMMYFUNCTION("""COMPUTED_VALUE"""),3.0)</f>
        <v>3</v>
      </c>
      <c r="G290" s="33">
        <f>IFERROR(__xludf.DUMMYFUNCTION("""COMPUTED_VALUE"""),0.0)</f>
        <v>0</v>
      </c>
      <c r="H290" s="33">
        <f>IFERROR(__xludf.DUMMYFUNCTION("""COMPUTED_VALUE"""),16.0)</f>
        <v>16</v>
      </c>
      <c r="I290" s="33">
        <f>IFERROR(__xludf.DUMMYFUNCTION("""COMPUTED_VALUE"""),14.0)</f>
        <v>14</v>
      </c>
      <c r="J290" s="33">
        <f>IFERROR(__xludf.DUMMYFUNCTION("""COMPUTED_VALUE"""),17.0)</f>
        <v>17</v>
      </c>
      <c r="K290" s="33">
        <f>IFERROR(__xludf.DUMMYFUNCTION("""COMPUTED_VALUE"""),2.0)</f>
        <v>2</v>
      </c>
      <c r="L290" s="33">
        <f>IFERROR(__xludf.DUMMYFUNCTION("""COMPUTED_VALUE"""),0.0)</f>
        <v>0</v>
      </c>
      <c r="M290" s="33">
        <f>IFERROR(__xludf.DUMMYFUNCTION("""COMPUTED_VALUE"""),19.0)</f>
        <v>19</v>
      </c>
      <c r="N290" s="33">
        <f>IFERROR(__xludf.DUMMYFUNCTION("""COMPUTED_VALUE"""),19.0)</f>
        <v>19</v>
      </c>
      <c r="O290" s="33">
        <f>IFERROR(__xludf.DUMMYFUNCTION("""COMPUTED_VALUE"""),5.0)</f>
        <v>5</v>
      </c>
      <c r="P290" s="33">
        <f>IFERROR(__xludf.DUMMYFUNCTION("""COMPUTED_VALUE"""),19.0)</f>
        <v>19</v>
      </c>
      <c r="Q290" s="33">
        <f>IFERROR(__xludf.DUMMYFUNCTION("""COMPUTED_VALUE"""),0.0)</f>
        <v>0</v>
      </c>
      <c r="R290" s="33">
        <f>IFERROR(__xludf.DUMMYFUNCTION("""COMPUTED_VALUE"""),53791.0)</f>
        <v>53791</v>
      </c>
      <c r="S290" s="33">
        <f>IFERROR(__xludf.DUMMYFUNCTION("""COMPUTED_VALUE"""),53791.0)</f>
        <v>53791</v>
      </c>
      <c r="T290" s="33">
        <f>IFERROR(__xludf.DUMMYFUNCTION("""COMPUTED_VALUE"""),4.23916666666666)</f>
        <v>4.239166667</v>
      </c>
      <c r="U290" s="33">
        <f>IFERROR(__xludf.DUMMYFUNCTION("""COMPUTED_VALUE"""),0.755)</f>
        <v>0.755</v>
      </c>
      <c r="V290" s="33">
        <f>IFERROR(__xludf.DUMMYFUNCTION("""COMPUTED_VALUE"""),0.0)</f>
        <v>0</v>
      </c>
      <c r="W290" s="33">
        <f>IFERROR(__xludf.DUMMYFUNCTION("""COMPUTED_VALUE"""),3.99472222222222)</f>
        <v>3.994722222</v>
      </c>
      <c r="X290" s="33">
        <f>IFERROR(__xludf.DUMMYFUNCTION("""COMPUTED_VALUE"""),3.48416666666666)</f>
        <v>3.484166667</v>
      </c>
      <c r="Y290" s="33">
        <f>IFERROR(__xludf.DUMMYFUNCTION("""COMPUTED_VALUE"""),4.3275)</f>
        <v>4.3275</v>
      </c>
      <c r="Z290" s="33">
        <f>IFERROR(__xludf.DUMMYFUNCTION("""COMPUTED_VALUE"""),0.523333333333333)</f>
        <v>0.5233333333</v>
      </c>
      <c r="AA290" s="33">
        <f>IFERROR(__xludf.DUMMYFUNCTION("""COMPUTED_VALUE"""),0.0)</f>
        <v>0</v>
      </c>
      <c r="AB290" s="33">
        <f>IFERROR(__xludf.DUMMYFUNCTION("""COMPUTED_VALUE"""),4.82861111111111)</f>
        <v>4.828611111</v>
      </c>
      <c r="AC290" s="33">
        <f>IFERROR(__xludf.DUMMYFUNCTION("""COMPUTED_VALUE"""),4.82861111111111)</f>
        <v>4.828611111</v>
      </c>
      <c r="AD290" s="33">
        <f>IFERROR(__xludf.DUMMYFUNCTION("""COMPUTED_VALUE"""),1.08777777777777)</f>
        <v>1.087777778</v>
      </c>
      <c r="AE290" s="33">
        <f>IFERROR(__xludf.DUMMYFUNCTION("""COMPUTED_VALUE"""),4.82861111111111)</f>
        <v>4.828611111</v>
      </c>
      <c r="AF290" s="33">
        <f>IFERROR(__xludf.DUMMYFUNCTION("""COMPUTED_VALUE"""),17.0)</f>
        <v>17</v>
      </c>
    </row>
    <row r="291">
      <c r="A291" s="49">
        <f>IFERROR(__xludf.DUMMYFUNCTION("""COMPUTED_VALUE"""),46076.0)</f>
        <v>46076</v>
      </c>
      <c r="B291" s="33" t="str">
        <f>IFERROR(__xludf.DUMMYFUNCTION("""COMPUTED_VALUE"""),"641b6f77fd211e92df35a3bcbab67e6879e19a66")</f>
        <v>641b6f77fd211e92df35a3bcbab67e6879e19a66</v>
      </c>
      <c r="C291" s="33" t="str">
        <f>IFERROR(__xludf.DUMMYFUNCTION("""COMPUTED_VALUE"""),"Mahagatha | महागाथा | Author - S. Mauryavanshi")</f>
        <v>Mahagatha | महागाथा | Author - S. Mauryavanshi</v>
      </c>
      <c r="D291" s="33">
        <f>IFERROR(__xludf.DUMMYFUNCTION("""COMPUTED_VALUE"""),15.0)</f>
        <v>15</v>
      </c>
      <c r="E291" s="33">
        <f>IFERROR(__xludf.DUMMYFUNCTION("""COMPUTED_VALUE"""),14.0)</f>
        <v>14</v>
      </c>
      <c r="F291" s="33">
        <f>IFERROR(__xludf.DUMMYFUNCTION("""COMPUTED_VALUE"""),4.0)</f>
        <v>4</v>
      </c>
      <c r="G291" s="33">
        <f>IFERROR(__xludf.DUMMYFUNCTION("""COMPUTED_VALUE"""),1.0)</f>
        <v>1</v>
      </c>
      <c r="H291" s="33">
        <f>IFERROR(__xludf.DUMMYFUNCTION("""COMPUTED_VALUE"""),16.0)</f>
        <v>16</v>
      </c>
      <c r="I291" s="33">
        <f>IFERROR(__xludf.DUMMYFUNCTION("""COMPUTED_VALUE"""),11.0)</f>
        <v>11</v>
      </c>
      <c r="J291" s="33">
        <f>IFERROR(__xludf.DUMMYFUNCTION("""COMPUTED_VALUE"""),16.0)</f>
        <v>16</v>
      </c>
      <c r="K291" s="33">
        <f>IFERROR(__xludf.DUMMYFUNCTION("""COMPUTED_VALUE"""),1.0)</f>
        <v>1</v>
      </c>
      <c r="L291" s="33">
        <f>IFERROR(__xludf.DUMMYFUNCTION("""COMPUTED_VALUE"""),0.0)</f>
        <v>0</v>
      </c>
      <c r="M291" s="33">
        <f>IFERROR(__xludf.DUMMYFUNCTION("""COMPUTED_VALUE"""),16.0)</f>
        <v>16</v>
      </c>
      <c r="N291" s="33">
        <f>IFERROR(__xludf.DUMMYFUNCTION("""COMPUTED_VALUE"""),16.0)</f>
        <v>16</v>
      </c>
      <c r="O291" s="33">
        <f>IFERROR(__xludf.DUMMYFUNCTION("""COMPUTED_VALUE"""),7.0)</f>
        <v>7</v>
      </c>
      <c r="P291" s="33">
        <f>IFERROR(__xludf.DUMMYFUNCTION("""COMPUTED_VALUE"""),16.0)</f>
        <v>16</v>
      </c>
      <c r="Q291" s="33">
        <f>IFERROR(__xludf.DUMMYFUNCTION("""COMPUTED_VALUE"""),0.0)</f>
        <v>0</v>
      </c>
      <c r="R291" s="33">
        <f>IFERROR(__xludf.DUMMYFUNCTION("""COMPUTED_VALUE"""),36909.0)</f>
        <v>36909</v>
      </c>
      <c r="S291" s="33">
        <f>IFERROR(__xludf.DUMMYFUNCTION("""COMPUTED_VALUE"""),32821.0)</f>
        <v>32821</v>
      </c>
      <c r="T291" s="33">
        <f>IFERROR(__xludf.DUMMYFUNCTION("""COMPUTED_VALUE"""),3.37277777777777)</f>
        <v>3.372777778</v>
      </c>
      <c r="U291" s="33">
        <f>IFERROR(__xludf.DUMMYFUNCTION("""COMPUTED_VALUE"""),0.897777777777777)</f>
        <v>0.8977777778</v>
      </c>
      <c r="V291" s="33">
        <f>IFERROR(__xludf.DUMMYFUNCTION("""COMPUTED_VALUE"""),0.22)</f>
        <v>0.22</v>
      </c>
      <c r="W291" s="33">
        <f>IFERROR(__xludf.DUMMYFUNCTION("""COMPUTED_VALUE"""),3.60611111111111)</f>
        <v>3.606111111</v>
      </c>
      <c r="X291" s="33">
        <f>IFERROR(__xludf.DUMMYFUNCTION("""COMPUTED_VALUE"""),2.47499999999999)</f>
        <v>2.475</v>
      </c>
      <c r="Y291" s="33">
        <f>IFERROR(__xludf.DUMMYFUNCTION("""COMPUTED_VALUE"""),3.61722222222222)</f>
        <v>3.617222222</v>
      </c>
      <c r="Z291" s="33">
        <f>IFERROR(__xludf.DUMMYFUNCTION("""COMPUTED_VALUE"""),0.216944444444444)</f>
        <v>0.2169444444</v>
      </c>
      <c r="AA291" s="33">
        <f>IFERROR(__xludf.DUMMYFUNCTION("""COMPUTED_VALUE"""),0.0)</f>
        <v>0</v>
      </c>
      <c r="AB291" s="33">
        <f>IFERROR(__xludf.DUMMYFUNCTION("""COMPUTED_VALUE"""),3.61722222222222)</f>
        <v>3.617222222</v>
      </c>
      <c r="AC291" s="33">
        <f>IFERROR(__xludf.DUMMYFUNCTION("""COMPUTED_VALUE"""),3.61722222222222)</f>
        <v>3.617222222</v>
      </c>
      <c r="AD291" s="33">
        <f>IFERROR(__xludf.DUMMYFUNCTION("""COMPUTED_VALUE"""),1.64055555555555)</f>
        <v>1.640555556</v>
      </c>
      <c r="AE291" s="33">
        <f>IFERROR(__xludf.DUMMYFUNCTION("""COMPUTED_VALUE"""),3.61722222222222)</f>
        <v>3.617222222</v>
      </c>
      <c r="AF291" s="33">
        <f>IFERROR(__xludf.DUMMYFUNCTION("""COMPUTED_VALUE"""),15.0)</f>
        <v>15</v>
      </c>
    </row>
    <row r="292">
      <c r="A292" s="49">
        <f>IFERROR(__xludf.DUMMYFUNCTION("""COMPUTED_VALUE"""),46076.0)</f>
        <v>46076</v>
      </c>
      <c r="B292" s="33" t="str">
        <f>IFERROR(__xludf.DUMMYFUNCTION("""COMPUTED_VALUE"""),"7ea3277f02ef13c60cfa72336d009bf7ee6c17e8")</f>
        <v>7ea3277f02ef13c60cfa72336d009bf7ee6c17e8</v>
      </c>
      <c r="C292" s="33" t="str">
        <f>IFERROR(__xludf.DUMMYFUNCTION("""COMPUTED_VALUE"""),"Saaya the Dark Love - Production Show_id")</f>
        <v>Saaya the Dark Love - Production Show_id</v>
      </c>
      <c r="D292" s="33">
        <f>IFERROR(__xludf.DUMMYFUNCTION("""COMPUTED_VALUE"""),8.0)</f>
        <v>8</v>
      </c>
      <c r="E292" s="33">
        <f>IFERROR(__xludf.DUMMYFUNCTION("""COMPUTED_VALUE"""),0.0)</f>
        <v>0</v>
      </c>
      <c r="F292" s="33">
        <f>IFERROR(__xludf.DUMMYFUNCTION("""COMPUTED_VALUE"""),0.0)</f>
        <v>0</v>
      </c>
      <c r="G292" s="33">
        <f>IFERROR(__xludf.DUMMYFUNCTION("""COMPUTED_VALUE"""),0.0)</f>
        <v>0</v>
      </c>
      <c r="H292" s="33">
        <f>IFERROR(__xludf.DUMMYFUNCTION("""COMPUTED_VALUE"""),0.0)</f>
        <v>0</v>
      </c>
      <c r="I292" s="33">
        <f>IFERROR(__xludf.DUMMYFUNCTION("""COMPUTED_VALUE"""),0.0)</f>
        <v>0</v>
      </c>
      <c r="J292" s="33">
        <f>IFERROR(__xludf.DUMMYFUNCTION("""COMPUTED_VALUE"""),0.0)</f>
        <v>0</v>
      </c>
      <c r="K292" s="33">
        <f>IFERROR(__xludf.DUMMYFUNCTION("""COMPUTED_VALUE"""),0.0)</f>
        <v>0</v>
      </c>
      <c r="L292" s="33">
        <f>IFERROR(__xludf.DUMMYFUNCTION("""COMPUTED_VALUE"""),0.0)</f>
        <v>0</v>
      </c>
      <c r="M292" s="33">
        <f>IFERROR(__xludf.DUMMYFUNCTION("""COMPUTED_VALUE"""),0.0)</f>
        <v>0</v>
      </c>
      <c r="N292" s="33">
        <f>IFERROR(__xludf.DUMMYFUNCTION("""COMPUTED_VALUE"""),0.0)</f>
        <v>0</v>
      </c>
      <c r="O292" s="33">
        <f>IFERROR(__xludf.DUMMYFUNCTION("""COMPUTED_VALUE"""),0.0)</f>
        <v>0</v>
      </c>
      <c r="P292" s="33">
        <f>IFERROR(__xludf.DUMMYFUNCTION("""COMPUTED_VALUE"""),0.0)</f>
        <v>0</v>
      </c>
      <c r="Q292" s="33">
        <f>IFERROR(__xludf.DUMMYFUNCTION("""COMPUTED_VALUE"""),0.0)</f>
        <v>0</v>
      </c>
      <c r="R292" s="33">
        <f>IFERROR(__xludf.DUMMYFUNCTION("""COMPUTED_VALUE"""),19302.0)</f>
        <v>19302</v>
      </c>
      <c r="S292" s="33">
        <f>IFERROR(__xludf.DUMMYFUNCTION("""COMPUTED_VALUE"""),0.0)</f>
        <v>0</v>
      </c>
      <c r="T292" s="33">
        <f>IFERROR(__xludf.DUMMYFUNCTION("""COMPUTED_VALUE"""),0.268888888888888)</f>
        <v>0.2688888889</v>
      </c>
      <c r="U292" s="33">
        <f>IFERROR(__xludf.DUMMYFUNCTION("""COMPUTED_VALUE"""),0.0)</f>
        <v>0</v>
      </c>
      <c r="V292" s="33">
        <f>IFERROR(__xludf.DUMMYFUNCTION("""COMPUTED_VALUE"""),0.0)</f>
        <v>0</v>
      </c>
      <c r="W292" s="33">
        <f>IFERROR(__xludf.DUMMYFUNCTION("""COMPUTED_VALUE"""),0.0)</f>
        <v>0</v>
      </c>
      <c r="X292" s="33">
        <f>IFERROR(__xludf.DUMMYFUNCTION("""COMPUTED_VALUE"""),0.0)</f>
        <v>0</v>
      </c>
      <c r="Y292" s="33">
        <f>IFERROR(__xludf.DUMMYFUNCTION("""COMPUTED_VALUE"""),0.0)</f>
        <v>0</v>
      </c>
      <c r="Z292" s="33">
        <f>IFERROR(__xludf.DUMMYFUNCTION("""COMPUTED_VALUE"""),0.0)</f>
        <v>0</v>
      </c>
      <c r="AA292" s="33">
        <f>IFERROR(__xludf.DUMMYFUNCTION("""COMPUTED_VALUE"""),0.0)</f>
        <v>0</v>
      </c>
      <c r="AB292" s="33">
        <f>IFERROR(__xludf.DUMMYFUNCTION("""COMPUTED_VALUE"""),0.0)</f>
        <v>0</v>
      </c>
      <c r="AC292" s="33">
        <f>IFERROR(__xludf.DUMMYFUNCTION("""COMPUTED_VALUE"""),0.0)</f>
        <v>0</v>
      </c>
      <c r="AD292" s="33">
        <f>IFERROR(__xludf.DUMMYFUNCTION("""COMPUTED_VALUE"""),0.0)</f>
        <v>0</v>
      </c>
      <c r="AE292" s="33">
        <f>IFERROR(__xludf.DUMMYFUNCTION("""COMPUTED_VALUE"""),0.0)</f>
        <v>0</v>
      </c>
      <c r="AF292" s="33">
        <f>IFERROR(__xludf.DUMMYFUNCTION("""COMPUTED_VALUE"""),1.0)</f>
        <v>1</v>
      </c>
    </row>
    <row r="293">
      <c r="A293" s="49">
        <f>IFERROR(__xludf.DUMMYFUNCTION("""COMPUTED_VALUE"""),46076.0)</f>
        <v>46076</v>
      </c>
      <c r="B293" s="33" t="str">
        <f>IFERROR(__xludf.DUMMYFUNCTION("""COMPUTED_VALUE"""),"81de0bc81be63a15ef7b7f2a301e23b4f3d49745")</f>
        <v>81de0bc81be63a15ef7b7f2a301e23b4f3d49745</v>
      </c>
      <c r="C293" s="33" t="str">
        <f>IFERROR(__xludf.DUMMYFUNCTION("""COMPUTED_VALUE"""),"Married to a Hard Hearted")</f>
        <v>Married to a Hard Hearted</v>
      </c>
      <c r="D293" s="33">
        <f>IFERROR(__xludf.DUMMYFUNCTION("""COMPUTED_VALUE"""),0.0)</f>
        <v>0</v>
      </c>
      <c r="E293" s="33">
        <f>IFERROR(__xludf.DUMMYFUNCTION("""COMPUTED_VALUE"""),16.0)</f>
        <v>16</v>
      </c>
      <c r="F293" s="33">
        <f>IFERROR(__xludf.DUMMYFUNCTION("""COMPUTED_VALUE"""),8.0)</f>
        <v>8</v>
      </c>
      <c r="G293" s="33">
        <f>IFERROR(__xludf.DUMMYFUNCTION("""COMPUTED_VALUE"""),0.0)</f>
        <v>0</v>
      </c>
      <c r="H293" s="33">
        <f>IFERROR(__xludf.DUMMYFUNCTION("""COMPUTED_VALUE"""),14.0)</f>
        <v>14</v>
      </c>
      <c r="I293" s="33">
        <f>IFERROR(__xludf.DUMMYFUNCTION("""COMPUTED_VALUE"""),7.0)</f>
        <v>7</v>
      </c>
      <c r="J293" s="33">
        <f>IFERROR(__xludf.DUMMYFUNCTION("""COMPUTED_VALUE"""),14.0)</f>
        <v>14</v>
      </c>
      <c r="K293" s="33">
        <f>IFERROR(__xludf.DUMMYFUNCTION("""COMPUTED_VALUE"""),1.0)</f>
        <v>1</v>
      </c>
      <c r="L293" s="33">
        <f>IFERROR(__xludf.DUMMYFUNCTION("""COMPUTED_VALUE"""),0.0)</f>
        <v>0</v>
      </c>
      <c r="M293" s="33">
        <f>IFERROR(__xludf.DUMMYFUNCTION("""COMPUTED_VALUE"""),12.0)</f>
        <v>12</v>
      </c>
      <c r="N293" s="33">
        <f>IFERROR(__xludf.DUMMYFUNCTION("""COMPUTED_VALUE"""),12.0)</f>
        <v>12</v>
      </c>
      <c r="O293" s="33">
        <f>IFERROR(__xludf.DUMMYFUNCTION("""COMPUTED_VALUE"""),4.0)</f>
        <v>4</v>
      </c>
      <c r="P293" s="33">
        <f>IFERROR(__xludf.DUMMYFUNCTION("""COMPUTED_VALUE"""),12.0)</f>
        <v>12</v>
      </c>
      <c r="Q293" s="33">
        <f>IFERROR(__xludf.DUMMYFUNCTION("""COMPUTED_VALUE"""),0.0)</f>
        <v>0</v>
      </c>
      <c r="R293" s="33">
        <f>IFERROR(__xludf.DUMMYFUNCTION("""COMPUTED_VALUE"""),0.0)</f>
        <v>0</v>
      </c>
      <c r="S293" s="33">
        <f>IFERROR(__xludf.DUMMYFUNCTION("""COMPUTED_VALUE"""),35668.0)</f>
        <v>35668</v>
      </c>
      <c r="T293" s="33">
        <f>IFERROR(__xludf.DUMMYFUNCTION("""COMPUTED_VALUE"""),3.01111111111111)</f>
        <v>3.011111111</v>
      </c>
      <c r="U293" s="33">
        <f>IFERROR(__xludf.DUMMYFUNCTION("""COMPUTED_VALUE"""),1.57999999999999)</f>
        <v>1.58</v>
      </c>
      <c r="V293" s="33">
        <f>IFERROR(__xludf.DUMMYFUNCTION("""COMPUTED_VALUE"""),0.0)</f>
        <v>0</v>
      </c>
      <c r="W293" s="33">
        <f>IFERROR(__xludf.DUMMYFUNCTION("""COMPUTED_VALUE"""),2.80555555555555)</f>
        <v>2.805555556</v>
      </c>
      <c r="X293" s="33">
        <f>IFERROR(__xludf.DUMMYFUNCTION("""COMPUTED_VALUE"""),1.43111111111111)</f>
        <v>1.431111111</v>
      </c>
      <c r="Y293" s="33">
        <f>IFERROR(__xludf.DUMMYFUNCTION("""COMPUTED_VALUE"""),2.79444444444444)</f>
        <v>2.794444444</v>
      </c>
      <c r="Z293" s="33">
        <f>IFERROR(__xludf.DUMMYFUNCTION("""COMPUTED_VALUE"""),0.204444444444444)</f>
        <v>0.2044444444</v>
      </c>
      <c r="AA293" s="33">
        <f>IFERROR(__xludf.DUMMYFUNCTION("""COMPUTED_VALUE"""),0.0)</f>
        <v>0</v>
      </c>
      <c r="AB293" s="33">
        <f>IFERROR(__xludf.DUMMYFUNCTION("""COMPUTED_VALUE"""),2.39333333333333)</f>
        <v>2.393333333</v>
      </c>
      <c r="AC293" s="33">
        <f>IFERROR(__xludf.DUMMYFUNCTION("""COMPUTED_VALUE"""),2.39333333333333)</f>
        <v>2.393333333</v>
      </c>
      <c r="AD293" s="33">
        <f>IFERROR(__xludf.DUMMYFUNCTION("""COMPUTED_VALUE"""),0.748611111111111)</f>
        <v>0.7486111111</v>
      </c>
      <c r="AE293" s="33">
        <f>IFERROR(__xludf.DUMMYFUNCTION("""COMPUTED_VALUE"""),2.39333333333333)</f>
        <v>2.393333333</v>
      </c>
      <c r="AF293" s="33">
        <f>IFERROR(__xludf.DUMMYFUNCTION("""COMPUTED_VALUE"""),15.0)</f>
        <v>15</v>
      </c>
    </row>
    <row r="294">
      <c r="A294" s="49">
        <f>IFERROR(__xludf.DUMMYFUNCTION("""COMPUTED_VALUE"""),46076.0)</f>
        <v>46076</v>
      </c>
      <c r="B294" s="33" t="str">
        <f>IFERROR(__xludf.DUMMYFUNCTION("""COMPUTED_VALUE"""),"859785ba4869b28dddcfcb0e75295d1e1ad9b5a9")</f>
        <v>859785ba4869b28dddcfcb0e75295d1e1ad9b5a9</v>
      </c>
      <c r="C294" s="33" t="str">
        <f>IFERROR(__xludf.DUMMYFUNCTION("""COMPUTED_VALUE"""),"King of Dragon | किंग ऑफ ड्रैगन | Author - Nitesh")</f>
        <v>King of Dragon | किंग ऑफ ड्रैगन | Author - Nitesh</v>
      </c>
      <c r="D294" s="33">
        <f>IFERROR(__xludf.DUMMYFUNCTION("""COMPUTED_VALUE"""),0.0)</f>
        <v>0</v>
      </c>
      <c r="E294" s="33">
        <f>IFERROR(__xludf.DUMMYFUNCTION("""COMPUTED_VALUE"""),0.0)</f>
        <v>0</v>
      </c>
      <c r="F294" s="33">
        <f>IFERROR(__xludf.DUMMYFUNCTION("""COMPUTED_VALUE"""),0.0)</f>
        <v>0</v>
      </c>
      <c r="G294" s="33">
        <f>IFERROR(__xludf.DUMMYFUNCTION("""COMPUTED_VALUE"""),0.0)</f>
        <v>0</v>
      </c>
      <c r="H294" s="33">
        <f>IFERROR(__xludf.DUMMYFUNCTION("""COMPUTED_VALUE"""),0.0)</f>
        <v>0</v>
      </c>
      <c r="I294" s="33">
        <f>IFERROR(__xludf.DUMMYFUNCTION("""COMPUTED_VALUE"""),0.0)</f>
        <v>0</v>
      </c>
      <c r="J294" s="33">
        <f>IFERROR(__xludf.DUMMYFUNCTION("""COMPUTED_VALUE"""),0.0)</f>
        <v>0</v>
      </c>
      <c r="K294" s="33">
        <f>IFERROR(__xludf.DUMMYFUNCTION("""COMPUTED_VALUE"""),0.0)</f>
        <v>0</v>
      </c>
      <c r="L294" s="33">
        <f>IFERROR(__xludf.DUMMYFUNCTION("""COMPUTED_VALUE"""),0.0)</f>
        <v>0</v>
      </c>
      <c r="M294" s="33">
        <f>IFERROR(__xludf.DUMMYFUNCTION("""COMPUTED_VALUE"""),0.0)</f>
        <v>0</v>
      </c>
      <c r="N294" s="33">
        <f>IFERROR(__xludf.DUMMYFUNCTION("""COMPUTED_VALUE"""),13.0)</f>
        <v>13</v>
      </c>
      <c r="O294" s="33">
        <f>IFERROR(__xludf.DUMMYFUNCTION("""COMPUTED_VALUE"""),3.0)</f>
        <v>3</v>
      </c>
      <c r="P294" s="33">
        <f>IFERROR(__xludf.DUMMYFUNCTION("""COMPUTED_VALUE"""),7.0)</f>
        <v>7</v>
      </c>
      <c r="Q294" s="33">
        <f>IFERROR(__xludf.DUMMYFUNCTION("""COMPUTED_VALUE"""),0.0)</f>
        <v>0</v>
      </c>
      <c r="R294" s="33">
        <f>IFERROR(__xludf.DUMMYFUNCTION("""COMPUTED_VALUE"""),0.0)</f>
        <v>0</v>
      </c>
      <c r="S294" s="33">
        <f>IFERROR(__xludf.DUMMYFUNCTION("""COMPUTED_VALUE"""),0.0)</f>
        <v>0</v>
      </c>
      <c r="T294" s="33">
        <f>IFERROR(__xludf.DUMMYFUNCTION("""COMPUTED_VALUE"""),0.0)</f>
        <v>0</v>
      </c>
      <c r="U294" s="33">
        <f>IFERROR(__xludf.DUMMYFUNCTION("""COMPUTED_VALUE"""),0.0)</f>
        <v>0</v>
      </c>
      <c r="V294" s="33">
        <f>IFERROR(__xludf.DUMMYFUNCTION("""COMPUTED_VALUE"""),0.0)</f>
        <v>0</v>
      </c>
      <c r="W294" s="33">
        <f>IFERROR(__xludf.DUMMYFUNCTION("""COMPUTED_VALUE"""),0.0)</f>
        <v>0</v>
      </c>
      <c r="X294" s="33">
        <f>IFERROR(__xludf.DUMMYFUNCTION("""COMPUTED_VALUE"""),0.0)</f>
        <v>0</v>
      </c>
      <c r="Y294" s="33">
        <f>IFERROR(__xludf.DUMMYFUNCTION("""COMPUTED_VALUE"""),0.0)</f>
        <v>0</v>
      </c>
      <c r="Z294" s="33">
        <f>IFERROR(__xludf.DUMMYFUNCTION("""COMPUTED_VALUE"""),0.0)</f>
        <v>0</v>
      </c>
      <c r="AA294" s="33">
        <f>IFERROR(__xludf.DUMMYFUNCTION("""COMPUTED_VALUE"""),0.0)</f>
        <v>0</v>
      </c>
      <c r="AB294" s="33">
        <f>IFERROR(__xludf.DUMMYFUNCTION("""COMPUTED_VALUE"""),0.0)</f>
        <v>0</v>
      </c>
      <c r="AC294" s="33">
        <f>IFERROR(__xludf.DUMMYFUNCTION("""COMPUTED_VALUE"""),3.73138888888888)</f>
        <v>3.731388889</v>
      </c>
      <c r="AD294" s="33">
        <f>IFERROR(__xludf.DUMMYFUNCTION("""COMPUTED_VALUE"""),0.851666666666666)</f>
        <v>0.8516666667</v>
      </c>
      <c r="AE294" s="33">
        <f>IFERROR(__xludf.DUMMYFUNCTION("""COMPUTED_VALUE"""),1.96083333333333)</f>
        <v>1.960833333</v>
      </c>
      <c r="AF294" s="33">
        <f>IFERROR(__xludf.DUMMYFUNCTION("""COMPUTED_VALUE"""),0.0)</f>
        <v>0</v>
      </c>
    </row>
    <row r="295">
      <c r="A295" s="49">
        <f>IFERROR(__xludf.DUMMYFUNCTION("""COMPUTED_VALUE"""),46076.0)</f>
        <v>46076</v>
      </c>
      <c r="B295" s="33" t="str">
        <f>IFERROR(__xludf.DUMMYFUNCTION("""COMPUTED_VALUE"""),"96f1f89e4494e06fb7f9e3c4645563fa62ef9320")</f>
        <v>96f1f89e4494e06fb7f9e3c4645563fa62ef9320</v>
      </c>
      <c r="C295" s="33" t="str">
        <f>IFERROR(__xludf.DUMMYFUNCTION("""COMPUTED_VALUE"""),"King of Dragon - Production Show_id")</f>
        <v>King of Dragon - Production Show_id</v>
      </c>
      <c r="D295" s="33">
        <f>IFERROR(__xludf.DUMMYFUNCTION("""COMPUTED_VALUE"""),15.0)</f>
        <v>15</v>
      </c>
      <c r="E295" s="33">
        <f>IFERROR(__xludf.DUMMYFUNCTION("""COMPUTED_VALUE"""),15.0)</f>
        <v>15</v>
      </c>
      <c r="F295" s="33">
        <f>IFERROR(__xludf.DUMMYFUNCTION("""COMPUTED_VALUE"""),8.0)</f>
        <v>8</v>
      </c>
      <c r="G295" s="33">
        <f>IFERROR(__xludf.DUMMYFUNCTION("""COMPUTED_VALUE"""),8.0)</f>
        <v>8</v>
      </c>
      <c r="H295" s="33">
        <f>IFERROR(__xludf.DUMMYFUNCTION("""COMPUTED_VALUE"""),11.0)</f>
        <v>11</v>
      </c>
      <c r="I295" s="33">
        <f>IFERROR(__xludf.DUMMYFUNCTION("""COMPUTED_VALUE"""),2.0)</f>
        <v>2</v>
      </c>
      <c r="J295" s="33">
        <f>IFERROR(__xludf.DUMMYFUNCTION("""COMPUTED_VALUE"""),11.0)</f>
        <v>11</v>
      </c>
      <c r="K295" s="33">
        <f>IFERROR(__xludf.DUMMYFUNCTION("""COMPUTED_VALUE"""),1.0)</f>
        <v>1</v>
      </c>
      <c r="L295" s="33">
        <f>IFERROR(__xludf.DUMMYFUNCTION("""COMPUTED_VALUE"""),0.0)</f>
        <v>0</v>
      </c>
      <c r="M295" s="33">
        <f>IFERROR(__xludf.DUMMYFUNCTION("""COMPUTED_VALUE"""),10.0)</f>
        <v>10</v>
      </c>
      <c r="N295" s="33">
        <f>IFERROR(__xludf.DUMMYFUNCTION("""COMPUTED_VALUE"""),9.0)</f>
        <v>9</v>
      </c>
      <c r="O295" s="33">
        <f>IFERROR(__xludf.DUMMYFUNCTION("""COMPUTED_VALUE"""),5.0)</f>
        <v>5</v>
      </c>
      <c r="P295" s="33">
        <f>IFERROR(__xludf.DUMMYFUNCTION("""COMPUTED_VALUE"""),9.0)</f>
        <v>9</v>
      </c>
      <c r="Q295" s="33">
        <f>IFERROR(__xludf.DUMMYFUNCTION("""COMPUTED_VALUE"""),0.0)</f>
        <v>0</v>
      </c>
      <c r="R295" s="33">
        <f>IFERROR(__xludf.DUMMYFUNCTION("""COMPUTED_VALUE"""),37534.0)</f>
        <v>37534</v>
      </c>
      <c r="S295" s="33">
        <f>IFERROR(__xludf.DUMMYFUNCTION("""COMPUTED_VALUE"""),37361.0)</f>
        <v>37361</v>
      </c>
      <c r="T295" s="33">
        <f>IFERROR(__xludf.DUMMYFUNCTION("""COMPUTED_VALUE"""),1.66277777777777)</f>
        <v>1.662777778</v>
      </c>
      <c r="U295" s="33">
        <f>IFERROR(__xludf.DUMMYFUNCTION("""COMPUTED_VALUE"""),2.28611111111111)</f>
        <v>2.286111111</v>
      </c>
      <c r="V295" s="33">
        <f>IFERROR(__xludf.DUMMYFUNCTION("""COMPUTED_VALUE"""),2.28555555555555)</f>
        <v>2.285555556</v>
      </c>
      <c r="W295" s="33">
        <f>IFERROR(__xludf.DUMMYFUNCTION("""COMPUTED_VALUE"""),3.03249999999999)</f>
        <v>3.0325</v>
      </c>
      <c r="X295" s="33">
        <f>IFERROR(__xludf.DUMMYFUNCTION("""COMPUTED_VALUE"""),0.511666666666666)</f>
        <v>0.5116666667</v>
      </c>
      <c r="Y295" s="33">
        <f>IFERROR(__xludf.DUMMYFUNCTION("""COMPUTED_VALUE"""),3.02472222222222)</f>
        <v>3.024722222</v>
      </c>
      <c r="Z295" s="33">
        <f>IFERROR(__xludf.DUMMYFUNCTION("""COMPUTED_VALUE"""),0.281388888888888)</f>
        <v>0.2813888889</v>
      </c>
      <c r="AA295" s="33">
        <f>IFERROR(__xludf.DUMMYFUNCTION("""COMPUTED_VALUE"""),0.0)</f>
        <v>0</v>
      </c>
      <c r="AB295" s="33">
        <f>IFERROR(__xludf.DUMMYFUNCTION("""COMPUTED_VALUE"""),2.76638888888888)</f>
        <v>2.766388889</v>
      </c>
      <c r="AC295" s="33">
        <f>IFERROR(__xludf.DUMMYFUNCTION("""COMPUTED_VALUE"""),2.53111111111111)</f>
        <v>2.531111111</v>
      </c>
      <c r="AD295" s="33">
        <f>IFERROR(__xludf.DUMMYFUNCTION("""COMPUTED_VALUE"""),1.38333333333333)</f>
        <v>1.383333333</v>
      </c>
      <c r="AE295" s="33">
        <f>IFERROR(__xludf.DUMMYFUNCTION("""COMPUTED_VALUE"""),2.53111111111111)</f>
        <v>2.531111111</v>
      </c>
      <c r="AF295" s="33">
        <f>IFERROR(__xludf.DUMMYFUNCTION("""COMPUTED_VALUE"""),6.0)</f>
        <v>6</v>
      </c>
    </row>
    <row r="296">
      <c r="A296" s="49">
        <f>IFERROR(__xludf.DUMMYFUNCTION("""COMPUTED_VALUE"""),46076.0)</f>
        <v>46076</v>
      </c>
      <c r="B296" s="33" t="str">
        <f>IFERROR(__xludf.DUMMYFUNCTION("""COMPUTED_VALUE"""),"a3ba65aa427077188e1ad7dbcbcafae266683ca9")</f>
        <v>a3ba65aa427077188e1ad7dbcbcafae266683ca9</v>
      </c>
      <c r="C296" s="33" t="str">
        <f>IFERROR(__xludf.DUMMYFUNCTION("""COMPUTED_VALUE"""),"The Warrior | Author - Dayaram Prajapati")</f>
        <v>The Warrior | Author - Dayaram Prajapati</v>
      </c>
      <c r="D296" s="33">
        <f>IFERROR(__xludf.DUMMYFUNCTION("""COMPUTED_VALUE"""),10.0)</f>
        <v>10</v>
      </c>
      <c r="E296" s="33">
        <f>IFERROR(__xludf.DUMMYFUNCTION("""COMPUTED_VALUE"""),2.0)</f>
        <v>2</v>
      </c>
      <c r="F296" s="33">
        <f>IFERROR(__xludf.DUMMYFUNCTION("""COMPUTED_VALUE"""),0.0)</f>
        <v>0</v>
      </c>
      <c r="G296" s="33">
        <f>IFERROR(__xludf.DUMMYFUNCTION("""COMPUTED_VALUE"""),0.0)</f>
        <v>0</v>
      </c>
      <c r="H296" s="33">
        <f>IFERROR(__xludf.DUMMYFUNCTION("""COMPUTED_VALUE"""),0.0)</f>
        <v>0</v>
      </c>
      <c r="I296" s="33">
        <f>IFERROR(__xludf.DUMMYFUNCTION("""COMPUTED_VALUE"""),0.0)</f>
        <v>0</v>
      </c>
      <c r="J296" s="33">
        <f>IFERROR(__xludf.DUMMYFUNCTION("""COMPUTED_VALUE"""),0.0)</f>
        <v>0</v>
      </c>
      <c r="K296" s="33">
        <f>IFERROR(__xludf.DUMMYFUNCTION("""COMPUTED_VALUE"""),0.0)</f>
        <v>0</v>
      </c>
      <c r="L296" s="33">
        <f>IFERROR(__xludf.DUMMYFUNCTION("""COMPUTED_VALUE"""),0.0)</f>
        <v>0</v>
      </c>
      <c r="M296" s="33">
        <f>IFERROR(__xludf.DUMMYFUNCTION("""COMPUTED_VALUE"""),9.0)</f>
        <v>9</v>
      </c>
      <c r="N296" s="33">
        <f>IFERROR(__xludf.DUMMYFUNCTION("""COMPUTED_VALUE"""),2.0)</f>
        <v>2</v>
      </c>
      <c r="O296" s="33">
        <f>IFERROR(__xludf.DUMMYFUNCTION("""COMPUTED_VALUE"""),2.0)</f>
        <v>2</v>
      </c>
      <c r="P296" s="33">
        <f>IFERROR(__xludf.DUMMYFUNCTION("""COMPUTED_VALUE"""),2.0)</f>
        <v>2</v>
      </c>
      <c r="Q296" s="33">
        <f>IFERROR(__xludf.DUMMYFUNCTION("""COMPUTED_VALUE"""),0.0)</f>
        <v>0</v>
      </c>
      <c r="R296" s="33">
        <f>IFERROR(__xludf.DUMMYFUNCTION("""COMPUTED_VALUE"""),28889.0)</f>
        <v>28889</v>
      </c>
      <c r="S296" s="33">
        <f>IFERROR(__xludf.DUMMYFUNCTION("""COMPUTED_VALUE"""),5789.0)</f>
        <v>5789</v>
      </c>
      <c r="T296" s="33">
        <f>IFERROR(__xludf.DUMMYFUNCTION("""COMPUTED_VALUE"""),0.0)</f>
        <v>0</v>
      </c>
      <c r="U296" s="33">
        <f>IFERROR(__xludf.DUMMYFUNCTION("""COMPUTED_VALUE"""),0.0)</f>
        <v>0</v>
      </c>
      <c r="V296" s="33">
        <f>IFERROR(__xludf.DUMMYFUNCTION("""COMPUTED_VALUE"""),0.0)</f>
        <v>0</v>
      </c>
      <c r="W296" s="33">
        <f>IFERROR(__xludf.DUMMYFUNCTION("""COMPUTED_VALUE"""),0.0)</f>
        <v>0</v>
      </c>
      <c r="X296" s="33">
        <f>IFERROR(__xludf.DUMMYFUNCTION("""COMPUTED_VALUE"""),0.0)</f>
        <v>0</v>
      </c>
      <c r="Y296" s="33">
        <f>IFERROR(__xludf.DUMMYFUNCTION("""COMPUTED_VALUE"""),0.0)</f>
        <v>0</v>
      </c>
      <c r="Z296" s="33">
        <f>IFERROR(__xludf.DUMMYFUNCTION("""COMPUTED_VALUE"""),0.0)</f>
        <v>0</v>
      </c>
      <c r="AA296" s="33">
        <f>IFERROR(__xludf.DUMMYFUNCTION("""COMPUTED_VALUE"""),0.0)</f>
        <v>0</v>
      </c>
      <c r="AB296" s="33">
        <f>IFERROR(__xludf.DUMMYFUNCTION("""COMPUTED_VALUE"""),2.62055555555555)</f>
        <v>2.620555556</v>
      </c>
      <c r="AC296" s="33">
        <f>IFERROR(__xludf.DUMMYFUNCTION("""COMPUTED_VALUE"""),0.573055555555555)</f>
        <v>0.5730555556</v>
      </c>
      <c r="AD296" s="33">
        <f>IFERROR(__xludf.DUMMYFUNCTION("""COMPUTED_VALUE"""),0.4775)</f>
        <v>0.4775</v>
      </c>
      <c r="AE296" s="33">
        <f>IFERROR(__xludf.DUMMYFUNCTION("""COMPUTED_VALUE"""),0.573055555555555)</f>
        <v>0.5730555556</v>
      </c>
      <c r="AF296" s="33">
        <f>IFERROR(__xludf.DUMMYFUNCTION("""COMPUTED_VALUE"""),0.0)</f>
        <v>0</v>
      </c>
    </row>
    <row r="297">
      <c r="A297" s="49">
        <f>IFERROR(__xludf.DUMMYFUNCTION("""COMPUTED_VALUE"""),46076.0)</f>
        <v>46076</v>
      </c>
      <c r="B297" s="33" t="str">
        <f>IFERROR(__xludf.DUMMYFUNCTION("""COMPUTED_VALUE"""),"aa81f1feb820ed6f22bd7b22b55890db740929cb")</f>
        <v>aa81f1feb820ed6f22bd7b22b55890db740929cb</v>
      </c>
      <c r="C297" s="33" t="str">
        <f>IFERROR(__xludf.DUMMYFUNCTION("""COMPUTED_VALUE"""),"Shunya Samrat")</f>
        <v>Shunya Samrat</v>
      </c>
      <c r="D297" s="33">
        <f>IFERROR(__xludf.DUMMYFUNCTION("""COMPUTED_VALUE"""),6.0)</f>
        <v>6</v>
      </c>
      <c r="E297" s="33">
        <f>IFERROR(__xludf.DUMMYFUNCTION("""COMPUTED_VALUE"""),6.0)</f>
        <v>6</v>
      </c>
      <c r="F297" s="33">
        <f>IFERROR(__xludf.DUMMYFUNCTION("""COMPUTED_VALUE"""),0.0)</f>
        <v>0</v>
      </c>
      <c r="G297" s="33">
        <f>IFERROR(__xludf.DUMMYFUNCTION("""COMPUTED_VALUE"""),0.0)</f>
        <v>0</v>
      </c>
      <c r="H297" s="33">
        <f>IFERROR(__xludf.DUMMYFUNCTION("""COMPUTED_VALUE"""),0.0)</f>
        <v>0</v>
      </c>
      <c r="I297" s="33">
        <f>IFERROR(__xludf.DUMMYFUNCTION("""COMPUTED_VALUE"""),0.0)</f>
        <v>0</v>
      </c>
      <c r="J297" s="33">
        <f>IFERROR(__xludf.DUMMYFUNCTION("""COMPUTED_VALUE"""),0.0)</f>
        <v>0</v>
      </c>
      <c r="K297" s="33">
        <f>IFERROR(__xludf.DUMMYFUNCTION("""COMPUTED_VALUE"""),0.0)</f>
        <v>0</v>
      </c>
      <c r="L297" s="33">
        <f>IFERROR(__xludf.DUMMYFUNCTION("""COMPUTED_VALUE"""),0.0)</f>
        <v>0</v>
      </c>
      <c r="M297" s="33">
        <f>IFERROR(__xludf.DUMMYFUNCTION("""COMPUTED_VALUE"""),0.0)</f>
        <v>0</v>
      </c>
      <c r="N297" s="33">
        <f>IFERROR(__xludf.DUMMYFUNCTION("""COMPUTED_VALUE"""),5.0)</f>
        <v>5</v>
      </c>
      <c r="O297" s="33">
        <f>IFERROR(__xludf.DUMMYFUNCTION("""COMPUTED_VALUE"""),4.0)</f>
        <v>4</v>
      </c>
      <c r="P297" s="33">
        <f>IFERROR(__xludf.DUMMYFUNCTION("""COMPUTED_VALUE"""),5.0)</f>
        <v>5</v>
      </c>
      <c r="Q297" s="33">
        <f>IFERROR(__xludf.DUMMYFUNCTION("""COMPUTED_VALUE"""),0.0)</f>
        <v>0</v>
      </c>
      <c r="R297" s="33">
        <f>IFERROR(__xludf.DUMMYFUNCTION("""COMPUTED_VALUE"""),13645.0)</f>
        <v>13645</v>
      </c>
      <c r="S297" s="33">
        <f>IFERROR(__xludf.DUMMYFUNCTION("""COMPUTED_VALUE"""),13645.0)</f>
        <v>13645</v>
      </c>
      <c r="T297" s="33">
        <f>IFERROR(__xludf.DUMMYFUNCTION("""COMPUTED_VALUE"""),0.0)</f>
        <v>0</v>
      </c>
      <c r="U297" s="33">
        <f>IFERROR(__xludf.DUMMYFUNCTION("""COMPUTED_VALUE"""),0.0)</f>
        <v>0</v>
      </c>
      <c r="V297" s="33">
        <f>IFERROR(__xludf.DUMMYFUNCTION("""COMPUTED_VALUE"""),0.0)</f>
        <v>0</v>
      </c>
      <c r="W297" s="33">
        <f>IFERROR(__xludf.DUMMYFUNCTION("""COMPUTED_VALUE"""),0.0)</f>
        <v>0</v>
      </c>
      <c r="X297" s="33">
        <f>IFERROR(__xludf.DUMMYFUNCTION("""COMPUTED_VALUE"""),0.0)</f>
        <v>0</v>
      </c>
      <c r="Y297" s="33">
        <f>IFERROR(__xludf.DUMMYFUNCTION("""COMPUTED_VALUE"""),0.0)</f>
        <v>0</v>
      </c>
      <c r="Z297" s="33">
        <f>IFERROR(__xludf.DUMMYFUNCTION("""COMPUTED_VALUE"""),0.0)</f>
        <v>0</v>
      </c>
      <c r="AA297" s="33">
        <f>IFERROR(__xludf.DUMMYFUNCTION("""COMPUTED_VALUE"""),0.0)</f>
        <v>0</v>
      </c>
      <c r="AB297" s="33">
        <f>IFERROR(__xludf.DUMMYFUNCTION("""COMPUTED_VALUE"""),0.0)</f>
        <v>0</v>
      </c>
      <c r="AC297" s="33">
        <f>IFERROR(__xludf.DUMMYFUNCTION("""COMPUTED_VALUE"""),1.15916666666666)</f>
        <v>1.159166667</v>
      </c>
      <c r="AD297" s="33">
        <f>IFERROR(__xludf.DUMMYFUNCTION("""COMPUTED_VALUE"""),0.8375)</f>
        <v>0.8375</v>
      </c>
      <c r="AE297" s="33">
        <f>IFERROR(__xludf.DUMMYFUNCTION("""COMPUTED_VALUE"""),1.15916666666666)</f>
        <v>1.159166667</v>
      </c>
      <c r="AF297" s="33">
        <f>IFERROR(__xludf.DUMMYFUNCTION("""COMPUTED_VALUE"""),0.0)</f>
        <v>0</v>
      </c>
    </row>
    <row r="298">
      <c r="A298" s="49">
        <f>IFERROR(__xludf.DUMMYFUNCTION("""COMPUTED_VALUE"""),46076.0)</f>
        <v>46076</v>
      </c>
      <c r="B298" s="33" t="str">
        <f>IFERROR(__xludf.DUMMYFUNCTION("""COMPUTED_VALUE"""),"b236b697a3dda78049a484b58d63a75f4503ad66")</f>
        <v>b236b697a3dda78049a484b58d63a75f4503ad66</v>
      </c>
      <c r="C298" s="33" t="str">
        <f>IFERROR(__xludf.DUMMYFUNCTION("""COMPUTED_VALUE"""),"Rudra - Rise of Supreme Yoddha - Production Show_id")</f>
        <v>Rudra - Rise of Supreme Yoddha - Production Show_id</v>
      </c>
      <c r="D298" s="33">
        <f>IFERROR(__xludf.DUMMYFUNCTION("""COMPUTED_VALUE"""),5.0)</f>
        <v>5</v>
      </c>
      <c r="E298" s="33">
        <f>IFERROR(__xludf.DUMMYFUNCTION("""COMPUTED_VALUE"""),19.0)</f>
        <v>19</v>
      </c>
      <c r="F298" s="33">
        <f>IFERROR(__xludf.DUMMYFUNCTION("""COMPUTED_VALUE"""),7.0)</f>
        <v>7</v>
      </c>
      <c r="G298" s="33">
        <f>IFERROR(__xludf.DUMMYFUNCTION("""COMPUTED_VALUE"""),8.0)</f>
        <v>8</v>
      </c>
      <c r="H298" s="33">
        <f>IFERROR(__xludf.DUMMYFUNCTION("""COMPUTED_VALUE"""),14.0)</f>
        <v>14</v>
      </c>
      <c r="I298" s="33">
        <f>IFERROR(__xludf.DUMMYFUNCTION("""COMPUTED_VALUE"""),6.0)</f>
        <v>6</v>
      </c>
      <c r="J298" s="33">
        <f>IFERROR(__xludf.DUMMYFUNCTION("""COMPUTED_VALUE"""),15.0)</f>
        <v>15</v>
      </c>
      <c r="K298" s="33">
        <f>IFERROR(__xludf.DUMMYFUNCTION("""COMPUTED_VALUE"""),6.0)</f>
        <v>6</v>
      </c>
      <c r="L298" s="33">
        <f>IFERROR(__xludf.DUMMYFUNCTION("""COMPUTED_VALUE"""),2.0)</f>
        <v>2</v>
      </c>
      <c r="M298" s="33">
        <f>IFERROR(__xludf.DUMMYFUNCTION("""COMPUTED_VALUE"""),15.0)</f>
        <v>15</v>
      </c>
      <c r="N298" s="33">
        <f>IFERROR(__xludf.DUMMYFUNCTION("""COMPUTED_VALUE"""),37.0)</f>
        <v>37</v>
      </c>
      <c r="O298" s="33">
        <f>IFERROR(__xludf.DUMMYFUNCTION("""COMPUTED_VALUE"""),6.0)</f>
        <v>6</v>
      </c>
      <c r="P298" s="33">
        <f>IFERROR(__xludf.DUMMYFUNCTION("""COMPUTED_VALUE"""),37.0)</f>
        <v>37</v>
      </c>
      <c r="Q298" s="33">
        <f>IFERROR(__xludf.DUMMYFUNCTION("""COMPUTED_VALUE"""),0.0)</f>
        <v>0</v>
      </c>
      <c r="R298" s="33">
        <f>IFERROR(__xludf.DUMMYFUNCTION("""COMPUTED_VALUE"""),10362.0)</f>
        <v>10362</v>
      </c>
      <c r="S298" s="33">
        <f>IFERROR(__xludf.DUMMYFUNCTION("""COMPUTED_VALUE"""),41786.0)</f>
        <v>41786</v>
      </c>
      <c r="T298" s="33">
        <f>IFERROR(__xludf.DUMMYFUNCTION("""COMPUTED_VALUE"""),2.18444444444444)</f>
        <v>2.184444444</v>
      </c>
      <c r="U298" s="33">
        <f>IFERROR(__xludf.DUMMYFUNCTION("""COMPUTED_VALUE"""),1.45888888888888)</f>
        <v>1.458888889</v>
      </c>
      <c r="V298" s="33">
        <f>IFERROR(__xludf.DUMMYFUNCTION("""COMPUTED_VALUE"""),1.70805555555555)</f>
        <v>1.708055556</v>
      </c>
      <c r="W298" s="33">
        <f>IFERROR(__xludf.DUMMYFUNCTION("""COMPUTED_VALUE"""),3.03861111111111)</f>
        <v>3.038611111</v>
      </c>
      <c r="X298" s="33">
        <f>IFERROR(__xludf.DUMMYFUNCTION("""COMPUTED_VALUE"""),1.33055555555555)</f>
        <v>1.330555556</v>
      </c>
      <c r="Y298" s="33">
        <f>IFERROR(__xludf.DUMMYFUNCTION("""COMPUTED_VALUE"""),3.26944444444444)</f>
        <v>3.269444444</v>
      </c>
      <c r="Z298" s="33">
        <f>IFERROR(__xludf.DUMMYFUNCTION("""COMPUTED_VALUE"""),1.29388888888888)</f>
        <v>1.293888889</v>
      </c>
      <c r="AA298" s="33">
        <f>IFERROR(__xludf.DUMMYFUNCTION("""COMPUTED_VALUE"""),0.434444444444444)</f>
        <v>0.4344444444</v>
      </c>
      <c r="AB298" s="33">
        <f>IFERROR(__xludf.DUMMYFUNCTION("""COMPUTED_VALUE"""),3.26944444444444)</f>
        <v>3.269444444</v>
      </c>
      <c r="AC298" s="33">
        <f>IFERROR(__xludf.DUMMYFUNCTION("""COMPUTED_VALUE"""),7.76305555555555)</f>
        <v>7.763055556</v>
      </c>
      <c r="AD298" s="33">
        <f>IFERROR(__xludf.DUMMYFUNCTION("""COMPUTED_VALUE"""),1.34055555555555)</f>
        <v>1.340555556</v>
      </c>
      <c r="AE298" s="33">
        <f>IFERROR(__xludf.DUMMYFUNCTION("""COMPUTED_VALUE"""),7.76305555555555)</f>
        <v>7.763055556</v>
      </c>
      <c r="AF298" s="33">
        <f>IFERROR(__xludf.DUMMYFUNCTION("""COMPUTED_VALUE"""),10.0)</f>
        <v>10</v>
      </c>
    </row>
    <row r="299">
      <c r="A299" s="49">
        <f>IFERROR(__xludf.DUMMYFUNCTION("""COMPUTED_VALUE"""),46076.0)</f>
        <v>46076</v>
      </c>
      <c r="B299" s="33" t="str">
        <f>IFERROR(__xludf.DUMMYFUNCTION("""COMPUTED_VALUE"""),"b4277fe045604b0c31d4c58c59733d8d995662ff")</f>
        <v>b4277fe045604b0c31d4c58c59733d8d995662ff</v>
      </c>
      <c r="C299" s="33" t="str">
        <f>IFERROR(__xludf.DUMMYFUNCTION("""COMPUTED_VALUE"""),"Divine Power - Production Show_id")</f>
        <v>Divine Power - Production Show_id</v>
      </c>
      <c r="D299" s="33">
        <f>IFERROR(__xludf.DUMMYFUNCTION("""COMPUTED_VALUE"""),7.0)</f>
        <v>7</v>
      </c>
      <c r="E299" s="33">
        <f>IFERROR(__xludf.DUMMYFUNCTION("""COMPUTED_VALUE"""),2.0)</f>
        <v>2</v>
      </c>
      <c r="F299" s="33">
        <f>IFERROR(__xludf.DUMMYFUNCTION("""COMPUTED_VALUE"""),0.0)</f>
        <v>0</v>
      </c>
      <c r="G299" s="33">
        <f>IFERROR(__xludf.DUMMYFUNCTION("""COMPUTED_VALUE"""),0.0)</f>
        <v>0</v>
      </c>
      <c r="H299" s="33">
        <f>IFERROR(__xludf.DUMMYFUNCTION("""COMPUTED_VALUE"""),0.0)</f>
        <v>0</v>
      </c>
      <c r="I299" s="33">
        <f>IFERROR(__xludf.DUMMYFUNCTION("""COMPUTED_VALUE"""),0.0)</f>
        <v>0</v>
      </c>
      <c r="J299" s="33">
        <f>IFERROR(__xludf.DUMMYFUNCTION("""COMPUTED_VALUE"""),0.0)</f>
        <v>0</v>
      </c>
      <c r="K299" s="33">
        <f>IFERROR(__xludf.DUMMYFUNCTION("""COMPUTED_VALUE"""),0.0)</f>
        <v>0</v>
      </c>
      <c r="L299" s="33">
        <f>IFERROR(__xludf.DUMMYFUNCTION("""COMPUTED_VALUE"""),0.0)</f>
        <v>0</v>
      </c>
      <c r="M299" s="33">
        <f>IFERROR(__xludf.DUMMYFUNCTION("""COMPUTED_VALUE"""),0.0)</f>
        <v>0</v>
      </c>
      <c r="N299" s="33">
        <f>IFERROR(__xludf.DUMMYFUNCTION("""COMPUTED_VALUE"""),0.0)</f>
        <v>0</v>
      </c>
      <c r="O299" s="33">
        <f>IFERROR(__xludf.DUMMYFUNCTION("""COMPUTED_VALUE"""),0.0)</f>
        <v>0</v>
      </c>
      <c r="P299" s="33">
        <f>IFERROR(__xludf.DUMMYFUNCTION("""COMPUTED_VALUE"""),0.0)</f>
        <v>0</v>
      </c>
      <c r="Q299" s="33">
        <f>IFERROR(__xludf.DUMMYFUNCTION("""COMPUTED_VALUE"""),0.0)</f>
        <v>0</v>
      </c>
      <c r="R299" s="33">
        <f>IFERROR(__xludf.DUMMYFUNCTION("""COMPUTED_VALUE"""),17293.0)</f>
        <v>17293</v>
      </c>
      <c r="S299" s="33">
        <f>IFERROR(__xludf.DUMMYFUNCTION("""COMPUTED_VALUE"""),5129.0)</f>
        <v>5129</v>
      </c>
      <c r="T299" s="33">
        <f>IFERROR(__xludf.DUMMYFUNCTION("""COMPUTED_VALUE"""),0.0)</f>
        <v>0</v>
      </c>
      <c r="U299" s="33">
        <f>IFERROR(__xludf.DUMMYFUNCTION("""COMPUTED_VALUE"""),0.0)</f>
        <v>0</v>
      </c>
      <c r="V299" s="33">
        <f>IFERROR(__xludf.DUMMYFUNCTION("""COMPUTED_VALUE"""),0.0)</f>
        <v>0</v>
      </c>
      <c r="W299" s="33">
        <f>IFERROR(__xludf.DUMMYFUNCTION("""COMPUTED_VALUE"""),0.0)</f>
        <v>0</v>
      </c>
      <c r="X299" s="33">
        <f>IFERROR(__xludf.DUMMYFUNCTION("""COMPUTED_VALUE"""),0.0)</f>
        <v>0</v>
      </c>
      <c r="Y299" s="33">
        <f>IFERROR(__xludf.DUMMYFUNCTION("""COMPUTED_VALUE"""),0.0)</f>
        <v>0</v>
      </c>
      <c r="Z299" s="33">
        <f>IFERROR(__xludf.DUMMYFUNCTION("""COMPUTED_VALUE"""),0.0)</f>
        <v>0</v>
      </c>
      <c r="AA299" s="33">
        <f>IFERROR(__xludf.DUMMYFUNCTION("""COMPUTED_VALUE"""),0.0)</f>
        <v>0</v>
      </c>
      <c r="AB299" s="33">
        <f>IFERROR(__xludf.DUMMYFUNCTION("""COMPUTED_VALUE"""),0.0)</f>
        <v>0</v>
      </c>
      <c r="AC299" s="33">
        <f>IFERROR(__xludf.DUMMYFUNCTION("""COMPUTED_VALUE"""),0.0)</f>
        <v>0</v>
      </c>
      <c r="AD299" s="33">
        <f>IFERROR(__xludf.DUMMYFUNCTION("""COMPUTED_VALUE"""),0.0)</f>
        <v>0</v>
      </c>
      <c r="AE299" s="33">
        <f>IFERROR(__xludf.DUMMYFUNCTION("""COMPUTED_VALUE"""),0.0)</f>
        <v>0</v>
      </c>
      <c r="AF299" s="33">
        <f>IFERROR(__xludf.DUMMYFUNCTION("""COMPUTED_VALUE"""),0.0)</f>
        <v>0</v>
      </c>
    </row>
    <row r="300">
      <c r="A300" s="49">
        <f>IFERROR(__xludf.DUMMYFUNCTION("""COMPUTED_VALUE"""),46076.0)</f>
        <v>46076</v>
      </c>
      <c r="B300" s="33" t="str">
        <f>IFERROR(__xludf.DUMMYFUNCTION("""COMPUTED_VALUE"""),"b9727274f880f47671ad54caad4904a491fad9c7")</f>
        <v>b9727274f880f47671ad54caad4904a491fad9c7</v>
      </c>
      <c r="C300" s="33" t="str">
        <f>IFERROR(__xludf.DUMMYFUNCTION("""COMPUTED_VALUE"""),"Brahmand Ka Rakshak - Production Show")</f>
        <v>Brahmand Ka Rakshak - Production Show</v>
      </c>
      <c r="D300" s="33">
        <f>IFERROR(__xludf.DUMMYFUNCTION("""COMPUTED_VALUE"""),29.0)</f>
        <v>29</v>
      </c>
      <c r="E300" s="33">
        <f>IFERROR(__xludf.DUMMYFUNCTION("""COMPUTED_VALUE"""),30.0)</f>
        <v>30</v>
      </c>
      <c r="F300" s="33">
        <f>IFERROR(__xludf.DUMMYFUNCTION("""COMPUTED_VALUE"""),13.0)</f>
        <v>13</v>
      </c>
      <c r="G300" s="33">
        <f>IFERROR(__xludf.DUMMYFUNCTION("""COMPUTED_VALUE"""),12.0)</f>
        <v>12</v>
      </c>
      <c r="H300" s="33">
        <f>IFERROR(__xludf.DUMMYFUNCTION("""COMPUTED_VALUE"""),29.0)</f>
        <v>29</v>
      </c>
      <c r="I300" s="33">
        <f>IFERROR(__xludf.DUMMYFUNCTION("""COMPUTED_VALUE"""),17.0)</f>
        <v>17</v>
      </c>
      <c r="J300" s="33">
        <f>IFERROR(__xludf.DUMMYFUNCTION("""COMPUTED_VALUE"""),29.0)</f>
        <v>29</v>
      </c>
      <c r="K300" s="33">
        <f>IFERROR(__xludf.DUMMYFUNCTION("""COMPUTED_VALUE"""),9.0)</f>
        <v>9</v>
      </c>
      <c r="L300" s="33">
        <f>IFERROR(__xludf.DUMMYFUNCTION("""COMPUTED_VALUE"""),2.0)</f>
        <v>2</v>
      </c>
      <c r="M300" s="33">
        <f>IFERROR(__xludf.DUMMYFUNCTION("""COMPUTED_VALUE"""),20.0)</f>
        <v>20</v>
      </c>
      <c r="N300" s="33">
        <f>IFERROR(__xludf.DUMMYFUNCTION("""COMPUTED_VALUE"""),22.0)</f>
        <v>22</v>
      </c>
      <c r="O300" s="33">
        <f>IFERROR(__xludf.DUMMYFUNCTION("""COMPUTED_VALUE"""),5.0)</f>
        <v>5</v>
      </c>
      <c r="P300" s="33">
        <f>IFERROR(__xludf.DUMMYFUNCTION("""COMPUTED_VALUE"""),22.0)</f>
        <v>22</v>
      </c>
      <c r="Q300" s="33">
        <f>IFERROR(__xludf.DUMMYFUNCTION("""COMPUTED_VALUE"""),0.0)</f>
        <v>0</v>
      </c>
      <c r="R300" s="33">
        <f>IFERROR(__xludf.DUMMYFUNCTION("""COMPUTED_VALUE"""),63011.0)</f>
        <v>63011</v>
      </c>
      <c r="S300" s="33">
        <f>IFERROR(__xludf.DUMMYFUNCTION("""COMPUTED_VALUE"""),72651.0)</f>
        <v>72651</v>
      </c>
      <c r="T300" s="33">
        <f>IFERROR(__xludf.DUMMYFUNCTION("""COMPUTED_VALUE"""),5.95277777777777)</f>
        <v>5.952777778</v>
      </c>
      <c r="U300" s="33">
        <f>IFERROR(__xludf.DUMMYFUNCTION("""COMPUTED_VALUE"""),2.55805555555555)</f>
        <v>2.558055556</v>
      </c>
      <c r="V300" s="33">
        <f>IFERROR(__xludf.DUMMYFUNCTION("""COMPUTED_VALUE"""),2.35638888888888)</f>
        <v>2.356388889</v>
      </c>
      <c r="W300" s="33">
        <f>IFERROR(__xludf.DUMMYFUNCTION("""COMPUTED_VALUE"""),5.75111111111111)</f>
        <v>5.751111111</v>
      </c>
      <c r="X300" s="33">
        <f>IFERROR(__xludf.DUMMYFUNCTION("""COMPUTED_VALUE"""),3.39472222222222)</f>
        <v>3.394722222</v>
      </c>
      <c r="Y300" s="33">
        <f>IFERROR(__xludf.DUMMYFUNCTION("""COMPUTED_VALUE"""),5.75277777777777)</f>
        <v>5.752777778</v>
      </c>
      <c r="Z300" s="33">
        <f>IFERROR(__xludf.DUMMYFUNCTION("""COMPUTED_VALUE"""),1.80916666666666)</f>
        <v>1.809166667</v>
      </c>
      <c r="AA300" s="33">
        <f>IFERROR(__xludf.DUMMYFUNCTION("""COMPUTED_VALUE"""),0.43)</f>
        <v>0.43</v>
      </c>
      <c r="AB300" s="33">
        <f>IFERROR(__xludf.DUMMYFUNCTION("""COMPUTED_VALUE"""),3.93194444444444)</f>
        <v>3.931944444</v>
      </c>
      <c r="AC300" s="33">
        <f>IFERROR(__xludf.DUMMYFUNCTION("""COMPUTED_VALUE"""),4.34055555555555)</f>
        <v>4.340555556</v>
      </c>
      <c r="AD300" s="33">
        <f>IFERROR(__xludf.DUMMYFUNCTION("""COMPUTED_VALUE"""),1.01916666666666)</f>
        <v>1.019166667</v>
      </c>
      <c r="AE300" s="33">
        <f>IFERROR(__xludf.DUMMYFUNCTION("""COMPUTED_VALUE"""),4.34055555555555)</f>
        <v>4.340555556</v>
      </c>
      <c r="AF300" s="33">
        <f>IFERROR(__xludf.DUMMYFUNCTION("""COMPUTED_VALUE"""),30.0)</f>
        <v>30</v>
      </c>
    </row>
    <row r="301">
      <c r="A301" s="49">
        <f>IFERROR(__xludf.DUMMYFUNCTION("""COMPUTED_VALUE"""),46076.0)</f>
        <v>46076</v>
      </c>
      <c r="B301" s="33" t="str">
        <f>IFERROR(__xludf.DUMMYFUNCTION("""COMPUTED_VALUE"""),"bb6f447c782519839d8793fda0d35f90bad4421a")</f>
        <v>bb6f447c782519839d8793fda0d35f90bad4421a</v>
      </c>
      <c r="C301" s="33" t="str">
        <f>IFERROR(__xludf.DUMMYFUNCTION("""COMPUTED_VALUE"""),"Ruthless")</f>
        <v>Ruthless</v>
      </c>
      <c r="D301" s="33">
        <f>IFERROR(__xludf.DUMMYFUNCTION("""COMPUTED_VALUE"""),0.0)</f>
        <v>0</v>
      </c>
      <c r="E301" s="33">
        <f>IFERROR(__xludf.DUMMYFUNCTION("""COMPUTED_VALUE"""),15.0)</f>
        <v>15</v>
      </c>
      <c r="F301" s="33">
        <f>IFERROR(__xludf.DUMMYFUNCTION("""COMPUTED_VALUE"""),17.0)</f>
        <v>17</v>
      </c>
      <c r="G301" s="33">
        <f>IFERROR(__xludf.DUMMYFUNCTION("""COMPUTED_VALUE"""),0.0)</f>
        <v>0</v>
      </c>
      <c r="H301" s="33">
        <f>IFERROR(__xludf.DUMMYFUNCTION("""COMPUTED_VALUE"""),18.0)</f>
        <v>18</v>
      </c>
      <c r="I301" s="33">
        <f>IFERROR(__xludf.DUMMYFUNCTION("""COMPUTED_VALUE"""),8.0)</f>
        <v>8</v>
      </c>
      <c r="J301" s="33">
        <f>IFERROR(__xludf.DUMMYFUNCTION("""COMPUTED_VALUE"""),16.0)</f>
        <v>16</v>
      </c>
      <c r="K301" s="33">
        <f>IFERROR(__xludf.DUMMYFUNCTION("""COMPUTED_VALUE"""),3.0)</f>
        <v>3</v>
      </c>
      <c r="L301" s="33">
        <f>IFERROR(__xludf.DUMMYFUNCTION("""COMPUTED_VALUE"""),1.0)</f>
        <v>1</v>
      </c>
      <c r="M301" s="33">
        <f>IFERROR(__xludf.DUMMYFUNCTION("""COMPUTED_VALUE"""),15.0)</f>
        <v>15</v>
      </c>
      <c r="N301" s="33">
        <f>IFERROR(__xludf.DUMMYFUNCTION("""COMPUTED_VALUE"""),15.0)</f>
        <v>15</v>
      </c>
      <c r="O301" s="33">
        <f>IFERROR(__xludf.DUMMYFUNCTION("""COMPUTED_VALUE"""),6.0)</f>
        <v>6</v>
      </c>
      <c r="P301" s="33">
        <f>IFERROR(__xludf.DUMMYFUNCTION("""COMPUTED_VALUE"""),15.0)</f>
        <v>15</v>
      </c>
      <c r="Q301" s="33">
        <f>IFERROR(__xludf.DUMMYFUNCTION("""COMPUTED_VALUE"""),0.0)</f>
        <v>0</v>
      </c>
      <c r="R301" s="33">
        <f>IFERROR(__xludf.DUMMYFUNCTION("""COMPUTED_VALUE"""),0.0)</f>
        <v>0</v>
      </c>
      <c r="S301" s="33">
        <f>IFERROR(__xludf.DUMMYFUNCTION("""COMPUTED_VALUE"""),34463.0)</f>
        <v>34463</v>
      </c>
      <c r="T301" s="33">
        <f>IFERROR(__xludf.DUMMYFUNCTION("""COMPUTED_VALUE"""),3.86166666666666)</f>
        <v>3.861666667</v>
      </c>
      <c r="U301" s="33">
        <f>IFERROR(__xludf.DUMMYFUNCTION("""COMPUTED_VALUE"""),3.84555555555555)</f>
        <v>3.845555556</v>
      </c>
      <c r="V301" s="33">
        <f>IFERROR(__xludf.DUMMYFUNCTION("""COMPUTED_VALUE"""),0.0)</f>
        <v>0</v>
      </c>
      <c r="W301" s="33">
        <f>IFERROR(__xludf.DUMMYFUNCTION("""COMPUTED_VALUE"""),4.24138888888888)</f>
        <v>4.241388889</v>
      </c>
      <c r="X301" s="33">
        <f>IFERROR(__xludf.DUMMYFUNCTION("""COMPUTED_VALUE"""),1.84416666666666)</f>
        <v>1.844166667</v>
      </c>
      <c r="Y301" s="33">
        <f>IFERROR(__xludf.DUMMYFUNCTION("""COMPUTED_VALUE"""),3.79)</f>
        <v>3.79</v>
      </c>
      <c r="Z301" s="33">
        <f>IFERROR(__xludf.DUMMYFUNCTION("""COMPUTED_VALUE"""),0.720833333333333)</f>
        <v>0.7208333333</v>
      </c>
      <c r="AA301" s="33">
        <f>IFERROR(__xludf.DUMMYFUNCTION("""COMPUTED_VALUE"""),0.257777777777777)</f>
        <v>0.2577777778</v>
      </c>
      <c r="AB301" s="33">
        <f>IFERROR(__xludf.DUMMYFUNCTION("""COMPUTED_VALUE"""),3.52805555555555)</f>
        <v>3.528055556</v>
      </c>
      <c r="AC301" s="33">
        <f>IFERROR(__xludf.DUMMYFUNCTION("""COMPUTED_VALUE"""),3.52777777777777)</f>
        <v>3.527777778</v>
      </c>
      <c r="AD301" s="33">
        <f>IFERROR(__xludf.DUMMYFUNCTION("""COMPUTED_VALUE"""),1.34055555555555)</f>
        <v>1.340555556</v>
      </c>
      <c r="AE301" s="33">
        <f>IFERROR(__xludf.DUMMYFUNCTION("""COMPUTED_VALUE"""),3.52777777777777)</f>
        <v>3.527777778</v>
      </c>
      <c r="AF301" s="33">
        <f>IFERROR(__xludf.DUMMYFUNCTION("""COMPUTED_VALUE"""),17.0)</f>
        <v>17</v>
      </c>
    </row>
    <row r="302">
      <c r="A302" s="49">
        <f>IFERROR(__xludf.DUMMYFUNCTION("""COMPUTED_VALUE"""),46076.0)</f>
        <v>46076</v>
      </c>
      <c r="B302" s="33" t="str">
        <f>IFERROR(__xludf.DUMMYFUNCTION("""COMPUTED_VALUE"""),"ca6c466ebfcd2658a9f1641045f468c15417a1e7")</f>
        <v>ca6c466ebfcd2658a9f1641045f468c15417a1e7</v>
      </c>
      <c r="C302" s="33" t="str">
        <f>IFERROR(__xludf.DUMMYFUNCTION("""COMPUTED_VALUE"""),"My Mysterious Princess")</f>
        <v>My Mysterious Princess</v>
      </c>
      <c r="D302" s="33">
        <f>IFERROR(__xludf.DUMMYFUNCTION("""COMPUTED_VALUE"""),0.0)</f>
        <v>0</v>
      </c>
      <c r="E302" s="33">
        <f>IFERROR(__xludf.DUMMYFUNCTION("""COMPUTED_VALUE"""),13.0)</f>
        <v>13</v>
      </c>
      <c r="F302" s="33">
        <f>IFERROR(__xludf.DUMMYFUNCTION("""COMPUTED_VALUE"""),11.0)</f>
        <v>11</v>
      </c>
      <c r="G302" s="33">
        <f>IFERROR(__xludf.DUMMYFUNCTION("""COMPUTED_VALUE"""),0.0)</f>
        <v>0</v>
      </c>
      <c r="H302" s="33">
        <f>IFERROR(__xludf.DUMMYFUNCTION("""COMPUTED_VALUE"""),12.0)</f>
        <v>12</v>
      </c>
      <c r="I302" s="33">
        <f>IFERROR(__xludf.DUMMYFUNCTION("""COMPUTED_VALUE"""),3.0)</f>
        <v>3</v>
      </c>
      <c r="J302" s="33">
        <f>IFERROR(__xludf.DUMMYFUNCTION("""COMPUTED_VALUE"""),11.0)</f>
        <v>11</v>
      </c>
      <c r="K302" s="33">
        <f>IFERROR(__xludf.DUMMYFUNCTION("""COMPUTED_VALUE"""),0.0)</f>
        <v>0</v>
      </c>
      <c r="L302" s="33">
        <f>IFERROR(__xludf.DUMMYFUNCTION("""COMPUTED_VALUE"""),0.0)</f>
        <v>0</v>
      </c>
      <c r="M302" s="33">
        <f>IFERROR(__xludf.DUMMYFUNCTION("""COMPUTED_VALUE"""),16.0)</f>
        <v>16</v>
      </c>
      <c r="N302" s="33">
        <f>IFERROR(__xludf.DUMMYFUNCTION("""COMPUTED_VALUE"""),16.0)</f>
        <v>16</v>
      </c>
      <c r="O302" s="33">
        <f>IFERROR(__xludf.DUMMYFUNCTION("""COMPUTED_VALUE"""),6.0)</f>
        <v>6</v>
      </c>
      <c r="P302" s="33">
        <f>IFERROR(__xludf.DUMMYFUNCTION("""COMPUTED_VALUE"""),16.0)</f>
        <v>16</v>
      </c>
      <c r="Q302" s="33">
        <f>IFERROR(__xludf.DUMMYFUNCTION("""COMPUTED_VALUE"""),0.0)</f>
        <v>0</v>
      </c>
      <c r="R302" s="33">
        <f>IFERROR(__xludf.DUMMYFUNCTION("""COMPUTED_VALUE"""),0.0)</f>
        <v>0</v>
      </c>
      <c r="S302" s="33">
        <f>IFERROR(__xludf.DUMMYFUNCTION("""COMPUTED_VALUE"""),29115.0)</f>
        <v>29115</v>
      </c>
      <c r="T302" s="33">
        <f>IFERROR(__xludf.DUMMYFUNCTION("""COMPUTED_VALUE"""),2.80777777777777)</f>
        <v>2.807777778</v>
      </c>
      <c r="U302" s="33">
        <f>IFERROR(__xludf.DUMMYFUNCTION("""COMPUTED_VALUE"""),2.59361111111111)</f>
        <v>2.593611111</v>
      </c>
      <c r="V302" s="33">
        <f>IFERROR(__xludf.DUMMYFUNCTION("""COMPUTED_VALUE"""),0.0)</f>
        <v>0</v>
      </c>
      <c r="W302" s="33">
        <f>IFERROR(__xludf.DUMMYFUNCTION("""COMPUTED_VALUE"""),2.78527777777777)</f>
        <v>2.785277778</v>
      </c>
      <c r="X302" s="33">
        <f>IFERROR(__xludf.DUMMYFUNCTION("""COMPUTED_VALUE"""),0.680555555555555)</f>
        <v>0.6805555556</v>
      </c>
      <c r="Y302" s="33">
        <f>IFERROR(__xludf.DUMMYFUNCTION("""COMPUTED_VALUE"""),2.54333333333333)</f>
        <v>2.543333333</v>
      </c>
      <c r="Z302" s="33">
        <f>IFERROR(__xludf.DUMMYFUNCTION("""COMPUTED_VALUE"""),0.0)</f>
        <v>0</v>
      </c>
      <c r="AA302" s="33">
        <f>IFERROR(__xludf.DUMMYFUNCTION("""COMPUTED_VALUE"""),0.0)</f>
        <v>0</v>
      </c>
      <c r="AB302" s="33">
        <f>IFERROR(__xludf.DUMMYFUNCTION("""COMPUTED_VALUE"""),3.74277777777777)</f>
        <v>3.742777778</v>
      </c>
      <c r="AC302" s="33">
        <f>IFERROR(__xludf.DUMMYFUNCTION("""COMPUTED_VALUE"""),3.74277777777777)</f>
        <v>3.742777778</v>
      </c>
      <c r="AD302" s="33">
        <f>IFERROR(__xludf.DUMMYFUNCTION("""COMPUTED_VALUE"""),1.40277777777777)</f>
        <v>1.402777778</v>
      </c>
      <c r="AE302" s="33">
        <f>IFERROR(__xludf.DUMMYFUNCTION("""COMPUTED_VALUE"""),3.74277777777777)</f>
        <v>3.742777778</v>
      </c>
      <c r="AF302" s="33">
        <f>IFERROR(__xludf.DUMMYFUNCTION("""COMPUTED_VALUE"""),12.0)</f>
        <v>12</v>
      </c>
    </row>
    <row r="303">
      <c r="A303" s="49">
        <f>IFERROR(__xludf.DUMMYFUNCTION("""COMPUTED_VALUE"""),46076.0)</f>
        <v>46076</v>
      </c>
      <c r="B303" s="33" t="str">
        <f>IFERROR(__xludf.DUMMYFUNCTION("""COMPUTED_VALUE"""),"dbbc7f35e9eb33b7562f0fd82896e827101bf13c")</f>
        <v>dbbc7f35e9eb33b7562f0fd82896e827101bf13c</v>
      </c>
      <c r="C303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03" s="33">
        <f>IFERROR(__xludf.DUMMYFUNCTION("""COMPUTED_VALUE"""),0.0)</f>
        <v>0</v>
      </c>
      <c r="E303" s="33">
        <f>IFERROR(__xludf.DUMMYFUNCTION("""COMPUTED_VALUE"""),0.0)</f>
        <v>0</v>
      </c>
      <c r="F303" s="33">
        <f>IFERROR(__xludf.DUMMYFUNCTION("""COMPUTED_VALUE"""),0.0)</f>
        <v>0</v>
      </c>
      <c r="G303" s="33">
        <f>IFERROR(__xludf.DUMMYFUNCTION("""COMPUTED_VALUE"""),0.0)</f>
        <v>0</v>
      </c>
      <c r="H303" s="33">
        <f>IFERROR(__xludf.DUMMYFUNCTION("""COMPUTED_VALUE"""),0.0)</f>
        <v>0</v>
      </c>
      <c r="I303" s="33">
        <f>IFERROR(__xludf.DUMMYFUNCTION("""COMPUTED_VALUE"""),0.0)</f>
        <v>0</v>
      </c>
      <c r="J303" s="33">
        <f>IFERROR(__xludf.DUMMYFUNCTION("""COMPUTED_VALUE"""),0.0)</f>
        <v>0</v>
      </c>
      <c r="K303" s="33">
        <f>IFERROR(__xludf.DUMMYFUNCTION("""COMPUTED_VALUE"""),0.0)</f>
        <v>0</v>
      </c>
      <c r="L303" s="33">
        <f>IFERROR(__xludf.DUMMYFUNCTION("""COMPUTED_VALUE"""),0.0)</f>
        <v>0</v>
      </c>
      <c r="M303" s="33">
        <f>IFERROR(__xludf.DUMMYFUNCTION("""COMPUTED_VALUE"""),0.0)</f>
        <v>0</v>
      </c>
      <c r="N303" s="33">
        <f>IFERROR(__xludf.DUMMYFUNCTION("""COMPUTED_VALUE"""),5.0)</f>
        <v>5</v>
      </c>
      <c r="O303" s="33">
        <f>IFERROR(__xludf.DUMMYFUNCTION("""COMPUTED_VALUE"""),5.0)</f>
        <v>5</v>
      </c>
      <c r="P303" s="33">
        <f>IFERROR(__xludf.DUMMYFUNCTION("""COMPUTED_VALUE"""),5.0)</f>
        <v>5</v>
      </c>
      <c r="Q303" s="33">
        <f>IFERROR(__xludf.DUMMYFUNCTION("""COMPUTED_VALUE"""),0.0)</f>
        <v>0</v>
      </c>
      <c r="R303" s="33">
        <f>IFERROR(__xludf.DUMMYFUNCTION("""COMPUTED_VALUE"""),0.0)</f>
        <v>0</v>
      </c>
      <c r="S303" s="33">
        <f>IFERROR(__xludf.DUMMYFUNCTION("""COMPUTED_VALUE"""),0.0)</f>
        <v>0</v>
      </c>
      <c r="T303" s="33">
        <f>IFERROR(__xludf.DUMMYFUNCTION("""COMPUTED_VALUE"""),0.0)</f>
        <v>0</v>
      </c>
      <c r="U303" s="33">
        <f>IFERROR(__xludf.DUMMYFUNCTION("""COMPUTED_VALUE"""),0.0)</f>
        <v>0</v>
      </c>
      <c r="V303" s="33">
        <f>IFERROR(__xludf.DUMMYFUNCTION("""COMPUTED_VALUE"""),0.0)</f>
        <v>0</v>
      </c>
      <c r="W303" s="33">
        <f>IFERROR(__xludf.DUMMYFUNCTION("""COMPUTED_VALUE"""),0.0)</f>
        <v>0</v>
      </c>
      <c r="X303" s="33">
        <f>IFERROR(__xludf.DUMMYFUNCTION("""COMPUTED_VALUE"""),0.0)</f>
        <v>0</v>
      </c>
      <c r="Y303" s="33">
        <f>IFERROR(__xludf.DUMMYFUNCTION("""COMPUTED_VALUE"""),0.0)</f>
        <v>0</v>
      </c>
      <c r="Z303" s="33">
        <f>IFERROR(__xludf.DUMMYFUNCTION("""COMPUTED_VALUE"""),0.0)</f>
        <v>0</v>
      </c>
      <c r="AA303" s="33">
        <f>IFERROR(__xludf.DUMMYFUNCTION("""COMPUTED_VALUE"""),0.0)</f>
        <v>0</v>
      </c>
      <c r="AB303" s="33">
        <f>IFERROR(__xludf.DUMMYFUNCTION("""COMPUTED_VALUE"""),0.0)</f>
        <v>0</v>
      </c>
      <c r="AC303" s="33">
        <f>IFERROR(__xludf.DUMMYFUNCTION("""COMPUTED_VALUE"""),0.0)</f>
        <v>0</v>
      </c>
      <c r="AD303" s="33">
        <f>IFERROR(__xludf.DUMMYFUNCTION("""COMPUTED_VALUE"""),1.01416666666666)</f>
        <v>1.014166667</v>
      </c>
      <c r="AE303" s="33">
        <f>IFERROR(__xludf.DUMMYFUNCTION("""COMPUTED_VALUE"""),1.31666666666666)</f>
        <v>1.316666667</v>
      </c>
      <c r="AF303" s="33">
        <f>IFERROR(__xludf.DUMMYFUNCTION("""COMPUTED_VALUE"""),0.0)</f>
        <v>0</v>
      </c>
    </row>
    <row r="304">
      <c r="A304" s="49">
        <f>IFERROR(__xludf.DUMMYFUNCTION("""COMPUTED_VALUE"""),46076.0)</f>
        <v>46076</v>
      </c>
      <c r="B304" s="33" t="str">
        <f>IFERROR(__xludf.DUMMYFUNCTION("""COMPUTED_VALUE"""),"e493cee863483a057af12de782cd20043a19ed05")</f>
        <v>e493cee863483a057af12de782cd20043a19ed05</v>
      </c>
      <c r="C304" s="33" t="str">
        <f>IFERROR(__xludf.DUMMYFUNCTION("""COMPUTED_VALUE"""),"Malang")</f>
        <v>Malang</v>
      </c>
      <c r="D304" s="33">
        <f>IFERROR(__xludf.DUMMYFUNCTION("""COMPUTED_VALUE"""),0.0)</f>
        <v>0</v>
      </c>
      <c r="E304" s="33">
        <f>IFERROR(__xludf.DUMMYFUNCTION("""COMPUTED_VALUE"""),17.0)</f>
        <v>17</v>
      </c>
      <c r="F304" s="33">
        <f>IFERROR(__xludf.DUMMYFUNCTION("""COMPUTED_VALUE"""),12.0)</f>
        <v>12</v>
      </c>
      <c r="G304" s="33">
        <f>IFERROR(__xludf.DUMMYFUNCTION("""COMPUTED_VALUE"""),0.0)</f>
        <v>0</v>
      </c>
      <c r="H304" s="33">
        <f>IFERROR(__xludf.DUMMYFUNCTION("""COMPUTED_VALUE"""),15.0)</f>
        <v>15</v>
      </c>
      <c r="I304" s="33">
        <f>IFERROR(__xludf.DUMMYFUNCTION("""COMPUTED_VALUE"""),3.0)</f>
        <v>3</v>
      </c>
      <c r="J304" s="33">
        <f>IFERROR(__xludf.DUMMYFUNCTION("""COMPUTED_VALUE"""),15.0)</f>
        <v>15</v>
      </c>
      <c r="K304" s="33">
        <f>IFERROR(__xludf.DUMMYFUNCTION("""COMPUTED_VALUE"""),0.0)</f>
        <v>0</v>
      </c>
      <c r="L304" s="33">
        <f>IFERROR(__xludf.DUMMYFUNCTION("""COMPUTED_VALUE"""),0.0)</f>
        <v>0</v>
      </c>
      <c r="M304" s="33">
        <f>IFERROR(__xludf.DUMMYFUNCTION("""COMPUTED_VALUE"""),15.0)</f>
        <v>15</v>
      </c>
      <c r="N304" s="33">
        <f>IFERROR(__xludf.DUMMYFUNCTION("""COMPUTED_VALUE"""),15.0)</f>
        <v>15</v>
      </c>
      <c r="O304" s="33">
        <f>IFERROR(__xludf.DUMMYFUNCTION("""COMPUTED_VALUE"""),6.0)</f>
        <v>6</v>
      </c>
      <c r="P304" s="33">
        <f>IFERROR(__xludf.DUMMYFUNCTION("""COMPUTED_VALUE"""),15.0)</f>
        <v>15</v>
      </c>
      <c r="Q304" s="33">
        <f>IFERROR(__xludf.DUMMYFUNCTION("""COMPUTED_VALUE"""),0.0)</f>
        <v>0</v>
      </c>
      <c r="R304" s="33">
        <f>IFERROR(__xludf.DUMMYFUNCTION("""COMPUTED_VALUE"""),0.0)</f>
        <v>0</v>
      </c>
      <c r="S304" s="33">
        <f>IFERROR(__xludf.DUMMYFUNCTION("""COMPUTED_VALUE"""),38560.0)</f>
        <v>38560</v>
      </c>
      <c r="T304" s="33">
        <f>IFERROR(__xludf.DUMMYFUNCTION("""COMPUTED_VALUE"""),2.44333333333333)</f>
        <v>2.443333333</v>
      </c>
      <c r="U304" s="33">
        <f>IFERROR(__xludf.DUMMYFUNCTION("""COMPUTED_VALUE"""),2.44888888888888)</f>
        <v>2.448888889</v>
      </c>
      <c r="V304" s="33">
        <f>IFERROR(__xludf.DUMMYFUNCTION("""COMPUTED_VALUE"""),0.0)</f>
        <v>0</v>
      </c>
      <c r="W304" s="33">
        <f>IFERROR(__xludf.DUMMYFUNCTION("""COMPUTED_VALUE"""),3.04388888888888)</f>
        <v>3.043888889</v>
      </c>
      <c r="X304" s="33">
        <f>IFERROR(__xludf.DUMMYFUNCTION("""COMPUTED_VALUE"""),0.609722222222222)</f>
        <v>0.6097222222</v>
      </c>
      <c r="Y304" s="33">
        <f>IFERROR(__xludf.DUMMYFUNCTION("""COMPUTED_VALUE"""),3.04083333333333)</f>
        <v>3.040833333</v>
      </c>
      <c r="Z304" s="33">
        <f>IFERROR(__xludf.DUMMYFUNCTION("""COMPUTED_VALUE"""),0.0)</f>
        <v>0</v>
      </c>
      <c r="AA304" s="33">
        <f>IFERROR(__xludf.DUMMYFUNCTION("""COMPUTED_VALUE"""),0.0)</f>
        <v>0</v>
      </c>
      <c r="AB304" s="33">
        <f>IFERROR(__xludf.DUMMYFUNCTION("""COMPUTED_VALUE"""),3.04083333333333)</f>
        <v>3.040833333</v>
      </c>
      <c r="AC304" s="33">
        <f>IFERROR(__xludf.DUMMYFUNCTION("""COMPUTED_VALUE"""),3.04083333333333)</f>
        <v>3.040833333</v>
      </c>
      <c r="AD304" s="33">
        <f>IFERROR(__xludf.DUMMYFUNCTION("""COMPUTED_VALUE"""),1.15777777777777)</f>
        <v>1.157777778</v>
      </c>
      <c r="AE304" s="33">
        <f>IFERROR(__xludf.DUMMYFUNCTION("""COMPUTED_VALUE"""),3.04083333333333)</f>
        <v>3.040833333</v>
      </c>
      <c r="AF304" s="33">
        <f>IFERROR(__xludf.DUMMYFUNCTION("""COMPUTED_VALUE"""),12.0)</f>
        <v>12</v>
      </c>
    </row>
    <row r="305">
      <c r="A305" s="49">
        <f>IFERROR(__xludf.DUMMYFUNCTION("""COMPUTED_VALUE"""),46076.0)</f>
        <v>46076</v>
      </c>
      <c r="B305" s="33" t="str">
        <f>IFERROR(__xludf.DUMMYFUNCTION("""COMPUTED_VALUE"""),"f43f4253dc3c596ff8f2e3cc9f3b677981a70310")</f>
        <v>f43f4253dc3c596ff8f2e3cc9f3b677981a70310</v>
      </c>
      <c r="C305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05" s="33">
        <f>IFERROR(__xludf.DUMMYFUNCTION("""COMPUTED_VALUE"""),7.0)</f>
        <v>7</v>
      </c>
      <c r="E305" s="33">
        <f>IFERROR(__xludf.DUMMYFUNCTION("""COMPUTED_VALUE"""),5.0)</f>
        <v>5</v>
      </c>
      <c r="F305" s="33">
        <f>IFERROR(__xludf.DUMMYFUNCTION("""COMPUTED_VALUE"""),0.0)</f>
        <v>0</v>
      </c>
      <c r="G305" s="33">
        <f>IFERROR(__xludf.DUMMYFUNCTION("""COMPUTED_VALUE"""),0.0)</f>
        <v>0</v>
      </c>
      <c r="H305" s="33">
        <f>IFERROR(__xludf.DUMMYFUNCTION("""COMPUTED_VALUE"""),0.0)</f>
        <v>0</v>
      </c>
      <c r="I305" s="33">
        <f>IFERROR(__xludf.DUMMYFUNCTION("""COMPUTED_VALUE"""),0.0)</f>
        <v>0</v>
      </c>
      <c r="J305" s="33">
        <f>IFERROR(__xludf.DUMMYFUNCTION("""COMPUTED_VALUE"""),0.0)</f>
        <v>0</v>
      </c>
      <c r="K305" s="33">
        <f>IFERROR(__xludf.DUMMYFUNCTION("""COMPUTED_VALUE"""),0.0)</f>
        <v>0</v>
      </c>
      <c r="L305" s="33">
        <f>IFERROR(__xludf.DUMMYFUNCTION("""COMPUTED_VALUE"""),0.0)</f>
        <v>0</v>
      </c>
      <c r="M305" s="33">
        <f>IFERROR(__xludf.DUMMYFUNCTION("""COMPUTED_VALUE"""),0.0)</f>
        <v>0</v>
      </c>
      <c r="N305" s="33">
        <f>IFERROR(__xludf.DUMMYFUNCTION("""COMPUTED_VALUE"""),7.0)</f>
        <v>7</v>
      </c>
      <c r="O305" s="33">
        <f>IFERROR(__xludf.DUMMYFUNCTION("""COMPUTED_VALUE"""),5.0)</f>
        <v>5</v>
      </c>
      <c r="P305" s="33">
        <f>IFERROR(__xludf.DUMMYFUNCTION("""COMPUTED_VALUE"""),5.0)</f>
        <v>5</v>
      </c>
      <c r="Q305" s="33">
        <f>IFERROR(__xludf.DUMMYFUNCTION("""COMPUTED_VALUE"""),0.0)</f>
        <v>0</v>
      </c>
      <c r="R305" s="33">
        <f>IFERROR(__xludf.DUMMYFUNCTION("""COMPUTED_VALUE"""),18065.0)</f>
        <v>18065</v>
      </c>
      <c r="S305" s="33">
        <f>IFERROR(__xludf.DUMMYFUNCTION("""COMPUTED_VALUE"""),12346.0)</f>
        <v>12346</v>
      </c>
      <c r="T305" s="33">
        <f>IFERROR(__xludf.DUMMYFUNCTION("""COMPUTED_VALUE"""),0.0)</f>
        <v>0</v>
      </c>
      <c r="U305" s="33">
        <f>IFERROR(__xludf.DUMMYFUNCTION("""COMPUTED_VALUE"""),0.0)</f>
        <v>0</v>
      </c>
      <c r="V305" s="33">
        <f>IFERROR(__xludf.DUMMYFUNCTION("""COMPUTED_VALUE"""),0.0)</f>
        <v>0</v>
      </c>
      <c r="W305" s="33">
        <f>IFERROR(__xludf.DUMMYFUNCTION("""COMPUTED_VALUE"""),0.0)</f>
        <v>0</v>
      </c>
      <c r="X305" s="33">
        <f>IFERROR(__xludf.DUMMYFUNCTION("""COMPUTED_VALUE"""),0.0)</f>
        <v>0</v>
      </c>
      <c r="Y305" s="33">
        <f>IFERROR(__xludf.DUMMYFUNCTION("""COMPUTED_VALUE"""),0.0)</f>
        <v>0</v>
      </c>
      <c r="Z305" s="33">
        <f>IFERROR(__xludf.DUMMYFUNCTION("""COMPUTED_VALUE"""),0.0)</f>
        <v>0</v>
      </c>
      <c r="AA305" s="33">
        <f>IFERROR(__xludf.DUMMYFUNCTION("""COMPUTED_VALUE"""),0.0)</f>
        <v>0</v>
      </c>
      <c r="AB305" s="33">
        <f>IFERROR(__xludf.DUMMYFUNCTION("""COMPUTED_VALUE"""),0.0)</f>
        <v>0</v>
      </c>
      <c r="AC305" s="33">
        <f>IFERROR(__xludf.DUMMYFUNCTION("""COMPUTED_VALUE"""),0.0)</f>
        <v>0</v>
      </c>
      <c r="AD305" s="33">
        <f>IFERROR(__xludf.DUMMYFUNCTION("""COMPUTED_VALUE"""),1.33166666666666)</f>
        <v>1.331666667</v>
      </c>
      <c r="AE305" s="33">
        <f>IFERROR(__xludf.DUMMYFUNCTION("""COMPUTED_VALUE"""),1.1525)</f>
        <v>1.1525</v>
      </c>
      <c r="AF305" s="33">
        <f>IFERROR(__xludf.DUMMYFUNCTION("""COMPUTED_VALUE"""),0.0)</f>
        <v>0</v>
      </c>
    </row>
    <row r="306">
      <c r="A306" s="49">
        <f>IFERROR(__xludf.DUMMYFUNCTION("""COMPUTED_VALUE"""),46076.0)</f>
        <v>46076</v>
      </c>
      <c r="B306" s="33" t="str">
        <f>IFERROR(__xludf.DUMMYFUNCTION("""COMPUTED_VALUE"""),"f8fbcb9a13d17d5888164fffc1bbb7cd5c6608b2")</f>
        <v>f8fbcb9a13d17d5888164fffc1bbb7cd5c6608b2</v>
      </c>
      <c r="C306" s="33" t="str">
        <f>IFERROR(__xludf.DUMMYFUNCTION("""COMPUTED_VALUE"""),"Empire of Hidden King | Author - Nitesh")</f>
        <v>Empire of Hidden King | Author - Nitesh</v>
      </c>
      <c r="D306" s="33">
        <f>IFERROR(__xludf.DUMMYFUNCTION("""COMPUTED_VALUE"""),0.0)</f>
        <v>0</v>
      </c>
      <c r="E306" s="33">
        <f>IFERROR(__xludf.DUMMYFUNCTION("""COMPUTED_VALUE"""),0.0)</f>
        <v>0</v>
      </c>
      <c r="F306" s="33">
        <f>IFERROR(__xludf.DUMMYFUNCTION("""COMPUTED_VALUE"""),0.0)</f>
        <v>0</v>
      </c>
      <c r="G306" s="33">
        <f>IFERROR(__xludf.DUMMYFUNCTION("""COMPUTED_VALUE"""),0.0)</f>
        <v>0</v>
      </c>
      <c r="H306" s="33">
        <f>IFERROR(__xludf.DUMMYFUNCTION("""COMPUTED_VALUE"""),0.0)</f>
        <v>0</v>
      </c>
      <c r="I306" s="33">
        <f>IFERROR(__xludf.DUMMYFUNCTION("""COMPUTED_VALUE"""),0.0)</f>
        <v>0</v>
      </c>
      <c r="J306" s="33">
        <f>IFERROR(__xludf.DUMMYFUNCTION("""COMPUTED_VALUE"""),0.0)</f>
        <v>0</v>
      </c>
      <c r="K306" s="33">
        <f>IFERROR(__xludf.DUMMYFUNCTION("""COMPUTED_VALUE"""),0.0)</f>
        <v>0</v>
      </c>
      <c r="L306" s="33">
        <f>IFERROR(__xludf.DUMMYFUNCTION("""COMPUTED_VALUE"""),0.0)</f>
        <v>0</v>
      </c>
      <c r="M306" s="33">
        <f>IFERROR(__xludf.DUMMYFUNCTION("""COMPUTED_VALUE"""),0.0)</f>
        <v>0</v>
      </c>
      <c r="N306" s="33">
        <f>IFERROR(__xludf.DUMMYFUNCTION("""COMPUTED_VALUE"""),3.0)</f>
        <v>3</v>
      </c>
      <c r="O306" s="33">
        <f>IFERROR(__xludf.DUMMYFUNCTION("""COMPUTED_VALUE"""),6.0)</f>
        <v>6</v>
      </c>
      <c r="P306" s="33">
        <f>IFERROR(__xludf.DUMMYFUNCTION("""COMPUTED_VALUE"""),3.0)</f>
        <v>3</v>
      </c>
      <c r="Q306" s="33">
        <f>IFERROR(__xludf.DUMMYFUNCTION("""COMPUTED_VALUE"""),0.0)</f>
        <v>0</v>
      </c>
      <c r="R306" s="33">
        <f>IFERROR(__xludf.DUMMYFUNCTION("""COMPUTED_VALUE"""),0.0)</f>
        <v>0</v>
      </c>
      <c r="S306" s="33">
        <f>IFERROR(__xludf.DUMMYFUNCTION("""COMPUTED_VALUE"""),0.0)</f>
        <v>0</v>
      </c>
      <c r="T306" s="33">
        <f>IFERROR(__xludf.DUMMYFUNCTION("""COMPUTED_VALUE"""),0.0)</f>
        <v>0</v>
      </c>
      <c r="U306" s="33">
        <f>IFERROR(__xludf.DUMMYFUNCTION("""COMPUTED_VALUE"""),0.0)</f>
        <v>0</v>
      </c>
      <c r="V306" s="33">
        <f>IFERROR(__xludf.DUMMYFUNCTION("""COMPUTED_VALUE"""),0.0)</f>
        <v>0</v>
      </c>
      <c r="W306" s="33">
        <f>IFERROR(__xludf.DUMMYFUNCTION("""COMPUTED_VALUE"""),0.0)</f>
        <v>0</v>
      </c>
      <c r="X306" s="33">
        <f>IFERROR(__xludf.DUMMYFUNCTION("""COMPUTED_VALUE"""),0.0)</f>
        <v>0</v>
      </c>
      <c r="Y306" s="33">
        <f>IFERROR(__xludf.DUMMYFUNCTION("""COMPUTED_VALUE"""),0.0)</f>
        <v>0</v>
      </c>
      <c r="Z306" s="33">
        <f>IFERROR(__xludf.DUMMYFUNCTION("""COMPUTED_VALUE"""),0.0)</f>
        <v>0</v>
      </c>
      <c r="AA306" s="33">
        <f>IFERROR(__xludf.DUMMYFUNCTION("""COMPUTED_VALUE"""),0.0)</f>
        <v>0</v>
      </c>
      <c r="AB306" s="33">
        <f>IFERROR(__xludf.DUMMYFUNCTION("""COMPUTED_VALUE"""),0.0)</f>
        <v>0</v>
      </c>
      <c r="AC306" s="33">
        <f>IFERROR(__xludf.DUMMYFUNCTION("""COMPUTED_VALUE"""),0.841111111111111)</f>
        <v>0.8411111111</v>
      </c>
      <c r="AD306" s="33">
        <f>IFERROR(__xludf.DUMMYFUNCTION("""COMPUTED_VALUE"""),1.48527777777777)</f>
        <v>1.485277778</v>
      </c>
      <c r="AE306" s="33">
        <f>IFERROR(__xludf.DUMMYFUNCTION("""COMPUTED_VALUE"""),0.729722222222222)</f>
        <v>0.7297222222</v>
      </c>
      <c r="AF306" s="33">
        <f>IFERROR(__xludf.DUMMYFUNCTION("""COMPUTED_VALUE"""),0.0)</f>
        <v>0</v>
      </c>
    </row>
    <row r="307">
      <c r="A307" s="49">
        <f>IFERROR(__xludf.DUMMYFUNCTION("""COMPUTED_VALUE"""),46069.0)</f>
        <v>46069</v>
      </c>
      <c r="B307" s="33" t="str">
        <f>IFERROR(__xludf.DUMMYFUNCTION("""COMPUTED_VALUE"""),"017fddbaa7617afdd8289be5c433df09dcde1da2")</f>
        <v>017fddbaa7617afdd8289be5c433df09dcde1da2</v>
      </c>
      <c r="C307" s="33" t="str">
        <f>IFERROR(__xludf.DUMMYFUNCTION("""COMPUTED_VALUE"""),"His Secret Fortune - Production Show_id")</f>
        <v>His Secret Fortune - Production Show_id</v>
      </c>
      <c r="D307" s="33">
        <f>IFERROR(__xludf.DUMMYFUNCTION("""COMPUTED_VALUE"""),14.0)</f>
        <v>14</v>
      </c>
      <c r="E307" s="33">
        <f>IFERROR(__xludf.DUMMYFUNCTION("""COMPUTED_VALUE"""),24.0)</f>
        <v>24</v>
      </c>
      <c r="F307" s="33">
        <f>IFERROR(__xludf.DUMMYFUNCTION("""COMPUTED_VALUE"""),5.0)</f>
        <v>5</v>
      </c>
      <c r="G307" s="33">
        <f>IFERROR(__xludf.DUMMYFUNCTION("""COMPUTED_VALUE"""),4.0)</f>
        <v>4</v>
      </c>
      <c r="H307" s="33">
        <f>IFERROR(__xludf.DUMMYFUNCTION("""COMPUTED_VALUE"""),8.0)</f>
        <v>8</v>
      </c>
      <c r="I307" s="33">
        <f>IFERROR(__xludf.DUMMYFUNCTION("""COMPUTED_VALUE"""),4.0)</f>
        <v>4</v>
      </c>
      <c r="J307" s="33">
        <f>IFERROR(__xludf.DUMMYFUNCTION("""COMPUTED_VALUE"""),7.0)</f>
        <v>7</v>
      </c>
      <c r="K307" s="33">
        <f>IFERROR(__xludf.DUMMYFUNCTION("""COMPUTED_VALUE"""),6.0)</f>
        <v>6</v>
      </c>
      <c r="L307" s="33">
        <f>IFERROR(__xludf.DUMMYFUNCTION("""COMPUTED_VALUE"""),7.0)</f>
        <v>7</v>
      </c>
      <c r="M307" s="33">
        <f>IFERROR(__xludf.DUMMYFUNCTION("""COMPUTED_VALUE"""),6.0)</f>
        <v>6</v>
      </c>
      <c r="N307" s="33">
        <f>IFERROR(__xludf.DUMMYFUNCTION("""COMPUTED_VALUE"""),0.0)</f>
        <v>0</v>
      </c>
      <c r="O307" s="33">
        <f>IFERROR(__xludf.DUMMYFUNCTION("""COMPUTED_VALUE"""),0.0)</f>
        <v>0</v>
      </c>
      <c r="P307" s="33">
        <f>IFERROR(__xludf.DUMMYFUNCTION("""COMPUTED_VALUE"""),0.0)</f>
        <v>0</v>
      </c>
      <c r="Q307" s="33">
        <f>IFERROR(__xludf.DUMMYFUNCTION("""COMPUTED_VALUE"""),0.0)</f>
        <v>0</v>
      </c>
      <c r="R307" s="33">
        <f>IFERROR(__xludf.DUMMYFUNCTION("""COMPUTED_VALUE"""),29868.0)</f>
        <v>29868</v>
      </c>
      <c r="S307" s="33">
        <f>IFERROR(__xludf.DUMMYFUNCTION("""COMPUTED_VALUE"""),50801.0)</f>
        <v>50801</v>
      </c>
      <c r="T307" s="33">
        <f>IFERROR(__xludf.DUMMYFUNCTION("""COMPUTED_VALUE"""),1.85111111111111)</f>
        <v>1.851111111</v>
      </c>
      <c r="U307" s="33">
        <f>IFERROR(__xludf.DUMMYFUNCTION("""COMPUTED_VALUE"""),0.831388888888888)</f>
        <v>0.8313888889</v>
      </c>
      <c r="V307" s="33">
        <f>IFERROR(__xludf.DUMMYFUNCTION("""COMPUTED_VALUE"""),0.651666666666666)</f>
        <v>0.6516666667</v>
      </c>
      <c r="W307" s="33">
        <f>IFERROR(__xludf.DUMMYFUNCTION("""COMPUTED_VALUE"""),1.30555555555555)</f>
        <v>1.305555556</v>
      </c>
      <c r="X307" s="33">
        <f>IFERROR(__xludf.DUMMYFUNCTION("""COMPUTED_VALUE"""),0.653888888888889)</f>
        <v>0.6538888889</v>
      </c>
      <c r="Y307" s="33">
        <f>IFERROR(__xludf.DUMMYFUNCTION("""COMPUTED_VALUE"""),1.13361111111111)</f>
        <v>1.133611111</v>
      </c>
      <c r="Z307" s="33">
        <f>IFERROR(__xludf.DUMMYFUNCTION("""COMPUTED_VALUE"""),0.955277777777777)</f>
        <v>0.9552777778</v>
      </c>
      <c r="AA307" s="33">
        <f>IFERROR(__xludf.DUMMYFUNCTION("""COMPUTED_VALUE"""),1.14972222222222)</f>
        <v>1.149722222</v>
      </c>
      <c r="AB307" s="33">
        <f>IFERROR(__xludf.DUMMYFUNCTION("""COMPUTED_VALUE"""),0.998611111111111)</f>
        <v>0.9986111111</v>
      </c>
      <c r="AC307" s="33">
        <f>IFERROR(__xludf.DUMMYFUNCTION("""COMPUTED_VALUE"""),0.0)</f>
        <v>0</v>
      </c>
      <c r="AD307" s="33">
        <f>IFERROR(__xludf.DUMMYFUNCTION("""COMPUTED_VALUE"""),0.0)</f>
        <v>0</v>
      </c>
      <c r="AE307" s="33">
        <f>IFERROR(__xludf.DUMMYFUNCTION("""COMPUTED_VALUE"""),0.0)</f>
        <v>0</v>
      </c>
      <c r="AF307" s="33">
        <f>IFERROR(__xludf.DUMMYFUNCTION("""COMPUTED_VALUE"""),11.0)</f>
        <v>11</v>
      </c>
    </row>
    <row r="308">
      <c r="A308" s="49">
        <f>IFERROR(__xludf.DUMMYFUNCTION("""COMPUTED_VALUE"""),46069.0)</f>
        <v>46069</v>
      </c>
      <c r="B308" s="33" t="str">
        <f>IFERROR(__xludf.DUMMYFUNCTION("""COMPUTED_VALUE"""),"2549f1505a3739b3e90a0b63921ad55271440d40")</f>
        <v>2549f1505a3739b3e90a0b63921ad55271440d40</v>
      </c>
      <c r="C308" s="33" t="str">
        <f>IFERROR(__xludf.DUMMYFUNCTION("""COMPUTED_VALUE"""),"Reborn in Martial World ")</f>
        <v>Reborn in Martial World </v>
      </c>
      <c r="D308" s="33">
        <f>IFERROR(__xludf.DUMMYFUNCTION("""COMPUTED_VALUE"""),27.0)</f>
        <v>27</v>
      </c>
      <c r="E308" s="33">
        <f>IFERROR(__xludf.DUMMYFUNCTION("""COMPUTED_VALUE"""),14.0)</f>
        <v>14</v>
      </c>
      <c r="F308" s="33">
        <f>IFERROR(__xludf.DUMMYFUNCTION("""COMPUTED_VALUE"""),0.0)</f>
        <v>0</v>
      </c>
      <c r="G308" s="33">
        <f>IFERROR(__xludf.DUMMYFUNCTION("""COMPUTED_VALUE"""),0.0)</f>
        <v>0</v>
      </c>
      <c r="H308" s="33">
        <f>IFERROR(__xludf.DUMMYFUNCTION("""COMPUTED_VALUE"""),0.0)</f>
        <v>0</v>
      </c>
      <c r="I308" s="33">
        <f>IFERROR(__xludf.DUMMYFUNCTION("""COMPUTED_VALUE"""),0.0)</f>
        <v>0</v>
      </c>
      <c r="J308" s="33">
        <f>IFERROR(__xludf.DUMMYFUNCTION("""COMPUTED_VALUE"""),0.0)</f>
        <v>0</v>
      </c>
      <c r="K308" s="33">
        <f>IFERROR(__xludf.DUMMYFUNCTION("""COMPUTED_VALUE"""),0.0)</f>
        <v>0</v>
      </c>
      <c r="L308" s="33">
        <f>IFERROR(__xludf.DUMMYFUNCTION("""COMPUTED_VALUE"""),0.0)</f>
        <v>0</v>
      </c>
      <c r="M308" s="33">
        <f>IFERROR(__xludf.DUMMYFUNCTION("""COMPUTED_VALUE"""),26.0)</f>
        <v>26</v>
      </c>
      <c r="N308" s="33">
        <f>IFERROR(__xludf.DUMMYFUNCTION("""COMPUTED_VALUE"""),13.0)</f>
        <v>13</v>
      </c>
      <c r="O308" s="33">
        <f>IFERROR(__xludf.DUMMYFUNCTION("""COMPUTED_VALUE"""),5.0)</f>
        <v>5</v>
      </c>
      <c r="P308" s="33">
        <f>IFERROR(__xludf.DUMMYFUNCTION("""COMPUTED_VALUE"""),13.0)</f>
        <v>13</v>
      </c>
      <c r="Q308" s="33">
        <f>IFERROR(__xludf.DUMMYFUNCTION("""COMPUTED_VALUE"""),0.0)</f>
        <v>0</v>
      </c>
      <c r="R308" s="33">
        <f>IFERROR(__xludf.DUMMYFUNCTION("""COMPUTED_VALUE"""),65759.0)</f>
        <v>65759</v>
      </c>
      <c r="S308" s="33">
        <f>IFERROR(__xludf.DUMMYFUNCTION("""COMPUTED_VALUE"""),36137.0)</f>
        <v>36137</v>
      </c>
      <c r="T308" s="33">
        <f>IFERROR(__xludf.DUMMYFUNCTION("""COMPUTED_VALUE"""),0.0)</f>
        <v>0</v>
      </c>
      <c r="U308" s="33">
        <f>IFERROR(__xludf.DUMMYFUNCTION("""COMPUTED_VALUE"""),0.0)</f>
        <v>0</v>
      </c>
      <c r="V308" s="33">
        <f>IFERROR(__xludf.DUMMYFUNCTION("""COMPUTED_VALUE"""),0.0)</f>
        <v>0</v>
      </c>
      <c r="W308" s="33">
        <f>IFERROR(__xludf.DUMMYFUNCTION("""COMPUTED_VALUE"""),0.0)</f>
        <v>0</v>
      </c>
      <c r="X308" s="33">
        <f>IFERROR(__xludf.DUMMYFUNCTION("""COMPUTED_VALUE"""),0.0)</f>
        <v>0</v>
      </c>
      <c r="Y308" s="33">
        <f>IFERROR(__xludf.DUMMYFUNCTION("""COMPUTED_VALUE"""),0.0)</f>
        <v>0</v>
      </c>
      <c r="Z308" s="33">
        <f>IFERROR(__xludf.DUMMYFUNCTION("""COMPUTED_VALUE"""),0.0)</f>
        <v>0</v>
      </c>
      <c r="AA308" s="33">
        <f>IFERROR(__xludf.DUMMYFUNCTION("""COMPUTED_VALUE"""),0.0)</f>
        <v>0</v>
      </c>
      <c r="AB308" s="33">
        <f>IFERROR(__xludf.DUMMYFUNCTION("""COMPUTED_VALUE"""),6.94166666666666)</f>
        <v>6.941666667</v>
      </c>
      <c r="AC308" s="33">
        <f>IFERROR(__xludf.DUMMYFUNCTION("""COMPUTED_VALUE"""),3.51249999999999)</f>
        <v>3.5125</v>
      </c>
      <c r="AD308" s="33">
        <f>IFERROR(__xludf.DUMMYFUNCTION("""COMPUTED_VALUE"""),1.03361111111111)</f>
        <v>1.033611111</v>
      </c>
      <c r="AE308" s="33">
        <f>IFERROR(__xludf.DUMMYFUNCTION("""COMPUTED_VALUE"""),3.51249999999999)</f>
        <v>3.5125</v>
      </c>
      <c r="AF308" s="33">
        <f>IFERROR(__xludf.DUMMYFUNCTION("""COMPUTED_VALUE"""),0.0)</f>
        <v>0</v>
      </c>
    </row>
    <row r="309">
      <c r="A309" s="49">
        <f>IFERROR(__xludf.DUMMYFUNCTION("""COMPUTED_VALUE"""),46069.0)</f>
        <v>46069</v>
      </c>
      <c r="B309" s="33" t="str">
        <f>IFERROR(__xludf.DUMMYFUNCTION("""COMPUTED_VALUE"""),"37e68193f879e91ec362f75f4b46511110658e2b")</f>
        <v>37e68193f879e91ec362f75f4b46511110658e2b</v>
      </c>
      <c r="C309" s="33" t="str">
        <f>IFERROR(__xludf.DUMMYFUNCTION("""COMPUTED_VALUE"""),"Shiva : Ek Pretyodha")</f>
        <v>Shiva : Ek Pretyodha</v>
      </c>
      <c r="D309" s="33">
        <f>IFERROR(__xludf.DUMMYFUNCTION("""COMPUTED_VALUE"""),0.0)</f>
        <v>0</v>
      </c>
      <c r="E309" s="33">
        <f>IFERROR(__xludf.DUMMYFUNCTION("""COMPUTED_VALUE"""),0.0)</f>
        <v>0</v>
      </c>
      <c r="F309" s="33">
        <f>IFERROR(__xludf.DUMMYFUNCTION("""COMPUTED_VALUE"""),0.0)</f>
        <v>0</v>
      </c>
      <c r="G309" s="33">
        <f>IFERROR(__xludf.DUMMYFUNCTION("""COMPUTED_VALUE"""),0.0)</f>
        <v>0</v>
      </c>
      <c r="H309" s="33">
        <f>IFERROR(__xludf.DUMMYFUNCTION("""COMPUTED_VALUE"""),0.0)</f>
        <v>0</v>
      </c>
      <c r="I309" s="33">
        <f>IFERROR(__xludf.DUMMYFUNCTION("""COMPUTED_VALUE"""),0.0)</f>
        <v>0</v>
      </c>
      <c r="J309" s="33">
        <f>IFERROR(__xludf.DUMMYFUNCTION("""COMPUTED_VALUE"""),0.0)</f>
        <v>0</v>
      </c>
      <c r="K309" s="33">
        <f>IFERROR(__xludf.DUMMYFUNCTION("""COMPUTED_VALUE"""),0.0)</f>
        <v>0</v>
      </c>
      <c r="L309" s="33">
        <f>IFERROR(__xludf.DUMMYFUNCTION("""COMPUTED_VALUE"""),0.0)</f>
        <v>0</v>
      </c>
      <c r="M309" s="33">
        <f>IFERROR(__xludf.DUMMYFUNCTION("""COMPUTED_VALUE"""),0.0)</f>
        <v>0</v>
      </c>
      <c r="N309" s="33">
        <f>IFERROR(__xludf.DUMMYFUNCTION("""COMPUTED_VALUE"""),36.0)</f>
        <v>36</v>
      </c>
      <c r="O309" s="33">
        <f>IFERROR(__xludf.DUMMYFUNCTION("""COMPUTED_VALUE"""),27.0)</f>
        <v>27</v>
      </c>
      <c r="P309" s="33">
        <f>IFERROR(__xludf.DUMMYFUNCTION("""COMPUTED_VALUE"""),22.0)</f>
        <v>22</v>
      </c>
      <c r="Q309" s="33">
        <f>IFERROR(__xludf.DUMMYFUNCTION("""COMPUTED_VALUE"""),0.0)</f>
        <v>0</v>
      </c>
      <c r="R309" s="33">
        <f>IFERROR(__xludf.DUMMYFUNCTION("""COMPUTED_VALUE"""),0.0)</f>
        <v>0</v>
      </c>
      <c r="S309" s="33">
        <f>IFERROR(__xludf.DUMMYFUNCTION("""COMPUTED_VALUE"""),0.0)</f>
        <v>0</v>
      </c>
      <c r="T309" s="33">
        <f>IFERROR(__xludf.DUMMYFUNCTION("""COMPUTED_VALUE"""),0.0)</f>
        <v>0</v>
      </c>
      <c r="U309" s="33">
        <f>IFERROR(__xludf.DUMMYFUNCTION("""COMPUTED_VALUE"""),0.0)</f>
        <v>0</v>
      </c>
      <c r="V309" s="33">
        <f>IFERROR(__xludf.DUMMYFUNCTION("""COMPUTED_VALUE"""),0.0)</f>
        <v>0</v>
      </c>
      <c r="W309" s="33">
        <f>IFERROR(__xludf.DUMMYFUNCTION("""COMPUTED_VALUE"""),0.0)</f>
        <v>0</v>
      </c>
      <c r="X309" s="33">
        <f>IFERROR(__xludf.DUMMYFUNCTION("""COMPUTED_VALUE"""),0.0)</f>
        <v>0</v>
      </c>
      <c r="Y309" s="33">
        <f>IFERROR(__xludf.DUMMYFUNCTION("""COMPUTED_VALUE"""),0.0)</f>
        <v>0</v>
      </c>
      <c r="Z309" s="33">
        <f>IFERROR(__xludf.DUMMYFUNCTION("""COMPUTED_VALUE"""),0.0)</f>
        <v>0</v>
      </c>
      <c r="AA309" s="33">
        <f>IFERROR(__xludf.DUMMYFUNCTION("""COMPUTED_VALUE"""),0.0)</f>
        <v>0</v>
      </c>
      <c r="AB309" s="33">
        <f>IFERROR(__xludf.DUMMYFUNCTION("""COMPUTED_VALUE"""),0.0)</f>
        <v>0</v>
      </c>
      <c r="AC309" s="33">
        <f>IFERROR(__xludf.DUMMYFUNCTION("""COMPUTED_VALUE"""),6.47805555555555)</f>
        <v>6.478055556</v>
      </c>
      <c r="AD309" s="33">
        <f>IFERROR(__xludf.DUMMYFUNCTION("""COMPUTED_VALUE"""),3.00111111111111)</f>
        <v>3.001111111</v>
      </c>
      <c r="AE309" s="33">
        <f>IFERROR(__xludf.DUMMYFUNCTION("""COMPUTED_VALUE"""),2.36305555555555)</f>
        <v>2.363055556</v>
      </c>
      <c r="AF309" s="33">
        <f>IFERROR(__xludf.DUMMYFUNCTION("""COMPUTED_VALUE"""),0.0)</f>
        <v>0</v>
      </c>
    </row>
    <row r="310">
      <c r="A310" s="49">
        <f>IFERROR(__xludf.DUMMYFUNCTION("""COMPUTED_VALUE"""),46069.0)</f>
        <v>46069</v>
      </c>
      <c r="B310" s="33" t="str">
        <f>IFERROR(__xludf.DUMMYFUNCTION("""COMPUTED_VALUE"""),"394d109f7b50d9a46fb591dbaaba2d0aac90a696")</f>
        <v>394d109f7b50d9a46fb591dbaaba2d0aac90a696</v>
      </c>
      <c r="C310" s="33" t="str">
        <f>IFERROR(__xludf.DUMMYFUNCTION("""COMPUTED_VALUE"""),"Empire of Hidden King (SRGJ) - Production Show_id")</f>
        <v>Empire of Hidden King (SRGJ) - Production Show_id</v>
      </c>
      <c r="D310" s="33">
        <f>IFERROR(__xludf.DUMMYFUNCTION("""COMPUTED_VALUE"""),0.0)</f>
        <v>0</v>
      </c>
      <c r="E310" s="33">
        <f>IFERROR(__xludf.DUMMYFUNCTION("""COMPUTED_VALUE"""),6.0)</f>
        <v>6</v>
      </c>
      <c r="F310" s="33">
        <f>IFERROR(__xludf.DUMMYFUNCTION("""COMPUTED_VALUE"""),12.0)</f>
        <v>12</v>
      </c>
      <c r="G310" s="33">
        <f>IFERROR(__xludf.DUMMYFUNCTION("""COMPUTED_VALUE"""),13.0)</f>
        <v>13</v>
      </c>
      <c r="H310" s="33">
        <f>IFERROR(__xludf.DUMMYFUNCTION("""COMPUTED_VALUE"""),18.0)</f>
        <v>18</v>
      </c>
      <c r="I310" s="33">
        <f>IFERROR(__xludf.DUMMYFUNCTION("""COMPUTED_VALUE"""),5.0)</f>
        <v>5</v>
      </c>
      <c r="J310" s="33">
        <f>IFERROR(__xludf.DUMMYFUNCTION("""COMPUTED_VALUE"""),14.0)</f>
        <v>14</v>
      </c>
      <c r="K310" s="33">
        <f>IFERROR(__xludf.DUMMYFUNCTION("""COMPUTED_VALUE"""),6.0)</f>
        <v>6</v>
      </c>
      <c r="L310" s="33">
        <f>IFERROR(__xludf.DUMMYFUNCTION("""COMPUTED_VALUE"""),6.0)</f>
        <v>6</v>
      </c>
      <c r="M310" s="33">
        <f>IFERROR(__xludf.DUMMYFUNCTION("""COMPUTED_VALUE"""),12.0)</f>
        <v>12</v>
      </c>
      <c r="N310" s="33">
        <f>IFERROR(__xludf.DUMMYFUNCTION("""COMPUTED_VALUE"""),12.0)</f>
        <v>12</v>
      </c>
      <c r="O310" s="33">
        <f>IFERROR(__xludf.DUMMYFUNCTION("""COMPUTED_VALUE"""),6.0)</f>
        <v>6</v>
      </c>
      <c r="P310" s="33">
        <f>IFERROR(__xludf.DUMMYFUNCTION("""COMPUTED_VALUE"""),12.0)</f>
        <v>12</v>
      </c>
      <c r="Q310" s="33">
        <f>IFERROR(__xludf.DUMMYFUNCTION("""COMPUTED_VALUE"""),0.0)</f>
        <v>0</v>
      </c>
      <c r="R310" s="33">
        <f>IFERROR(__xludf.DUMMYFUNCTION("""COMPUTED_VALUE"""),0.0)</f>
        <v>0</v>
      </c>
      <c r="S310" s="33">
        <f>IFERROR(__xludf.DUMMYFUNCTION("""COMPUTED_VALUE"""),18746.0)</f>
        <v>18746</v>
      </c>
      <c r="T310" s="33">
        <f>IFERROR(__xludf.DUMMYFUNCTION("""COMPUTED_VALUE"""),4.46972222222222)</f>
        <v>4.469722222</v>
      </c>
      <c r="U310" s="33">
        <f>IFERROR(__xludf.DUMMYFUNCTION("""COMPUTED_VALUE"""),3.16888888888888)</f>
        <v>3.168888889</v>
      </c>
      <c r="V310" s="33">
        <f>IFERROR(__xludf.DUMMYFUNCTION("""COMPUTED_VALUE"""),3.42555555555555)</f>
        <v>3.425555556</v>
      </c>
      <c r="W310" s="33">
        <f>IFERROR(__xludf.DUMMYFUNCTION("""COMPUTED_VALUE"""),4.72638888888888)</f>
        <v>4.726388889</v>
      </c>
      <c r="X310" s="33">
        <f>IFERROR(__xludf.DUMMYFUNCTION("""COMPUTED_VALUE"""),1.30083333333333)</f>
        <v>1.300833333</v>
      </c>
      <c r="Y310" s="33">
        <f>IFERROR(__xludf.DUMMYFUNCTION("""COMPUTED_VALUE"""),3.6725)</f>
        <v>3.6725</v>
      </c>
      <c r="Z310" s="33">
        <f>IFERROR(__xludf.DUMMYFUNCTION("""COMPUTED_VALUE"""),1.60833333333333)</f>
        <v>1.608333333</v>
      </c>
      <c r="AA310" s="33">
        <f>IFERROR(__xludf.DUMMYFUNCTION("""COMPUTED_VALUE"""),1.60861111111111)</f>
        <v>1.608611111</v>
      </c>
      <c r="AB310" s="33">
        <f>IFERROR(__xludf.DUMMYFUNCTION("""COMPUTED_VALUE"""),3.15222222222222)</f>
        <v>3.152222222</v>
      </c>
      <c r="AC310" s="33">
        <f>IFERROR(__xludf.DUMMYFUNCTION("""COMPUTED_VALUE"""),3.15277777777777)</f>
        <v>3.152777778</v>
      </c>
      <c r="AD310" s="33">
        <f>IFERROR(__xludf.DUMMYFUNCTION("""COMPUTED_VALUE"""),1.73388888888888)</f>
        <v>1.733888889</v>
      </c>
      <c r="AE310" s="33">
        <f>IFERROR(__xludf.DUMMYFUNCTION("""COMPUTED_VALUE"""),3.15277777777777)</f>
        <v>3.152777778</v>
      </c>
      <c r="AF310" s="33">
        <f>IFERROR(__xludf.DUMMYFUNCTION("""COMPUTED_VALUE"""),17.0)</f>
        <v>17</v>
      </c>
    </row>
    <row r="311">
      <c r="A311" s="49">
        <f>IFERROR(__xludf.DUMMYFUNCTION("""COMPUTED_VALUE"""),46069.0)</f>
        <v>46069</v>
      </c>
      <c r="B311" s="33" t="str">
        <f>IFERROR(__xludf.DUMMYFUNCTION("""COMPUTED_VALUE"""),"5066c0736f9e9444f2b4da840d6860b1f7f47d11")</f>
        <v>5066c0736f9e9444f2b4da840d6860b1f7f47d11</v>
      </c>
      <c r="C311" s="33" t="str">
        <f>IFERROR(__xludf.DUMMYFUNCTION("""COMPUTED_VALUE"""),"The Warrior | Author - Dayaram Prajapati - Replica (For Production Only)")</f>
        <v>The Warrior | Author - Dayaram Prajapati - Replica (For Production Only)</v>
      </c>
      <c r="D311" s="33">
        <f>IFERROR(__xludf.DUMMYFUNCTION("""COMPUTED_VALUE"""),20.0)</f>
        <v>20</v>
      </c>
      <c r="E311" s="33">
        <f>IFERROR(__xludf.DUMMYFUNCTION("""COMPUTED_VALUE"""),22.0)</f>
        <v>22</v>
      </c>
      <c r="F311" s="33">
        <f>IFERROR(__xludf.DUMMYFUNCTION("""COMPUTED_VALUE"""),20.0)</f>
        <v>20</v>
      </c>
      <c r="G311" s="33">
        <f>IFERROR(__xludf.DUMMYFUNCTION("""COMPUTED_VALUE"""),18.0)</f>
        <v>18</v>
      </c>
      <c r="H311" s="33">
        <f>IFERROR(__xludf.DUMMYFUNCTION("""COMPUTED_VALUE"""),18.0)</f>
        <v>18</v>
      </c>
      <c r="I311" s="33">
        <f>IFERROR(__xludf.DUMMYFUNCTION("""COMPUTED_VALUE"""),0.0)</f>
        <v>0</v>
      </c>
      <c r="J311" s="33">
        <f>IFERROR(__xludf.DUMMYFUNCTION("""COMPUTED_VALUE"""),18.0)</f>
        <v>18</v>
      </c>
      <c r="K311" s="33">
        <f>IFERROR(__xludf.DUMMYFUNCTION("""COMPUTED_VALUE"""),9.0)</f>
        <v>9</v>
      </c>
      <c r="L311" s="33">
        <f>IFERROR(__xludf.DUMMYFUNCTION("""COMPUTED_VALUE"""),9.0)</f>
        <v>9</v>
      </c>
      <c r="M311" s="33">
        <f>IFERROR(__xludf.DUMMYFUNCTION("""COMPUTED_VALUE"""),20.0)</f>
        <v>20</v>
      </c>
      <c r="N311" s="33">
        <f>IFERROR(__xludf.DUMMYFUNCTION("""COMPUTED_VALUE"""),20.0)</f>
        <v>20</v>
      </c>
      <c r="O311" s="33">
        <f>IFERROR(__xludf.DUMMYFUNCTION("""COMPUTED_VALUE"""),6.0)</f>
        <v>6</v>
      </c>
      <c r="P311" s="33">
        <f>IFERROR(__xludf.DUMMYFUNCTION("""COMPUTED_VALUE"""),20.0)</f>
        <v>20</v>
      </c>
      <c r="Q311" s="33">
        <f>IFERROR(__xludf.DUMMYFUNCTION("""COMPUTED_VALUE"""),0.0)</f>
        <v>0</v>
      </c>
      <c r="R311" s="33">
        <f>IFERROR(__xludf.DUMMYFUNCTION("""COMPUTED_VALUE"""),54096.0)</f>
        <v>54096</v>
      </c>
      <c r="S311" s="33">
        <f>IFERROR(__xludf.DUMMYFUNCTION("""COMPUTED_VALUE"""),61561.0)</f>
        <v>61561</v>
      </c>
      <c r="T311" s="33">
        <f>IFERROR(__xludf.DUMMYFUNCTION("""COMPUTED_VALUE"""),6.32111111111111)</f>
        <v>6.321111111</v>
      </c>
      <c r="U311" s="33">
        <f>IFERROR(__xludf.DUMMYFUNCTION("""COMPUTED_VALUE"""),6.00388888888888)</f>
        <v>6.003888889</v>
      </c>
      <c r="V311" s="33">
        <f>IFERROR(__xludf.DUMMYFUNCTION("""COMPUTED_VALUE"""),5.77888888888889)</f>
        <v>5.778888889</v>
      </c>
      <c r="W311" s="33">
        <f>IFERROR(__xludf.DUMMYFUNCTION("""COMPUTED_VALUE"""),5.77888888888889)</f>
        <v>5.778888889</v>
      </c>
      <c r="X311" s="33">
        <f>IFERROR(__xludf.DUMMYFUNCTION("""COMPUTED_VALUE"""),0.0)</f>
        <v>0</v>
      </c>
      <c r="Y311" s="33">
        <f>IFERROR(__xludf.DUMMYFUNCTION("""COMPUTED_VALUE"""),5.77888888888888)</f>
        <v>5.778888889</v>
      </c>
      <c r="Z311" s="33">
        <f>IFERROR(__xludf.DUMMYFUNCTION("""COMPUTED_VALUE"""),2.92638888888888)</f>
        <v>2.926388889</v>
      </c>
      <c r="AA311" s="33">
        <f>IFERROR(__xludf.DUMMYFUNCTION("""COMPUTED_VALUE"""),2.925)</f>
        <v>2.925</v>
      </c>
      <c r="AB311" s="33">
        <f>IFERROR(__xludf.DUMMYFUNCTION("""COMPUTED_VALUE"""),6.385)</f>
        <v>6.385</v>
      </c>
      <c r="AC311" s="33">
        <f>IFERROR(__xludf.DUMMYFUNCTION("""COMPUTED_VALUE"""),6.385)</f>
        <v>6.385</v>
      </c>
      <c r="AD311" s="33">
        <f>IFERROR(__xludf.DUMMYFUNCTION("""COMPUTED_VALUE"""),1.39194444444444)</f>
        <v>1.391944444</v>
      </c>
      <c r="AE311" s="33">
        <f>IFERROR(__xludf.DUMMYFUNCTION("""COMPUTED_VALUE"""),6.38499999999999)</f>
        <v>6.385</v>
      </c>
      <c r="AF311" s="33">
        <f>IFERROR(__xludf.DUMMYFUNCTION("""COMPUTED_VALUE"""),21.0)</f>
        <v>21</v>
      </c>
    </row>
    <row r="312">
      <c r="A312" s="49">
        <f>IFERROR(__xludf.DUMMYFUNCTION("""COMPUTED_VALUE"""),46069.0)</f>
        <v>46069</v>
      </c>
      <c r="B312" s="33" t="str">
        <f>IFERROR(__xludf.DUMMYFUNCTION("""COMPUTED_VALUE"""),"5baf4c80faf4b2d4eb9401a1d0081872e0158e89")</f>
        <v>5baf4c80faf4b2d4eb9401a1d0081872e0158e89</v>
      </c>
      <c r="C312" s="33" t="str">
        <f>IFERROR(__xludf.DUMMYFUNCTION("""COMPUTED_VALUE"""),"Brahmyodha : The Destroyer - Production showId")</f>
        <v>Brahmyodha : The Destroyer - Production showId</v>
      </c>
      <c r="D312" s="33">
        <f>IFERROR(__xludf.DUMMYFUNCTION("""COMPUTED_VALUE"""),15.0)</f>
        <v>15</v>
      </c>
      <c r="E312" s="33">
        <f>IFERROR(__xludf.DUMMYFUNCTION("""COMPUTED_VALUE"""),15.0)</f>
        <v>15</v>
      </c>
      <c r="F312" s="33">
        <f>IFERROR(__xludf.DUMMYFUNCTION("""COMPUTED_VALUE"""),2.0)</f>
        <v>2</v>
      </c>
      <c r="G312" s="33">
        <f>IFERROR(__xludf.DUMMYFUNCTION("""COMPUTED_VALUE"""),1.0)</f>
        <v>1</v>
      </c>
      <c r="H312" s="33">
        <f>IFERROR(__xludf.DUMMYFUNCTION("""COMPUTED_VALUE"""),24.0)</f>
        <v>24</v>
      </c>
      <c r="I312" s="33">
        <f>IFERROR(__xludf.DUMMYFUNCTION("""COMPUTED_VALUE"""),23.0)</f>
        <v>23</v>
      </c>
      <c r="J312" s="33">
        <f>IFERROR(__xludf.DUMMYFUNCTION("""COMPUTED_VALUE"""),21.0)</f>
        <v>21</v>
      </c>
      <c r="K312" s="33">
        <f>IFERROR(__xludf.DUMMYFUNCTION("""COMPUTED_VALUE"""),3.0)</f>
        <v>3</v>
      </c>
      <c r="L312" s="33">
        <f>IFERROR(__xludf.DUMMYFUNCTION("""COMPUTED_VALUE"""),0.0)</f>
        <v>0</v>
      </c>
      <c r="M312" s="33">
        <f>IFERROR(__xludf.DUMMYFUNCTION("""COMPUTED_VALUE"""),20.0)</f>
        <v>20</v>
      </c>
      <c r="N312" s="33">
        <f>IFERROR(__xludf.DUMMYFUNCTION("""COMPUTED_VALUE"""),20.0)</f>
        <v>20</v>
      </c>
      <c r="O312" s="33">
        <f>IFERROR(__xludf.DUMMYFUNCTION("""COMPUTED_VALUE"""),5.0)</f>
        <v>5</v>
      </c>
      <c r="P312" s="33">
        <f>IFERROR(__xludf.DUMMYFUNCTION("""COMPUTED_VALUE"""),20.0)</f>
        <v>20</v>
      </c>
      <c r="Q312" s="33">
        <f>IFERROR(__xludf.DUMMYFUNCTION("""COMPUTED_VALUE"""),0.0)</f>
        <v>0</v>
      </c>
      <c r="R312" s="33">
        <f>IFERROR(__xludf.DUMMYFUNCTION("""COMPUTED_VALUE"""),39584.0)</f>
        <v>39584</v>
      </c>
      <c r="S312" s="33">
        <f>IFERROR(__xludf.DUMMYFUNCTION("""COMPUTED_VALUE"""),39584.0)</f>
        <v>39584</v>
      </c>
      <c r="T312" s="33">
        <f>IFERROR(__xludf.DUMMYFUNCTION("""COMPUTED_VALUE"""),6.27305555555555)</f>
        <v>6.273055556</v>
      </c>
      <c r="U312" s="33">
        <f>IFERROR(__xludf.DUMMYFUNCTION("""COMPUTED_VALUE"""),0.533888888888888)</f>
        <v>0.5338888889</v>
      </c>
      <c r="V312" s="33">
        <f>IFERROR(__xludf.DUMMYFUNCTION("""COMPUTED_VALUE"""),0.266666666666666)</f>
        <v>0.2666666667</v>
      </c>
      <c r="W312" s="33">
        <f>IFERROR(__xludf.DUMMYFUNCTION("""COMPUTED_VALUE"""),6.27)</f>
        <v>6.27</v>
      </c>
      <c r="X312" s="33">
        <f>IFERROR(__xludf.DUMMYFUNCTION("""COMPUTED_VALUE"""),6.00583333333333)</f>
        <v>6.005833333</v>
      </c>
      <c r="Y312" s="33">
        <f>IFERROR(__xludf.DUMMYFUNCTION("""COMPUTED_VALUE"""),5.48972222222222)</f>
        <v>5.489722222</v>
      </c>
      <c r="Z312" s="33">
        <f>IFERROR(__xludf.DUMMYFUNCTION("""COMPUTED_VALUE"""),0.803333333333333)</f>
        <v>0.8033333333</v>
      </c>
      <c r="AA312" s="33">
        <f>IFERROR(__xludf.DUMMYFUNCTION("""COMPUTED_VALUE"""),0.0)</f>
        <v>0</v>
      </c>
      <c r="AB312" s="33">
        <f>IFERROR(__xludf.DUMMYFUNCTION("""COMPUTED_VALUE"""),5.26444444444444)</f>
        <v>5.264444444</v>
      </c>
      <c r="AC312" s="33">
        <f>IFERROR(__xludf.DUMMYFUNCTION("""COMPUTED_VALUE"""),5.26444444444444)</f>
        <v>5.264444444</v>
      </c>
      <c r="AD312" s="33">
        <f>IFERROR(__xludf.DUMMYFUNCTION("""COMPUTED_VALUE"""),1.07888888888888)</f>
        <v>1.078888889</v>
      </c>
      <c r="AE312" s="33">
        <f>IFERROR(__xludf.DUMMYFUNCTION("""COMPUTED_VALUE"""),5.26444444444444)</f>
        <v>5.264444444</v>
      </c>
      <c r="AF312" s="33">
        <f>IFERROR(__xludf.DUMMYFUNCTION("""COMPUTED_VALUE"""),24.0)</f>
        <v>24</v>
      </c>
    </row>
    <row r="313">
      <c r="A313" s="49">
        <f>IFERROR(__xludf.DUMMYFUNCTION("""COMPUTED_VALUE"""),46069.0)</f>
        <v>46069</v>
      </c>
      <c r="B313" s="33" t="str">
        <f>IFERROR(__xludf.DUMMYFUNCTION("""COMPUTED_VALUE"""),"641b6f77fd211e92df35a3bcbab67e6879e19a66")</f>
        <v>641b6f77fd211e92df35a3bcbab67e6879e19a66</v>
      </c>
      <c r="C313" s="33" t="str">
        <f>IFERROR(__xludf.DUMMYFUNCTION("""COMPUTED_VALUE"""),"Mahagatha | महागाथा | Author - S. Mauryavanshi")</f>
        <v>Mahagatha | महागाथा | Author - S. Mauryavanshi</v>
      </c>
      <c r="D313" s="33">
        <f>IFERROR(__xludf.DUMMYFUNCTION("""COMPUTED_VALUE"""),15.0)</f>
        <v>15</v>
      </c>
      <c r="E313" s="33">
        <f>IFERROR(__xludf.DUMMYFUNCTION("""COMPUTED_VALUE"""),15.0)</f>
        <v>15</v>
      </c>
      <c r="F313" s="33">
        <f>IFERROR(__xludf.DUMMYFUNCTION("""COMPUTED_VALUE"""),9.0)</f>
        <v>9</v>
      </c>
      <c r="G313" s="33">
        <f>IFERROR(__xludf.DUMMYFUNCTION("""COMPUTED_VALUE"""),0.0)</f>
        <v>0</v>
      </c>
      <c r="H313" s="33">
        <f>IFERROR(__xludf.DUMMYFUNCTION("""COMPUTED_VALUE"""),18.0)</f>
        <v>18</v>
      </c>
      <c r="I313" s="33">
        <f>IFERROR(__xludf.DUMMYFUNCTION("""COMPUTED_VALUE"""),11.0)</f>
        <v>11</v>
      </c>
      <c r="J313" s="33">
        <f>IFERROR(__xludf.DUMMYFUNCTION("""COMPUTED_VALUE"""),18.0)</f>
        <v>18</v>
      </c>
      <c r="K313" s="33">
        <f>IFERROR(__xludf.DUMMYFUNCTION("""COMPUTED_VALUE"""),4.0)</f>
        <v>4</v>
      </c>
      <c r="L313" s="33">
        <f>IFERROR(__xludf.DUMMYFUNCTION("""COMPUTED_VALUE"""),0.0)</f>
        <v>0</v>
      </c>
      <c r="M313" s="33">
        <f>IFERROR(__xludf.DUMMYFUNCTION("""COMPUTED_VALUE"""),18.0)</f>
        <v>18</v>
      </c>
      <c r="N313" s="33">
        <f>IFERROR(__xludf.DUMMYFUNCTION("""COMPUTED_VALUE"""),18.0)</f>
        <v>18</v>
      </c>
      <c r="O313" s="33">
        <f>IFERROR(__xludf.DUMMYFUNCTION("""COMPUTED_VALUE"""),5.0)</f>
        <v>5</v>
      </c>
      <c r="P313" s="33">
        <f>IFERROR(__xludf.DUMMYFUNCTION("""COMPUTED_VALUE"""),18.0)</f>
        <v>18</v>
      </c>
      <c r="Q313" s="33">
        <f>IFERROR(__xludf.DUMMYFUNCTION("""COMPUTED_VALUE"""),0.0)</f>
        <v>0</v>
      </c>
      <c r="R313" s="33">
        <f>IFERROR(__xludf.DUMMYFUNCTION("""COMPUTED_VALUE"""),35362.0)</f>
        <v>35362</v>
      </c>
      <c r="S313" s="33">
        <f>IFERROR(__xludf.DUMMYFUNCTION("""COMPUTED_VALUE"""),35560.0)</f>
        <v>35560</v>
      </c>
      <c r="T313" s="33">
        <f>IFERROR(__xludf.DUMMYFUNCTION("""COMPUTED_VALUE"""),4.00305555555555)</f>
        <v>4.003055556</v>
      </c>
      <c r="U313" s="33">
        <f>IFERROR(__xludf.DUMMYFUNCTION("""COMPUTED_VALUE"""),2.11611111111111)</f>
        <v>2.116111111</v>
      </c>
      <c r="V313" s="33">
        <f>IFERROR(__xludf.DUMMYFUNCTION("""COMPUTED_VALUE"""),0.0)</f>
        <v>0</v>
      </c>
      <c r="W313" s="33">
        <f>IFERROR(__xludf.DUMMYFUNCTION("""COMPUTED_VALUE"""),4.28555555555555)</f>
        <v>4.285555556</v>
      </c>
      <c r="X313" s="33">
        <f>IFERROR(__xludf.DUMMYFUNCTION("""COMPUTED_VALUE"""),2.635)</f>
        <v>2.635</v>
      </c>
      <c r="Y313" s="33">
        <f>IFERROR(__xludf.DUMMYFUNCTION("""COMPUTED_VALUE"""),4.28888888888889)</f>
        <v>4.288888889</v>
      </c>
      <c r="Z313" s="33">
        <f>IFERROR(__xludf.DUMMYFUNCTION("""COMPUTED_VALUE"""),0.918611111111111)</f>
        <v>0.9186111111</v>
      </c>
      <c r="AA313" s="33">
        <f>IFERROR(__xludf.DUMMYFUNCTION("""COMPUTED_VALUE"""),0.0)</f>
        <v>0</v>
      </c>
      <c r="AB313" s="33">
        <f>IFERROR(__xludf.DUMMYFUNCTION("""COMPUTED_VALUE"""),4.28888888888888)</f>
        <v>4.288888889</v>
      </c>
      <c r="AC313" s="33">
        <f>IFERROR(__xludf.DUMMYFUNCTION("""COMPUTED_VALUE"""),4.28888888888889)</f>
        <v>4.288888889</v>
      </c>
      <c r="AD313" s="33">
        <f>IFERROR(__xludf.DUMMYFUNCTION("""COMPUTED_VALUE"""),1.13944444444444)</f>
        <v>1.139444444</v>
      </c>
      <c r="AE313" s="33">
        <f>IFERROR(__xludf.DUMMYFUNCTION("""COMPUTED_VALUE"""),4.28888888888888)</f>
        <v>4.288888889</v>
      </c>
      <c r="AF313" s="33">
        <f>IFERROR(__xludf.DUMMYFUNCTION("""COMPUTED_VALUE"""),17.0)</f>
        <v>17</v>
      </c>
    </row>
    <row r="314">
      <c r="A314" s="49">
        <f>IFERROR(__xludf.DUMMYFUNCTION("""COMPUTED_VALUE"""),46069.0)</f>
        <v>46069</v>
      </c>
      <c r="B314" s="33" t="str">
        <f>IFERROR(__xludf.DUMMYFUNCTION("""COMPUTED_VALUE"""),"81de0bc81be63a15ef7b7f2a301e23b4f3d49745")</f>
        <v>81de0bc81be63a15ef7b7f2a301e23b4f3d49745</v>
      </c>
      <c r="C314" s="33" t="str">
        <f>IFERROR(__xludf.DUMMYFUNCTION("""COMPUTED_VALUE"""),"Married to a Hard Hearted")</f>
        <v>Married to a Hard Hearted</v>
      </c>
      <c r="D314" s="33">
        <f>IFERROR(__xludf.DUMMYFUNCTION("""COMPUTED_VALUE"""),0.0)</f>
        <v>0</v>
      </c>
      <c r="E314" s="33">
        <f>IFERROR(__xludf.DUMMYFUNCTION("""COMPUTED_VALUE"""),6.0)</f>
        <v>6</v>
      </c>
      <c r="F314" s="33">
        <f>IFERROR(__xludf.DUMMYFUNCTION("""COMPUTED_VALUE"""),7.0)</f>
        <v>7</v>
      </c>
      <c r="G314" s="33">
        <f>IFERROR(__xludf.DUMMYFUNCTION("""COMPUTED_VALUE"""),1.0)</f>
        <v>1</v>
      </c>
      <c r="H314" s="33">
        <f>IFERROR(__xludf.DUMMYFUNCTION("""COMPUTED_VALUE"""),15.0)</f>
        <v>15</v>
      </c>
      <c r="I314" s="33">
        <f>IFERROR(__xludf.DUMMYFUNCTION("""COMPUTED_VALUE"""),7.0)</f>
        <v>7</v>
      </c>
      <c r="J314" s="33">
        <f>IFERROR(__xludf.DUMMYFUNCTION("""COMPUTED_VALUE"""),15.0)</f>
        <v>15</v>
      </c>
      <c r="K314" s="33">
        <f>IFERROR(__xludf.DUMMYFUNCTION("""COMPUTED_VALUE"""),1.0)</f>
        <v>1</v>
      </c>
      <c r="L314" s="33">
        <f>IFERROR(__xludf.DUMMYFUNCTION("""COMPUTED_VALUE"""),0.0)</f>
        <v>0</v>
      </c>
      <c r="M314" s="33">
        <f>IFERROR(__xludf.DUMMYFUNCTION("""COMPUTED_VALUE"""),15.0)</f>
        <v>15</v>
      </c>
      <c r="N314" s="33">
        <f>IFERROR(__xludf.DUMMYFUNCTION("""COMPUTED_VALUE"""),15.0)</f>
        <v>15</v>
      </c>
      <c r="O314" s="33">
        <f>IFERROR(__xludf.DUMMYFUNCTION("""COMPUTED_VALUE"""),5.0)</f>
        <v>5</v>
      </c>
      <c r="P314" s="33">
        <f>IFERROR(__xludf.DUMMYFUNCTION("""COMPUTED_VALUE"""),15.0)</f>
        <v>15</v>
      </c>
      <c r="Q314" s="33">
        <f>IFERROR(__xludf.DUMMYFUNCTION("""COMPUTED_VALUE"""),0.0)</f>
        <v>0</v>
      </c>
      <c r="R314" s="33">
        <f>IFERROR(__xludf.DUMMYFUNCTION("""COMPUTED_VALUE"""),0.0)</f>
        <v>0</v>
      </c>
      <c r="S314" s="33">
        <f>IFERROR(__xludf.DUMMYFUNCTION("""COMPUTED_VALUE"""),13569.0)</f>
        <v>13569</v>
      </c>
      <c r="T314" s="33">
        <f>IFERROR(__xludf.DUMMYFUNCTION("""COMPUTED_VALUE"""),2.56666666666666)</f>
        <v>2.566666667</v>
      </c>
      <c r="U314" s="33">
        <f>IFERROR(__xludf.DUMMYFUNCTION("""COMPUTED_VALUE"""),1.38361111111111)</f>
        <v>1.383611111</v>
      </c>
      <c r="V314" s="33">
        <f>IFERROR(__xludf.DUMMYFUNCTION("""COMPUTED_VALUE"""),0.207222222222222)</f>
        <v>0.2072222222</v>
      </c>
      <c r="W314" s="33">
        <f>IFERROR(__xludf.DUMMYFUNCTION("""COMPUTED_VALUE"""),2.92611111111111)</f>
        <v>2.926111111</v>
      </c>
      <c r="X314" s="33">
        <f>IFERROR(__xludf.DUMMYFUNCTION("""COMPUTED_VALUE"""),1.3825)</f>
        <v>1.3825</v>
      </c>
      <c r="Y314" s="33">
        <f>IFERROR(__xludf.DUMMYFUNCTION("""COMPUTED_VALUE"""),2.91472222222222)</f>
        <v>2.914722222</v>
      </c>
      <c r="Z314" s="33">
        <f>IFERROR(__xludf.DUMMYFUNCTION("""COMPUTED_VALUE"""),0.21)</f>
        <v>0.21</v>
      </c>
      <c r="AA314" s="33">
        <f>IFERROR(__xludf.DUMMYFUNCTION("""COMPUTED_VALUE"""),0.0)</f>
        <v>0</v>
      </c>
      <c r="AB314" s="33">
        <f>IFERROR(__xludf.DUMMYFUNCTION("""COMPUTED_VALUE"""),2.91472222222222)</f>
        <v>2.914722222</v>
      </c>
      <c r="AC314" s="33">
        <f>IFERROR(__xludf.DUMMYFUNCTION("""COMPUTED_VALUE"""),2.91472222222222)</f>
        <v>2.914722222</v>
      </c>
      <c r="AD314" s="33">
        <f>IFERROR(__xludf.DUMMYFUNCTION("""COMPUTED_VALUE"""),0.980277777777777)</f>
        <v>0.9802777778</v>
      </c>
      <c r="AE314" s="33">
        <f>IFERROR(__xludf.DUMMYFUNCTION("""COMPUTED_VALUE"""),2.91472222222222)</f>
        <v>2.914722222</v>
      </c>
      <c r="AF314" s="33">
        <f>IFERROR(__xludf.DUMMYFUNCTION("""COMPUTED_VALUE"""),13.0)</f>
        <v>13</v>
      </c>
    </row>
    <row r="315">
      <c r="A315" s="49">
        <f>IFERROR(__xludf.DUMMYFUNCTION("""COMPUTED_VALUE"""),46069.0)</f>
        <v>46069</v>
      </c>
      <c r="B315" s="33" t="str">
        <f>IFERROR(__xludf.DUMMYFUNCTION("""COMPUTED_VALUE"""),"859785ba4869b28dddcfcb0e75295d1e1ad9b5a9")</f>
        <v>859785ba4869b28dddcfcb0e75295d1e1ad9b5a9</v>
      </c>
      <c r="C315" s="33" t="str">
        <f>IFERROR(__xludf.DUMMYFUNCTION("""COMPUTED_VALUE"""),"King of Dragon | किंग ऑफ ड्रैगन | Author - Nitesh")</f>
        <v>King of Dragon | किंग ऑफ ड्रैगन | Author - Nitesh</v>
      </c>
      <c r="D315" s="33">
        <f>IFERROR(__xludf.DUMMYFUNCTION("""COMPUTED_VALUE"""),0.0)</f>
        <v>0</v>
      </c>
      <c r="E315" s="33">
        <f>IFERROR(__xludf.DUMMYFUNCTION("""COMPUTED_VALUE"""),0.0)</f>
        <v>0</v>
      </c>
      <c r="F315" s="33">
        <f>IFERROR(__xludf.DUMMYFUNCTION("""COMPUTED_VALUE"""),0.0)</f>
        <v>0</v>
      </c>
      <c r="G315" s="33">
        <f>IFERROR(__xludf.DUMMYFUNCTION("""COMPUTED_VALUE"""),0.0)</f>
        <v>0</v>
      </c>
      <c r="H315" s="33">
        <f>IFERROR(__xludf.DUMMYFUNCTION("""COMPUTED_VALUE"""),0.0)</f>
        <v>0</v>
      </c>
      <c r="I315" s="33">
        <f>IFERROR(__xludf.DUMMYFUNCTION("""COMPUTED_VALUE"""),0.0)</f>
        <v>0</v>
      </c>
      <c r="J315" s="33">
        <f>IFERROR(__xludf.DUMMYFUNCTION("""COMPUTED_VALUE"""),0.0)</f>
        <v>0</v>
      </c>
      <c r="K315" s="33">
        <f>IFERROR(__xludf.DUMMYFUNCTION("""COMPUTED_VALUE"""),0.0)</f>
        <v>0</v>
      </c>
      <c r="L315" s="33">
        <f>IFERROR(__xludf.DUMMYFUNCTION("""COMPUTED_VALUE"""),0.0)</f>
        <v>0</v>
      </c>
      <c r="M315" s="33">
        <f>IFERROR(__xludf.DUMMYFUNCTION("""COMPUTED_VALUE"""),0.0)</f>
        <v>0</v>
      </c>
      <c r="N315" s="33">
        <f>IFERROR(__xludf.DUMMYFUNCTION("""COMPUTED_VALUE"""),0.0)</f>
        <v>0</v>
      </c>
      <c r="O315" s="33">
        <f>IFERROR(__xludf.DUMMYFUNCTION("""COMPUTED_VALUE"""),1.0)</f>
        <v>1</v>
      </c>
      <c r="P315" s="33">
        <f>IFERROR(__xludf.DUMMYFUNCTION("""COMPUTED_VALUE"""),3.0)</f>
        <v>3</v>
      </c>
      <c r="Q315" s="33">
        <f>IFERROR(__xludf.DUMMYFUNCTION("""COMPUTED_VALUE"""),0.0)</f>
        <v>0</v>
      </c>
      <c r="R315" s="33">
        <f>IFERROR(__xludf.DUMMYFUNCTION("""COMPUTED_VALUE"""),0.0)</f>
        <v>0</v>
      </c>
      <c r="S315" s="33">
        <f>IFERROR(__xludf.DUMMYFUNCTION("""COMPUTED_VALUE"""),0.0)</f>
        <v>0</v>
      </c>
      <c r="T315" s="33">
        <f>IFERROR(__xludf.DUMMYFUNCTION("""COMPUTED_VALUE"""),0.0)</f>
        <v>0</v>
      </c>
      <c r="U315" s="33">
        <f>IFERROR(__xludf.DUMMYFUNCTION("""COMPUTED_VALUE"""),0.0)</f>
        <v>0</v>
      </c>
      <c r="V315" s="33">
        <f>IFERROR(__xludf.DUMMYFUNCTION("""COMPUTED_VALUE"""),0.0)</f>
        <v>0</v>
      </c>
      <c r="W315" s="33">
        <f>IFERROR(__xludf.DUMMYFUNCTION("""COMPUTED_VALUE"""),0.0)</f>
        <v>0</v>
      </c>
      <c r="X315" s="33">
        <f>IFERROR(__xludf.DUMMYFUNCTION("""COMPUTED_VALUE"""),0.0)</f>
        <v>0</v>
      </c>
      <c r="Y315" s="33">
        <f>IFERROR(__xludf.DUMMYFUNCTION("""COMPUTED_VALUE"""),0.0)</f>
        <v>0</v>
      </c>
      <c r="Z315" s="33">
        <f>IFERROR(__xludf.DUMMYFUNCTION("""COMPUTED_VALUE"""),0.0)</f>
        <v>0</v>
      </c>
      <c r="AA315" s="33">
        <f>IFERROR(__xludf.DUMMYFUNCTION("""COMPUTED_VALUE"""),0.0)</f>
        <v>0</v>
      </c>
      <c r="AB315" s="33">
        <f>IFERROR(__xludf.DUMMYFUNCTION("""COMPUTED_VALUE"""),0.0)</f>
        <v>0</v>
      </c>
      <c r="AC315" s="33">
        <f>IFERROR(__xludf.DUMMYFUNCTION("""COMPUTED_VALUE"""),0.0)</f>
        <v>0</v>
      </c>
      <c r="AD315" s="33">
        <f>IFERROR(__xludf.DUMMYFUNCTION("""COMPUTED_VALUE"""),0.293333333333333)</f>
        <v>0.2933333333</v>
      </c>
      <c r="AE315" s="33">
        <f>IFERROR(__xludf.DUMMYFUNCTION("""COMPUTED_VALUE"""),0.849722222222222)</f>
        <v>0.8497222222</v>
      </c>
      <c r="AF315" s="33">
        <f>IFERROR(__xludf.DUMMYFUNCTION("""COMPUTED_VALUE"""),0.0)</f>
        <v>0</v>
      </c>
    </row>
    <row r="316">
      <c r="A316" s="49">
        <f>IFERROR(__xludf.DUMMYFUNCTION("""COMPUTED_VALUE"""),46069.0)</f>
        <v>46069</v>
      </c>
      <c r="B316" s="33" t="str">
        <f>IFERROR(__xludf.DUMMYFUNCTION("""COMPUTED_VALUE"""),"96f1f89e4494e06fb7f9e3c4645563fa62ef9320")</f>
        <v>96f1f89e4494e06fb7f9e3c4645563fa62ef9320</v>
      </c>
      <c r="C316" s="33" t="str">
        <f>IFERROR(__xludf.DUMMYFUNCTION("""COMPUTED_VALUE"""),"King of Dragon - Production Show_id")</f>
        <v>King of Dragon - Production Show_id</v>
      </c>
      <c r="D316" s="33">
        <f>IFERROR(__xludf.DUMMYFUNCTION("""COMPUTED_VALUE"""),13.0)</f>
        <v>13</v>
      </c>
      <c r="E316" s="33">
        <f>IFERROR(__xludf.DUMMYFUNCTION("""COMPUTED_VALUE"""),19.0)</f>
        <v>19</v>
      </c>
      <c r="F316" s="33">
        <f>IFERROR(__xludf.DUMMYFUNCTION("""COMPUTED_VALUE"""),9.0)</f>
        <v>9</v>
      </c>
      <c r="G316" s="33">
        <f>IFERROR(__xludf.DUMMYFUNCTION("""COMPUTED_VALUE"""),6.0)</f>
        <v>6</v>
      </c>
      <c r="H316" s="33">
        <f>IFERROR(__xludf.DUMMYFUNCTION("""COMPUTED_VALUE"""),10.0)</f>
        <v>10</v>
      </c>
      <c r="I316" s="33">
        <f>IFERROR(__xludf.DUMMYFUNCTION("""COMPUTED_VALUE"""),4.0)</f>
        <v>4</v>
      </c>
      <c r="J316" s="33">
        <f>IFERROR(__xludf.DUMMYFUNCTION("""COMPUTED_VALUE"""),10.0)</f>
        <v>10</v>
      </c>
      <c r="K316" s="33">
        <f>IFERROR(__xludf.DUMMYFUNCTION("""COMPUTED_VALUE"""),2.0)</f>
        <v>2</v>
      </c>
      <c r="L316" s="33">
        <f>IFERROR(__xludf.DUMMYFUNCTION("""COMPUTED_VALUE"""),2.0)</f>
        <v>2</v>
      </c>
      <c r="M316" s="33">
        <f>IFERROR(__xludf.DUMMYFUNCTION("""COMPUTED_VALUE"""),13.0)</f>
        <v>13</v>
      </c>
      <c r="N316" s="33">
        <f>IFERROR(__xludf.DUMMYFUNCTION("""COMPUTED_VALUE"""),13.0)</f>
        <v>13</v>
      </c>
      <c r="O316" s="33">
        <f>IFERROR(__xludf.DUMMYFUNCTION("""COMPUTED_VALUE"""),7.0)</f>
        <v>7</v>
      </c>
      <c r="P316" s="33">
        <f>IFERROR(__xludf.DUMMYFUNCTION("""COMPUTED_VALUE"""),13.0)</f>
        <v>13</v>
      </c>
      <c r="Q316" s="33">
        <f>IFERROR(__xludf.DUMMYFUNCTION("""COMPUTED_VALUE"""),0.0)</f>
        <v>0</v>
      </c>
      <c r="R316" s="33">
        <f>IFERROR(__xludf.DUMMYFUNCTION("""COMPUTED_VALUE"""),31816.0)</f>
        <v>31816</v>
      </c>
      <c r="S316" s="33">
        <f>IFERROR(__xludf.DUMMYFUNCTION("""COMPUTED_VALUE"""),45961.0)</f>
        <v>45961</v>
      </c>
      <c r="T316" s="33">
        <f>IFERROR(__xludf.DUMMYFUNCTION("""COMPUTED_VALUE"""),3.30305555555555)</f>
        <v>3.303055556</v>
      </c>
      <c r="U316" s="33">
        <f>IFERROR(__xludf.DUMMYFUNCTION("""COMPUTED_VALUE"""),2.48722222222222)</f>
        <v>2.487222222</v>
      </c>
      <c r="V316" s="33">
        <f>IFERROR(__xludf.DUMMYFUNCTION("""COMPUTED_VALUE"""),1.61222222222222)</f>
        <v>1.612222222</v>
      </c>
      <c r="W316" s="33">
        <f>IFERROR(__xludf.DUMMYFUNCTION("""COMPUTED_VALUE"""),2.63444444444444)</f>
        <v>2.634444444</v>
      </c>
      <c r="X316" s="33">
        <f>IFERROR(__xludf.DUMMYFUNCTION("""COMPUTED_VALUE"""),1.02222222222222)</f>
        <v>1.022222222</v>
      </c>
      <c r="Y316" s="33">
        <f>IFERROR(__xludf.DUMMYFUNCTION("""COMPUTED_VALUE"""),2.61611111111111)</f>
        <v>2.616111111</v>
      </c>
      <c r="Z316" s="33">
        <f>IFERROR(__xludf.DUMMYFUNCTION("""COMPUTED_VALUE"""),0.519722222222222)</f>
        <v>0.5197222222</v>
      </c>
      <c r="AA316" s="33">
        <f>IFERROR(__xludf.DUMMYFUNCTION("""COMPUTED_VALUE"""),0.516388888888888)</f>
        <v>0.5163888889</v>
      </c>
      <c r="AB316" s="33">
        <f>IFERROR(__xludf.DUMMYFUNCTION("""COMPUTED_VALUE"""),3.37555555555555)</f>
        <v>3.375555556</v>
      </c>
      <c r="AC316" s="33">
        <f>IFERROR(__xludf.DUMMYFUNCTION("""COMPUTED_VALUE"""),3.37555555555555)</f>
        <v>3.375555556</v>
      </c>
      <c r="AD316" s="33">
        <f>IFERROR(__xludf.DUMMYFUNCTION("""COMPUTED_VALUE"""),1.79694444444444)</f>
        <v>1.796944444</v>
      </c>
      <c r="AE316" s="33">
        <f>IFERROR(__xludf.DUMMYFUNCTION("""COMPUTED_VALUE"""),3.37555555555555)</f>
        <v>3.375555556</v>
      </c>
      <c r="AF316" s="33">
        <f>IFERROR(__xludf.DUMMYFUNCTION("""COMPUTED_VALUE"""),12.0)</f>
        <v>12</v>
      </c>
    </row>
    <row r="317">
      <c r="A317" s="49">
        <f>IFERROR(__xludf.DUMMYFUNCTION("""COMPUTED_VALUE"""),46069.0)</f>
        <v>46069</v>
      </c>
      <c r="B317" s="33" t="str">
        <f>IFERROR(__xludf.DUMMYFUNCTION("""COMPUTED_VALUE"""),"a3ba65aa427077188e1ad7dbcbcafae266683ca9")</f>
        <v>a3ba65aa427077188e1ad7dbcbcafae266683ca9</v>
      </c>
      <c r="C317" s="33" t="str">
        <f>IFERROR(__xludf.DUMMYFUNCTION("""COMPUTED_VALUE"""),"The Warrior | Author - Dayaram Prajapati")</f>
        <v>The Warrior | Author - Dayaram Prajapati</v>
      </c>
      <c r="D317" s="33">
        <f>IFERROR(__xludf.DUMMYFUNCTION("""COMPUTED_VALUE"""),6.0)</f>
        <v>6</v>
      </c>
      <c r="E317" s="33">
        <f>IFERROR(__xludf.DUMMYFUNCTION("""COMPUTED_VALUE"""),6.0)</f>
        <v>6</v>
      </c>
      <c r="F317" s="33">
        <f>IFERROR(__xludf.DUMMYFUNCTION("""COMPUTED_VALUE"""),0.0)</f>
        <v>0</v>
      </c>
      <c r="G317" s="33">
        <f>IFERROR(__xludf.DUMMYFUNCTION("""COMPUTED_VALUE"""),0.0)</f>
        <v>0</v>
      </c>
      <c r="H317" s="33">
        <f>IFERROR(__xludf.DUMMYFUNCTION("""COMPUTED_VALUE"""),0.0)</f>
        <v>0</v>
      </c>
      <c r="I317" s="33">
        <f>IFERROR(__xludf.DUMMYFUNCTION("""COMPUTED_VALUE"""),0.0)</f>
        <v>0</v>
      </c>
      <c r="J317" s="33">
        <f>IFERROR(__xludf.DUMMYFUNCTION("""COMPUTED_VALUE"""),0.0)</f>
        <v>0</v>
      </c>
      <c r="K317" s="33">
        <f>IFERROR(__xludf.DUMMYFUNCTION("""COMPUTED_VALUE"""),0.0)</f>
        <v>0</v>
      </c>
      <c r="L317" s="33">
        <f>IFERROR(__xludf.DUMMYFUNCTION("""COMPUTED_VALUE"""),0.0)</f>
        <v>0</v>
      </c>
      <c r="M317" s="33">
        <f>IFERROR(__xludf.DUMMYFUNCTION("""COMPUTED_VALUE"""),4.0)</f>
        <v>4</v>
      </c>
      <c r="N317" s="33">
        <f>IFERROR(__xludf.DUMMYFUNCTION("""COMPUTED_VALUE"""),6.0)</f>
        <v>6</v>
      </c>
      <c r="O317" s="33">
        <f>IFERROR(__xludf.DUMMYFUNCTION("""COMPUTED_VALUE"""),5.0)</f>
        <v>5</v>
      </c>
      <c r="P317" s="33">
        <f>IFERROR(__xludf.DUMMYFUNCTION("""COMPUTED_VALUE"""),6.0)</f>
        <v>6</v>
      </c>
      <c r="Q317" s="33">
        <f>IFERROR(__xludf.DUMMYFUNCTION("""COMPUTED_VALUE"""),0.0)</f>
        <v>0</v>
      </c>
      <c r="R317" s="33">
        <f>IFERROR(__xludf.DUMMYFUNCTION("""COMPUTED_VALUE"""),17909.0)</f>
        <v>17909</v>
      </c>
      <c r="S317" s="33">
        <f>IFERROR(__xludf.DUMMYFUNCTION("""COMPUTED_VALUE"""),17909.0)</f>
        <v>17909</v>
      </c>
      <c r="T317" s="33">
        <f>IFERROR(__xludf.DUMMYFUNCTION("""COMPUTED_VALUE"""),0.0)</f>
        <v>0</v>
      </c>
      <c r="U317" s="33">
        <f>IFERROR(__xludf.DUMMYFUNCTION("""COMPUTED_VALUE"""),0.0)</f>
        <v>0</v>
      </c>
      <c r="V317" s="33">
        <f>IFERROR(__xludf.DUMMYFUNCTION("""COMPUTED_VALUE"""),0.0)</f>
        <v>0</v>
      </c>
      <c r="W317" s="33">
        <f>IFERROR(__xludf.DUMMYFUNCTION("""COMPUTED_VALUE"""),0.0)</f>
        <v>0</v>
      </c>
      <c r="X317" s="33">
        <f>IFERROR(__xludf.DUMMYFUNCTION("""COMPUTED_VALUE"""),0.0)</f>
        <v>0</v>
      </c>
      <c r="Y317" s="33">
        <f>IFERROR(__xludf.DUMMYFUNCTION("""COMPUTED_VALUE"""),0.0)</f>
        <v>0</v>
      </c>
      <c r="Z317" s="33">
        <f>IFERROR(__xludf.DUMMYFUNCTION("""COMPUTED_VALUE"""),0.0)</f>
        <v>0</v>
      </c>
      <c r="AA317" s="33">
        <f>IFERROR(__xludf.DUMMYFUNCTION("""COMPUTED_VALUE"""),0.0)</f>
        <v>0</v>
      </c>
      <c r="AB317" s="33">
        <f>IFERROR(__xludf.DUMMYFUNCTION("""COMPUTED_VALUE"""),1.235)</f>
        <v>1.235</v>
      </c>
      <c r="AC317" s="33">
        <f>IFERROR(__xludf.DUMMYFUNCTION("""COMPUTED_VALUE"""),1.84249999999999)</f>
        <v>1.8425</v>
      </c>
      <c r="AD317" s="33">
        <f>IFERROR(__xludf.DUMMYFUNCTION("""COMPUTED_VALUE"""),1.18)</f>
        <v>1.18</v>
      </c>
      <c r="AE317" s="33">
        <f>IFERROR(__xludf.DUMMYFUNCTION("""COMPUTED_VALUE"""),1.84249999999999)</f>
        <v>1.8425</v>
      </c>
      <c r="AF317" s="33">
        <f>IFERROR(__xludf.DUMMYFUNCTION("""COMPUTED_VALUE"""),0.0)</f>
        <v>0</v>
      </c>
    </row>
    <row r="318">
      <c r="A318" s="49">
        <f>IFERROR(__xludf.DUMMYFUNCTION("""COMPUTED_VALUE"""),46069.0)</f>
        <v>46069</v>
      </c>
      <c r="B318" s="33" t="str">
        <f>IFERROR(__xludf.DUMMYFUNCTION("""COMPUTED_VALUE"""),"aa81f1feb820ed6f22bd7b22b55890db740929cb")</f>
        <v>aa81f1feb820ed6f22bd7b22b55890db740929cb</v>
      </c>
      <c r="C318" s="33" t="str">
        <f>IFERROR(__xludf.DUMMYFUNCTION("""COMPUTED_VALUE"""),"Shunya Samrat")</f>
        <v>Shunya Samrat</v>
      </c>
      <c r="D318" s="33">
        <f>IFERROR(__xludf.DUMMYFUNCTION("""COMPUTED_VALUE"""),9.0)</f>
        <v>9</v>
      </c>
      <c r="E318" s="33">
        <f>IFERROR(__xludf.DUMMYFUNCTION("""COMPUTED_VALUE"""),9.0)</f>
        <v>9</v>
      </c>
      <c r="F318" s="33">
        <f>IFERROR(__xludf.DUMMYFUNCTION("""COMPUTED_VALUE"""),0.0)</f>
        <v>0</v>
      </c>
      <c r="G318" s="33">
        <f>IFERROR(__xludf.DUMMYFUNCTION("""COMPUTED_VALUE"""),0.0)</f>
        <v>0</v>
      </c>
      <c r="H318" s="33">
        <f>IFERROR(__xludf.DUMMYFUNCTION("""COMPUTED_VALUE"""),0.0)</f>
        <v>0</v>
      </c>
      <c r="I318" s="33">
        <f>IFERROR(__xludf.DUMMYFUNCTION("""COMPUTED_VALUE"""),0.0)</f>
        <v>0</v>
      </c>
      <c r="J318" s="33">
        <f>IFERROR(__xludf.DUMMYFUNCTION("""COMPUTED_VALUE"""),0.0)</f>
        <v>0</v>
      </c>
      <c r="K318" s="33">
        <f>IFERROR(__xludf.DUMMYFUNCTION("""COMPUTED_VALUE"""),0.0)</f>
        <v>0</v>
      </c>
      <c r="L318" s="33">
        <f>IFERROR(__xludf.DUMMYFUNCTION("""COMPUTED_VALUE"""),0.0)</f>
        <v>0</v>
      </c>
      <c r="M318" s="33">
        <f>IFERROR(__xludf.DUMMYFUNCTION("""COMPUTED_VALUE"""),0.0)</f>
        <v>0</v>
      </c>
      <c r="N318" s="33">
        <f>IFERROR(__xludf.DUMMYFUNCTION("""COMPUTED_VALUE"""),9.0)</f>
        <v>9</v>
      </c>
      <c r="O318" s="33">
        <f>IFERROR(__xludf.DUMMYFUNCTION("""COMPUTED_VALUE"""),3.0)</f>
        <v>3</v>
      </c>
      <c r="P318" s="33">
        <f>IFERROR(__xludf.DUMMYFUNCTION("""COMPUTED_VALUE"""),9.0)</f>
        <v>9</v>
      </c>
      <c r="Q318" s="33">
        <f>IFERROR(__xludf.DUMMYFUNCTION("""COMPUTED_VALUE"""),0.0)</f>
        <v>0</v>
      </c>
      <c r="R318" s="33">
        <f>IFERROR(__xludf.DUMMYFUNCTION("""COMPUTED_VALUE"""),20194.0)</f>
        <v>20194</v>
      </c>
      <c r="S318" s="33">
        <f>IFERROR(__xludf.DUMMYFUNCTION("""COMPUTED_VALUE"""),20194.0)</f>
        <v>20194</v>
      </c>
      <c r="T318" s="33">
        <f>IFERROR(__xludf.DUMMYFUNCTION("""COMPUTED_VALUE"""),0.0)</f>
        <v>0</v>
      </c>
      <c r="U318" s="33">
        <f>IFERROR(__xludf.DUMMYFUNCTION("""COMPUTED_VALUE"""),0.0)</f>
        <v>0</v>
      </c>
      <c r="V318" s="33">
        <f>IFERROR(__xludf.DUMMYFUNCTION("""COMPUTED_VALUE"""),0.0)</f>
        <v>0</v>
      </c>
      <c r="W318" s="33">
        <f>IFERROR(__xludf.DUMMYFUNCTION("""COMPUTED_VALUE"""),0.0)</f>
        <v>0</v>
      </c>
      <c r="X318" s="33">
        <f>IFERROR(__xludf.DUMMYFUNCTION("""COMPUTED_VALUE"""),0.0)</f>
        <v>0</v>
      </c>
      <c r="Y318" s="33">
        <f>IFERROR(__xludf.DUMMYFUNCTION("""COMPUTED_VALUE"""),0.0)</f>
        <v>0</v>
      </c>
      <c r="Z318" s="33">
        <f>IFERROR(__xludf.DUMMYFUNCTION("""COMPUTED_VALUE"""),0.0)</f>
        <v>0</v>
      </c>
      <c r="AA318" s="33">
        <f>IFERROR(__xludf.DUMMYFUNCTION("""COMPUTED_VALUE"""),0.0)</f>
        <v>0</v>
      </c>
      <c r="AB318" s="33">
        <f>IFERROR(__xludf.DUMMYFUNCTION("""COMPUTED_VALUE"""),0.0)</f>
        <v>0</v>
      </c>
      <c r="AC318" s="33">
        <f>IFERROR(__xludf.DUMMYFUNCTION("""COMPUTED_VALUE"""),2.07611111111111)</f>
        <v>2.076111111</v>
      </c>
      <c r="AD318" s="33">
        <f>IFERROR(__xludf.DUMMYFUNCTION("""COMPUTED_VALUE"""),0.621944444444444)</f>
        <v>0.6219444444</v>
      </c>
      <c r="AE318" s="33">
        <f>IFERROR(__xludf.DUMMYFUNCTION("""COMPUTED_VALUE"""),2.07611111111111)</f>
        <v>2.076111111</v>
      </c>
      <c r="AF318" s="33">
        <f>IFERROR(__xludf.DUMMYFUNCTION("""COMPUTED_VALUE"""),0.0)</f>
        <v>0</v>
      </c>
    </row>
    <row r="319">
      <c r="A319" s="49">
        <f>IFERROR(__xludf.DUMMYFUNCTION("""COMPUTED_VALUE"""),46069.0)</f>
        <v>46069</v>
      </c>
      <c r="B319" s="33" t="str">
        <f>IFERROR(__xludf.DUMMYFUNCTION("""COMPUTED_VALUE"""),"b236b697a3dda78049a484b58d63a75f4503ad66")</f>
        <v>b236b697a3dda78049a484b58d63a75f4503ad66</v>
      </c>
      <c r="C319" s="33" t="str">
        <f>IFERROR(__xludf.DUMMYFUNCTION("""COMPUTED_VALUE"""),"Rudra - Rise of Supreme Yoddha - Production Show_id")</f>
        <v>Rudra - Rise of Supreme Yoddha - Production Show_id</v>
      </c>
      <c r="D319" s="33">
        <f>IFERROR(__xludf.DUMMYFUNCTION("""COMPUTED_VALUE"""),13.0)</f>
        <v>13</v>
      </c>
      <c r="E319" s="33">
        <f>IFERROR(__xludf.DUMMYFUNCTION("""COMPUTED_VALUE"""),13.0)</f>
        <v>13</v>
      </c>
      <c r="F319" s="33">
        <f>IFERROR(__xludf.DUMMYFUNCTION("""COMPUTED_VALUE"""),7.0)</f>
        <v>7</v>
      </c>
      <c r="G319" s="33">
        <f>IFERROR(__xludf.DUMMYFUNCTION("""COMPUTED_VALUE"""),5.0)</f>
        <v>5</v>
      </c>
      <c r="H319" s="33">
        <f>IFERROR(__xludf.DUMMYFUNCTION("""COMPUTED_VALUE"""),12.0)</f>
        <v>12</v>
      </c>
      <c r="I319" s="33">
        <f>IFERROR(__xludf.DUMMYFUNCTION("""COMPUTED_VALUE"""),7.0)</f>
        <v>7</v>
      </c>
      <c r="J319" s="33">
        <f>IFERROR(__xludf.DUMMYFUNCTION("""COMPUTED_VALUE"""),12.0)</f>
        <v>12</v>
      </c>
      <c r="K319" s="33">
        <f>IFERROR(__xludf.DUMMYFUNCTION("""COMPUTED_VALUE"""),3.0)</f>
        <v>3</v>
      </c>
      <c r="L319" s="33">
        <f>IFERROR(__xludf.DUMMYFUNCTION("""COMPUTED_VALUE"""),1.0)</f>
        <v>1</v>
      </c>
      <c r="M319" s="33">
        <f>IFERROR(__xludf.DUMMYFUNCTION("""COMPUTED_VALUE"""),13.0)</f>
        <v>13</v>
      </c>
      <c r="N319" s="33">
        <f>IFERROR(__xludf.DUMMYFUNCTION("""COMPUTED_VALUE"""),0.0)</f>
        <v>0</v>
      </c>
      <c r="O319" s="33">
        <f>IFERROR(__xludf.DUMMYFUNCTION("""COMPUTED_VALUE"""),0.0)</f>
        <v>0</v>
      </c>
      <c r="P319" s="33">
        <f>IFERROR(__xludf.DUMMYFUNCTION("""COMPUTED_VALUE"""),0.0)</f>
        <v>0</v>
      </c>
      <c r="Q319" s="33">
        <f>IFERROR(__xludf.DUMMYFUNCTION("""COMPUTED_VALUE"""),0.0)</f>
        <v>0</v>
      </c>
      <c r="R319" s="33">
        <f>IFERROR(__xludf.DUMMYFUNCTION("""COMPUTED_VALUE"""),27707.0)</f>
        <v>27707</v>
      </c>
      <c r="S319" s="33">
        <f>IFERROR(__xludf.DUMMYFUNCTION("""COMPUTED_VALUE"""),30802.0)</f>
        <v>30802</v>
      </c>
      <c r="T319" s="33">
        <f>IFERROR(__xludf.DUMMYFUNCTION("""COMPUTED_VALUE"""),3.42222222222222)</f>
        <v>3.422222222</v>
      </c>
      <c r="U319" s="33">
        <f>IFERROR(__xludf.DUMMYFUNCTION("""COMPUTED_VALUE"""),1.39972222222222)</f>
        <v>1.399722222</v>
      </c>
      <c r="V319" s="33">
        <f>IFERROR(__xludf.DUMMYFUNCTION("""COMPUTED_VALUE"""),0.983055555555555)</f>
        <v>0.9830555556</v>
      </c>
      <c r="W319" s="33">
        <f>IFERROR(__xludf.DUMMYFUNCTION("""COMPUTED_VALUE"""),2.35916666666666)</f>
        <v>2.359166667</v>
      </c>
      <c r="X319" s="33">
        <f>IFERROR(__xludf.DUMMYFUNCTION("""COMPUTED_VALUE"""),1.37611111111111)</f>
        <v>1.376111111</v>
      </c>
      <c r="Y319" s="33">
        <f>IFERROR(__xludf.DUMMYFUNCTION("""COMPUTED_VALUE"""),2.35083333333333)</f>
        <v>2.350833333</v>
      </c>
      <c r="Z319" s="33">
        <f>IFERROR(__xludf.DUMMYFUNCTION("""COMPUTED_VALUE"""),0.557222222222222)</f>
        <v>0.5572222222</v>
      </c>
      <c r="AA319" s="33">
        <f>IFERROR(__xludf.DUMMYFUNCTION("""COMPUTED_VALUE"""),0.181944444444444)</f>
        <v>0.1819444444</v>
      </c>
      <c r="AB319" s="33">
        <f>IFERROR(__xludf.DUMMYFUNCTION("""COMPUTED_VALUE"""),2.5325)</f>
        <v>2.5325</v>
      </c>
      <c r="AC319" s="33">
        <f>IFERROR(__xludf.DUMMYFUNCTION("""COMPUTED_VALUE"""),0.0)</f>
        <v>0</v>
      </c>
      <c r="AD319" s="33">
        <f>IFERROR(__xludf.DUMMYFUNCTION("""COMPUTED_VALUE"""),0.0)</f>
        <v>0</v>
      </c>
      <c r="AE319" s="33">
        <f>IFERROR(__xludf.DUMMYFUNCTION("""COMPUTED_VALUE"""),0.0)</f>
        <v>0</v>
      </c>
      <c r="AF319" s="33">
        <f>IFERROR(__xludf.DUMMYFUNCTION("""COMPUTED_VALUE"""),17.0)</f>
        <v>17</v>
      </c>
    </row>
    <row r="320">
      <c r="A320" s="49">
        <f>IFERROR(__xludf.DUMMYFUNCTION("""COMPUTED_VALUE"""),46069.0)</f>
        <v>46069</v>
      </c>
      <c r="B320" s="33" t="str">
        <f>IFERROR(__xludf.DUMMYFUNCTION("""COMPUTED_VALUE"""),"b4277fe045604b0c31d4c58c59733d8d995662ff")</f>
        <v>b4277fe045604b0c31d4c58c59733d8d995662ff</v>
      </c>
      <c r="C320" s="33" t="str">
        <f>IFERROR(__xludf.DUMMYFUNCTION("""COMPUTED_VALUE"""),"Divine Power - Production Show_id")</f>
        <v>Divine Power - Production Show_id</v>
      </c>
      <c r="D320" s="33">
        <f>IFERROR(__xludf.DUMMYFUNCTION("""COMPUTED_VALUE"""),9.0)</f>
        <v>9</v>
      </c>
      <c r="E320" s="33">
        <f>IFERROR(__xludf.DUMMYFUNCTION("""COMPUTED_VALUE"""),0.0)</f>
        <v>0</v>
      </c>
      <c r="F320" s="33">
        <f>IFERROR(__xludf.DUMMYFUNCTION("""COMPUTED_VALUE"""),0.0)</f>
        <v>0</v>
      </c>
      <c r="G320" s="33">
        <f>IFERROR(__xludf.DUMMYFUNCTION("""COMPUTED_VALUE"""),0.0)</f>
        <v>0</v>
      </c>
      <c r="H320" s="33">
        <f>IFERROR(__xludf.DUMMYFUNCTION("""COMPUTED_VALUE"""),0.0)</f>
        <v>0</v>
      </c>
      <c r="I320" s="33">
        <f>IFERROR(__xludf.DUMMYFUNCTION("""COMPUTED_VALUE"""),0.0)</f>
        <v>0</v>
      </c>
      <c r="J320" s="33">
        <f>IFERROR(__xludf.DUMMYFUNCTION("""COMPUTED_VALUE"""),0.0)</f>
        <v>0</v>
      </c>
      <c r="K320" s="33">
        <f>IFERROR(__xludf.DUMMYFUNCTION("""COMPUTED_VALUE"""),0.0)</f>
        <v>0</v>
      </c>
      <c r="L320" s="33">
        <f>IFERROR(__xludf.DUMMYFUNCTION("""COMPUTED_VALUE"""),0.0)</f>
        <v>0</v>
      </c>
      <c r="M320" s="33">
        <f>IFERROR(__xludf.DUMMYFUNCTION("""COMPUTED_VALUE"""),0.0)</f>
        <v>0</v>
      </c>
      <c r="N320" s="33">
        <f>IFERROR(__xludf.DUMMYFUNCTION("""COMPUTED_VALUE"""),0.0)</f>
        <v>0</v>
      </c>
      <c r="O320" s="33">
        <f>IFERROR(__xludf.DUMMYFUNCTION("""COMPUTED_VALUE"""),0.0)</f>
        <v>0</v>
      </c>
      <c r="P320" s="33">
        <f>IFERROR(__xludf.DUMMYFUNCTION("""COMPUTED_VALUE"""),0.0)</f>
        <v>0</v>
      </c>
      <c r="Q320" s="33">
        <f>IFERROR(__xludf.DUMMYFUNCTION("""COMPUTED_VALUE"""),0.0)</f>
        <v>0</v>
      </c>
      <c r="R320" s="33">
        <f>IFERROR(__xludf.DUMMYFUNCTION("""COMPUTED_VALUE"""),23158.0)</f>
        <v>23158</v>
      </c>
      <c r="S320" s="33">
        <f>IFERROR(__xludf.DUMMYFUNCTION("""COMPUTED_VALUE"""),0.0)</f>
        <v>0</v>
      </c>
      <c r="T320" s="33">
        <f>IFERROR(__xludf.DUMMYFUNCTION("""COMPUTED_VALUE"""),0.0)</f>
        <v>0</v>
      </c>
      <c r="U320" s="33">
        <f>IFERROR(__xludf.DUMMYFUNCTION("""COMPUTED_VALUE"""),0.0)</f>
        <v>0</v>
      </c>
      <c r="V320" s="33">
        <f>IFERROR(__xludf.DUMMYFUNCTION("""COMPUTED_VALUE"""),0.0)</f>
        <v>0</v>
      </c>
      <c r="W320" s="33">
        <f>IFERROR(__xludf.DUMMYFUNCTION("""COMPUTED_VALUE"""),0.0)</f>
        <v>0</v>
      </c>
      <c r="X320" s="33">
        <f>IFERROR(__xludf.DUMMYFUNCTION("""COMPUTED_VALUE"""),0.0)</f>
        <v>0</v>
      </c>
      <c r="Y320" s="33">
        <f>IFERROR(__xludf.DUMMYFUNCTION("""COMPUTED_VALUE"""),0.0)</f>
        <v>0</v>
      </c>
      <c r="Z320" s="33">
        <f>IFERROR(__xludf.DUMMYFUNCTION("""COMPUTED_VALUE"""),0.0)</f>
        <v>0</v>
      </c>
      <c r="AA320" s="33">
        <f>IFERROR(__xludf.DUMMYFUNCTION("""COMPUTED_VALUE"""),0.0)</f>
        <v>0</v>
      </c>
      <c r="AB320" s="33">
        <f>IFERROR(__xludf.DUMMYFUNCTION("""COMPUTED_VALUE"""),0.0)</f>
        <v>0</v>
      </c>
      <c r="AC320" s="33">
        <f>IFERROR(__xludf.DUMMYFUNCTION("""COMPUTED_VALUE"""),0.0)</f>
        <v>0</v>
      </c>
      <c r="AD320" s="33">
        <f>IFERROR(__xludf.DUMMYFUNCTION("""COMPUTED_VALUE"""),0.0)</f>
        <v>0</v>
      </c>
      <c r="AE320" s="33">
        <f>IFERROR(__xludf.DUMMYFUNCTION("""COMPUTED_VALUE"""),0.0)</f>
        <v>0</v>
      </c>
      <c r="AF320" s="33">
        <f>IFERROR(__xludf.DUMMYFUNCTION("""COMPUTED_VALUE"""),0.0)</f>
        <v>0</v>
      </c>
    </row>
    <row r="321">
      <c r="A321" s="49">
        <f>IFERROR(__xludf.DUMMYFUNCTION("""COMPUTED_VALUE"""),46069.0)</f>
        <v>46069</v>
      </c>
      <c r="B321" s="33" t="str">
        <f>IFERROR(__xludf.DUMMYFUNCTION("""COMPUTED_VALUE"""),"b9727274f880f47671ad54caad4904a491fad9c7")</f>
        <v>b9727274f880f47671ad54caad4904a491fad9c7</v>
      </c>
      <c r="C321" s="33" t="str">
        <f>IFERROR(__xludf.DUMMYFUNCTION("""COMPUTED_VALUE"""),"Brahmand Ka Rakshak - Production Show")</f>
        <v>Brahmand Ka Rakshak - Production Show</v>
      </c>
      <c r="D321" s="33">
        <f>IFERROR(__xludf.DUMMYFUNCTION("""COMPUTED_VALUE"""),31.0)</f>
        <v>31</v>
      </c>
      <c r="E321" s="33">
        <f>IFERROR(__xludf.DUMMYFUNCTION("""COMPUTED_VALUE"""),30.0)</f>
        <v>30</v>
      </c>
      <c r="F321" s="33">
        <f>IFERROR(__xludf.DUMMYFUNCTION("""COMPUTED_VALUE"""),8.0)</f>
        <v>8</v>
      </c>
      <c r="G321" s="33">
        <f>IFERROR(__xludf.DUMMYFUNCTION("""COMPUTED_VALUE"""),9.0)</f>
        <v>9</v>
      </c>
      <c r="H321" s="33">
        <f>IFERROR(__xludf.DUMMYFUNCTION("""COMPUTED_VALUE"""),21.0)</f>
        <v>21</v>
      </c>
      <c r="I321" s="33">
        <f>IFERROR(__xludf.DUMMYFUNCTION("""COMPUTED_VALUE"""),12.0)</f>
        <v>12</v>
      </c>
      <c r="J321" s="33">
        <f>IFERROR(__xludf.DUMMYFUNCTION("""COMPUTED_VALUE"""),21.0)</f>
        <v>21</v>
      </c>
      <c r="K321" s="33">
        <f>IFERROR(__xludf.DUMMYFUNCTION("""COMPUTED_VALUE"""),5.0)</f>
        <v>5</v>
      </c>
      <c r="L321" s="33">
        <f>IFERROR(__xludf.DUMMYFUNCTION("""COMPUTED_VALUE"""),5.0)</f>
        <v>5</v>
      </c>
      <c r="M321" s="33">
        <f>IFERROR(__xludf.DUMMYFUNCTION("""COMPUTED_VALUE"""),22.0)</f>
        <v>22</v>
      </c>
      <c r="N321" s="33">
        <f>IFERROR(__xludf.DUMMYFUNCTION("""COMPUTED_VALUE"""),20.0)</f>
        <v>20</v>
      </c>
      <c r="O321" s="33">
        <f>IFERROR(__xludf.DUMMYFUNCTION("""COMPUTED_VALUE"""),6.0)</f>
        <v>6</v>
      </c>
      <c r="P321" s="33">
        <f>IFERROR(__xludf.DUMMYFUNCTION("""COMPUTED_VALUE"""),20.0)</f>
        <v>20</v>
      </c>
      <c r="Q321" s="33">
        <f>IFERROR(__xludf.DUMMYFUNCTION("""COMPUTED_VALUE"""),0.0)</f>
        <v>0</v>
      </c>
      <c r="R321" s="33">
        <f>IFERROR(__xludf.DUMMYFUNCTION("""COMPUTED_VALUE"""),70108.0)</f>
        <v>70108</v>
      </c>
      <c r="S321" s="33">
        <f>IFERROR(__xludf.DUMMYFUNCTION("""COMPUTED_VALUE"""),68001.0)</f>
        <v>68001</v>
      </c>
      <c r="T321" s="33">
        <f>IFERROR(__xludf.DUMMYFUNCTION("""COMPUTED_VALUE"""),3.60361111111111)</f>
        <v>3.603611111</v>
      </c>
      <c r="U321" s="33">
        <f>IFERROR(__xludf.DUMMYFUNCTION("""COMPUTED_VALUE"""),1.49222222222222)</f>
        <v>1.492222222</v>
      </c>
      <c r="V321" s="33">
        <f>IFERROR(__xludf.DUMMYFUNCTION("""COMPUTED_VALUE"""),1.67638888888888)</f>
        <v>1.676388889</v>
      </c>
      <c r="W321" s="33">
        <f>IFERROR(__xludf.DUMMYFUNCTION("""COMPUTED_VALUE"""),3.78777777777777)</f>
        <v>3.787777778</v>
      </c>
      <c r="X321" s="33">
        <f>IFERROR(__xludf.DUMMYFUNCTION("""COMPUTED_VALUE"""),2.11138888888888)</f>
        <v>2.111388889</v>
      </c>
      <c r="Y321" s="33">
        <f>IFERROR(__xludf.DUMMYFUNCTION("""COMPUTED_VALUE"""),3.79333333333333)</f>
        <v>3.793333333</v>
      </c>
      <c r="Z321" s="33">
        <f>IFERROR(__xludf.DUMMYFUNCTION("""COMPUTED_VALUE"""),0.868055555555555)</f>
        <v>0.8680555556</v>
      </c>
      <c r="AA321" s="33">
        <f>IFERROR(__xludf.DUMMYFUNCTION("""COMPUTED_VALUE"""),0.868611111111111)</f>
        <v>0.8686111111</v>
      </c>
      <c r="AB321" s="33">
        <f>IFERROR(__xludf.DUMMYFUNCTION("""COMPUTED_VALUE"""),3.97916666666666)</f>
        <v>3.979166667</v>
      </c>
      <c r="AC321" s="33">
        <f>IFERROR(__xludf.DUMMYFUNCTION("""COMPUTED_VALUE"""),3.57055555555555)</f>
        <v>3.570555556</v>
      </c>
      <c r="AD321" s="33">
        <f>IFERROR(__xludf.DUMMYFUNCTION("""COMPUTED_VALUE"""),1.11638888888888)</f>
        <v>1.116388889</v>
      </c>
      <c r="AE321" s="33">
        <f>IFERROR(__xludf.DUMMYFUNCTION("""COMPUTED_VALUE"""),3.57055555555555)</f>
        <v>3.570555556</v>
      </c>
      <c r="AF321" s="33">
        <f>IFERROR(__xludf.DUMMYFUNCTION("""COMPUTED_VALUE"""),20.0)</f>
        <v>20</v>
      </c>
    </row>
    <row r="322">
      <c r="A322" s="49">
        <f>IFERROR(__xludf.DUMMYFUNCTION("""COMPUTED_VALUE"""),46069.0)</f>
        <v>46069</v>
      </c>
      <c r="B322" s="33" t="str">
        <f>IFERROR(__xludf.DUMMYFUNCTION("""COMPUTED_VALUE"""),"bb6f447c782519839d8793fda0d35f90bad4421a")</f>
        <v>bb6f447c782519839d8793fda0d35f90bad4421a</v>
      </c>
      <c r="C322" s="33" t="str">
        <f>IFERROR(__xludf.DUMMYFUNCTION("""COMPUTED_VALUE"""),"Ruthless")</f>
        <v>Ruthless</v>
      </c>
      <c r="D322" s="33">
        <f>IFERROR(__xludf.DUMMYFUNCTION("""COMPUTED_VALUE"""),16.0)</f>
        <v>16</v>
      </c>
      <c r="E322" s="33">
        <f>IFERROR(__xludf.DUMMYFUNCTION("""COMPUTED_VALUE"""),14.0)</f>
        <v>14</v>
      </c>
      <c r="F322" s="33">
        <f>IFERROR(__xludf.DUMMYFUNCTION("""COMPUTED_VALUE"""),8.0)</f>
        <v>8</v>
      </c>
      <c r="G322" s="33">
        <f>IFERROR(__xludf.DUMMYFUNCTION("""COMPUTED_VALUE"""),5.0)</f>
        <v>5</v>
      </c>
      <c r="H322" s="33">
        <f>IFERROR(__xludf.DUMMYFUNCTION("""COMPUTED_VALUE"""),14.0)</f>
        <v>14</v>
      </c>
      <c r="I322" s="33">
        <f>IFERROR(__xludf.DUMMYFUNCTION("""COMPUTED_VALUE"""),4.0)</f>
        <v>4</v>
      </c>
      <c r="J322" s="33">
        <f>IFERROR(__xludf.DUMMYFUNCTION("""COMPUTED_VALUE"""),13.0)</f>
        <v>13</v>
      </c>
      <c r="K322" s="33">
        <f>IFERROR(__xludf.DUMMYFUNCTION("""COMPUTED_VALUE"""),2.0)</f>
        <v>2</v>
      </c>
      <c r="L322" s="33">
        <f>IFERROR(__xludf.DUMMYFUNCTION("""COMPUTED_VALUE"""),1.0)</f>
        <v>1</v>
      </c>
      <c r="M322" s="33">
        <f>IFERROR(__xludf.DUMMYFUNCTION("""COMPUTED_VALUE"""),12.0)</f>
        <v>12</v>
      </c>
      <c r="N322" s="33">
        <f>IFERROR(__xludf.DUMMYFUNCTION("""COMPUTED_VALUE"""),12.0)</f>
        <v>12</v>
      </c>
      <c r="O322" s="33">
        <f>IFERROR(__xludf.DUMMYFUNCTION("""COMPUTED_VALUE"""),7.0)</f>
        <v>7</v>
      </c>
      <c r="P322" s="33">
        <f>IFERROR(__xludf.DUMMYFUNCTION("""COMPUTED_VALUE"""),12.0)</f>
        <v>12</v>
      </c>
      <c r="Q322" s="33">
        <f>IFERROR(__xludf.DUMMYFUNCTION("""COMPUTED_VALUE"""),0.0)</f>
        <v>0</v>
      </c>
      <c r="R322" s="33">
        <f>IFERROR(__xludf.DUMMYFUNCTION("""COMPUTED_VALUE"""),37006.0)</f>
        <v>37006</v>
      </c>
      <c r="S322" s="33">
        <f>IFERROR(__xludf.DUMMYFUNCTION("""COMPUTED_VALUE"""),33418.0)</f>
        <v>33418</v>
      </c>
      <c r="T322" s="33">
        <f>IFERROR(__xludf.DUMMYFUNCTION("""COMPUTED_VALUE"""),4.34916666666666)</f>
        <v>4.349166667</v>
      </c>
      <c r="U322" s="33">
        <f>IFERROR(__xludf.DUMMYFUNCTION("""COMPUTED_VALUE"""),1.98583333333333)</f>
        <v>1.985833333</v>
      </c>
      <c r="V322" s="33">
        <f>IFERROR(__xludf.DUMMYFUNCTION("""COMPUTED_VALUE"""),1.23833333333333)</f>
        <v>1.238333333</v>
      </c>
      <c r="W322" s="33">
        <f>IFERROR(__xludf.DUMMYFUNCTION("""COMPUTED_VALUE"""),3.48083333333333)</f>
        <v>3.480833333</v>
      </c>
      <c r="X322" s="33">
        <f>IFERROR(__xludf.DUMMYFUNCTION("""COMPUTED_VALUE"""),0.934444444444444)</f>
        <v>0.9344444444</v>
      </c>
      <c r="Y322" s="33">
        <f>IFERROR(__xludf.DUMMYFUNCTION("""COMPUTED_VALUE"""),3.31111111111111)</f>
        <v>3.311111111</v>
      </c>
      <c r="Z322" s="33">
        <f>IFERROR(__xludf.DUMMYFUNCTION("""COMPUTED_VALUE"""),0.5)</f>
        <v>0.5</v>
      </c>
      <c r="AA322" s="33">
        <f>IFERROR(__xludf.DUMMYFUNCTION("""COMPUTED_VALUE"""),0.25)</f>
        <v>0.25</v>
      </c>
      <c r="AB322" s="33">
        <f>IFERROR(__xludf.DUMMYFUNCTION("""COMPUTED_VALUE"""),3.05333333333333)</f>
        <v>3.053333333</v>
      </c>
      <c r="AC322" s="33">
        <f>IFERROR(__xludf.DUMMYFUNCTION("""COMPUTED_VALUE"""),3.05333333333333)</f>
        <v>3.053333333</v>
      </c>
      <c r="AD322" s="33">
        <f>IFERROR(__xludf.DUMMYFUNCTION("""COMPUTED_VALUE"""),1.58999999999999)</f>
        <v>1.59</v>
      </c>
      <c r="AE322" s="33">
        <f>IFERROR(__xludf.DUMMYFUNCTION("""COMPUTED_VALUE"""),3.05333333333333)</f>
        <v>3.053333333</v>
      </c>
      <c r="AF322" s="33">
        <f>IFERROR(__xludf.DUMMYFUNCTION("""COMPUTED_VALUE"""),18.0)</f>
        <v>18</v>
      </c>
    </row>
    <row r="323">
      <c r="A323" s="49">
        <f>IFERROR(__xludf.DUMMYFUNCTION("""COMPUTED_VALUE"""),46069.0)</f>
        <v>46069</v>
      </c>
      <c r="B323" s="33" t="str">
        <f>IFERROR(__xludf.DUMMYFUNCTION("""COMPUTED_VALUE"""),"ca6c466ebfcd2658a9f1641045f468c15417a1e7")</f>
        <v>ca6c466ebfcd2658a9f1641045f468c15417a1e7</v>
      </c>
      <c r="C323" s="33" t="str">
        <f>IFERROR(__xludf.DUMMYFUNCTION("""COMPUTED_VALUE"""),"My Mysterious Princess")</f>
        <v>My Mysterious Princess</v>
      </c>
      <c r="D323" s="33">
        <f>IFERROR(__xludf.DUMMYFUNCTION("""COMPUTED_VALUE"""),0.0)</f>
        <v>0</v>
      </c>
      <c r="E323" s="33">
        <f>IFERROR(__xludf.DUMMYFUNCTION("""COMPUTED_VALUE"""),17.0)</f>
        <v>17</v>
      </c>
      <c r="F323" s="33">
        <f>IFERROR(__xludf.DUMMYFUNCTION("""COMPUTED_VALUE"""),12.0)</f>
        <v>12</v>
      </c>
      <c r="G323" s="33">
        <f>IFERROR(__xludf.DUMMYFUNCTION("""COMPUTED_VALUE"""),0.0)</f>
        <v>0</v>
      </c>
      <c r="H323" s="33">
        <f>IFERROR(__xludf.DUMMYFUNCTION("""COMPUTED_VALUE"""),16.0)</f>
        <v>16</v>
      </c>
      <c r="I323" s="33">
        <f>IFERROR(__xludf.DUMMYFUNCTION("""COMPUTED_VALUE"""),5.0)</f>
        <v>5</v>
      </c>
      <c r="J323" s="33">
        <f>IFERROR(__xludf.DUMMYFUNCTION("""COMPUTED_VALUE"""),16.0)</f>
        <v>16</v>
      </c>
      <c r="K323" s="33">
        <f>IFERROR(__xludf.DUMMYFUNCTION("""COMPUTED_VALUE"""),1.0)</f>
        <v>1</v>
      </c>
      <c r="L323" s="33">
        <f>IFERROR(__xludf.DUMMYFUNCTION("""COMPUTED_VALUE"""),0.0)</f>
        <v>0</v>
      </c>
      <c r="M323" s="33">
        <f>IFERROR(__xludf.DUMMYFUNCTION("""COMPUTED_VALUE"""),12.0)</f>
        <v>12</v>
      </c>
      <c r="N323" s="33">
        <f>IFERROR(__xludf.DUMMYFUNCTION("""COMPUTED_VALUE"""),12.0)</f>
        <v>12</v>
      </c>
      <c r="O323" s="33">
        <f>IFERROR(__xludf.DUMMYFUNCTION("""COMPUTED_VALUE"""),7.0)</f>
        <v>7</v>
      </c>
      <c r="P323" s="33">
        <f>IFERROR(__xludf.DUMMYFUNCTION("""COMPUTED_VALUE"""),12.0)</f>
        <v>12</v>
      </c>
      <c r="Q323" s="33">
        <f>IFERROR(__xludf.DUMMYFUNCTION("""COMPUTED_VALUE"""),0.0)</f>
        <v>0</v>
      </c>
      <c r="R323" s="33">
        <f>IFERROR(__xludf.DUMMYFUNCTION("""COMPUTED_VALUE"""),0.0)</f>
        <v>0</v>
      </c>
      <c r="S323" s="33">
        <f>IFERROR(__xludf.DUMMYFUNCTION("""COMPUTED_VALUE"""),39796.0)</f>
        <v>39796</v>
      </c>
      <c r="T323" s="33">
        <f>IFERROR(__xludf.DUMMYFUNCTION("""COMPUTED_VALUE"""),4.11027777777777)</f>
        <v>4.110277778</v>
      </c>
      <c r="U323" s="33">
        <f>IFERROR(__xludf.DUMMYFUNCTION("""COMPUTED_VALUE"""),2.73305555555555)</f>
        <v>2.733055556</v>
      </c>
      <c r="V323" s="33">
        <f>IFERROR(__xludf.DUMMYFUNCTION("""COMPUTED_VALUE"""),0.0)</f>
        <v>0</v>
      </c>
      <c r="W323" s="33">
        <f>IFERROR(__xludf.DUMMYFUNCTION("""COMPUTED_VALUE"""),3.6475)</f>
        <v>3.6475</v>
      </c>
      <c r="X323" s="33">
        <f>IFERROR(__xludf.DUMMYFUNCTION("""COMPUTED_VALUE"""),1.13305555555555)</f>
        <v>1.133055556</v>
      </c>
      <c r="Y323" s="33">
        <f>IFERROR(__xludf.DUMMYFUNCTION("""COMPUTED_VALUE"""),3.6425)</f>
        <v>3.6425</v>
      </c>
      <c r="Z323" s="33">
        <f>IFERROR(__xludf.DUMMYFUNCTION("""COMPUTED_VALUE"""),0.215)</f>
        <v>0.215</v>
      </c>
      <c r="AA323" s="33">
        <f>IFERROR(__xludf.DUMMYFUNCTION("""COMPUTED_VALUE"""),0.0)</f>
        <v>0</v>
      </c>
      <c r="AB323" s="33">
        <f>IFERROR(__xludf.DUMMYFUNCTION("""COMPUTED_VALUE"""),2.64722222222222)</f>
        <v>2.647222222</v>
      </c>
      <c r="AC323" s="33">
        <f>IFERROR(__xludf.DUMMYFUNCTION("""COMPUTED_VALUE"""),2.64666666666666)</f>
        <v>2.646666667</v>
      </c>
      <c r="AD323" s="33">
        <f>IFERROR(__xludf.DUMMYFUNCTION("""COMPUTED_VALUE"""),1.70666666666666)</f>
        <v>1.706666667</v>
      </c>
      <c r="AE323" s="33">
        <f>IFERROR(__xludf.DUMMYFUNCTION("""COMPUTED_VALUE"""),2.64666666666666)</f>
        <v>2.646666667</v>
      </c>
      <c r="AF323" s="33">
        <f>IFERROR(__xludf.DUMMYFUNCTION("""COMPUTED_VALUE"""),18.0)</f>
        <v>18</v>
      </c>
    </row>
    <row r="324">
      <c r="A324" s="49">
        <f>IFERROR(__xludf.DUMMYFUNCTION("""COMPUTED_VALUE"""),46069.0)</f>
        <v>46069</v>
      </c>
      <c r="B324" s="33" t="str">
        <f>IFERROR(__xludf.DUMMYFUNCTION("""COMPUTED_VALUE"""),"dbbc7f35e9eb33b7562f0fd82896e827101bf13c")</f>
        <v>dbbc7f35e9eb33b7562f0fd82896e827101bf13c</v>
      </c>
      <c r="C324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24" s="33">
        <f>IFERROR(__xludf.DUMMYFUNCTION("""COMPUTED_VALUE"""),0.0)</f>
        <v>0</v>
      </c>
      <c r="E324" s="33">
        <f>IFERROR(__xludf.DUMMYFUNCTION("""COMPUTED_VALUE"""),0.0)</f>
        <v>0</v>
      </c>
      <c r="F324" s="33">
        <f>IFERROR(__xludf.DUMMYFUNCTION("""COMPUTED_VALUE"""),0.0)</f>
        <v>0</v>
      </c>
      <c r="G324" s="33">
        <f>IFERROR(__xludf.DUMMYFUNCTION("""COMPUTED_VALUE"""),0.0)</f>
        <v>0</v>
      </c>
      <c r="H324" s="33">
        <f>IFERROR(__xludf.DUMMYFUNCTION("""COMPUTED_VALUE"""),0.0)</f>
        <v>0</v>
      </c>
      <c r="I324" s="33">
        <f>IFERROR(__xludf.DUMMYFUNCTION("""COMPUTED_VALUE"""),0.0)</f>
        <v>0</v>
      </c>
      <c r="J324" s="33">
        <f>IFERROR(__xludf.DUMMYFUNCTION("""COMPUTED_VALUE"""),0.0)</f>
        <v>0</v>
      </c>
      <c r="K324" s="33">
        <f>IFERROR(__xludf.DUMMYFUNCTION("""COMPUTED_VALUE"""),0.0)</f>
        <v>0</v>
      </c>
      <c r="L324" s="33">
        <f>IFERROR(__xludf.DUMMYFUNCTION("""COMPUTED_VALUE"""),0.0)</f>
        <v>0</v>
      </c>
      <c r="M324" s="33">
        <f>IFERROR(__xludf.DUMMYFUNCTION("""COMPUTED_VALUE"""),0.0)</f>
        <v>0</v>
      </c>
      <c r="N324" s="33">
        <f>IFERROR(__xludf.DUMMYFUNCTION("""COMPUTED_VALUE"""),6.0)</f>
        <v>6</v>
      </c>
      <c r="O324" s="33">
        <f>IFERROR(__xludf.DUMMYFUNCTION("""COMPUTED_VALUE"""),5.0)</f>
        <v>5</v>
      </c>
      <c r="P324" s="33">
        <f>IFERROR(__xludf.DUMMYFUNCTION("""COMPUTED_VALUE"""),6.0)</f>
        <v>6</v>
      </c>
      <c r="Q324" s="33">
        <f>IFERROR(__xludf.DUMMYFUNCTION("""COMPUTED_VALUE"""),0.0)</f>
        <v>0</v>
      </c>
      <c r="R324" s="33">
        <f>IFERROR(__xludf.DUMMYFUNCTION("""COMPUTED_VALUE"""),0.0)</f>
        <v>0</v>
      </c>
      <c r="S324" s="33">
        <f>IFERROR(__xludf.DUMMYFUNCTION("""COMPUTED_VALUE"""),0.0)</f>
        <v>0</v>
      </c>
      <c r="T324" s="33">
        <f>IFERROR(__xludf.DUMMYFUNCTION("""COMPUTED_VALUE"""),0.0)</f>
        <v>0</v>
      </c>
      <c r="U324" s="33">
        <f>IFERROR(__xludf.DUMMYFUNCTION("""COMPUTED_VALUE"""),0.0)</f>
        <v>0</v>
      </c>
      <c r="V324" s="33">
        <f>IFERROR(__xludf.DUMMYFUNCTION("""COMPUTED_VALUE"""),0.0)</f>
        <v>0</v>
      </c>
      <c r="W324" s="33">
        <f>IFERROR(__xludf.DUMMYFUNCTION("""COMPUTED_VALUE"""),0.0)</f>
        <v>0</v>
      </c>
      <c r="X324" s="33">
        <f>IFERROR(__xludf.DUMMYFUNCTION("""COMPUTED_VALUE"""),0.0)</f>
        <v>0</v>
      </c>
      <c r="Y324" s="33">
        <f>IFERROR(__xludf.DUMMYFUNCTION("""COMPUTED_VALUE"""),0.0)</f>
        <v>0</v>
      </c>
      <c r="Z324" s="33">
        <f>IFERROR(__xludf.DUMMYFUNCTION("""COMPUTED_VALUE"""),0.0)</f>
        <v>0</v>
      </c>
      <c r="AA324" s="33">
        <f>IFERROR(__xludf.DUMMYFUNCTION("""COMPUTED_VALUE"""),0.0)</f>
        <v>0</v>
      </c>
      <c r="AB324" s="33">
        <f>IFERROR(__xludf.DUMMYFUNCTION("""COMPUTED_VALUE"""),0.0)</f>
        <v>0</v>
      </c>
      <c r="AC324" s="33">
        <f>IFERROR(__xludf.DUMMYFUNCTION("""COMPUTED_VALUE"""),0.262777777777777)</f>
        <v>0.2627777778</v>
      </c>
      <c r="AD324" s="33">
        <f>IFERROR(__xludf.DUMMYFUNCTION("""COMPUTED_VALUE"""),0.974722222222222)</f>
        <v>0.9747222222</v>
      </c>
      <c r="AE324" s="33">
        <f>IFERROR(__xludf.DUMMYFUNCTION("""COMPUTED_VALUE"""),1.58305555555555)</f>
        <v>1.583055556</v>
      </c>
      <c r="AF324" s="33">
        <f>IFERROR(__xludf.DUMMYFUNCTION("""COMPUTED_VALUE"""),0.0)</f>
        <v>0</v>
      </c>
    </row>
    <row r="325">
      <c r="A325" s="49">
        <f>IFERROR(__xludf.DUMMYFUNCTION("""COMPUTED_VALUE"""),46069.0)</f>
        <v>46069</v>
      </c>
      <c r="B325" s="33" t="str">
        <f>IFERROR(__xludf.DUMMYFUNCTION("""COMPUTED_VALUE"""),"e493cee863483a057af12de782cd20043a19ed05")</f>
        <v>e493cee863483a057af12de782cd20043a19ed05</v>
      </c>
      <c r="C325" s="33" t="str">
        <f>IFERROR(__xludf.DUMMYFUNCTION("""COMPUTED_VALUE"""),"Malang")</f>
        <v>Malang</v>
      </c>
      <c r="D325" s="33">
        <f>IFERROR(__xludf.DUMMYFUNCTION("""COMPUTED_VALUE"""),8.0)</f>
        <v>8</v>
      </c>
      <c r="E325" s="33">
        <f>IFERROR(__xludf.DUMMYFUNCTION("""COMPUTED_VALUE"""),15.0)</f>
        <v>15</v>
      </c>
      <c r="F325" s="33">
        <f>IFERROR(__xludf.DUMMYFUNCTION("""COMPUTED_VALUE"""),11.0)</f>
        <v>11</v>
      </c>
      <c r="G325" s="33">
        <f>IFERROR(__xludf.DUMMYFUNCTION("""COMPUTED_VALUE"""),0.0)</f>
        <v>0</v>
      </c>
      <c r="H325" s="33">
        <f>IFERROR(__xludf.DUMMYFUNCTION("""COMPUTED_VALUE"""),18.0)</f>
        <v>18</v>
      </c>
      <c r="I325" s="33">
        <f>IFERROR(__xludf.DUMMYFUNCTION("""COMPUTED_VALUE"""),10.0)</f>
        <v>10</v>
      </c>
      <c r="J325" s="33">
        <f>IFERROR(__xludf.DUMMYFUNCTION("""COMPUTED_VALUE"""),18.0)</f>
        <v>18</v>
      </c>
      <c r="K325" s="33">
        <f>IFERROR(__xludf.DUMMYFUNCTION("""COMPUTED_VALUE"""),4.0)</f>
        <v>4</v>
      </c>
      <c r="L325" s="33">
        <f>IFERROR(__xludf.DUMMYFUNCTION("""COMPUTED_VALUE"""),2.0)</f>
        <v>2</v>
      </c>
      <c r="M325" s="33">
        <f>IFERROR(__xludf.DUMMYFUNCTION("""COMPUTED_VALUE"""),18.0)</f>
        <v>18</v>
      </c>
      <c r="N325" s="33">
        <f>IFERROR(__xludf.DUMMYFUNCTION("""COMPUTED_VALUE"""),18.0)</f>
        <v>18</v>
      </c>
      <c r="O325" s="33">
        <f>IFERROR(__xludf.DUMMYFUNCTION("""COMPUTED_VALUE"""),7.0)</f>
        <v>7</v>
      </c>
      <c r="P325" s="33">
        <f>IFERROR(__xludf.DUMMYFUNCTION("""COMPUTED_VALUE"""),18.0)</f>
        <v>18</v>
      </c>
      <c r="Q325" s="33">
        <f>IFERROR(__xludf.DUMMYFUNCTION("""COMPUTED_VALUE"""),0.0)</f>
        <v>0</v>
      </c>
      <c r="R325" s="33">
        <f>IFERROR(__xludf.DUMMYFUNCTION("""COMPUTED_VALUE"""),16194.0)</f>
        <v>16194</v>
      </c>
      <c r="S325" s="33">
        <f>IFERROR(__xludf.DUMMYFUNCTION("""COMPUTED_VALUE"""),33145.0)</f>
        <v>33145</v>
      </c>
      <c r="T325" s="33">
        <f>IFERROR(__xludf.DUMMYFUNCTION("""COMPUTED_VALUE"""),3.37166666666666)</f>
        <v>3.371666667</v>
      </c>
      <c r="U325" s="33">
        <f>IFERROR(__xludf.DUMMYFUNCTION("""COMPUTED_VALUE"""),2.19472222222222)</f>
        <v>2.194722222</v>
      </c>
      <c r="V325" s="33">
        <f>IFERROR(__xludf.DUMMYFUNCTION("""COMPUTED_VALUE"""),0.0)</f>
        <v>0</v>
      </c>
      <c r="W325" s="33">
        <f>IFERROR(__xludf.DUMMYFUNCTION("""COMPUTED_VALUE"""),3.56666666666666)</f>
        <v>3.566666667</v>
      </c>
      <c r="X325" s="33">
        <f>IFERROR(__xludf.DUMMYFUNCTION("""COMPUTED_VALUE"""),1.95499999999999)</f>
        <v>1.955</v>
      </c>
      <c r="Y325" s="33">
        <f>IFERROR(__xludf.DUMMYFUNCTION("""COMPUTED_VALUE"""),3.56694444444444)</f>
        <v>3.566944444</v>
      </c>
      <c r="Z325" s="33">
        <f>IFERROR(__xludf.DUMMYFUNCTION("""COMPUTED_VALUE"""),0.783888888888888)</f>
        <v>0.7838888889</v>
      </c>
      <c r="AA325" s="33">
        <f>IFERROR(__xludf.DUMMYFUNCTION("""COMPUTED_VALUE"""),0.387777777777777)</f>
        <v>0.3877777778</v>
      </c>
      <c r="AB325" s="33">
        <f>IFERROR(__xludf.DUMMYFUNCTION("""COMPUTED_VALUE"""),3.56694444444444)</f>
        <v>3.566944444</v>
      </c>
      <c r="AC325" s="33">
        <f>IFERROR(__xludf.DUMMYFUNCTION("""COMPUTED_VALUE"""),3.56694444444444)</f>
        <v>3.566944444</v>
      </c>
      <c r="AD325" s="33">
        <f>IFERROR(__xludf.DUMMYFUNCTION("""COMPUTED_VALUE"""),1.38055555555555)</f>
        <v>1.380555556</v>
      </c>
      <c r="AE325" s="33">
        <f>IFERROR(__xludf.DUMMYFUNCTION("""COMPUTED_VALUE"""),3.56694444444444)</f>
        <v>3.566944444</v>
      </c>
      <c r="AF325" s="33">
        <f>IFERROR(__xludf.DUMMYFUNCTION("""COMPUTED_VALUE"""),17.0)</f>
        <v>17</v>
      </c>
    </row>
    <row r="326">
      <c r="A326" s="49">
        <f>IFERROR(__xludf.DUMMYFUNCTION("""COMPUTED_VALUE"""),46069.0)</f>
        <v>46069</v>
      </c>
      <c r="B326" s="33" t="str">
        <f>IFERROR(__xludf.DUMMYFUNCTION("""COMPUTED_VALUE"""),"f43f4253dc3c596ff8f2e3cc9f3b677981a70310")</f>
        <v>f43f4253dc3c596ff8f2e3cc9f3b677981a70310</v>
      </c>
      <c r="C326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26" s="33">
        <f>IFERROR(__xludf.DUMMYFUNCTION("""COMPUTED_VALUE"""),11.0)</f>
        <v>11</v>
      </c>
      <c r="E326" s="33">
        <f>IFERROR(__xludf.DUMMYFUNCTION("""COMPUTED_VALUE"""),34.0)</f>
        <v>34</v>
      </c>
      <c r="F326" s="33">
        <f>IFERROR(__xludf.DUMMYFUNCTION("""COMPUTED_VALUE"""),0.0)</f>
        <v>0</v>
      </c>
      <c r="G326" s="33">
        <f>IFERROR(__xludf.DUMMYFUNCTION("""COMPUTED_VALUE"""),0.0)</f>
        <v>0</v>
      </c>
      <c r="H326" s="33">
        <f>IFERROR(__xludf.DUMMYFUNCTION("""COMPUTED_VALUE"""),0.0)</f>
        <v>0</v>
      </c>
      <c r="I326" s="33">
        <f>IFERROR(__xludf.DUMMYFUNCTION("""COMPUTED_VALUE"""),0.0)</f>
        <v>0</v>
      </c>
      <c r="J326" s="33">
        <f>IFERROR(__xludf.DUMMYFUNCTION("""COMPUTED_VALUE"""),0.0)</f>
        <v>0</v>
      </c>
      <c r="K326" s="33">
        <f>IFERROR(__xludf.DUMMYFUNCTION("""COMPUTED_VALUE"""),0.0)</f>
        <v>0</v>
      </c>
      <c r="L326" s="33">
        <f>IFERROR(__xludf.DUMMYFUNCTION("""COMPUTED_VALUE"""),0.0)</f>
        <v>0</v>
      </c>
      <c r="M326" s="33">
        <f>IFERROR(__xludf.DUMMYFUNCTION("""COMPUTED_VALUE"""),0.0)</f>
        <v>0</v>
      </c>
      <c r="N326" s="33">
        <f>IFERROR(__xludf.DUMMYFUNCTION("""COMPUTED_VALUE"""),3.0)</f>
        <v>3</v>
      </c>
      <c r="O326" s="33">
        <f>IFERROR(__xludf.DUMMYFUNCTION("""COMPUTED_VALUE"""),5.0)</f>
        <v>5</v>
      </c>
      <c r="P326" s="33">
        <f>IFERROR(__xludf.DUMMYFUNCTION("""COMPUTED_VALUE"""),5.0)</f>
        <v>5</v>
      </c>
      <c r="Q326" s="33">
        <f>IFERROR(__xludf.DUMMYFUNCTION("""COMPUTED_VALUE"""),0.0)</f>
        <v>0</v>
      </c>
      <c r="R326" s="33">
        <f>IFERROR(__xludf.DUMMYFUNCTION("""COMPUTED_VALUE"""),28732.0)</f>
        <v>28732</v>
      </c>
      <c r="S326" s="33">
        <f>IFERROR(__xludf.DUMMYFUNCTION("""COMPUTED_VALUE"""),87583.0)</f>
        <v>87583</v>
      </c>
      <c r="T326" s="33">
        <f>IFERROR(__xludf.DUMMYFUNCTION("""COMPUTED_VALUE"""),0.0)</f>
        <v>0</v>
      </c>
      <c r="U326" s="33">
        <f>IFERROR(__xludf.DUMMYFUNCTION("""COMPUTED_VALUE"""),0.0)</f>
        <v>0</v>
      </c>
      <c r="V326" s="33">
        <f>IFERROR(__xludf.DUMMYFUNCTION("""COMPUTED_VALUE"""),0.0)</f>
        <v>0</v>
      </c>
      <c r="W326" s="33">
        <f>IFERROR(__xludf.DUMMYFUNCTION("""COMPUTED_VALUE"""),0.0)</f>
        <v>0</v>
      </c>
      <c r="X326" s="33">
        <f>IFERROR(__xludf.DUMMYFUNCTION("""COMPUTED_VALUE"""),0.0)</f>
        <v>0</v>
      </c>
      <c r="Y326" s="33">
        <f>IFERROR(__xludf.DUMMYFUNCTION("""COMPUTED_VALUE"""),0.0)</f>
        <v>0</v>
      </c>
      <c r="Z326" s="33">
        <f>IFERROR(__xludf.DUMMYFUNCTION("""COMPUTED_VALUE"""),0.0)</f>
        <v>0</v>
      </c>
      <c r="AA326" s="33">
        <f>IFERROR(__xludf.DUMMYFUNCTION("""COMPUTED_VALUE"""),0.0)</f>
        <v>0</v>
      </c>
      <c r="AB326" s="33">
        <f>IFERROR(__xludf.DUMMYFUNCTION("""COMPUTED_VALUE"""),0.0)</f>
        <v>0</v>
      </c>
      <c r="AC326" s="33">
        <f>IFERROR(__xludf.DUMMYFUNCTION("""COMPUTED_VALUE"""),0.732777777777777)</f>
        <v>0.7327777778</v>
      </c>
      <c r="AD326" s="33">
        <f>IFERROR(__xludf.DUMMYFUNCTION("""COMPUTED_VALUE"""),1.30694444444444)</f>
        <v>1.306944444</v>
      </c>
      <c r="AE326" s="33">
        <f>IFERROR(__xludf.DUMMYFUNCTION("""COMPUTED_VALUE"""),1.16666666666666)</f>
        <v>1.166666667</v>
      </c>
      <c r="AF326" s="33">
        <f>IFERROR(__xludf.DUMMYFUNCTION("""COMPUTED_VALUE"""),0.0)</f>
        <v>0</v>
      </c>
    </row>
    <row r="327">
      <c r="A327" s="49">
        <f>IFERROR(__xludf.DUMMYFUNCTION("""COMPUTED_VALUE"""),46062.0)</f>
        <v>46062</v>
      </c>
      <c r="B327" s="33" t="str">
        <f>IFERROR(__xludf.DUMMYFUNCTION("""COMPUTED_VALUE"""),"017fddbaa7617afdd8289be5c433df09dcde1da2")</f>
        <v>017fddbaa7617afdd8289be5c433df09dcde1da2</v>
      </c>
      <c r="C327" s="33" t="str">
        <f>IFERROR(__xludf.DUMMYFUNCTION("""COMPUTED_VALUE"""),"His Secret Fortune - Production Show_id")</f>
        <v>His Secret Fortune - Production Show_id</v>
      </c>
      <c r="D327" s="33">
        <f>IFERROR(__xludf.DUMMYFUNCTION("""COMPUTED_VALUE"""),15.0)</f>
        <v>15</v>
      </c>
      <c r="E327" s="33">
        <f>IFERROR(__xludf.DUMMYFUNCTION("""COMPUTED_VALUE"""),6.0)</f>
        <v>6</v>
      </c>
      <c r="F327" s="33">
        <f>IFERROR(__xludf.DUMMYFUNCTION("""COMPUTED_VALUE"""),1.0)</f>
        <v>1</v>
      </c>
      <c r="G327" s="33">
        <f>IFERROR(__xludf.DUMMYFUNCTION("""COMPUTED_VALUE"""),0.0)</f>
        <v>0</v>
      </c>
      <c r="H327" s="33">
        <f>IFERROR(__xludf.DUMMYFUNCTION("""COMPUTED_VALUE"""),2.0)</f>
        <v>2</v>
      </c>
      <c r="I327" s="33">
        <f>IFERROR(__xludf.DUMMYFUNCTION("""COMPUTED_VALUE"""),2.0)</f>
        <v>2</v>
      </c>
      <c r="J327" s="33">
        <f>IFERROR(__xludf.DUMMYFUNCTION("""COMPUTED_VALUE"""),3.0)</f>
        <v>3</v>
      </c>
      <c r="K327" s="33">
        <f>IFERROR(__xludf.DUMMYFUNCTION("""COMPUTED_VALUE"""),3.0)</f>
        <v>3</v>
      </c>
      <c r="L327" s="33">
        <f>IFERROR(__xludf.DUMMYFUNCTION("""COMPUTED_VALUE"""),2.0)</f>
        <v>2</v>
      </c>
      <c r="M327" s="33">
        <f>IFERROR(__xludf.DUMMYFUNCTION("""COMPUTED_VALUE"""),2.0)</f>
        <v>2</v>
      </c>
      <c r="N327" s="33">
        <f>IFERROR(__xludf.DUMMYFUNCTION("""COMPUTED_VALUE"""),0.0)</f>
        <v>0</v>
      </c>
      <c r="O327" s="33">
        <f>IFERROR(__xludf.DUMMYFUNCTION("""COMPUTED_VALUE"""),0.0)</f>
        <v>0</v>
      </c>
      <c r="P327" s="33">
        <f>IFERROR(__xludf.DUMMYFUNCTION("""COMPUTED_VALUE"""),0.0)</f>
        <v>0</v>
      </c>
      <c r="Q327" s="33">
        <f>IFERROR(__xludf.DUMMYFUNCTION("""COMPUTED_VALUE"""),0.0)</f>
        <v>0</v>
      </c>
      <c r="R327" s="33">
        <f>IFERROR(__xludf.DUMMYFUNCTION("""COMPUTED_VALUE"""),32594.0)</f>
        <v>32594</v>
      </c>
      <c r="S327" s="33">
        <f>IFERROR(__xludf.DUMMYFUNCTION("""COMPUTED_VALUE"""),13218.0)</f>
        <v>13218</v>
      </c>
      <c r="T327" s="33">
        <f>IFERROR(__xludf.DUMMYFUNCTION("""COMPUTED_VALUE"""),0.565)</f>
        <v>0.565</v>
      </c>
      <c r="U327" s="33">
        <f>IFERROR(__xludf.DUMMYFUNCTION("""COMPUTED_VALUE"""),0.167222222222222)</f>
        <v>0.1672222222</v>
      </c>
      <c r="V327" s="33">
        <f>IFERROR(__xludf.DUMMYFUNCTION("""COMPUTED_VALUE"""),0.0)</f>
        <v>0</v>
      </c>
      <c r="W327" s="33">
        <f>IFERROR(__xludf.DUMMYFUNCTION("""COMPUTED_VALUE"""),0.397777777777777)</f>
        <v>0.3977777778</v>
      </c>
      <c r="X327" s="33">
        <f>IFERROR(__xludf.DUMMYFUNCTION("""COMPUTED_VALUE"""),0.397777777777777)</f>
        <v>0.3977777778</v>
      </c>
      <c r="Y327" s="33">
        <f>IFERROR(__xludf.DUMMYFUNCTION("""COMPUTED_VALUE"""),0.666666666666666)</f>
        <v>0.6666666667</v>
      </c>
      <c r="Z327" s="33">
        <f>IFERROR(__xludf.DUMMYFUNCTION("""COMPUTED_VALUE"""),0.666666666666666)</f>
        <v>0.6666666667</v>
      </c>
      <c r="AA327" s="33">
        <f>IFERROR(__xludf.DUMMYFUNCTION("""COMPUTED_VALUE"""),0.471944444444444)</f>
        <v>0.4719444444</v>
      </c>
      <c r="AB327" s="33">
        <f>IFERROR(__xludf.DUMMYFUNCTION("""COMPUTED_VALUE"""),0.471944444444444)</f>
        <v>0.4719444444</v>
      </c>
      <c r="AC327" s="33">
        <f>IFERROR(__xludf.DUMMYFUNCTION("""COMPUTED_VALUE"""),0.0)</f>
        <v>0</v>
      </c>
      <c r="AD327" s="33">
        <f>IFERROR(__xludf.DUMMYFUNCTION("""COMPUTED_VALUE"""),0.0)</f>
        <v>0</v>
      </c>
      <c r="AE327" s="33">
        <f>IFERROR(__xludf.DUMMYFUNCTION("""COMPUTED_VALUE"""),0.0)</f>
        <v>0</v>
      </c>
      <c r="AF327" s="33">
        <f>IFERROR(__xludf.DUMMYFUNCTION("""COMPUTED_VALUE"""),3.0)</f>
        <v>3</v>
      </c>
    </row>
    <row r="328">
      <c r="A328" s="49">
        <f>IFERROR(__xludf.DUMMYFUNCTION("""COMPUTED_VALUE"""),46062.0)</f>
        <v>46062</v>
      </c>
      <c r="B328" s="33" t="str">
        <f>IFERROR(__xludf.DUMMYFUNCTION("""COMPUTED_VALUE"""),"2549f1505a3739b3e90a0b63921ad55271440d40")</f>
        <v>2549f1505a3739b3e90a0b63921ad55271440d40</v>
      </c>
      <c r="C328" s="33" t="str">
        <f>IFERROR(__xludf.DUMMYFUNCTION("""COMPUTED_VALUE"""),"Reborn in Martial World ")</f>
        <v>Reborn in Martial World </v>
      </c>
      <c r="D328" s="33">
        <f>IFERROR(__xludf.DUMMYFUNCTION("""COMPUTED_VALUE"""),27.0)</f>
        <v>27</v>
      </c>
      <c r="E328" s="33">
        <f>IFERROR(__xludf.DUMMYFUNCTION("""COMPUTED_VALUE"""),26.0)</f>
        <v>26</v>
      </c>
      <c r="F328" s="33">
        <f>IFERROR(__xludf.DUMMYFUNCTION("""COMPUTED_VALUE"""),0.0)</f>
        <v>0</v>
      </c>
      <c r="G328" s="33">
        <f>IFERROR(__xludf.DUMMYFUNCTION("""COMPUTED_VALUE"""),0.0)</f>
        <v>0</v>
      </c>
      <c r="H328" s="33">
        <f>IFERROR(__xludf.DUMMYFUNCTION("""COMPUTED_VALUE"""),0.0)</f>
        <v>0</v>
      </c>
      <c r="I328" s="33">
        <f>IFERROR(__xludf.DUMMYFUNCTION("""COMPUTED_VALUE"""),0.0)</f>
        <v>0</v>
      </c>
      <c r="J328" s="33">
        <f>IFERROR(__xludf.DUMMYFUNCTION("""COMPUTED_VALUE"""),0.0)</f>
        <v>0</v>
      </c>
      <c r="K328" s="33">
        <f>IFERROR(__xludf.DUMMYFUNCTION("""COMPUTED_VALUE"""),0.0)</f>
        <v>0</v>
      </c>
      <c r="L328" s="33">
        <f>IFERROR(__xludf.DUMMYFUNCTION("""COMPUTED_VALUE"""),0.0)</f>
        <v>0</v>
      </c>
      <c r="M328" s="33">
        <f>IFERROR(__xludf.DUMMYFUNCTION("""COMPUTED_VALUE"""),27.0)</f>
        <v>27</v>
      </c>
      <c r="N328" s="33">
        <f>IFERROR(__xludf.DUMMYFUNCTION("""COMPUTED_VALUE"""),26.0)</f>
        <v>26</v>
      </c>
      <c r="O328" s="33">
        <f>IFERROR(__xludf.DUMMYFUNCTION("""COMPUTED_VALUE"""),5.0)</f>
        <v>5</v>
      </c>
      <c r="P328" s="33">
        <f>IFERROR(__xludf.DUMMYFUNCTION("""COMPUTED_VALUE"""),26.0)</f>
        <v>26</v>
      </c>
      <c r="Q328" s="33">
        <f>IFERROR(__xludf.DUMMYFUNCTION("""COMPUTED_VALUE"""),0.0)</f>
        <v>0</v>
      </c>
      <c r="R328" s="33">
        <f>IFERROR(__xludf.DUMMYFUNCTION("""COMPUTED_VALUE"""),64693.0)</f>
        <v>64693</v>
      </c>
      <c r="S328" s="33">
        <f>IFERROR(__xludf.DUMMYFUNCTION("""COMPUTED_VALUE"""),66032.0)</f>
        <v>66032</v>
      </c>
      <c r="T328" s="33">
        <f>IFERROR(__xludf.DUMMYFUNCTION("""COMPUTED_VALUE"""),0.0)</f>
        <v>0</v>
      </c>
      <c r="U328" s="33">
        <f>IFERROR(__xludf.DUMMYFUNCTION("""COMPUTED_VALUE"""),0.0)</f>
        <v>0</v>
      </c>
      <c r="V328" s="33">
        <f>IFERROR(__xludf.DUMMYFUNCTION("""COMPUTED_VALUE"""),0.0)</f>
        <v>0</v>
      </c>
      <c r="W328" s="33">
        <f>IFERROR(__xludf.DUMMYFUNCTION("""COMPUTED_VALUE"""),0.0)</f>
        <v>0</v>
      </c>
      <c r="X328" s="33">
        <f>IFERROR(__xludf.DUMMYFUNCTION("""COMPUTED_VALUE"""),0.0)</f>
        <v>0</v>
      </c>
      <c r="Y328" s="33">
        <f>IFERROR(__xludf.DUMMYFUNCTION("""COMPUTED_VALUE"""),0.0)</f>
        <v>0</v>
      </c>
      <c r="Z328" s="33">
        <f>IFERROR(__xludf.DUMMYFUNCTION("""COMPUTED_VALUE"""),0.0)</f>
        <v>0</v>
      </c>
      <c r="AA328" s="33">
        <f>IFERROR(__xludf.DUMMYFUNCTION("""COMPUTED_VALUE"""),0.0)</f>
        <v>0</v>
      </c>
      <c r="AB328" s="33">
        <f>IFERROR(__xludf.DUMMYFUNCTION("""COMPUTED_VALUE"""),7.22583333333333)</f>
        <v>7.225833333</v>
      </c>
      <c r="AC328" s="33">
        <f>IFERROR(__xludf.DUMMYFUNCTION("""COMPUTED_VALUE"""),6.9075)</f>
        <v>6.9075</v>
      </c>
      <c r="AD328" s="33">
        <f>IFERROR(__xludf.DUMMYFUNCTION("""COMPUTED_VALUE"""),0.944166666666666)</f>
        <v>0.9441666667</v>
      </c>
      <c r="AE328" s="33">
        <f>IFERROR(__xludf.DUMMYFUNCTION("""COMPUTED_VALUE"""),6.9075)</f>
        <v>6.9075</v>
      </c>
      <c r="AF328" s="33">
        <f>IFERROR(__xludf.DUMMYFUNCTION("""COMPUTED_VALUE"""),0.0)</f>
        <v>0</v>
      </c>
    </row>
    <row r="329">
      <c r="A329" s="49">
        <f>IFERROR(__xludf.DUMMYFUNCTION("""COMPUTED_VALUE"""),46062.0)</f>
        <v>46062</v>
      </c>
      <c r="B329" s="33" t="str">
        <f>IFERROR(__xludf.DUMMYFUNCTION("""COMPUTED_VALUE"""),"37e68193f879e91ec362f75f4b46511110658e2b")</f>
        <v>37e68193f879e91ec362f75f4b46511110658e2b</v>
      </c>
      <c r="C329" s="33" t="str">
        <f>IFERROR(__xludf.DUMMYFUNCTION("""COMPUTED_VALUE"""),"Shiva : Ek Pretyodha")</f>
        <v>Shiva : Ek Pretyodha</v>
      </c>
      <c r="D329" s="33">
        <f>IFERROR(__xludf.DUMMYFUNCTION("""COMPUTED_VALUE"""),0.0)</f>
        <v>0</v>
      </c>
      <c r="E329" s="33">
        <f>IFERROR(__xludf.DUMMYFUNCTION("""COMPUTED_VALUE"""),0.0)</f>
        <v>0</v>
      </c>
      <c r="F329" s="33">
        <f>IFERROR(__xludf.DUMMYFUNCTION("""COMPUTED_VALUE"""),0.0)</f>
        <v>0</v>
      </c>
      <c r="G329" s="33">
        <f>IFERROR(__xludf.DUMMYFUNCTION("""COMPUTED_VALUE"""),0.0)</f>
        <v>0</v>
      </c>
      <c r="H329" s="33">
        <f>IFERROR(__xludf.DUMMYFUNCTION("""COMPUTED_VALUE"""),0.0)</f>
        <v>0</v>
      </c>
      <c r="I329" s="33">
        <f>IFERROR(__xludf.DUMMYFUNCTION("""COMPUTED_VALUE"""),0.0)</f>
        <v>0</v>
      </c>
      <c r="J329" s="33">
        <f>IFERROR(__xludf.DUMMYFUNCTION("""COMPUTED_VALUE"""),0.0)</f>
        <v>0</v>
      </c>
      <c r="K329" s="33">
        <f>IFERROR(__xludf.DUMMYFUNCTION("""COMPUTED_VALUE"""),0.0)</f>
        <v>0</v>
      </c>
      <c r="L329" s="33">
        <f>IFERROR(__xludf.DUMMYFUNCTION("""COMPUTED_VALUE"""),0.0)</f>
        <v>0</v>
      </c>
      <c r="M329" s="33">
        <f>IFERROR(__xludf.DUMMYFUNCTION("""COMPUTED_VALUE"""),0.0)</f>
        <v>0</v>
      </c>
      <c r="N329" s="33">
        <f>IFERROR(__xludf.DUMMYFUNCTION("""COMPUTED_VALUE"""),74.0)</f>
        <v>74</v>
      </c>
      <c r="O329" s="33">
        <f>IFERROR(__xludf.DUMMYFUNCTION("""COMPUTED_VALUE"""),16.0)</f>
        <v>16</v>
      </c>
      <c r="P329" s="33">
        <f>IFERROR(__xludf.DUMMYFUNCTION("""COMPUTED_VALUE"""),19.0)</f>
        <v>19</v>
      </c>
      <c r="Q329" s="33">
        <f>IFERROR(__xludf.DUMMYFUNCTION("""COMPUTED_VALUE"""),0.0)</f>
        <v>0</v>
      </c>
      <c r="R329" s="33">
        <f>IFERROR(__xludf.DUMMYFUNCTION("""COMPUTED_VALUE"""),0.0)</f>
        <v>0</v>
      </c>
      <c r="S329" s="33">
        <f>IFERROR(__xludf.DUMMYFUNCTION("""COMPUTED_VALUE"""),0.0)</f>
        <v>0</v>
      </c>
      <c r="T329" s="33">
        <f>IFERROR(__xludf.DUMMYFUNCTION("""COMPUTED_VALUE"""),0.0)</f>
        <v>0</v>
      </c>
      <c r="U329" s="33">
        <f>IFERROR(__xludf.DUMMYFUNCTION("""COMPUTED_VALUE"""),0.0)</f>
        <v>0</v>
      </c>
      <c r="V329" s="33">
        <f>IFERROR(__xludf.DUMMYFUNCTION("""COMPUTED_VALUE"""),0.0)</f>
        <v>0</v>
      </c>
      <c r="W329" s="33">
        <f>IFERROR(__xludf.DUMMYFUNCTION("""COMPUTED_VALUE"""),0.0)</f>
        <v>0</v>
      </c>
      <c r="X329" s="33">
        <f>IFERROR(__xludf.DUMMYFUNCTION("""COMPUTED_VALUE"""),0.0)</f>
        <v>0</v>
      </c>
      <c r="Y329" s="33">
        <f>IFERROR(__xludf.DUMMYFUNCTION("""COMPUTED_VALUE"""),0.0)</f>
        <v>0</v>
      </c>
      <c r="Z329" s="33">
        <f>IFERROR(__xludf.DUMMYFUNCTION("""COMPUTED_VALUE"""),0.0)</f>
        <v>0</v>
      </c>
      <c r="AA329" s="33">
        <f>IFERROR(__xludf.DUMMYFUNCTION("""COMPUTED_VALUE"""),0.0)</f>
        <v>0</v>
      </c>
      <c r="AB329" s="33">
        <f>IFERROR(__xludf.DUMMYFUNCTION("""COMPUTED_VALUE"""),0.0)</f>
        <v>0</v>
      </c>
      <c r="AC329" s="33">
        <f>IFERROR(__xludf.DUMMYFUNCTION("""COMPUTED_VALUE"""),18.9508333333333)</f>
        <v>18.95083333</v>
      </c>
      <c r="AD329" s="33">
        <f>IFERROR(__xludf.DUMMYFUNCTION("""COMPUTED_VALUE"""),1.86861111111111)</f>
        <v>1.868611111</v>
      </c>
      <c r="AE329" s="33">
        <f>IFERROR(__xludf.DUMMYFUNCTION("""COMPUTED_VALUE"""),2.22444444444444)</f>
        <v>2.224444444</v>
      </c>
      <c r="AF329" s="33">
        <f>IFERROR(__xludf.DUMMYFUNCTION("""COMPUTED_VALUE"""),0.0)</f>
        <v>0</v>
      </c>
    </row>
    <row r="330">
      <c r="A330" s="49">
        <f>IFERROR(__xludf.DUMMYFUNCTION("""COMPUTED_VALUE"""),46062.0)</f>
        <v>46062</v>
      </c>
      <c r="B330" s="33" t="str">
        <f>IFERROR(__xludf.DUMMYFUNCTION("""COMPUTED_VALUE"""),"394d109f7b50d9a46fb591dbaaba2d0aac90a696")</f>
        <v>394d109f7b50d9a46fb591dbaaba2d0aac90a696</v>
      </c>
      <c r="C330" s="33" t="str">
        <f>IFERROR(__xludf.DUMMYFUNCTION("""COMPUTED_VALUE"""),"Empire of Hidden King (SRGJ) - Production Show_id")</f>
        <v>Empire of Hidden King (SRGJ) - Production Show_id</v>
      </c>
      <c r="D330" s="33">
        <f>IFERROR(__xludf.DUMMYFUNCTION("""COMPUTED_VALUE"""),4.0)</f>
        <v>4</v>
      </c>
      <c r="E330" s="33">
        <f>IFERROR(__xludf.DUMMYFUNCTION("""COMPUTED_VALUE"""),18.0)</f>
        <v>18</v>
      </c>
      <c r="F330" s="33">
        <f>IFERROR(__xludf.DUMMYFUNCTION("""COMPUTED_VALUE"""),8.0)</f>
        <v>8</v>
      </c>
      <c r="G330" s="33">
        <f>IFERROR(__xludf.DUMMYFUNCTION("""COMPUTED_VALUE"""),9.0)</f>
        <v>9</v>
      </c>
      <c r="H330" s="33">
        <f>IFERROR(__xludf.DUMMYFUNCTION("""COMPUTED_VALUE"""),12.0)</f>
        <v>12</v>
      </c>
      <c r="I330" s="33">
        <f>IFERROR(__xludf.DUMMYFUNCTION("""COMPUTED_VALUE"""),3.0)</f>
        <v>3</v>
      </c>
      <c r="J330" s="33">
        <f>IFERROR(__xludf.DUMMYFUNCTION("""COMPUTED_VALUE"""),13.0)</f>
        <v>13</v>
      </c>
      <c r="K330" s="33">
        <f>IFERROR(__xludf.DUMMYFUNCTION("""COMPUTED_VALUE"""),4.0)</f>
        <v>4</v>
      </c>
      <c r="L330" s="33">
        <f>IFERROR(__xludf.DUMMYFUNCTION("""COMPUTED_VALUE"""),2.0)</f>
        <v>2</v>
      </c>
      <c r="M330" s="33">
        <f>IFERROR(__xludf.DUMMYFUNCTION("""COMPUTED_VALUE"""),13.0)</f>
        <v>13</v>
      </c>
      <c r="N330" s="33">
        <f>IFERROR(__xludf.DUMMYFUNCTION("""COMPUTED_VALUE"""),12.0)</f>
        <v>12</v>
      </c>
      <c r="O330" s="33">
        <f>IFERROR(__xludf.DUMMYFUNCTION("""COMPUTED_VALUE"""),6.0)</f>
        <v>6</v>
      </c>
      <c r="P330" s="33">
        <f>IFERROR(__xludf.DUMMYFUNCTION("""COMPUTED_VALUE"""),12.0)</f>
        <v>12</v>
      </c>
      <c r="Q330" s="33">
        <f>IFERROR(__xludf.DUMMYFUNCTION("""COMPUTED_VALUE"""),0.0)</f>
        <v>0</v>
      </c>
      <c r="R330" s="33">
        <f>IFERROR(__xludf.DUMMYFUNCTION("""COMPUTED_VALUE"""),12350.0)</f>
        <v>12350</v>
      </c>
      <c r="S330" s="33">
        <f>IFERROR(__xludf.DUMMYFUNCTION("""COMPUTED_VALUE"""),55984.0)</f>
        <v>55984</v>
      </c>
      <c r="T330" s="33">
        <f>IFERROR(__xludf.DUMMYFUNCTION("""COMPUTED_VALUE"""),3.03305555555555)</f>
        <v>3.033055556</v>
      </c>
      <c r="U330" s="33">
        <f>IFERROR(__xludf.DUMMYFUNCTION("""COMPUTED_VALUE"""),2.21388888888888)</f>
        <v>2.213888889</v>
      </c>
      <c r="V330" s="33">
        <f>IFERROR(__xludf.DUMMYFUNCTION("""COMPUTED_VALUE"""),2.5475)</f>
        <v>2.5475</v>
      </c>
      <c r="W330" s="33">
        <f>IFERROR(__xludf.DUMMYFUNCTION("""COMPUTED_VALUE"""),3.38083333333333)</f>
        <v>3.380833333</v>
      </c>
      <c r="X330" s="33">
        <f>IFERROR(__xludf.DUMMYFUNCTION("""COMPUTED_VALUE"""),0.833333333333333)</f>
        <v>0.8333333333</v>
      </c>
      <c r="Y330" s="33">
        <f>IFERROR(__xludf.DUMMYFUNCTION("""COMPUTED_VALUE"""),3.64305555555555)</f>
        <v>3.643055556</v>
      </c>
      <c r="Z330" s="33">
        <f>IFERROR(__xludf.DUMMYFUNCTION("""COMPUTED_VALUE"""),1.1025)</f>
        <v>1.1025</v>
      </c>
      <c r="AA330" s="33">
        <f>IFERROR(__xludf.DUMMYFUNCTION("""COMPUTED_VALUE"""),0.558333333333333)</f>
        <v>0.5583333333</v>
      </c>
      <c r="AB330" s="33">
        <f>IFERROR(__xludf.DUMMYFUNCTION("""COMPUTED_VALUE"""),3.63999999999999)</f>
        <v>3.64</v>
      </c>
      <c r="AC330" s="33">
        <f>IFERROR(__xludf.DUMMYFUNCTION("""COMPUTED_VALUE"""),3.37527777777777)</f>
        <v>3.375277778</v>
      </c>
      <c r="AD330" s="33">
        <f>IFERROR(__xludf.DUMMYFUNCTION("""COMPUTED_VALUE"""),1.68611111111111)</f>
        <v>1.686111111</v>
      </c>
      <c r="AE330" s="33">
        <f>IFERROR(__xludf.DUMMYFUNCTION("""COMPUTED_VALUE"""),3.37527777777777)</f>
        <v>3.375277778</v>
      </c>
      <c r="AF330" s="33">
        <f>IFERROR(__xludf.DUMMYFUNCTION("""COMPUTED_VALUE"""),11.0)</f>
        <v>11</v>
      </c>
    </row>
    <row r="331">
      <c r="A331" s="49">
        <f>IFERROR(__xludf.DUMMYFUNCTION("""COMPUTED_VALUE"""),46062.0)</f>
        <v>46062</v>
      </c>
      <c r="B331" s="33" t="str">
        <f>IFERROR(__xludf.DUMMYFUNCTION("""COMPUTED_VALUE"""),"5066c0736f9e9444f2b4da840d6860b1f7f47d11")</f>
        <v>5066c0736f9e9444f2b4da840d6860b1f7f47d11</v>
      </c>
      <c r="C331" s="33" t="str">
        <f>IFERROR(__xludf.DUMMYFUNCTION("""COMPUTED_VALUE"""),"The Warrior | Author - Dayaram Prajapati - Replica (For Production Only)")</f>
        <v>The Warrior | Author - Dayaram Prajapati - Replica (For Production Only)</v>
      </c>
      <c r="D331" s="33">
        <f>IFERROR(__xludf.DUMMYFUNCTION("""COMPUTED_VALUE"""),20.0)</f>
        <v>20</v>
      </c>
      <c r="E331" s="33">
        <f>IFERROR(__xludf.DUMMYFUNCTION("""COMPUTED_VALUE"""),18.0)</f>
        <v>18</v>
      </c>
      <c r="F331" s="33">
        <f>IFERROR(__xludf.DUMMYFUNCTION("""COMPUTED_VALUE"""),20.0)</f>
        <v>20</v>
      </c>
      <c r="G331" s="33">
        <f>IFERROR(__xludf.DUMMYFUNCTION("""COMPUTED_VALUE"""),19.0)</f>
        <v>19</v>
      </c>
      <c r="H331" s="33">
        <f>IFERROR(__xludf.DUMMYFUNCTION("""COMPUTED_VALUE"""),20.0)</f>
        <v>20</v>
      </c>
      <c r="I331" s="33">
        <f>IFERROR(__xludf.DUMMYFUNCTION("""COMPUTED_VALUE"""),3.0)</f>
        <v>3</v>
      </c>
      <c r="J331" s="33">
        <f>IFERROR(__xludf.DUMMYFUNCTION("""COMPUTED_VALUE"""),21.0)</f>
        <v>21</v>
      </c>
      <c r="K331" s="33">
        <f>IFERROR(__xludf.DUMMYFUNCTION("""COMPUTED_VALUE"""),3.0)</f>
        <v>3</v>
      </c>
      <c r="L331" s="33">
        <f>IFERROR(__xludf.DUMMYFUNCTION("""COMPUTED_VALUE"""),1.0)</f>
        <v>1</v>
      </c>
      <c r="M331" s="33">
        <f>IFERROR(__xludf.DUMMYFUNCTION("""COMPUTED_VALUE"""),19.0)</f>
        <v>19</v>
      </c>
      <c r="N331" s="33">
        <f>IFERROR(__xludf.DUMMYFUNCTION("""COMPUTED_VALUE"""),19.0)</f>
        <v>19</v>
      </c>
      <c r="O331" s="33">
        <f>IFERROR(__xludf.DUMMYFUNCTION("""COMPUTED_VALUE"""),6.0)</f>
        <v>6</v>
      </c>
      <c r="P331" s="33">
        <f>IFERROR(__xludf.DUMMYFUNCTION("""COMPUTED_VALUE"""),19.0)</f>
        <v>19</v>
      </c>
      <c r="Q331" s="33">
        <f>IFERROR(__xludf.DUMMYFUNCTION("""COMPUTED_VALUE"""),0.0)</f>
        <v>0</v>
      </c>
      <c r="R331" s="33">
        <f>IFERROR(__xludf.DUMMYFUNCTION("""COMPUTED_VALUE"""),57234.0)</f>
        <v>57234</v>
      </c>
      <c r="S331" s="33">
        <f>IFERROR(__xludf.DUMMYFUNCTION("""COMPUTED_VALUE"""),58119.0)</f>
        <v>58119</v>
      </c>
      <c r="T331" s="33">
        <f>IFERROR(__xludf.DUMMYFUNCTION("""COMPUTED_VALUE"""),6.47666666666666)</f>
        <v>6.476666667</v>
      </c>
      <c r="U331" s="33">
        <f>IFERROR(__xludf.DUMMYFUNCTION("""COMPUTED_VALUE"""),6.18027777777777)</f>
        <v>6.180277778</v>
      </c>
      <c r="V331" s="33">
        <f>IFERROR(__xludf.DUMMYFUNCTION("""COMPUTED_VALUE"""),5.74861111111111)</f>
        <v>5.748611111</v>
      </c>
      <c r="W331" s="33">
        <f>IFERROR(__xludf.DUMMYFUNCTION("""COMPUTED_VALUE"""),6.04333333333333)</f>
        <v>6.043333333</v>
      </c>
      <c r="X331" s="33">
        <f>IFERROR(__xludf.DUMMYFUNCTION("""COMPUTED_VALUE"""),0.849444444444444)</f>
        <v>0.8494444444</v>
      </c>
      <c r="Y331" s="33">
        <f>IFERROR(__xludf.DUMMYFUNCTION("""COMPUTED_VALUE"""),6.31277777777777)</f>
        <v>6.312777778</v>
      </c>
      <c r="Z331" s="33">
        <f>IFERROR(__xludf.DUMMYFUNCTION("""COMPUTED_VALUE"""),0.909444444444444)</f>
        <v>0.9094444444</v>
      </c>
      <c r="AA331" s="33">
        <f>IFERROR(__xludf.DUMMYFUNCTION("""COMPUTED_VALUE"""),0.266944444444444)</f>
        <v>0.2669444444</v>
      </c>
      <c r="AB331" s="33">
        <f>IFERROR(__xludf.DUMMYFUNCTION("""COMPUTED_VALUE"""),5.70527777777777)</f>
        <v>5.705277778</v>
      </c>
      <c r="AC331" s="33">
        <f>IFERROR(__xludf.DUMMYFUNCTION("""COMPUTED_VALUE"""),5.70527777777777)</f>
        <v>5.705277778</v>
      </c>
      <c r="AD331" s="33">
        <f>IFERROR(__xludf.DUMMYFUNCTION("""COMPUTED_VALUE"""),1.43555555555555)</f>
        <v>1.435555556</v>
      </c>
      <c r="AE331" s="33">
        <f>IFERROR(__xludf.DUMMYFUNCTION("""COMPUTED_VALUE"""),5.70527777777777)</f>
        <v>5.705277778</v>
      </c>
      <c r="AF331" s="33">
        <f>IFERROR(__xludf.DUMMYFUNCTION("""COMPUTED_VALUE"""),21.0)</f>
        <v>21</v>
      </c>
    </row>
    <row r="332">
      <c r="A332" s="49">
        <f>IFERROR(__xludf.DUMMYFUNCTION("""COMPUTED_VALUE"""),46062.0)</f>
        <v>46062</v>
      </c>
      <c r="B332" s="33" t="str">
        <f>IFERROR(__xludf.DUMMYFUNCTION("""COMPUTED_VALUE"""),"5baf4c80faf4b2d4eb9401a1d0081872e0158e89")</f>
        <v>5baf4c80faf4b2d4eb9401a1d0081872e0158e89</v>
      </c>
      <c r="C332" s="33" t="str">
        <f>IFERROR(__xludf.DUMMYFUNCTION("""COMPUTED_VALUE"""),"Brahmyodha : The Destroyer - Production showId")</f>
        <v>Brahmyodha : The Destroyer - Production showId</v>
      </c>
      <c r="D332" s="33">
        <f>IFERROR(__xludf.DUMMYFUNCTION("""COMPUTED_VALUE"""),1.0)</f>
        <v>1</v>
      </c>
      <c r="E332" s="33">
        <f>IFERROR(__xludf.DUMMYFUNCTION("""COMPUTED_VALUE"""),13.0)</f>
        <v>13</v>
      </c>
      <c r="F332" s="33">
        <f>IFERROR(__xludf.DUMMYFUNCTION("""COMPUTED_VALUE"""),8.0)</f>
        <v>8</v>
      </c>
      <c r="G332" s="33">
        <f>IFERROR(__xludf.DUMMYFUNCTION("""COMPUTED_VALUE"""),0.0)</f>
        <v>0</v>
      </c>
      <c r="H332" s="33">
        <f>IFERROR(__xludf.DUMMYFUNCTION("""COMPUTED_VALUE"""),21.0)</f>
        <v>21</v>
      </c>
      <c r="I332" s="33">
        <f>IFERROR(__xludf.DUMMYFUNCTION("""COMPUTED_VALUE"""),13.0)</f>
        <v>13</v>
      </c>
      <c r="J332" s="33">
        <f>IFERROR(__xludf.DUMMYFUNCTION("""COMPUTED_VALUE"""),21.0)</f>
        <v>21</v>
      </c>
      <c r="K332" s="33">
        <f>IFERROR(__xludf.DUMMYFUNCTION("""COMPUTED_VALUE"""),0.0)</f>
        <v>0</v>
      </c>
      <c r="L332" s="33">
        <f>IFERROR(__xludf.DUMMYFUNCTION("""COMPUTED_VALUE"""),0.0)</f>
        <v>0</v>
      </c>
      <c r="M332" s="33">
        <f>IFERROR(__xludf.DUMMYFUNCTION("""COMPUTED_VALUE"""),20.0)</f>
        <v>20</v>
      </c>
      <c r="N332" s="33">
        <f>IFERROR(__xludf.DUMMYFUNCTION("""COMPUTED_VALUE"""),20.0)</f>
        <v>20</v>
      </c>
      <c r="O332" s="33">
        <f>IFERROR(__xludf.DUMMYFUNCTION("""COMPUTED_VALUE"""),5.0)</f>
        <v>5</v>
      </c>
      <c r="P332" s="33">
        <f>IFERROR(__xludf.DUMMYFUNCTION("""COMPUTED_VALUE"""),20.0)</f>
        <v>20</v>
      </c>
      <c r="Q332" s="33">
        <f>IFERROR(__xludf.DUMMYFUNCTION("""COMPUTED_VALUE"""),0.0)</f>
        <v>0</v>
      </c>
      <c r="R332" s="33">
        <f>IFERROR(__xludf.DUMMYFUNCTION("""COMPUTED_VALUE"""),2686.0)</f>
        <v>2686</v>
      </c>
      <c r="S332" s="33">
        <f>IFERROR(__xludf.DUMMYFUNCTION("""COMPUTED_VALUE"""),34804.0)</f>
        <v>34804</v>
      </c>
      <c r="T332" s="33">
        <f>IFERROR(__xludf.DUMMYFUNCTION("""COMPUTED_VALUE"""),5.25)</f>
        <v>5.25</v>
      </c>
      <c r="U332" s="33">
        <f>IFERROR(__xludf.DUMMYFUNCTION("""COMPUTED_VALUE"""),2.02833333333333)</f>
        <v>2.028333333</v>
      </c>
      <c r="V332" s="33">
        <f>IFERROR(__xludf.DUMMYFUNCTION("""COMPUTED_VALUE"""),0.0)</f>
        <v>0</v>
      </c>
      <c r="W332" s="33">
        <f>IFERROR(__xludf.DUMMYFUNCTION("""COMPUTED_VALUE"""),5.24111111111111)</f>
        <v>5.241111111</v>
      </c>
      <c r="X332" s="33">
        <f>IFERROR(__xludf.DUMMYFUNCTION("""COMPUTED_VALUE"""),3.22166666666666)</f>
        <v>3.221666667</v>
      </c>
      <c r="Y332" s="33">
        <f>IFERROR(__xludf.DUMMYFUNCTION("""COMPUTED_VALUE"""),5.24194444444444)</f>
        <v>5.241944444</v>
      </c>
      <c r="Z332" s="33">
        <f>IFERROR(__xludf.DUMMYFUNCTION("""COMPUTED_VALUE"""),0.0)</f>
        <v>0</v>
      </c>
      <c r="AA332" s="33">
        <f>IFERROR(__xludf.DUMMYFUNCTION("""COMPUTED_VALUE"""),0.0)</f>
        <v>0</v>
      </c>
      <c r="AB332" s="33">
        <f>IFERROR(__xludf.DUMMYFUNCTION("""COMPUTED_VALUE"""),4.96611111111111)</f>
        <v>4.966111111</v>
      </c>
      <c r="AC332" s="33">
        <f>IFERROR(__xludf.DUMMYFUNCTION("""COMPUTED_VALUE"""),4.96611111111111)</f>
        <v>4.966111111</v>
      </c>
      <c r="AD332" s="33">
        <f>IFERROR(__xludf.DUMMYFUNCTION("""COMPUTED_VALUE"""),1.09888888888888)</f>
        <v>1.098888889</v>
      </c>
      <c r="AE332" s="33">
        <f>IFERROR(__xludf.DUMMYFUNCTION("""COMPUTED_VALUE"""),4.96611111111111)</f>
        <v>4.966111111</v>
      </c>
      <c r="AF332" s="33">
        <f>IFERROR(__xludf.DUMMYFUNCTION("""COMPUTED_VALUE"""),21.0)</f>
        <v>21</v>
      </c>
    </row>
    <row r="333">
      <c r="A333" s="49">
        <f>IFERROR(__xludf.DUMMYFUNCTION("""COMPUTED_VALUE"""),46062.0)</f>
        <v>46062</v>
      </c>
      <c r="B333" s="33" t="str">
        <f>IFERROR(__xludf.DUMMYFUNCTION("""COMPUTED_VALUE"""),"641b6f77fd211e92df35a3bcbab67e6879e19a66")</f>
        <v>641b6f77fd211e92df35a3bcbab67e6879e19a66</v>
      </c>
      <c r="C333" s="33" t="str">
        <f>IFERROR(__xludf.DUMMYFUNCTION("""COMPUTED_VALUE"""),"Mahagatha | महागाथा | Author - S. Mauryavanshi")</f>
        <v>Mahagatha | महागाथा | Author - S. Mauryavanshi</v>
      </c>
      <c r="D333" s="33">
        <f>IFERROR(__xludf.DUMMYFUNCTION("""COMPUTED_VALUE"""),15.0)</f>
        <v>15</v>
      </c>
      <c r="E333" s="33">
        <f>IFERROR(__xludf.DUMMYFUNCTION("""COMPUTED_VALUE"""),13.0)</f>
        <v>13</v>
      </c>
      <c r="F333" s="33">
        <f>IFERROR(__xludf.DUMMYFUNCTION("""COMPUTED_VALUE"""),7.0)</f>
        <v>7</v>
      </c>
      <c r="G333" s="33">
        <f>IFERROR(__xludf.DUMMYFUNCTION("""COMPUTED_VALUE"""),0.0)</f>
        <v>0</v>
      </c>
      <c r="H333" s="33">
        <f>IFERROR(__xludf.DUMMYFUNCTION("""COMPUTED_VALUE"""),20.0)</f>
        <v>20</v>
      </c>
      <c r="I333" s="33">
        <f>IFERROR(__xludf.DUMMYFUNCTION("""COMPUTED_VALUE"""),13.0)</f>
        <v>13</v>
      </c>
      <c r="J333" s="33">
        <f>IFERROR(__xludf.DUMMYFUNCTION("""COMPUTED_VALUE"""),20.0)</f>
        <v>20</v>
      </c>
      <c r="K333" s="33">
        <f>IFERROR(__xludf.DUMMYFUNCTION("""COMPUTED_VALUE"""),5.0)</f>
        <v>5</v>
      </c>
      <c r="L333" s="33">
        <f>IFERROR(__xludf.DUMMYFUNCTION("""COMPUTED_VALUE"""),0.0)</f>
        <v>0</v>
      </c>
      <c r="M333" s="33">
        <f>IFERROR(__xludf.DUMMYFUNCTION("""COMPUTED_VALUE"""),20.0)</f>
        <v>20</v>
      </c>
      <c r="N333" s="33">
        <f>IFERROR(__xludf.DUMMYFUNCTION("""COMPUTED_VALUE"""),20.0)</f>
        <v>20</v>
      </c>
      <c r="O333" s="33">
        <f>IFERROR(__xludf.DUMMYFUNCTION("""COMPUTED_VALUE"""),6.0)</f>
        <v>6</v>
      </c>
      <c r="P333" s="33">
        <f>IFERROR(__xludf.DUMMYFUNCTION("""COMPUTED_VALUE"""),20.0)</f>
        <v>20</v>
      </c>
      <c r="Q333" s="33">
        <f>IFERROR(__xludf.DUMMYFUNCTION("""COMPUTED_VALUE"""),0.0)</f>
        <v>0</v>
      </c>
      <c r="R333" s="33">
        <f>IFERROR(__xludf.DUMMYFUNCTION("""COMPUTED_VALUE"""),35574.0)</f>
        <v>35574</v>
      </c>
      <c r="S333" s="33">
        <f>IFERROR(__xludf.DUMMYFUNCTION("""COMPUTED_VALUE"""),30990.0)</f>
        <v>30990</v>
      </c>
      <c r="T333" s="33">
        <f>IFERROR(__xludf.DUMMYFUNCTION("""COMPUTED_VALUE"""),5.30138888888888)</f>
        <v>5.301388889</v>
      </c>
      <c r="U333" s="33">
        <f>IFERROR(__xludf.DUMMYFUNCTION("""COMPUTED_VALUE"""),1.67333333333333)</f>
        <v>1.673333333</v>
      </c>
      <c r="V333" s="33">
        <f>IFERROR(__xludf.DUMMYFUNCTION("""COMPUTED_VALUE"""),0.0)</f>
        <v>0</v>
      </c>
      <c r="W333" s="33">
        <f>IFERROR(__xludf.DUMMYFUNCTION("""COMPUTED_VALUE"""),4.79722222222222)</f>
        <v>4.797222222</v>
      </c>
      <c r="X333" s="33">
        <f>IFERROR(__xludf.DUMMYFUNCTION("""COMPUTED_VALUE"""),3.11305555555555)</f>
        <v>3.113055556</v>
      </c>
      <c r="Y333" s="33">
        <f>IFERROR(__xludf.DUMMYFUNCTION("""COMPUTED_VALUE"""),4.81166666666666)</f>
        <v>4.811666667</v>
      </c>
      <c r="Z333" s="33">
        <f>IFERROR(__xludf.DUMMYFUNCTION("""COMPUTED_VALUE"""),1.15444444444444)</f>
        <v>1.154444444</v>
      </c>
      <c r="AA333" s="33">
        <f>IFERROR(__xludf.DUMMYFUNCTION("""COMPUTED_VALUE"""),0.0)</f>
        <v>0</v>
      </c>
      <c r="AB333" s="33">
        <f>IFERROR(__xludf.DUMMYFUNCTION("""COMPUTED_VALUE"""),4.81166666666666)</f>
        <v>4.811666667</v>
      </c>
      <c r="AC333" s="33">
        <f>IFERROR(__xludf.DUMMYFUNCTION("""COMPUTED_VALUE"""),4.81166666666666)</f>
        <v>4.811666667</v>
      </c>
      <c r="AD333" s="33">
        <f>IFERROR(__xludf.DUMMYFUNCTION("""COMPUTED_VALUE"""),1.32666666666666)</f>
        <v>1.326666667</v>
      </c>
      <c r="AE333" s="33">
        <f>IFERROR(__xludf.DUMMYFUNCTION("""COMPUTED_VALUE"""),4.81166666666666)</f>
        <v>4.811666667</v>
      </c>
      <c r="AF333" s="33">
        <f>IFERROR(__xludf.DUMMYFUNCTION("""COMPUTED_VALUE"""),22.0)</f>
        <v>22</v>
      </c>
    </row>
    <row r="334">
      <c r="A334" s="49">
        <f>IFERROR(__xludf.DUMMYFUNCTION("""COMPUTED_VALUE"""),46062.0)</f>
        <v>46062</v>
      </c>
      <c r="B334" s="33" t="str">
        <f>IFERROR(__xludf.DUMMYFUNCTION("""COMPUTED_VALUE"""),"81de0bc81be63a15ef7b7f2a301e23b4f3d49745")</f>
        <v>81de0bc81be63a15ef7b7f2a301e23b4f3d49745</v>
      </c>
      <c r="C334" s="33" t="str">
        <f>IFERROR(__xludf.DUMMYFUNCTION("""COMPUTED_VALUE"""),"Married to a Hard Hearted")</f>
        <v>Married to a Hard Hearted</v>
      </c>
      <c r="D334" s="33">
        <f>IFERROR(__xludf.DUMMYFUNCTION("""COMPUTED_VALUE"""),0.0)</f>
        <v>0</v>
      </c>
      <c r="E334" s="33">
        <f>IFERROR(__xludf.DUMMYFUNCTION("""COMPUTED_VALUE"""),17.0)</f>
        <v>17</v>
      </c>
      <c r="F334" s="33">
        <f>IFERROR(__xludf.DUMMYFUNCTION("""COMPUTED_VALUE"""),3.0)</f>
        <v>3</v>
      </c>
      <c r="G334" s="33">
        <f>IFERROR(__xludf.DUMMYFUNCTION("""COMPUTED_VALUE"""),0.0)</f>
        <v>0</v>
      </c>
      <c r="H334" s="33">
        <f>IFERROR(__xludf.DUMMYFUNCTION("""COMPUTED_VALUE"""),12.0)</f>
        <v>12</v>
      </c>
      <c r="I334" s="33">
        <f>IFERROR(__xludf.DUMMYFUNCTION("""COMPUTED_VALUE"""),11.0)</f>
        <v>11</v>
      </c>
      <c r="J334" s="33">
        <f>IFERROR(__xludf.DUMMYFUNCTION("""COMPUTED_VALUE"""),12.0)</f>
        <v>12</v>
      </c>
      <c r="K334" s="33">
        <f>IFERROR(__xludf.DUMMYFUNCTION("""COMPUTED_VALUE"""),3.0)</f>
        <v>3</v>
      </c>
      <c r="L334" s="33">
        <f>IFERROR(__xludf.DUMMYFUNCTION("""COMPUTED_VALUE"""),0.0)</f>
        <v>0</v>
      </c>
      <c r="M334" s="33">
        <f>IFERROR(__xludf.DUMMYFUNCTION("""COMPUTED_VALUE"""),12.0)</f>
        <v>12</v>
      </c>
      <c r="N334" s="33">
        <f>IFERROR(__xludf.DUMMYFUNCTION("""COMPUTED_VALUE"""),12.0)</f>
        <v>12</v>
      </c>
      <c r="O334" s="33">
        <f>IFERROR(__xludf.DUMMYFUNCTION("""COMPUTED_VALUE"""),5.0)</f>
        <v>5</v>
      </c>
      <c r="P334" s="33">
        <f>IFERROR(__xludf.DUMMYFUNCTION("""COMPUTED_VALUE"""),12.0)</f>
        <v>12</v>
      </c>
      <c r="Q334" s="33">
        <f>IFERROR(__xludf.DUMMYFUNCTION("""COMPUTED_VALUE"""),0.0)</f>
        <v>0</v>
      </c>
      <c r="R334" s="33">
        <f>IFERROR(__xludf.DUMMYFUNCTION("""COMPUTED_VALUE"""),0.0)</f>
        <v>0</v>
      </c>
      <c r="S334" s="33">
        <f>IFERROR(__xludf.DUMMYFUNCTION("""COMPUTED_VALUE"""),35736.0)</f>
        <v>35736</v>
      </c>
      <c r="T334" s="33">
        <f>IFERROR(__xludf.DUMMYFUNCTION("""COMPUTED_VALUE"""),2.465)</f>
        <v>2.465</v>
      </c>
      <c r="U334" s="33">
        <f>IFERROR(__xludf.DUMMYFUNCTION("""COMPUTED_VALUE"""),0.549722222222222)</f>
        <v>0.5497222222</v>
      </c>
      <c r="V334" s="33">
        <f>IFERROR(__xludf.DUMMYFUNCTION("""COMPUTED_VALUE"""),0.0)</f>
        <v>0</v>
      </c>
      <c r="W334" s="33">
        <f>IFERROR(__xludf.DUMMYFUNCTION("""COMPUTED_VALUE"""),2.30027777777777)</f>
        <v>2.300277778</v>
      </c>
      <c r="X334" s="33">
        <f>IFERROR(__xludf.DUMMYFUNCTION("""COMPUTED_VALUE"""),2.09694444444444)</f>
        <v>2.096944444</v>
      </c>
      <c r="Y334" s="33">
        <f>IFERROR(__xludf.DUMMYFUNCTION("""COMPUTED_VALUE"""),2.29861111111111)</f>
        <v>2.298611111</v>
      </c>
      <c r="Z334" s="33">
        <f>IFERROR(__xludf.DUMMYFUNCTION("""COMPUTED_VALUE"""),0.576944444444444)</f>
        <v>0.5769444444</v>
      </c>
      <c r="AA334" s="33">
        <f>IFERROR(__xludf.DUMMYFUNCTION("""COMPUTED_VALUE"""),0.0)</f>
        <v>0</v>
      </c>
      <c r="AB334" s="33">
        <f>IFERROR(__xludf.DUMMYFUNCTION("""COMPUTED_VALUE"""),2.29861111111111)</f>
        <v>2.298611111</v>
      </c>
      <c r="AC334" s="33">
        <f>IFERROR(__xludf.DUMMYFUNCTION("""COMPUTED_VALUE"""),2.29861111111111)</f>
        <v>2.298611111</v>
      </c>
      <c r="AD334" s="33">
        <f>IFERROR(__xludf.DUMMYFUNCTION("""COMPUTED_VALUE"""),0.933333333333333)</f>
        <v>0.9333333333</v>
      </c>
      <c r="AE334" s="33">
        <f>IFERROR(__xludf.DUMMYFUNCTION("""COMPUTED_VALUE"""),2.29861111111111)</f>
        <v>2.298611111</v>
      </c>
      <c r="AF334" s="33">
        <f>IFERROR(__xludf.DUMMYFUNCTION("""COMPUTED_VALUE"""),13.0)</f>
        <v>13</v>
      </c>
    </row>
    <row r="335">
      <c r="A335" s="49">
        <f>IFERROR(__xludf.DUMMYFUNCTION("""COMPUTED_VALUE"""),46062.0)</f>
        <v>46062</v>
      </c>
      <c r="B335" s="33" t="str">
        <f>IFERROR(__xludf.DUMMYFUNCTION("""COMPUTED_VALUE"""),"859785ba4869b28dddcfcb0e75295d1e1ad9b5a9")</f>
        <v>859785ba4869b28dddcfcb0e75295d1e1ad9b5a9</v>
      </c>
      <c r="C335" s="33" t="str">
        <f>IFERROR(__xludf.DUMMYFUNCTION("""COMPUTED_VALUE"""),"King of Dragon | किंग ऑफ ड्रैगन | Author - Nitesh")</f>
        <v>King of Dragon | किंग ऑफ ड्रैगन | Author - Nitesh</v>
      </c>
      <c r="D335" s="33">
        <f>IFERROR(__xludf.DUMMYFUNCTION("""COMPUTED_VALUE"""),0.0)</f>
        <v>0</v>
      </c>
      <c r="E335" s="33">
        <f>IFERROR(__xludf.DUMMYFUNCTION("""COMPUTED_VALUE"""),0.0)</f>
        <v>0</v>
      </c>
      <c r="F335" s="33">
        <f>IFERROR(__xludf.DUMMYFUNCTION("""COMPUTED_VALUE"""),0.0)</f>
        <v>0</v>
      </c>
      <c r="G335" s="33">
        <f>IFERROR(__xludf.DUMMYFUNCTION("""COMPUTED_VALUE"""),0.0)</f>
        <v>0</v>
      </c>
      <c r="H335" s="33">
        <f>IFERROR(__xludf.DUMMYFUNCTION("""COMPUTED_VALUE"""),0.0)</f>
        <v>0</v>
      </c>
      <c r="I335" s="33">
        <f>IFERROR(__xludf.DUMMYFUNCTION("""COMPUTED_VALUE"""),0.0)</f>
        <v>0</v>
      </c>
      <c r="J335" s="33">
        <f>IFERROR(__xludf.DUMMYFUNCTION("""COMPUTED_VALUE"""),0.0)</f>
        <v>0</v>
      </c>
      <c r="K335" s="33">
        <f>IFERROR(__xludf.DUMMYFUNCTION("""COMPUTED_VALUE"""),0.0)</f>
        <v>0</v>
      </c>
      <c r="L335" s="33">
        <f>IFERROR(__xludf.DUMMYFUNCTION("""COMPUTED_VALUE"""),0.0)</f>
        <v>0</v>
      </c>
      <c r="M335" s="33">
        <f>IFERROR(__xludf.DUMMYFUNCTION("""COMPUTED_VALUE"""),0.0)</f>
        <v>0</v>
      </c>
      <c r="N335" s="33">
        <f>IFERROR(__xludf.DUMMYFUNCTION("""COMPUTED_VALUE"""),0.0)</f>
        <v>0</v>
      </c>
      <c r="O335" s="33">
        <f>IFERROR(__xludf.DUMMYFUNCTION("""COMPUTED_VALUE"""),1.0)</f>
        <v>1</v>
      </c>
      <c r="P335" s="33">
        <f>IFERROR(__xludf.DUMMYFUNCTION("""COMPUTED_VALUE"""),3.0)</f>
        <v>3</v>
      </c>
      <c r="Q335" s="33">
        <f>IFERROR(__xludf.DUMMYFUNCTION("""COMPUTED_VALUE"""),0.0)</f>
        <v>0</v>
      </c>
      <c r="R335" s="33">
        <f>IFERROR(__xludf.DUMMYFUNCTION("""COMPUTED_VALUE"""),0.0)</f>
        <v>0</v>
      </c>
      <c r="S335" s="33">
        <f>IFERROR(__xludf.DUMMYFUNCTION("""COMPUTED_VALUE"""),0.0)</f>
        <v>0</v>
      </c>
      <c r="T335" s="33">
        <f>IFERROR(__xludf.DUMMYFUNCTION("""COMPUTED_VALUE"""),0.0)</f>
        <v>0</v>
      </c>
      <c r="U335" s="33">
        <f>IFERROR(__xludf.DUMMYFUNCTION("""COMPUTED_VALUE"""),0.0)</f>
        <v>0</v>
      </c>
      <c r="V335" s="33">
        <f>IFERROR(__xludf.DUMMYFUNCTION("""COMPUTED_VALUE"""),0.0)</f>
        <v>0</v>
      </c>
      <c r="W335" s="33">
        <f>IFERROR(__xludf.DUMMYFUNCTION("""COMPUTED_VALUE"""),0.0)</f>
        <v>0</v>
      </c>
      <c r="X335" s="33">
        <f>IFERROR(__xludf.DUMMYFUNCTION("""COMPUTED_VALUE"""),0.0)</f>
        <v>0</v>
      </c>
      <c r="Y335" s="33">
        <f>IFERROR(__xludf.DUMMYFUNCTION("""COMPUTED_VALUE"""),0.0)</f>
        <v>0</v>
      </c>
      <c r="Z335" s="33">
        <f>IFERROR(__xludf.DUMMYFUNCTION("""COMPUTED_VALUE"""),0.0)</f>
        <v>0</v>
      </c>
      <c r="AA335" s="33">
        <f>IFERROR(__xludf.DUMMYFUNCTION("""COMPUTED_VALUE"""),0.0)</f>
        <v>0</v>
      </c>
      <c r="AB335" s="33">
        <f>IFERROR(__xludf.DUMMYFUNCTION("""COMPUTED_VALUE"""),0.0)</f>
        <v>0</v>
      </c>
      <c r="AC335" s="33">
        <f>IFERROR(__xludf.DUMMYFUNCTION("""COMPUTED_VALUE"""),0.0)</f>
        <v>0</v>
      </c>
      <c r="AD335" s="33">
        <f>IFERROR(__xludf.DUMMYFUNCTION("""COMPUTED_VALUE"""),0.311111111111111)</f>
        <v>0.3111111111</v>
      </c>
      <c r="AE335" s="33">
        <f>IFERROR(__xludf.DUMMYFUNCTION("""COMPUTED_VALUE"""),0.876111111111111)</f>
        <v>0.8761111111</v>
      </c>
      <c r="AF335" s="33">
        <f>IFERROR(__xludf.DUMMYFUNCTION("""COMPUTED_VALUE"""),0.0)</f>
        <v>0</v>
      </c>
    </row>
    <row r="336">
      <c r="A336" s="49">
        <f>IFERROR(__xludf.DUMMYFUNCTION("""COMPUTED_VALUE"""),46062.0)</f>
        <v>46062</v>
      </c>
      <c r="B336" s="33" t="str">
        <f>IFERROR(__xludf.DUMMYFUNCTION("""COMPUTED_VALUE"""),"96f1f89e4494e06fb7f9e3c4645563fa62ef9320")</f>
        <v>96f1f89e4494e06fb7f9e3c4645563fa62ef9320</v>
      </c>
      <c r="C336" s="33" t="str">
        <f>IFERROR(__xludf.DUMMYFUNCTION("""COMPUTED_VALUE"""),"King of Dragon - Production Show_id")</f>
        <v>King of Dragon - Production Show_id</v>
      </c>
      <c r="D336" s="33">
        <f>IFERROR(__xludf.DUMMYFUNCTION("""COMPUTED_VALUE"""),7.0)</f>
        <v>7</v>
      </c>
      <c r="E336" s="33">
        <f>IFERROR(__xludf.DUMMYFUNCTION("""COMPUTED_VALUE"""),8.0)</f>
        <v>8</v>
      </c>
      <c r="F336" s="33">
        <f>IFERROR(__xludf.DUMMYFUNCTION("""COMPUTED_VALUE"""),8.0)</f>
        <v>8</v>
      </c>
      <c r="G336" s="33">
        <f>IFERROR(__xludf.DUMMYFUNCTION("""COMPUTED_VALUE"""),12.0)</f>
        <v>12</v>
      </c>
      <c r="H336" s="33">
        <f>IFERROR(__xludf.DUMMYFUNCTION("""COMPUTED_VALUE"""),13.0)</f>
        <v>13</v>
      </c>
      <c r="I336" s="33">
        <f>IFERROR(__xludf.DUMMYFUNCTION("""COMPUTED_VALUE"""),3.0)</f>
        <v>3</v>
      </c>
      <c r="J336" s="33">
        <f>IFERROR(__xludf.DUMMYFUNCTION("""COMPUTED_VALUE"""),19.0)</f>
        <v>19</v>
      </c>
      <c r="K336" s="33">
        <f>IFERROR(__xludf.DUMMYFUNCTION("""COMPUTED_VALUE"""),1.0)</f>
        <v>1</v>
      </c>
      <c r="L336" s="33">
        <f>IFERROR(__xludf.DUMMYFUNCTION("""COMPUTED_VALUE"""),1.0)</f>
        <v>1</v>
      </c>
      <c r="M336" s="33">
        <f>IFERROR(__xludf.DUMMYFUNCTION("""COMPUTED_VALUE"""),18.0)</f>
        <v>18</v>
      </c>
      <c r="N336" s="33">
        <f>IFERROR(__xludf.DUMMYFUNCTION("""COMPUTED_VALUE"""),18.0)</f>
        <v>18</v>
      </c>
      <c r="O336" s="33">
        <f>IFERROR(__xludf.DUMMYFUNCTION("""COMPUTED_VALUE"""),6.0)</f>
        <v>6</v>
      </c>
      <c r="P336" s="33">
        <f>IFERROR(__xludf.DUMMYFUNCTION("""COMPUTED_VALUE"""),18.0)</f>
        <v>18</v>
      </c>
      <c r="Q336" s="33">
        <f>IFERROR(__xludf.DUMMYFUNCTION("""COMPUTED_VALUE"""),0.0)</f>
        <v>0</v>
      </c>
      <c r="R336" s="33">
        <f>IFERROR(__xludf.DUMMYFUNCTION("""COMPUTED_VALUE"""),16941.0)</f>
        <v>16941</v>
      </c>
      <c r="S336" s="33">
        <f>IFERROR(__xludf.DUMMYFUNCTION("""COMPUTED_VALUE"""),18626.0)</f>
        <v>18626</v>
      </c>
      <c r="T336" s="33">
        <f>IFERROR(__xludf.DUMMYFUNCTION("""COMPUTED_VALUE"""),2.37305555555555)</f>
        <v>2.373055556</v>
      </c>
      <c r="U336" s="33">
        <f>IFERROR(__xludf.DUMMYFUNCTION("""COMPUTED_VALUE"""),2.16444444444444)</f>
        <v>2.164444444</v>
      </c>
      <c r="V336" s="33">
        <f>IFERROR(__xludf.DUMMYFUNCTION("""COMPUTED_VALUE"""),3.16222222222222)</f>
        <v>3.162222222</v>
      </c>
      <c r="W336" s="33">
        <f>IFERROR(__xludf.DUMMYFUNCTION("""COMPUTED_VALUE"""),3.44722222222222)</f>
        <v>3.447222222</v>
      </c>
      <c r="X336" s="33">
        <f>IFERROR(__xludf.DUMMYFUNCTION("""COMPUTED_VALUE"""),0.748333333333333)</f>
        <v>0.7483333333</v>
      </c>
      <c r="Y336" s="33">
        <f>IFERROR(__xludf.DUMMYFUNCTION("""COMPUTED_VALUE"""),4.89861111111111)</f>
        <v>4.898611111</v>
      </c>
      <c r="Z336" s="33">
        <f>IFERROR(__xludf.DUMMYFUNCTION("""COMPUTED_VALUE"""),0.2525)</f>
        <v>0.2525</v>
      </c>
      <c r="AA336" s="33">
        <f>IFERROR(__xludf.DUMMYFUNCTION("""COMPUTED_VALUE"""),0.2525)</f>
        <v>0.2525</v>
      </c>
      <c r="AB336" s="33">
        <f>IFERROR(__xludf.DUMMYFUNCTION("""COMPUTED_VALUE"""),4.62805555555555)</f>
        <v>4.628055556</v>
      </c>
      <c r="AC336" s="33">
        <f>IFERROR(__xludf.DUMMYFUNCTION("""COMPUTED_VALUE"""),4.62805555555555)</f>
        <v>4.628055556</v>
      </c>
      <c r="AD336" s="33">
        <f>IFERROR(__xludf.DUMMYFUNCTION("""COMPUTED_VALUE"""),1.45805555555555)</f>
        <v>1.458055556</v>
      </c>
      <c r="AE336" s="33">
        <f>IFERROR(__xludf.DUMMYFUNCTION("""COMPUTED_VALUE"""),4.62805555555555)</f>
        <v>4.628055556</v>
      </c>
      <c r="AF336" s="33">
        <f>IFERROR(__xludf.DUMMYFUNCTION("""COMPUTED_VALUE"""),9.0)</f>
        <v>9</v>
      </c>
    </row>
    <row r="337">
      <c r="A337" s="49">
        <f>IFERROR(__xludf.DUMMYFUNCTION("""COMPUTED_VALUE"""),46062.0)</f>
        <v>46062</v>
      </c>
      <c r="B337" s="33" t="str">
        <f>IFERROR(__xludf.DUMMYFUNCTION("""COMPUTED_VALUE"""),"a3ba65aa427077188e1ad7dbcbcafae266683ca9")</f>
        <v>a3ba65aa427077188e1ad7dbcbcafae266683ca9</v>
      </c>
      <c r="C337" s="33" t="str">
        <f>IFERROR(__xludf.DUMMYFUNCTION("""COMPUTED_VALUE"""),"The Warrior | Author - Dayaram Prajapati")</f>
        <v>The Warrior | Author - Dayaram Prajapati</v>
      </c>
      <c r="D337" s="33">
        <f>IFERROR(__xludf.DUMMYFUNCTION("""COMPUTED_VALUE"""),7.0)</f>
        <v>7</v>
      </c>
      <c r="E337" s="33">
        <f>IFERROR(__xludf.DUMMYFUNCTION("""COMPUTED_VALUE"""),10.0)</f>
        <v>10</v>
      </c>
      <c r="F337" s="33">
        <f>IFERROR(__xludf.DUMMYFUNCTION("""COMPUTED_VALUE"""),0.0)</f>
        <v>0</v>
      </c>
      <c r="G337" s="33">
        <f>IFERROR(__xludf.DUMMYFUNCTION("""COMPUTED_VALUE"""),0.0)</f>
        <v>0</v>
      </c>
      <c r="H337" s="33">
        <f>IFERROR(__xludf.DUMMYFUNCTION("""COMPUTED_VALUE"""),0.0)</f>
        <v>0</v>
      </c>
      <c r="I337" s="33">
        <f>IFERROR(__xludf.DUMMYFUNCTION("""COMPUTED_VALUE"""),0.0)</f>
        <v>0</v>
      </c>
      <c r="J337" s="33">
        <f>IFERROR(__xludf.DUMMYFUNCTION("""COMPUTED_VALUE"""),0.0)</f>
        <v>0</v>
      </c>
      <c r="K337" s="33">
        <f>IFERROR(__xludf.DUMMYFUNCTION("""COMPUTED_VALUE"""),0.0)</f>
        <v>0</v>
      </c>
      <c r="L337" s="33">
        <f>IFERROR(__xludf.DUMMYFUNCTION("""COMPUTED_VALUE"""),0.0)</f>
        <v>0</v>
      </c>
      <c r="M337" s="33">
        <f>IFERROR(__xludf.DUMMYFUNCTION("""COMPUTED_VALUE"""),6.0)</f>
        <v>6</v>
      </c>
      <c r="N337" s="33">
        <f>IFERROR(__xludf.DUMMYFUNCTION("""COMPUTED_VALUE"""),10.0)</f>
        <v>10</v>
      </c>
      <c r="O337" s="33">
        <f>IFERROR(__xludf.DUMMYFUNCTION("""COMPUTED_VALUE"""),5.0)</f>
        <v>5</v>
      </c>
      <c r="P337" s="33">
        <f>IFERROR(__xludf.DUMMYFUNCTION("""COMPUTED_VALUE"""),10.0)</f>
        <v>10</v>
      </c>
      <c r="Q337" s="33">
        <f>IFERROR(__xludf.DUMMYFUNCTION("""COMPUTED_VALUE"""),0.0)</f>
        <v>0</v>
      </c>
      <c r="R337" s="33">
        <f>IFERROR(__xludf.DUMMYFUNCTION("""COMPUTED_VALUE"""),21986.0)</f>
        <v>21986</v>
      </c>
      <c r="S337" s="33">
        <f>IFERROR(__xludf.DUMMYFUNCTION("""COMPUTED_VALUE"""),31334.0)</f>
        <v>31334</v>
      </c>
      <c r="T337" s="33">
        <f>IFERROR(__xludf.DUMMYFUNCTION("""COMPUTED_VALUE"""),0.0)</f>
        <v>0</v>
      </c>
      <c r="U337" s="33">
        <f>IFERROR(__xludf.DUMMYFUNCTION("""COMPUTED_VALUE"""),0.0)</f>
        <v>0</v>
      </c>
      <c r="V337" s="33">
        <f>IFERROR(__xludf.DUMMYFUNCTION("""COMPUTED_VALUE"""),0.0)</f>
        <v>0</v>
      </c>
      <c r="W337" s="33">
        <f>IFERROR(__xludf.DUMMYFUNCTION("""COMPUTED_VALUE"""),0.0)</f>
        <v>0</v>
      </c>
      <c r="X337" s="33">
        <f>IFERROR(__xludf.DUMMYFUNCTION("""COMPUTED_VALUE"""),0.0)</f>
        <v>0</v>
      </c>
      <c r="Y337" s="33">
        <f>IFERROR(__xludf.DUMMYFUNCTION("""COMPUTED_VALUE"""),0.0)</f>
        <v>0</v>
      </c>
      <c r="Z337" s="33">
        <f>IFERROR(__xludf.DUMMYFUNCTION("""COMPUTED_VALUE"""),0.0)</f>
        <v>0</v>
      </c>
      <c r="AA337" s="33">
        <f>IFERROR(__xludf.DUMMYFUNCTION("""COMPUTED_VALUE"""),0.0)</f>
        <v>0</v>
      </c>
      <c r="AB337" s="33">
        <f>IFERROR(__xludf.DUMMYFUNCTION("""COMPUTED_VALUE"""),1.96138888888888)</f>
        <v>1.961388889</v>
      </c>
      <c r="AC337" s="33">
        <f>IFERROR(__xludf.DUMMYFUNCTION("""COMPUTED_VALUE"""),3.23583333333333)</f>
        <v>3.235833333</v>
      </c>
      <c r="AD337" s="33">
        <f>IFERROR(__xludf.DUMMYFUNCTION("""COMPUTED_VALUE"""),1.21694444444444)</f>
        <v>1.216944444</v>
      </c>
      <c r="AE337" s="33">
        <f>IFERROR(__xludf.DUMMYFUNCTION("""COMPUTED_VALUE"""),3.23583333333333)</f>
        <v>3.235833333</v>
      </c>
      <c r="AF337" s="33">
        <f>IFERROR(__xludf.DUMMYFUNCTION("""COMPUTED_VALUE"""),0.0)</f>
        <v>0</v>
      </c>
    </row>
    <row r="338">
      <c r="A338" s="49">
        <f>IFERROR(__xludf.DUMMYFUNCTION("""COMPUTED_VALUE"""),46062.0)</f>
        <v>46062</v>
      </c>
      <c r="B338" s="33" t="str">
        <f>IFERROR(__xludf.DUMMYFUNCTION("""COMPUTED_VALUE"""),"aa81f1feb820ed6f22bd7b22b55890db740929cb")</f>
        <v>aa81f1feb820ed6f22bd7b22b55890db740929cb</v>
      </c>
      <c r="C338" s="33" t="str">
        <f>IFERROR(__xludf.DUMMYFUNCTION("""COMPUTED_VALUE"""),"Shunya Samrat")</f>
        <v>Shunya Samrat</v>
      </c>
      <c r="D338" s="33">
        <f>IFERROR(__xludf.DUMMYFUNCTION("""COMPUTED_VALUE"""),30.0)</f>
        <v>30</v>
      </c>
      <c r="E338" s="33">
        <f>IFERROR(__xludf.DUMMYFUNCTION("""COMPUTED_VALUE"""),30.0)</f>
        <v>30</v>
      </c>
      <c r="F338" s="33">
        <f>IFERROR(__xludf.DUMMYFUNCTION("""COMPUTED_VALUE"""),0.0)</f>
        <v>0</v>
      </c>
      <c r="G338" s="33">
        <f>IFERROR(__xludf.DUMMYFUNCTION("""COMPUTED_VALUE"""),0.0)</f>
        <v>0</v>
      </c>
      <c r="H338" s="33">
        <f>IFERROR(__xludf.DUMMYFUNCTION("""COMPUTED_VALUE"""),0.0)</f>
        <v>0</v>
      </c>
      <c r="I338" s="33">
        <f>IFERROR(__xludf.DUMMYFUNCTION("""COMPUTED_VALUE"""),0.0)</f>
        <v>0</v>
      </c>
      <c r="J338" s="33">
        <f>IFERROR(__xludf.DUMMYFUNCTION("""COMPUTED_VALUE"""),0.0)</f>
        <v>0</v>
      </c>
      <c r="K338" s="33">
        <f>IFERROR(__xludf.DUMMYFUNCTION("""COMPUTED_VALUE"""),0.0)</f>
        <v>0</v>
      </c>
      <c r="L338" s="33">
        <f>IFERROR(__xludf.DUMMYFUNCTION("""COMPUTED_VALUE"""),0.0)</f>
        <v>0</v>
      </c>
      <c r="M338" s="33">
        <f>IFERROR(__xludf.DUMMYFUNCTION("""COMPUTED_VALUE"""),0.0)</f>
        <v>0</v>
      </c>
      <c r="N338" s="33">
        <f>IFERROR(__xludf.DUMMYFUNCTION("""COMPUTED_VALUE"""),30.0)</f>
        <v>30</v>
      </c>
      <c r="O338" s="33">
        <f>IFERROR(__xludf.DUMMYFUNCTION("""COMPUTED_VALUE"""),5.0)</f>
        <v>5</v>
      </c>
      <c r="P338" s="33">
        <f>IFERROR(__xludf.DUMMYFUNCTION("""COMPUTED_VALUE"""),30.0)</f>
        <v>30</v>
      </c>
      <c r="Q338" s="33">
        <f>IFERROR(__xludf.DUMMYFUNCTION("""COMPUTED_VALUE"""),0.0)</f>
        <v>0</v>
      </c>
      <c r="R338" s="33">
        <f>IFERROR(__xludf.DUMMYFUNCTION("""COMPUTED_VALUE"""),66502.0)</f>
        <v>66502</v>
      </c>
      <c r="S338" s="33">
        <f>IFERROR(__xludf.DUMMYFUNCTION("""COMPUTED_VALUE"""),66502.0)</f>
        <v>66502</v>
      </c>
      <c r="T338" s="33">
        <f>IFERROR(__xludf.DUMMYFUNCTION("""COMPUTED_VALUE"""),0.0)</f>
        <v>0</v>
      </c>
      <c r="U338" s="33">
        <f>IFERROR(__xludf.DUMMYFUNCTION("""COMPUTED_VALUE"""),0.0)</f>
        <v>0</v>
      </c>
      <c r="V338" s="33">
        <f>IFERROR(__xludf.DUMMYFUNCTION("""COMPUTED_VALUE"""),0.0)</f>
        <v>0</v>
      </c>
      <c r="W338" s="33">
        <f>IFERROR(__xludf.DUMMYFUNCTION("""COMPUTED_VALUE"""),0.0)</f>
        <v>0</v>
      </c>
      <c r="X338" s="33">
        <f>IFERROR(__xludf.DUMMYFUNCTION("""COMPUTED_VALUE"""),0.0)</f>
        <v>0</v>
      </c>
      <c r="Y338" s="33">
        <f>IFERROR(__xludf.DUMMYFUNCTION("""COMPUTED_VALUE"""),0.0)</f>
        <v>0</v>
      </c>
      <c r="Z338" s="33">
        <f>IFERROR(__xludf.DUMMYFUNCTION("""COMPUTED_VALUE"""),0.0)</f>
        <v>0</v>
      </c>
      <c r="AA338" s="33">
        <f>IFERROR(__xludf.DUMMYFUNCTION("""COMPUTED_VALUE"""),0.0)</f>
        <v>0</v>
      </c>
      <c r="AB338" s="33">
        <f>IFERROR(__xludf.DUMMYFUNCTION("""COMPUTED_VALUE"""),0.0)</f>
        <v>0</v>
      </c>
      <c r="AC338" s="33">
        <f>IFERROR(__xludf.DUMMYFUNCTION("""COMPUTED_VALUE"""),6.99666666666666)</f>
        <v>6.996666667</v>
      </c>
      <c r="AD338" s="33">
        <f>IFERROR(__xludf.DUMMYFUNCTION("""COMPUTED_VALUE"""),0.985555555555555)</f>
        <v>0.9855555556</v>
      </c>
      <c r="AE338" s="33">
        <f>IFERROR(__xludf.DUMMYFUNCTION("""COMPUTED_VALUE"""),6.99666666666666)</f>
        <v>6.996666667</v>
      </c>
      <c r="AF338" s="33">
        <f>IFERROR(__xludf.DUMMYFUNCTION("""COMPUTED_VALUE"""),0.0)</f>
        <v>0</v>
      </c>
    </row>
    <row r="339">
      <c r="A339" s="49">
        <f>IFERROR(__xludf.DUMMYFUNCTION("""COMPUTED_VALUE"""),46062.0)</f>
        <v>46062</v>
      </c>
      <c r="B339" s="33" t="str">
        <f>IFERROR(__xludf.DUMMYFUNCTION("""COMPUTED_VALUE"""),"b236b697a3dda78049a484b58d63a75f4503ad66")</f>
        <v>b236b697a3dda78049a484b58d63a75f4503ad66</v>
      </c>
      <c r="C339" s="33" t="str">
        <f>IFERROR(__xludf.DUMMYFUNCTION("""COMPUTED_VALUE"""),"Rudra - Rise of Supreme Yoddha - Production Show_id")</f>
        <v>Rudra - Rise of Supreme Yoddha - Production Show_id</v>
      </c>
      <c r="D339" s="33">
        <f>IFERROR(__xludf.DUMMYFUNCTION("""COMPUTED_VALUE"""),17.0)</f>
        <v>17</v>
      </c>
      <c r="E339" s="33">
        <f>IFERROR(__xludf.DUMMYFUNCTION("""COMPUTED_VALUE"""),8.0)</f>
        <v>8</v>
      </c>
      <c r="F339" s="33">
        <f>IFERROR(__xludf.DUMMYFUNCTION("""COMPUTED_VALUE"""),3.0)</f>
        <v>3</v>
      </c>
      <c r="G339" s="33">
        <f>IFERROR(__xludf.DUMMYFUNCTION("""COMPUTED_VALUE"""),6.0)</f>
        <v>6</v>
      </c>
      <c r="H339" s="33">
        <f>IFERROR(__xludf.DUMMYFUNCTION("""COMPUTED_VALUE"""),8.0)</f>
        <v>8</v>
      </c>
      <c r="I339" s="33">
        <f>IFERROR(__xludf.DUMMYFUNCTION("""COMPUTED_VALUE"""),2.0)</f>
        <v>2</v>
      </c>
      <c r="J339" s="33">
        <f>IFERROR(__xludf.DUMMYFUNCTION("""COMPUTED_VALUE"""),10.0)</f>
        <v>10</v>
      </c>
      <c r="K339" s="33">
        <f>IFERROR(__xludf.DUMMYFUNCTION("""COMPUTED_VALUE"""),0.0)</f>
        <v>0</v>
      </c>
      <c r="L339" s="33">
        <f>IFERROR(__xludf.DUMMYFUNCTION("""COMPUTED_VALUE"""),0.0)</f>
        <v>0</v>
      </c>
      <c r="M339" s="33">
        <f>IFERROR(__xludf.DUMMYFUNCTION("""COMPUTED_VALUE"""),9.0)</f>
        <v>9</v>
      </c>
      <c r="N339" s="33">
        <f>IFERROR(__xludf.DUMMYFUNCTION("""COMPUTED_VALUE"""),0.0)</f>
        <v>0</v>
      </c>
      <c r="O339" s="33">
        <f>IFERROR(__xludf.DUMMYFUNCTION("""COMPUTED_VALUE"""),0.0)</f>
        <v>0</v>
      </c>
      <c r="P339" s="33">
        <f>IFERROR(__xludf.DUMMYFUNCTION("""COMPUTED_VALUE"""),0.0)</f>
        <v>0</v>
      </c>
      <c r="Q339" s="33">
        <f>IFERROR(__xludf.DUMMYFUNCTION("""COMPUTED_VALUE"""),0.0)</f>
        <v>0</v>
      </c>
      <c r="R339" s="33">
        <f>IFERROR(__xludf.DUMMYFUNCTION("""COMPUTED_VALUE"""),40086.0)</f>
        <v>40086</v>
      </c>
      <c r="S339" s="33">
        <f>IFERROR(__xludf.DUMMYFUNCTION("""COMPUTED_VALUE"""),17205.0)</f>
        <v>17205</v>
      </c>
      <c r="T339" s="33">
        <f>IFERROR(__xludf.DUMMYFUNCTION("""COMPUTED_VALUE"""),0.964166666666666)</f>
        <v>0.9641666667</v>
      </c>
      <c r="U339" s="33">
        <f>IFERROR(__xludf.DUMMYFUNCTION("""COMPUTED_VALUE"""),0.593888888888888)</f>
        <v>0.5938888889</v>
      </c>
      <c r="V339" s="33">
        <f>IFERROR(__xludf.DUMMYFUNCTION("""COMPUTED_VALUE"""),1.305)</f>
        <v>1.305</v>
      </c>
      <c r="W339" s="33">
        <f>IFERROR(__xludf.DUMMYFUNCTION("""COMPUTED_VALUE"""),1.67527777777777)</f>
        <v>1.675277778</v>
      </c>
      <c r="X339" s="33">
        <f>IFERROR(__xludf.DUMMYFUNCTION("""COMPUTED_VALUE"""),0.370277777777777)</f>
        <v>0.3702777778</v>
      </c>
      <c r="Y339" s="33">
        <f>IFERROR(__xludf.DUMMYFUNCTION("""COMPUTED_VALUE"""),2.14277777777777)</f>
        <v>2.142777778</v>
      </c>
      <c r="Z339" s="33">
        <f>IFERROR(__xludf.DUMMYFUNCTION("""COMPUTED_VALUE"""),0.0)</f>
        <v>0</v>
      </c>
      <c r="AA339" s="33">
        <f>IFERROR(__xludf.DUMMYFUNCTION("""COMPUTED_VALUE"""),0.0)</f>
        <v>0</v>
      </c>
      <c r="AB339" s="33">
        <f>IFERROR(__xludf.DUMMYFUNCTION("""COMPUTED_VALUE"""),1.96111111111111)</f>
        <v>1.961111111</v>
      </c>
      <c r="AC339" s="33">
        <f>IFERROR(__xludf.DUMMYFUNCTION("""COMPUTED_VALUE"""),0.0)</f>
        <v>0</v>
      </c>
      <c r="AD339" s="33">
        <f>IFERROR(__xludf.DUMMYFUNCTION("""COMPUTED_VALUE"""),0.0)</f>
        <v>0</v>
      </c>
      <c r="AE339" s="33">
        <f>IFERROR(__xludf.DUMMYFUNCTION("""COMPUTED_VALUE"""),0.0)</f>
        <v>0</v>
      </c>
      <c r="AF339" s="33">
        <f>IFERROR(__xludf.DUMMYFUNCTION("""COMPUTED_VALUE"""),5.0)</f>
        <v>5</v>
      </c>
    </row>
    <row r="340">
      <c r="A340" s="49">
        <f>IFERROR(__xludf.DUMMYFUNCTION("""COMPUTED_VALUE"""),46062.0)</f>
        <v>46062</v>
      </c>
      <c r="B340" s="33" t="str">
        <f>IFERROR(__xludf.DUMMYFUNCTION("""COMPUTED_VALUE"""),"b9727274f880f47671ad54caad4904a491fad9c7")</f>
        <v>b9727274f880f47671ad54caad4904a491fad9c7</v>
      </c>
      <c r="C340" s="33" t="str">
        <f>IFERROR(__xludf.DUMMYFUNCTION("""COMPUTED_VALUE"""),"Brahmand Ka Rakshak - Production Show")</f>
        <v>Brahmand Ka Rakshak - Production Show</v>
      </c>
      <c r="D340" s="33">
        <f>IFERROR(__xludf.DUMMYFUNCTION("""COMPUTED_VALUE"""),31.0)</f>
        <v>31</v>
      </c>
      <c r="E340" s="33">
        <f>IFERROR(__xludf.DUMMYFUNCTION("""COMPUTED_VALUE"""),24.0)</f>
        <v>24</v>
      </c>
      <c r="F340" s="33">
        <f>IFERROR(__xludf.DUMMYFUNCTION("""COMPUTED_VALUE"""),7.0)</f>
        <v>7</v>
      </c>
      <c r="G340" s="33">
        <f>IFERROR(__xludf.DUMMYFUNCTION("""COMPUTED_VALUE"""),7.0)</f>
        <v>7</v>
      </c>
      <c r="H340" s="33">
        <f>IFERROR(__xludf.DUMMYFUNCTION("""COMPUTED_VALUE"""),20.0)</f>
        <v>20</v>
      </c>
      <c r="I340" s="33">
        <f>IFERROR(__xludf.DUMMYFUNCTION("""COMPUTED_VALUE"""),13.0)</f>
        <v>13</v>
      </c>
      <c r="J340" s="33">
        <f>IFERROR(__xludf.DUMMYFUNCTION("""COMPUTED_VALUE"""),21.0)</f>
        <v>21</v>
      </c>
      <c r="K340" s="33">
        <f>IFERROR(__xludf.DUMMYFUNCTION("""COMPUTED_VALUE"""),3.0)</f>
        <v>3</v>
      </c>
      <c r="L340" s="33">
        <f>IFERROR(__xludf.DUMMYFUNCTION("""COMPUTED_VALUE"""),3.0)</f>
        <v>3</v>
      </c>
      <c r="M340" s="33">
        <f>IFERROR(__xludf.DUMMYFUNCTION("""COMPUTED_VALUE"""),20.0)</f>
        <v>20</v>
      </c>
      <c r="N340" s="33">
        <f>IFERROR(__xludf.DUMMYFUNCTION("""COMPUTED_VALUE"""),20.0)</f>
        <v>20</v>
      </c>
      <c r="O340" s="33">
        <f>IFERROR(__xludf.DUMMYFUNCTION("""COMPUTED_VALUE"""),6.0)</f>
        <v>6</v>
      </c>
      <c r="P340" s="33">
        <f>IFERROR(__xludf.DUMMYFUNCTION("""COMPUTED_VALUE"""),20.0)</f>
        <v>20</v>
      </c>
      <c r="Q340" s="33">
        <f>IFERROR(__xludf.DUMMYFUNCTION("""COMPUTED_VALUE"""),0.0)</f>
        <v>0</v>
      </c>
      <c r="R340" s="33">
        <f>IFERROR(__xludf.DUMMYFUNCTION("""COMPUTED_VALUE"""),68998.0)</f>
        <v>68998</v>
      </c>
      <c r="S340" s="33">
        <f>IFERROR(__xludf.DUMMYFUNCTION("""COMPUTED_VALUE"""),50258.0)</f>
        <v>50258</v>
      </c>
      <c r="T340" s="33">
        <f>IFERROR(__xludf.DUMMYFUNCTION("""COMPUTED_VALUE"""),3.68583333333333)</f>
        <v>3.685833333</v>
      </c>
      <c r="U340" s="33">
        <f>IFERROR(__xludf.DUMMYFUNCTION("""COMPUTED_VALUE"""),1.325)</f>
        <v>1.325</v>
      </c>
      <c r="V340" s="33">
        <f>IFERROR(__xludf.DUMMYFUNCTION("""COMPUTED_VALUE"""),1.33666666666666)</f>
        <v>1.336666667</v>
      </c>
      <c r="W340" s="33">
        <f>IFERROR(__xludf.DUMMYFUNCTION("""COMPUTED_VALUE"""),3.6975)</f>
        <v>3.6975</v>
      </c>
      <c r="X340" s="33">
        <f>IFERROR(__xludf.DUMMYFUNCTION("""COMPUTED_VALUE"""),2.36083333333333)</f>
        <v>2.360833333</v>
      </c>
      <c r="Y340" s="33">
        <f>IFERROR(__xludf.DUMMYFUNCTION("""COMPUTED_VALUE"""),3.885)</f>
        <v>3.885</v>
      </c>
      <c r="Z340" s="33">
        <f>IFERROR(__xludf.DUMMYFUNCTION("""COMPUTED_VALUE"""),0.5575)</f>
        <v>0.5575</v>
      </c>
      <c r="AA340" s="33">
        <f>IFERROR(__xludf.DUMMYFUNCTION("""COMPUTED_VALUE"""),0.567222222222222)</f>
        <v>0.5672222222</v>
      </c>
      <c r="AB340" s="33">
        <f>IFERROR(__xludf.DUMMYFUNCTION("""COMPUTED_VALUE"""),3.70916666666666)</f>
        <v>3.709166667</v>
      </c>
      <c r="AC340" s="33">
        <f>IFERROR(__xludf.DUMMYFUNCTION("""COMPUTED_VALUE"""),3.69861111111111)</f>
        <v>3.698611111</v>
      </c>
      <c r="AD340" s="33">
        <f>IFERROR(__xludf.DUMMYFUNCTION("""COMPUTED_VALUE"""),1.07611111111111)</f>
        <v>1.076111111</v>
      </c>
      <c r="AE340" s="33">
        <f>IFERROR(__xludf.DUMMYFUNCTION("""COMPUTED_VALUE"""),3.69861111111111)</f>
        <v>3.698611111</v>
      </c>
      <c r="AF340" s="33">
        <f>IFERROR(__xludf.DUMMYFUNCTION("""COMPUTED_VALUE"""),20.0)</f>
        <v>20</v>
      </c>
    </row>
    <row r="341">
      <c r="A341" s="49">
        <f>IFERROR(__xludf.DUMMYFUNCTION("""COMPUTED_VALUE"""),46062.0)</f>
        <v>46062</v>
      </c>
      <c r="B341" s="33" t="str">
        <f>IFERROR(__xludf.DUMMYFUNCTION("""COMPUTED_VALUE"""),"bb6f447c782519839d8793fda0d35f90bad4421a")</f>
        <v>bb6f447c782519839d8793fda0d35f90bad4421a</v>
      </c>
      <c r="C341" s="33" t="str">
        <f>IFERROR(__xludf.DUMMYFUNCTION("""COMPUTED_VALUE"""),"Ruthless")</f>
        <v>Ruthless</v>
      </c>
      <c r="D341" s="33">
        <f>IFERROR(__xludf.DUMMYFUNCTION("""COMPUTED_VALUE"""),10.0)</f>
        <v>10</v>
      </c>
      <c r="E341" s="33">
        <f>IFERROR(__xludf.DUMMYFUNCTION("""COMPUTED_VALUE"""),8.0)</f>
        <v>8</v>
      </c>
      <c r="F341" s="33">
        <f>IFERROR(__xludf.DUMMYFUNCTION("""COMPUTED_VALUE"""),12.0)</f>
        <v>12</v>
      </c>
      <c r="G341" s="33">
        <f>IFERROR(__xludf.DUMMYFUNCTION("""COMPUTED_VALUE"""),6.0)</f>
        <v>6</v>
      </c>
      <c r="H341" s="33">
        <f>IFERROR(__xludf.DUMMYFUNCTION("""COMPUTED_VALUE"""),12.0)</f>
        <v>12</v>
      </c>
      <c r="I341" s="33">
        <f>IFERROR(__xludf.DUMMYFUNCTION("""COMPUTED_VALUE"""),0.0)</f>
        <v>0</v>
      </c>
      <c r="J341" s="33">
        <f>IFERROR(__xludf.DUMMYFUNCTION("""COMPUTED_VALUE"""),14.0)</f>
        <v>14</v>
      </c>
      <c r="K341" s="33">
        <f>IFERROR(__xludf.DUMMYFUNCTION("""COMPUTED_VALUE"""),14.0)</f>
        <v>14</v>
      </c>
      <c r="L341" s="33">
        <f>IFERROR(__xludf.DUMMYFUNCTION("""COMPUTED_VALUE"""),11.0)</f>
        <v>11</v>
      </c>
      <c r="M341" s="33">
        <f>IFERROR(__xludf.DUMMYFUNCTION("""COMPUTED_VALUE"""),18.0)</f>
        <v>18</v>
      </c>
      <c r="N341" s="33">
        <f>IFERROR(__xludf.DUMMYFUNCTION("""COMPUTED_VALUE"""),22.0)</f>
        <v>22</v>
      </c>
      <c r="O341" s="33">
        <f>IFERROR(__xludf.DUMMYFUNCTION("""COMPUTED_VALUE"""),7.0)</f>
        <v>7</v>
      </c>
      <c r="P341" s="33">
        <f>IFERROR(__xludf.DUMMYFUNCTION("""COMPUTED_VALUE"""),22.0)</f>
        <v>22</v>
      </c>
      <c r="Q341" s="33">
        <f>IFERROR(__xludf.DUMMYFUNCTION("""COMPUTED_VALUE"""),0.0)</f>
        <v>0</v>
      </c>
      <c r="R341" s="33">
        <f>IFERROR(__xludf.DUMMYFUNCTION("""COMPUTED_VALUE"""),22057.0)</f>
        <v>22057</v>
      </c>
      <c r="S341" s="33">
        <f>IFERROR(__xludf.DUMMYFUNCTION("""COMPUTED_VALUE"""),21257.0)</f>
        <v>21257</v>
      </c>
      <c r="T341" s="33">
        <f>IFERROR(__xludf.DUMMYFUNCTION("""COMPUTED_VALUE"""),2.28388888888888)</f>
        <v>2.283888889</v>
      </c>
      <c r="U341" s="33">
        <f>IFERROR(__xludf.DUMMYFUNCTION("""COMPUTED_VALUE"""),2.68166666666666)</f>
        <v>2.681666667</v>
      </c>
      <c r="V341" s="33">
        <f>IFERROR(__xludf.DUMMYFUNCTION("""COMPUTED_VALUE"""),1.31138888888888)</f>
        <v>1.311388889</v>
      </c>
      <c r="W341" s="33">
        <f>IFERROR(__xludf.DUMMYFUNCTION("""COMPUTED_VALUE"""),2.67416666666666)</f>
        <v>2.674166667</v>
      </c>
      <c r="X341" s="33">
        <f>IFERROR(__xludf.DUMMYFUNCTION("""COMPUTED_VALUE"""),0.0)</f>
        <v>0</v>
      </c>
      <c r="Y341" s="33">
        <f>IFERROR(__xludf.DUMMYFUNCTION("""COMPUTED_VALUE"""),3.12055555555555)</f>
        <v>3.120555556</v>
      </c>
      <c r="Z341" s="33">
        <f>IFERROR(__xludf.DUMMYFUNCTION("""COMPUTED_VALUE"""),3.16722222222222)</f>
        <v>3.167222222</v>
      </c>
      <c r="AA341" s="33">
        <f>IFERROR(__xludf.DUMMYFUNCTION("""COMPUTED_VALUE"""),2.48583333333333)</f>
        <v>2.485833333</v>
      </c>
      <c r="AB341" s="33">
        <f>IFERROR(__xludf.DUMMYFUNCTION("""COMPUTED_VALUE"""),4.08666666666666)</f>
        <v>4.086666667</v>
      </c>
      <c r="AC341" s="33">
        <f>IFERROR(__xludf.DUMMYFUNCTION("""COMPUTED_VALUE"""),5.03777777777777)</f>
        <v>5.037777778</v>
      </c>
      <c r="AD341" s="33">
        <f>IFERROR(__xludf.DUMMYFUNCTION("""COMPUTED_VALUE"""),1.65722222222222)</f>
        <v>1.657222222</v>
      </c>
      <c r="AE341" s="33">
        <f>IFERROR(__xludf.DUMMYFUNCTION("""COMPUTED_VALUE"""),5.03777777777777)</f>
        <v>5.037777778</v>
      </c>
      <c r="AF341" s="33">
        <f>IFERROR(__xludf.DUMMYFUNCTION("""COMPUTED_VALUE"""),10.0)</f>
        <v>10</v>
      </c>
    </row>
    <row r="342">
      <c r="A342" s="49">
        <f>IFERROR(__xludf.DUMMYFUNCTION("""COMPUTED_VALUE"""),46062.0)</f>
        <v>46062</v>
      </c>
      <c r="B342" s="33" t="str">
        <f>IFERROR(__xludf.DUMMYFUNCTION("""COMPUTED_VALUE"""),"ca6c466ebfcd2658a9f1641045f468c15417a1e7")</f>
        <v>ca6c466ebfcd2658a9f1641045f468c15417a1e7</v>
      </c>
      <c r="C342" s="33" t="str">
        <f>IFERROR(__xludf.DUMMYFUNCTION("""COMPUTED_VALUE"""),"My Mysterious Princess")</f>
        <v>My Mysterious Princess</v>
      </c>
      <c r="D342" s="33">
        <f>IFERROR(__xludf.DUMMYFUNCTION("""COMPUTED_VALUE"""),18.0)</f>
        <v>18</v>
      </c>
      <c r="E342" s="33">
        <f>IFERROR(__xludf.DUMMYFUNCTION("""COMPUTED_VALUE"""),13.0)</f>
        <v>13</v>
      </c>
      <c r="F342" s="33">
        <f>IFERROR(__xludf.DUMMYFUNCTION("""COMPUTED_VALUE"""),5.0)</f>
        <v>5</v>
      </c>
      <c r="G342" s="33">
        <f>IFERROR(__xludf.DUMMYFUNCTION("""COMPUTED_VALUE"""),0.0)</f>
        <v>0</v>
      </c>
      <c r="H342" s="33">
        <f>IFERROR(__xludf.DUMMYFUNCTION("""COMPUTED_VALUE"""),12.0)</f>
        <v>12</v>
      </c>
      <c r="I342" s="33">
        <f>IFERROR(__xludf.DUMMYFUNCTION("""COMPUTED_VALUE"""),6.0)</f>
        <v>6</v>
      </c>
      <c r="J342" s="33">
        <f>IFERROR(__xludf.DUMMYFUNCTION("""COMPUTED_VALUE"""),15.0)</f>
        <v>15</v>
      </c>
      <c r="K342" s="33">
        <f>IFERROR(__xludf.DUMMYFUNCTION("""COMPUTED_VALUE"""),1.0)</f>
        <v>1</v>
      </c>
      <c r="L342" s="33">
        <f>IFERROR(__xludf.DUMMYFUNCTION("""COMPUTED_VALUE"""),0.0)</f>
        <v>0</v>
      </c>
      <c r="M342" s="33">
        <f>IFERROR(__xludf.DUMMYFUNCTION("""COMPUTED_VALUE"""),16.0)</f>
        <v>16</v>
      </c>
      <c r="N342" s="33">
        <f>IFERROR(__xludf.DUMMYFUNCTION("""COMPUTED_VALUE"""),17.0)</f>
        <v>17</v>
      </c>
      <c r="O342" s="33">
        <f>IFERROR(__xludf.DUMMYFUNCTION("""COMPUTED_VALUE"""),7.0)</f>
        <v>7</v>
      </c>
      <c r="P342" s="33">
        <f>IFERROR(__xludf.DUMMYFUNCTION("""COMPUTED_VALUE"""),17.0)</f>
        <v>17</v>
      </c>
      <c r="Q342" s="33">
        <f>IFERROR(__xludf.DUMMYFUNCTION("""COMPUTED_VALUE"""),0.0)</f>
        <v>0</v>
      </c>
      <c r="R342" s="33">
        <f>IFERROR(__xludf.DUMMYFUNCTION("""COMPUTED_VALUE"""),40263.0)</f>
        <v>40263</v>
      </c>
      <c r="S342" s="33">
        <f>IFERROR(__xludf.DUMMYFUNCTION("""COMPUTED_VALUE"""),29186.0)</f>
        <v>29186</v>
      </c>
      <c r="T342" s="33">
        <f>IFERROR(__xludf.DUMMYFUNCTION("""COMPUTED_VALUE"""),3.27222222222222)</f>
        <v>3.272222222</v>
      </c>
      <c r="U342" s="33">
        <f>IFERROR(__xludf.DUMMYFUNCTION("""COMPUTED_VALUE"""),1.10194444444444)</f>
        <v>1.101944444</v>
      </c>
      <c r="V342" s="33">
        <f>IFERROR(__xludf.DUMMYFUNCTION("""COMPUTED_VALUE"""),0.0)</f>
        <v>0</v>
      </c>
      <c r="W342" s="33">
        <f>IFERROR(__xludf.DUMMYFUNCTION("""COMPUTED_VALUE"""),2.87833333333333)</f>
        <v>2.878333333</v>
      </c>
      <c r="X342" s="33">
        <f>IFERROR(__xludf.DUMMYFUNCTION("""COMPUTED_VALUE"""),1.45277777777777)</f>
        <v>1.452777778</v>
      </c>
      <c r="Y342" s="33">
        <f>IFERROR(__xludf.DUMMYFUNCTION("""COMPUTED_VALUE"""),3.58444444444444)</f>
        <v>3.584444444</v>
      </c>
      <c r="Z342" s="33">
        <f>IFERROR(__xludf.DUMMYFUNCTION("""COMPUTED_VALUE"""),0.226111111111111)</f>
        <v>0.2261111111</v>
      </c>
      <c r="AA342" s="33">
        <f>IFERROR(__xludf.DUMMYFUNCTION("""COMPUTED_VALUE"""),0.0)</f>
        <v>0</v>
      </c>
      <c r="AB342" s="33">
        <f>IFERROR(__xludf.DUMMYFUNCTION("""COMPUTED_VALUE"""),3.86499999999999)</f>
        <v>3.865</v>
      </c>
      <c r="AC342" s="33">
        <f>IFERROR(__xludf.DUMMYFUNCTION("""COMPUTED_VALUE"""),4.085)</f>
        <v>4.085</v>
      </c>
      <c r="AD342" s="33">
        <f>IFERROR(__xludf.DUMMYFUNCTION("""COMPUTED_VALUE"""),1.71083333333333)</f>
        <v>1.710833333</v>
      </c>
      <c r="AE342" s="33">
        <f>IFERROR(__xludf.DUMMYFUNCTION("""COMPUTED_VALUE"""),4.085)</f>
        <v>4.085</v>
      </c>
      <c r="AF342" s="33">
        <f>IFERROR(__xludf.DUMMYFUNCTION("""COMPUTED_VALUE"""),14.0)</f>
        <v>14</v>
      </c>
    </row>
    <row r="343">
      <c r="A343" s="49">
        <f>IFERROR(__xludf.DUMMYFUNCTION("""COMPUTED_VALUE"""),46062.0)</f>
        <v>46062</v>
      </c>
      <c r="B343" s="33" t="str">
        <f>IFERROR(__xludf.DUMMYFUNCTION("""COMPUTED_VALUE"""),"dbbc7f35e9eb33b7562f0fd82896e827101bf13c")</f>
        <v>dbbc7f35e9eb33b7562f0fd82896e827101bf13c</v>
      </c>
      <c r="C343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43" s="33">
        <f>IFERROR(__xludf.DUMMYFUNCTION("""COMPUTED_VALUE"""),0.0)</f>
        <v>0</v>
      </c>
      <c r="E343" s="33">
        <f>IFERROR(__xludf.DUMMYFUNCTION("""COMPUTED_VALUE"""),0.0)</f>
        <v>0</v>
      </c>
      <c r="F343" s="33">
        <f>IFERROR(__xludf.DUMMYFUNCTION("""COMPUTED_VALUE"""),0.0)</f>
        <v>0</v>
      </c>
      <c r="G343" s="33">
        <f>IFERROR(__xludf.DUMMYFUNCTION("""COMPUTED_VALUE"""),0.0)</f>
        <v>0</v>
      </c>
      <c r="H343" s="33">
        <f>IFERROR(__xludf.DUMMYFUNCTION("""COMPUTED_VALUE"""),0.0)</f>
        <v>0</v>
      </c>
      <c r="I343" s="33">
        <f>IFERROR(__xludf.DUMMYFUNCTION("""COMPUTED_VALUE"""),0.0)</f>
        <v>0</v>
      </c>
      <c r="J343" s="33">
        <f>IFERROR(__xludf.DUMMYFUNCTION("""COMPUTED_VALUE"""),0.0)</f>
        <v>0</v>
      </c>
      <c r="K343" s="33">
        <f>IFERROR(__xludf.DUMMYFUNCTION("""COMPUTED_VALUE"""),0.0)</f>
        <v>0</v>
      </c>
      <c r="L343" s="33">
        <f>IFERROR(__xludf.DUMMYFUNCTION("""COMPUTED_VALUE"""),0.0)</f>
        <v>0</v>
      </c>
      <c r="M343" s="33">
        <f>IFERROR(__xludf.DUMMYFUNCTION("""COMPUTED_VALUE"""),0.0)</f>
        <v>0</v>
      </c>
      <c r="N343" s="33">
        <f>IFERROR(__xludf.DUMMYFUNCTION("""COMPUTED_VALUE"""),13.0)</f>
        <v>13</v>
      </c>
      <c r="O343" s="33">
        <f>IFERROR(__xludf.DUMMYFUNCTION("""COMPUTED_VALUE"""),6.0)</f>
        <v>6</v>
      </c>
      <c r="P343" s="33">
        <f>IFERROR(__xludf.DUMMYFUNCTION("""COMPUTED_VALUE"""),13.0)</f>
        <v>13</v>
      </c>
      <c r="Q343" s="33">
        <f>IFERROR(__xludf.DUMMYFUNCTION("""COMPUTED_VALUE"""),0.0)</f>
        <v>0</v>
      </c>
      <c r="R343" s="33">
        <f>IFERROR(__xludf.DUMMYFUNCTION("""COMPUTED_VALUE"""),0.0)</f>
        <v>0</v>
      </c>
      <c r="S343" s="33">
        <f>IFERROR(__xludf.DUMMYFUNCTION("""COMPUTED_VALUE"""),0.0)</f>
        <v>0</v>
      </c>
      <c r="T343" s="33">
        <f>IFERROR(__xludf.DUMMYFUNCTION("""COMPUTED_VALUE"""),0.0)</f>
        <v>0</v>
      </c>
      <c r="U343" s="33">
        <f>IFERROR(__xludf.DUMMYFUNCTION("""COMPUTED_VALUE"""),0.0)</f>
        <v>0</v>
      </c>
      <c r="V343" s="33">
        <f>IFERROR(__xludf.DUMMYFUNCTION("""COMPUTED_VALUE"""),0.0)</f>
        <v>0</v>
      </c>
      <c r="W343" s="33">
        <f>IFERROR(__xludf.DUMMYFUNCTION("""COMPUTED_VALUE"""),0.0)</f>
        <v>0</v>
      </c>
      <c r="X343" s="33">
        <f>IFERROR(__xludf.DUMMYFUNCTION("""COMPUTED_VALUE"""),0.0)</f>
        <v>0</v>
      </c>
      <c r="Y343" s="33">
        <f>IFERROR(__xludf.DUMMYFUNCTION("""COMPUTED_VALUE"""),0.0)</f>
        <v>0</v>
      </c>
      <c r="Z343" s="33">
        <f>IFERROR(__xludf.DUMMYFUNCTION("""COMPUTED_VALUE"""),0.0)</f>
        <v>0</v>
      </c>
      <c r="AA343" s="33">
        <f>IFERROR(__xludf.DUMMYFUNCTION("""COMPUTED_VALUE"""),0.0)</f>
        <v>0</v>
      </c>
      <c r="AB343" s="33">
        <f>IFERROR(__xludf.DUMMYFUNCTION("""COMPUTED_VALUE"""),0.0)</f>
        <v>0</v>
      </c>
      <c r="AC343" s="33">
        <f>IFERROR(__xludf.DUMMYFUNCTION("""COMPUTED_VALUE"""),0.0)</f>
        <v>0</v>
      </c>
      <c r="AD343" s="33">
        <f>IFERROR(__xludf.DUMMYFUNCTION("""COMPUTED_VALUE"""),1.18694444444444)</f>
        <v>1.186944444</v>
      </c>
      <c r="AE343" s="33">
        <f>IFERROR(__xludf.DUMMYFUNCTION("""COMPUTED_VALUE"""),3.4375)</f>
        <v>3.4375</v>
      </c>
      <c r="AF343" s="33">
        <f>IFERROR(__xludf.DUMMYFUNCTION("""COMPUTED_VALUE"""),0.0)</f>
        <v>0</v>
      </c>
    </row>
    <row r="344">
      <c r="A344" s="49">
        <f>IFERROR(__xludf.DUMMYFUNCTION("""COMPUTED_VALUE"""),46062.0)</f>
        <v>46062</v>
      </c>
      <c r="B344" s="33" t="str">
        <f>IFERROR(__xludf.DUMMYFUNCTION("""COMPUTED_VALUE"""),"e493cee863483a057af12de782cd20043a19ed05")</f>
        <v>e493cee863483a057af12de782cd20043a19ed05</v>
      </c>
      <c r="C344" s="33" t="str">
        <f>IFERROR(__xludf.DUMMYFUNCTION("""COMPUTED_VALUE"""),"Malang")</f>
        <v>Malang</v>
      </c>
      <c r="D344" s="33">
        <f>IFERROR(__xludf.DUMMYFUNCTION("""COMPUTED_VALUE"""),7.0)</f>
        <v>7</v>
      </c>
      <c r="E344" s="33">
        <f>IFERROR(__xludf.DUMMYFUNCTION("""COMPUTED_VALUE"""),14.0)</f>
        <v>14</v>
      </c>
      <c r="F344" s="33">
        <f>IFERROR(__xludf.DUMMYFUNCTION("""COMPUTED_VALUE"""),6.0)</f>
        <v>6</v>
      </c>
      <c r="G344" s="33">
        <f>IFERROR(__xludf.DUMMYFUNCTION("""COMPUTED_VALUE"""),0.0)</f>
        <v>0</v>
      </c>
      <c r="H344" s="33">
        <f>IFERROR(__xludf.DUMMYFUNCTION("""COMPUTED_VALUE"""),12.0)</f>
        <v>12</v>
      </c>
      <c r="I344" s="33">
        <f>IFERROR(__xludf.DUMMYFUNCTION("""COMPUTED_VALUE"""),6.0)</f>
        <v>6</v>
      </c>
      <c r="J344" s="33">
        <f>IFERROR(__xludf.DUMMYFUNCTION("""COMPUTED_VALUE"""),12.0)</f>
        <v>12</v>
      </c>
      <c r="K344" s="33">
        <f>IFERROR(__xludf.DUMMYFUNCTION("""COMPUTED_VALUE"""),3.0)</f>
        <v>3</v>
      </c>
      <c r="L344" s="33">
        <f>IFERROR(__xludf.DUMMYFUNCTION("""COMPUTED_VALUE"""),0.0)</f>
        <v>0</v>
      </c>
      <c r="M344" s="33">
        <f>IFERROR(__xludf.DUMMYFUNCTION("""COMPUTED_VALUE"""),12.0)</f>
        <v>12</v>
      </c>
      <c r="N344" s="33">
        <f>IFERROR(__xludf.DUMMYFUNCTION("""COMPUTED_VALUE"""),12.0)</f>
        <v>12</v>
      </c>
      <c r="O344" s="33">
        <f>IFERROR(__xludf.DUMMYFUNCTION("""COMPUTED_VALUE"""),7.0)</f>
        <v>7</v>
      </c>
      <c r="P344" s="33">
        <f>IFERROR(__xludf.DUMMYFUNCTION("""COMPUTED_VALUE"""),12.0)</f>
        <v>12</v>
      </c>
      <c r="Q344" s="33">
        <f>IFERROR(__xludf.DUMMYFUNCTION("""COMPUTED_VALUE"""),0.0)</f>
        <v>0</v>
      </c>
      <c r="R344" s="33">
        <f>IFERROR(__xludf.DUMMYFUNCTION("""COMPUTED_VALUE"""),15829.0)</f>
        <v>15829</v>
      </c>
      <c r="S344" s="33">
        <f>IFERROR(__xludf.DUMMYFUNCTION("""COMPUTED_VALUE"""),32180.0)</f>
        <v>32180</v>
      </c>
      <c r="T344" s="33">
        <f>IFERROR(__xludf.DUMMYFUNCTION("""COMPUTED_VALUE"""),3.12888888888888)</f>
        <v>3.128888889</v>
      </c>
      <c r="U344" s="33">
        <f>IFERROR(__xludf.DUMMYFUNCTION("""COMPUTED_VALUE"""),1.24166666666666)</f>
        <v>1.241666667</v>
      </c>
      <c r="V344" s="33">
        <f>IFERROR(__xludf.DUMMYFUNCTION("""COMPUTED_VALUE"""),0.0)</f>
        <v>0</v>
      </c>
      <c r="W344" s="33">
        <f>IFERROR(__xludf.DUMMYFUNCTION("""COMPUTED_VALUE"""),2.5075)</f>
        <v>2.5075</v>
      </c>
      <c r="X344" s="33">
        <f>IFERROR(__xludf.DUMMYFUNCTION("""COMPUTED_VALUE"""),1.29027777777777)</f>
        <v>1.290277778</v>
      </c>
      <c r="Y344" s="33">
        <f>IFERROR(__xludf.DUMMYFUNCTION("""COMPUTED_VALUE"""),2.50638888888888)</f>
        <v>2.506388889</v>
      </c>
      <c r="Z344" s="33">
        <f>IFERROR(__xludf.DUMMYFUNCTION("""COMPUTED_VALUE"""),0.636944444444444)</f>
        <v>0.6369444444</v>
      </c>
      <c r="AA344" s="33">
        <f>IFERROR(__xludf.DUMMYFUNCTION("""COMPUTED_VALUE"""),0.0)</f>
        <v>0</v>
      </c>
      <c r="AB344" s="33">
        <f>IFERROR(__xludf.DUMMYFUNCTION("""COMPUTED_VALUE"""),2.50638888888888)</f>
        <v>2.506388889</v>
      </c>
      <c r="AC344" s="33">
        <f>IFERROR(__xludf.DUMMYFUNCTION("""COMPUTED_VALUE"""),2.50638888888888)</f>
        <v>2.506388889</v>
      </c>
      <c r="AD344" s="33">
        <f>IFERROR(__xludf.DUMMYFUNCTION("""COMPUTED_VALUE"""),1.38611111111111)</f>
        <v>1.386111111</v>
      </c>
      <c r="AE344" s="33">
        <f>IFERROR(__xludf.DUMMYFUNCTION("""COMPUTED_VALUE"""),2.50638888888888)</f>
        <v>2.506388889</v>
      </c>
      <c r="AF344" s="33">
        <f>IFERROR(__xludf.DUMMYFUNCTION("""COMPUTED_VALUE"""),15.0)</f>
        <v>15</v>
      </c>
    </row>
    <row r="345">
      <c r="A345" s="49">
        <f>IFERROR(__xludf.DUMMYFUNCTION("""COMPUTED_VALUE"""),46062.0)</f>
        <v>46062</v>
      </c>
      <c r="B345" s="33" t="str">
        <f>IFERROR(__xludf.DUMMYFUNCTION("""COMPUTED_VALUE"""),"f43f4253dc3c596ff8f2e3cc9f3b677981a70310")</f>
        <v>f43f4253dc3c596ff8f2e3cc9f3b677981a70310</v>
      </c>
      <c r="C345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45" s="33">
        <f>IFERROR(__xludf.DUMMYFUNCTION("""COMPUTED_VALUE"""),7.0)</f>
        <v>7</v>
      </c>
      <c r="E345" s="33">
        <f>IFERROR(__xludf.DUMMYFUNCTION("""COMPUTED_VALUE"""),9.0)</f>
        <v>9</v>
      </c>
      <c r="F345" s="33">
        <f>IFERROR(__xludf.DUMMYFUNCTION("""COMPUTED_VALUE"""),0.0)</f>
        <v>0</v>
      </c>
      <c r="G345" s="33">
        <f>IFERROR(__xludf.DUMMYFUNCTION("""COMPUTED_VALUE"""),0.0)</f>
        <v>0</v>
      </c>
      <c r="H345" s="33">
        <f>IFERROR(__xludf.DUMMYFUNCTION("""COMPUTED_VALUE"""),0.0)</f>
        <v>0</v>
      </c>
      <c r="I345" s="33">
        <f>IFERROR(__xludf.DUMMYFUNCTION("""COMPUTED_VALUE"""),0.0)</f>
        <v>0</v>
      </c>
      <c r="J345" s="33">
        <f>IFERROR(__xludf.DUMMYFUNCTION("""COMPUTED_VALUE"""),0.0)</f>
        <v>0</v>
      </c>
      <c r="K345" s="33">
        <f>IFERROR(__xludf.DUMMYFUNCTION("""COMPUTED_VALUE"""),0.0)</f>
        <v>0</v>
      </c>
      <c r="L345" s="33">
        <f>IFERROR(__xludf.DUMMYFUNCTION("""COMPUTED_VALUE"""),0.0)</f>
        <v>0</v>
      </c>
      <c r="M345" s="33">
        <f>IFERROR(__xludf.DUMMYFUNCTION("""COMPUTED_VALUE"""),0.0)</f>
        <v>0</v>
      </c>
      <c r="N345" s="33">
        <f>IFERROR(__xludf.DUMMYFUNCTION("""COMPUTED_VALUE"""),1.0)</f>
        <v>1</v>
      </c>
      <c r="O345" s="33">
        <f>IFERROR(__xludf.DUMMYFUNCTION("""COMPUTED_VALUE"""),5.0)</f>
        <v>5</v>
      </c>
      <c r="P345" s="33">
        <f>IFERROR(__xludf.DUMMYFUNCTION("""COMPUTED_VALUE"""),5.0)</f>
        <v>5</v>
      </c>
      <c r="Q345" s="33">
        <f>IFERROR(__xludf.DUMMYFUNCTION("""COMPUTED_VALUE"""),0.0)</f>
        <v>0</v>
      </c>
      <c r="R345" s="33">
        <f>IFERROR(__xludf.DUMMYFUNCTION("""COMPUTED_VALUE"""),18146.0)</f>
        <v>18146</v>
      </c>
      <c r="S345" s="33">
        <f>IFERROR(__xludf.DUMMYFUNCTION("""COMPUTED_VALUE"""),23846.0)</f>
        <v>23846</v>
      </c>
      <c r="T345" s="33">
        <f>IFERROR(__xludf.DUMMYFUNCTION("""COMPUTED_VALUE"""),0.0)</f>
        <v>0</v>
      </c>
      <c r="U345" s="33">
        <f>IFERROR(__xludf.DUMMYFUNCTION("""COMPUTED_VALUE"""),0.0)</f>
        <v>0</v>
      </c>
      <c r="V345" s="33">
        <f>IFERROR(__xludf.DUMMYFUNCTION("""COMPUTED_VALUE"""),0.0)</f>
        <v>0</v>
      </c>
      <c r="W345" s="33">
        <f>IFERROR(__xludf.DUMMYFUNCTION("""COMPUTED_VALUE"""),0.0)</f>
        <v>0</v>
      </c>
      <c r="X345" s="33">
        <f>IFERROR(__xludf.DUMMYFUNCTION("""COMPUTED_VALUE"""),0.0)</f>
        <v>0</v>
      </c>
      <c r="Y345" s="33">
        <f>IFERROR(__xludf.DUMMYFUNCTION("""COMPUTED_VALUE"""),0.0)</f>
        <v>0</v>
      </c>
      <c r="Z345" s="33">
        <f>IFERROR(__xludf.DUMMYFUNCTION("""COMPUTED_VALUE"""),0.0)</f>
        <v>0</v>
      </c>
      <c r="AA345" s="33">
        <f>IFERROR(__xludf.DUMMYFUNCTION("""COMPUTED_VALUE"""),0.0)</f>
        <v>0</v>
      </c>
      <c r="AB345" s="33">
        <f>IFERROR(__xludf.DUMMYFUNCTION("""COMPUTED_VALUE"""),0.0)</f>
        <v>0</v>
      </c>
      <c r="AC345" s="33">
        <f>IFERROR(__xludf.DUMMYFUNCTION("""COMPUTED_VALUE"""),0.2325)</f>
        <v>0.2325</v>
      </c>
      <c r="AD345" s="33">
        <f>IFERROR(__xludf.DUMMYFUNCTION("""COMPUTED_VALUE"""),1.28083333333333)</f>
        <v>1.280833333</v>
      </c>
      <c r="AE345" s="33">
        <f>IFERROR(__xludf.DUMMYFUNCTION("""COMPUTED_VALUE"""),1.18805555555555)</f>
        <v>1.188055556</v>
      </c>
      <c r="AF345" s="33">
        <f>IFERROR(__xludf.DUMMYFUNCTION("""COMPUTED_VALUE"""),0.0)</f>
        <v>0</v>
      </c>
    </row>
    <row r="346">
      <c r="A346" s="49">
        <f>IFERROR(__xludf.DUMMYFUNCTION("""COMPUTED_VALUE"""),46055.0)</f>
        <v>46055</v>
      </c>
      <c r="B346" s="33" t="str">
        <f>IFERROR(__xludf.DUMMYFUNCTION("""COMPUTED_VALUE"""),"017fddbaa7617afdd8289be5c433df09dcde1da2")</f>
        <v>017fddbaa7617afdd8289be5c433df09dcde1da2</v>
      </c>
      <c r="C346" s="33" t="str">
        <f>IFERROR(__xludf.DUMMYFUNCTION("""COMPUTED_VALUE"""),"His Secret Fortune - Production Show_id")</f>
        <v>His Secret Fortune - Production Show_id</v>
      </c>
      <c r="D346" s="33">
        <f>IFERROR(__xludf.DUMMYFUNCTION("""COMPUTED_VALUE"""),12.0)</f>
        <v>12</v>
      </c>
      <c r="E346" s="33">
        <f>IFERROR(__xludf.DUMMYFUNCTION("""COMPUTED_VALUE"""),17.0)</f>
        <v>17</v>
      </c>
      <c r="F346" s="33">
        <f>IFERROR(__xludf.DUMMYFUNCTION("""COMPUTED_VALUE"""),0.0)</f>
        <v>0</v>
      </c>
      <c r="G346" s="33">
        <f>IFERROR(__xludf.DUMMYFUNCTION("""COMPUTED_VALUE"""),0.0)</f>
        <v>0</v>
      </c>
      <c r="H346" s="33">
        <f>IFERROR(__xludf.DUMMYFUNCTION("""COMPUTED_VALUE"""),1.0)</f>
        <v>1</v>
      </c>
      <c r="I346" s="33">
        <f>IFERROR(__xludf.DUMMYFUNCTION("""COMPUTED_VALUE"""),1.0)</f>
        <v>1</v>
      </c>
      <c r="J346" s="33">
        <f>IFERROR(__xludf.DUMMYFUNCTION("""COMPUTED_VALUE"""),0.0)</f>
        <v>0</v>
      </c>
      <c r="K346" s="33">
        <f>IFERROR(__xludf.DUMMYFUNCTION("""COMPUTED_VALUE"""),0.0)</f>
        <v>0</v>
      </c>
      <c r="L346" s="33">
        <f>IFERROR(__xludf.DUMMYFUNCTION("""COMPUTED_VALUE"""),0.0)</f>
        <v>0</v>
      </c>
      <c r="M346" s="33">
        <f>IFERROR(__xludf.DUMMYFUNCTION("""COMPUTED_VALUE"""),0.0)</f>
        <v>0</v>
      </c>
      <c r="N346" s="33">
        <f>IFERROR(__xludf.DUMMYFUNCTION("""COMPUTED_VALUE"""),0.0)</f>
        <v>0</v>
      </c>
      <c r="O346" s="33">
        <f>IFERROR(__xludf.DUMMYFUNCTION("""COMPUTED_VALUE"""),0.0)</f>
        <v>0</v>
      </c>
      <c r="P346" s="33">
        <f>IFERROR(__xludf.DUMMYFUNCTION("""COMPUTED_VALUE"""),0.0)</f>
        <v>0</v>
      </c>
      <c r="Q346" s="33">
        <f>IFERROR(__xludf.DUMMYFUNCTION("""COMPUTED_VALUE"""),0.0)</f>
        <v>0</v>
      </c>
      <c r="R346" s="33">
        <f>IFERROR(__xludf.DUMMYFUNCTION("""COMPUTED_VALUE"""),25281.0)</f>
        <v>25281</v>
      </c>
      <c r="S346" s="33">
        <f>IFERROR(__xludf.DUMMYFUNCTION("""COMPUTED_VALUE"""),35408.0)</f>
        <v>35408</v>
      </c>
      <c r="T346" s="33">
        <f>IFERROR(__xludf.DUMMYFUNCTION("""COMPUTED_VALUE"""),0.269444444444444)</f>
        <v>0.2694444444</v>
      </c>
      <c r="U346" s="33">
        <f>IFERROR(__xludf.DUMMYFUNCTION("""COMPUTED_VALUE"""),0.0)</f>
        <v>0</v>
      </c>
      <c r="V346" s="33">
        <f>IFERROR(__xludf.DUMMYFUNCTION("""COMPUTED_VALUE"""),0.0)</f>
        <v>0</v>
      </c>
      <c r="W346" s="33">
        <f>IFERROR(__xludf.DUMMYFUNCTION("""COMPUTED_VALUE"""),0.269444444444444)</f>
        <v>0.2694444444</v>
      </c>
      <c r="X346" s="33">
        <f>IFERROR(__xludf.DUMMYFUNCTION("""COMPUTED_VALUE"""),0.269444444444444)</f>
        <v>0.2694444444</v>
      </c>
      <c r="Y346" s="33">
        <f>IFERROR(__xludf.DUMMYFUNCTION("""COMPUTED_VALUE"""),0.0)</f>
        <v>0</v>
      </c>
      <c r="Z346" s="33">
        <f>IFERROR(__xludf.DUMMYFUNCTION("""COMPUTED_VALUE"""),0.0)</f>
        <v>0</v>
      </c>
      <c r="AA346" s="33">
        <f>IFERROR(__xludf.DUMMYFUNCTION("""COMPUTED_VALUE"""),0.0)</f>
        <v>0</v>
      </c>
      <c r="AB346" s="33">
        <f>IFERROR(__xludf.DUMMYFUNCTION("""COMPUTED_VALUE"""),0.0)</f>
        <v>0</v>
      </c>
      <c r="AC346" s="33">
        <f>IFERROR(__xludf.DUMMYFUNCTION("""COMPUTED_VALUE"""),0.0)</f>
        <v>0</v>
      </c>
      <c r="AD346" s="33">
        <f>IFERROR(__xludf.DUMMYFUNCTION("""COMPUTED_VALUE"""),0.0)</f>
        <v>0</v>
      </c>
      <c r="AE346" s="33">
        <f>IFERROR(__xludf.DUMMYFUNCTION("""COMPUTED_VALUE"""),0.0)</f>
        <v>0</v>
      </c>
      <c r="AF346" s="33">
        <f>IFERROR(__xludf.DUMMYFUNCTION("""COMPUTED_VALUE"""),1.0)</f>
        <v>1</v>
      </c>
    </row>
    <row r="347">
      <c r="A347" s="49">
        <f>IFERROR(__xludf.DUMMYFUNCTION("""COMPUTED_VALUE"""),46055.0)</f>
        <v>46055</v>
      </c>
      <c r="B347" s="33" t="str">
        <f>IFERROR(__xludf.DUMMYFUNCTION("""COMPUTED_VALUE"""),"2549f1505a3739b3e90a0b63921ad55271440d40")</f>
        <v>2549f1505a3739b3e90a0b63921ad55271440d40</v>
      </c>
      <c r="C347" s="33" t="str">
        <f>IFERROR(__xludf.DUMMYFUNCTION("""COMPUTED_VALUE"""),"Reborn in Martial World ")</f>
        <v>Reborn in Martial World </v>
      </c>
      <c r="D347" s="33">
        <f>IFERROR(__xludf.DUMMYFUNCTION("""COMPUTED_VALUE"""),0.0)</f>
        <v>0</v>
      </c>
      <c r="E347" s="33">
        <f>IFERROR(__xludf.DUMMYFUNCTION("""COMPUTED_VALUE"""),30.0)</f>
        <v>30</v>
      </c>
      <c r="F347" s="33">
        <f>IFERROR(__xludf.DUMMYFUNCTION("""COMPUTED_VALUE"""),0.0)</f>
        <v>0</v>
      </c>
      <c r="G347" s="33">
        <f>IFERROR(__xludf.DUMMYFUNCTION("""COMPUTED_VALUE"""),0.0)</f>
        <v>0</v>
      </c>
      <c r="H347" s="33">
        <f>IFERROR(__xludf.DUMMYFUNCTION("""COMPUTED_VALUE"""),0.0)</f>
        <v>0</v>
      </c>
      <c r="I347" s="33">
        <f>IFERROR(__xludf.DUMMYFUNCTION("""COMPUTED_VALUE"""),0.0)</f>
        <v>0</v>
      </c>
      <c r="J347" s="33">
        <f>IFERROR(__xludf.DUMMYFUNCTION("""COMPUTED_VALUE"""),0.0)</f>
        <v>0</v>
      </c>
      <c r="K347" s="33">
        <f>IFERROR(__xludf.DUMMYFUNCTION("""COMPUTED_VALUE"""),0.0)</f>
        <v>0</v>
      </c>
      <c r="L347" s="33">
        <f>IFERROR(__xludf.DUMMYFUNCTION("""COMPUTED_VALUE"""),0.0)</f>
        <v>0</v>
      </c>
      <c r="M347" s="33">
        <f>IFERROR(__xludf.DUMMYFUNCTION("""COMPUTED_VALUE"""),0.0)</f>
        <v>0</v>
      </c>
      <c r="N347" s="33">
        <f>IFERROR(__xludf.DUMMYFUNCTION("""COMPUTED_VALUE"""),30.0)</f>
        <v>30</v>
      </c>
      <c r="O347" s="33">
        <f>IFERROR(__xludf.DUMMYFUNCTION("""COMPUTED_VALUE"""),5.0)</f>
        <v>5</v>
      </c>
      <c r="P347" s="33">
        <f>IFERROR(__xludf.DUMMYFUNCTION("""COMPUTED_VALUE"""),30.0)</f>
        <v>30</v>
      </c>
      <c r="Q347" s="33">
        <f>IFERROR(__xludf.DUMMYFUNCTION("""COMPUTED_VALUE"""),0.0)</f>
        <v>0</v>
      </c>
      <c r="R347" s="33">
        <f>IFERROR(__xludf.DUMMYFUNCTION("""COMPUTED_VALUE"""),0.0)</f>
        <v>0</v>
      </c>
      <c r="S347" s="33">
        <f>IFERROR(__xludf.DUMMYFUNCTION("""COMPUTED_VALUE"""),76764.0)</f>
        <v>76764</v>
      </c>
      <c r="T347" s="33">
        <f>IFERROR(__xludf.DUMMYFUNCTION("""COMPUTED_VALUE"""),0.0)</f>
        <v>0</v>
      </c>
      <c r="U347" s="33">
        <f>IFERROR(__xludf.DUMMYFUNCTION("""COMPUTED_VALUE"""),0.0)</f>
        <v>0</v>
      </c>
      <c r="V347" s="33">
        <f>IFERROR(__xludf.DUMMYFUNCTION("""COMPUTED_VALUE"""),0.0)</f>
        <v>0</v>
      </c>
      <c r="W347" s="33">
        <f>IFERROR(__xludf.DUMMYFUNCTION("""COMPUTED_VALUE"""),0.0)</f>
        <v>0</v>
      </c>
      <c r="X347" s="33">
        <f>IFERROR(__xludf.DUMMYFUNCTION("""COMPUTED_VALUE"""),0.0)</f>
        <v>0</v>
      </c>
      <c r="Y347" s="33">
        <f>IFERROR(__xludf.DUMMYFUNCTION("""COMPUTED_VALUE"""),0.0)</f>
        <v>0</v>
      </c>
      <c r="Z347" s="33">
        <f>IFERROR(__xludf.DUMMYFUNCTION("""COMPUTED_VALUE"""),0.0)</f>
        <v>0</v>
      </c>
      <c r="AA347" s="33">
        <f>IFERROR(__xludf.DUMMYFUNCTION("""COMPUTED_VALUE"""),0.0)</f>
        <v>0</v>
      </c>
      <c r="AB347" s="33">
        <f>IFERROR(__xludf.DUMMYFUNCTION("""COMPUTED_VALUE"""),0.0)</f>
        <v>0</v>
      </c>
      <c r="AC347" s="33">
        <f>IFERROR(__xludf.DUMMYFUNCTION("""COMPUTED_VALUE"""),7.97416666666666)</f>
        <v>7.974166667</v>
      </c>
      <c r="AD347" s="33">
        <f>IFERROR(__xludf.DUMMYFUNCTION("""COMPUTED_VALUE"""),0.951944444444444)</f>
        <v>0.9519444444</v>
      </c>
      <c r="AE347" s="33">
        <f>IFERROR(__xludf.DUMMYFUNCTION("""COMPUTED_VALUE"""),7.97416666666666)</f>
        <v>7.974166667</v>
      </c>
      <c r="AF347" s="33">
        <f>IFERROR(__xludf.DUMMYFUNCTION("""COMPUTED_VALUE"""),0.0)</f>
        <v>0</v>
      </c>
    </row>
    <row r="348">
      <c r="A348" s="49">
        <f>IFERROR(__xludf.DUMMYFUNCTION("""COMPUTED_VALUE"""),46055.0)</f>
        <v>46055</v>
      </c>
      <c r="B348" s="33" t="str">
        <f>IFERROR(__xludf.DUMMYFUNCTION("""COMPUTED_VALUE"""),"37e68193f879e91ec362f75f4b46511110658e2b")</f>
        <v>37e68193f879e91ec362f75f4b46511110658e2b</v>
      </c>
      <c r="C348" s="33" t="str">
        <f>IFERROR(__xludf.DUMMYFUNCTION("""COMPUTED_VALUE"""),"Shiva : Ek Pretyodha")</f>
        <v>Shiva : Ek Pretyodha</v>
      </c>
      <c r="D348" s="33">
        <f>IFERROR(__xludf.DUMMYFUNCTION("""COMPUTED_VALUE"""),0.0)</f>
        <v>0</v>
      </c>
      <c r="E348" s="33">
        <f>IFERROR(__xludf.DUMMYFUNCTION("""COMPUTED_VALUE"""),0.0)</f>
        <v>0</v>
      </c>
      <c r="F348" s="33">
        <f>IFERROR(__xludf.DUMMYFUNCTION("""COMPUTED_VALUE"""),0.0)</f>
        <v>0</v>
      </c>
      <c r="G348" s="33">
        <f>IFERROR(__xludf.DUMMYFUNCTION("""COMPUTED_VALUE"""),0.0)</f>
        <v>0</v>
      </c>
      <c r="H348" s="33">
        <f>IFERROR(__xludf.DUMMYFUNCTION("""COMPUTED_VALUE"""),0.0)</f>
        <v>0</v>
      </c>
      <c r="I348" s="33">
        <f>IFERROR(__xludf.DUMMYFUNCTION("""COMPUTED_VALUE"""),0.0)</f>
        <v>0</v>
      </c>
      <c r="J348" s="33">
        <f>IFERROR(__xludf.DUMMYFUNCTION("""COMPUTED_VALUE"""),0.0)</f>
        <v>0</v>
      </c>
      <c r="K348" s="33">
        <f>IFERROR(__xludf.DUMMYFUNCTION("""COMPUTED_VALUE"""),0.0)</f>
        <v>0</v>
      </c>
      <c r="L348" s="33">
        <f>IFERROR(__xludf.DUMMYFUNCTION("""COMPUTED_VALUE"""),0.0)</f>
        <v>0</v>
      </c>
      <c r="M348" s="33">
        <f>IFERROR(__xludf.DUMMYFUNCTION("""COMPUTED_VALUE"""),0.0)</f>
        <v>0</v>
      </c>
      <c r="N348" s="33">
        <f>IFERROR(__xludf.DUMMYFUNCTION("""COMPUTED_VALUE"""),8.0)</f>
        <v>8</v>
      </c>
      <c r="O348" s="33">
        <f>IFERROR(__xludf.DUMMYFUNCTION("""COMPUTED_VALUE"""),22.0)</f>
        <v>22</v>
      </c>
      <c r="P348" s="33">
        <f>IFERROR(__xludf.DUMMYFUNCTION("""COMPUTED_VALUE"""),22.0)</f>
        <v>22</v>
      </c>
      <c r="Q348" s="33">
        <f>IFERROR(__xludf.DUMMYFUNCTION("""COMPUTED_VALUE"""),0.0)</f>
        <v>0</v>
      </c>
      <c r="R348" s="33">
        <f>IFERROR(__xludf.DUMMYFUNCTION("""COMPUTED_VALUE"""),0.0)</f>
        <v>0</v>
      </c>
      <c r="S348" s="33">
        <f>IFERROR(__xludf.DUMMYFUNCTION("""COMPUTED_VALUE"""),0.0)</f>
        <v>0</v>
      </c>
      <c r="T348" s="33">
        <f>IFERROR(__xludf.DUMMYFUNCTION("""COMPUTED_VALUE"""),0.0)</f>
        <v>0</v>
      </c>
      <c r="U348" s="33">
        <f>IFERROR(__xludf.DUMMYFUNCTION("""COMPUTED_VALUE"""),0.0)</f>
        <v>0</v>
      </c>
      <c r="V348" s="33">
        <f>IFERROR(__xludf.DUMMYFUNCTION("""COMPUTED_VALUE"""),0.0)</f>
        <v>0</v>
      </c>
      <c r="W348" s="33">
        <f>IFERROR(__xludf.DUMMYFUNCTION("""COMPUTED_VALUE"""),0.0)</f>
        <v>0</v>
      </c>
      <c r="X348" s="33">
        <f>IFERROR(__xludf.DUMMYFUNCTION("""COMPUTED_VALUE"""),0.0)</f>
        <v>0</v>
      </c>
      <c r="Y348" s="33">
        <f>IFERROR(__xludf.DUMMYFUNCTION("""COMPUTED_VALUE"""),0.0)</f>
        <v>0</v>
      </c>
      <c r="Z348" s="33">
        <f>IFERROR(__xludf.DUMMYFUNCTION("""COMPUTED_VALUE"""),0.0)</f>
        <v>0</v>
      </c>
      <c r="AA348" s="33">
        <f>IFERROR(__xludf.DUMMYFUNCTION("""COMPUTED_VALUE"""),0.0)</f>
        <v>0</v>
      </c>
      <c r="AB348" s="33">
        <f>IFERROR(__xludf.DUMMYFUNCTION("""COMPUTED_VALUE"""),0.0)</f>
        <v>0</v>
      </c>
      <c r="AC348" s="33">
        <f>IFERROR(__xludf.DUMMYFUNCTION("""COMPUTED_VALUE"""),1.77694444444444)</f>
        <v>1.776944444</v>
      </c>
      <c r="AD348" s="33">
        <f>IFERROR(__xludf.DUMMYFUNCTION("""COMPUTED_VALUE"""),2.58083333333333)</f>
        <v>2.580833333</v>
      </c>
      <c r="AE348" s="33">
        <f>IFERROR(__xludf.DUMMYFUNCTION("""COMPUTED_VALUE"""),2.56166666666666)</f>
        <v>2.561666667</v>
      </c>
      <c r="AF348" s="33">
        <f>IFERROR(__xludf.DUMMYFUNCTION("""COMPUTED_VALUE"""),0.0)</f>
        <v>0</v>
      </c>
    </row>
    <row r="349">
      <c r="A349" s="49">
        <f>IFERROR(__xludf.DUMMYFUNCTION("""COMPUTED_VALUE"""),46055.0)</f>
        <v>46055</v>
      </c>
      <c r="B349" s="33" t="str">
        <f>IFERROR(__xludf.DUMMYFUNCTION("""COMPUTED_VALUE"""),"394d109f7b50d9a46fb591dbaaba2d0aac90a696")</f>
        <v>394d109f7b50d9a46fb591dbaaba2d0aac90a696</v>
      </c>
      <c r="C349" s="33" t="str">
        <f>IFERROR(__xludf.DUMMYFUNCTION("""COMPUTED_VALUE"""),"Empire of Hidden King (SRGJ) - Production Show_id")</f>
        <v>Empire of Hidden King (SRGJ) - Production Show_id</v>
      </c>
      <c r="D349" s="33">
        <f>IFERROR(__xludf.DUMMYFUNCTION("""COMPUTED_VALUE"""),19.0)</f>
        <v>19</v>
      </c>
      <c r="E349" s="33">
        <f>IFERROR(__xludf.DUMMYFUNCTION("""COMPUTED_VALUE"""),9.0)</f>
        <v>9</v>
      </c>
      <c r="F349" s="33">
        <f>IFERROR(__xludf.DUMMYFUNCTION("""COMPUTED_VALUE"""),15.0)</f>
        <v>15</v>
      </c>
      <c r="G349" s="33">
        <f>IFERROR(__xludf.DUMMYFUNCTION("""COMPUTED_VALUE"""),14.0)</f>
        <v>14</v>
      </c>
      <c r="H349" s="33">
        <f>IFERROR(__xludf.DUMMYFUNCTION("""COMPUTED_VALUE"""),16.0)</f>
        <v>16</v>
      </c>
      <c r="I349" s="33">
        <f>IFERROR(__xludf.DUMMYFUNCTION("""COMPUTED_VALUE"""),3.0)</f>
        <v>3</v>
      </c>
      <c r="J349" s="33">
        <f>IFERROR(__xludf.DUMMYFUNCTION("""COMPUTED_VALUE"""),15.0)</f>
        <v>15</v>
      </c>
      <c r="K349" s="33">
        <f>IFERROR(__xludf.DUMMYFUNCTION("""COMPUTED_VALUE"""),2.0)</f>
        <v>2</v>
      </c>
      <c r="L349" s="33">
        <f>IFERROR(__xludf.DUMMYFUNCTION("""COMPUTED_VALUE"""),2.0)</f>
        <v>2</v>
      </c>
      <c r="M349" s="33">
        <f>IFERROR(__xludf.DUMMYFUNCTION("""COMPUTED_VALUE"""),14.0)</f>
        <v>14</v>
      </c>
      <c r="N349" s="33">
        <f>IFERROR(__xludf.DUMMYFUNCTION("""COMPUTED_VALUE"""),14.0)</f>
        <v>14</v>
      </c>
      <c r="O349" s="33">
        <f>IFERROR(__xludf.DUMMYFUNCTION("""COMPUTED_VALUE"""),6.0)</f>
        <v>6</v>
      </c>
      <c r="P349" s="33">
        <f>IFERROR(__xludf.DUMMYFUNCTION("""COMPUTED_VALUE"""),14.0)</f>
        <v>14</v>
      </c>
      <c r="Q349" s="33">
        <f>IFERROR(__xludf.DUMMYFUNCTION("""COMPUTED_VALUE"""),0.0)</f>
        <v>0</v>
      </c>
      <c r="R349" s="33">
        <f>IFERROR(__xludf.DUMMYFUNCTION("""COMPUTED_VALUE"""),59595.0)</f>
        <v>59595</v>
      </c>
      <c r="S349" s="33">
        <f>IFERROR(__xludf.DUMMYFUNCTION("""COMPUTED_VALUE"""),28711.0)</f>
        <v>28711</v>
      </c>
      <c r="T349" s="33">
        <f>IFERROR(__xludf.DUMMYFUNCTION("""COMPUTED_VALUE"""),4.26861111111111)</f>
        <v>4.268611111</v>
      </c>
      <c r="U349" s="33">
        <f>IFERROR(__xludf.DUMMYFUNCTION("""COMPUTED_VALUE"""),4.31666666666666)</f>
        <v>4.316666667</v>
      </c>
      <c r="V349" s="33">
        <f>IFERROR(__xludf.DUMMYFUNCTION("""COMPUTED_VALUE"""),4.02805555555555)</f>
        <v>4.028055556</v>
      </c>
      <c r="W349" s="33">
        <f>IFERROR(__xludf.DUMMYFUNCTION("""COMPUTED_VALUE"""),4.54333333333333)</f>
        <v>4.543333333</v>
      </c>
      <c r="X349" s="33">
        <f>IFERROR(__xludf.DUMMYFUNCTION("""COMPUTED_VALUE"""),0.798055555555555)</f>
        <v>0.7980555556</v>
      </c>
      <c r="Y349" s="33">
        <f>IFERROR(__xludf.DUMMYFUNCTION("""COMPUTED_VALUE"""),4.28472222222222)</f>
        <v>4.284722222</v>
      </c>
      <c r="Z349" s="33">
        <f>IFERROR(__xludf.DUMMYFUNCTION("""COMPUTED_VALUE"""),0.606111111111111)</f>
        <v>0.6061111111</v>
      </c>
      <c r="AA349" s="33">
        <f>IFERROR(__xludf.DUMMYFUNCTION("""COMPUTED_VALUE"""),0.606111111111111)</f>
        <v>0.6061111111</v>
      </c>
      <c r="AB349" s="33">
        <f>IFERROR(__xludf.DUMMYFUNCTION("""COMPUTED_VALUE"""),4.01361111111111)</f>
        <v>4.013611111</v>
      </c>
      <c r="AC349" s="33">
        <f>IFERROR(__xludf.DUMMYFUNCTION("""COMPUTED_VALUE"""),4.01361111111111)</f>
        <v>4.013611111</v>
      </c>
      <c r="AD349" s="33">
        <f>IFERROR(__xludf.DUMMYFUNCTION("""COMPUTED_VALUE"""),1.59944444444444)</f>
        <v>1.599444444</v>
      </c>
      <c r="AE349" s="33">
        <f>IFERROR(__xludf.DUMMYFUNCTION("""COMPUTED_VALUE"""),4.01361111111111)</f>
        <v>4.013611111</v>
      </c>
      <c r="AF349" s="33">
        <f>IFERROR(__xludf.DUMMYFUNCTION("""COMPUTED_VALUE"""),15.0)</f>
        <v>15</v>
      </c>
    </row>
    <row r="350">
      <c r="A350" s="49">
        <f>IFERROR(__xludf.DUMMYFUNCTION("""COMPUTED_VALUE"""),46055.0)</f>
        <v>46055</v>
      </c>
      <c r="B350" s="33" t="str">
        <f>IFERROR(__xludf.DUMMYFUNCTION("""COMPUTED_VALUE"""),"5066c0736f9e9444f2b4da840d6860b1f7f47d11")</f>
        <v>5066c0736f9e9444f2b4da840d6860b1f7f47d11</v>
      </c>
      <c r="C350" s="33" t="str">
        <f>IFERROR(__xludf.DUMMYFUNCTION("""COMPUTED_VALUE"""),"The Warrior | Author - Dayaram Prajapati - Replica (For Production Only)")</f>
        <v>The Warrior | Author - Dayaram Prajapati - Replica (For Production Only)</v>
      </c>
      <c r="D350" s="33">
        <f>IFERROR(__xludf.DUMMYFUNCTION("""COMPUTED_VALUE"""),22.0)</f>
        <v>22</v>
      </c>
      <c r="E350" s="33">
        <f>IFERROR(__xludf.DUMMYFUNCTION("""COMPUTED_VALUE"""),16.0)</f>
        <v>16</v>
      </c>
      <c r="F350" s="33">
        <f>IFERROR(__xludf.DUMMYFUNCTION("""COMPUTED_VALUE"""),20.0)</f>
        <v>20</v>
      </c>
      <c r="G350" s="33">
        <f>IFERROR(__xludf.DUMMYFUNCTION("""COMPUTED_VALUE"""),17.0)</f>
        <v>17</v>
      </c>
      <c r="H350" s="33">
        <f>IFERROR(__xludf.DUMMYFUNCTION("""COMPUTED_VALUE"""),18.0)</f>
        <v>18</v>
      </c>
      <c r="I350" s="33">
        <f>IFERROR(__xludf.DUMMYFUNCTION("""COMPUTED_VALUE"""),1.0)</f>
        <v>1</v>
      </c>
      <c r="J350" s="33">
        <f>IFERROR(__xludf.DUMMYFUNCTION("""COMPUTED_VALUE"""),21.0)</f>
        <v>21</v>
      </c>
      <c r="K350" s="33">
        <f>IFERROR(__xludf.DUMMYFUNCTION("""COMPUTED_VALUE"""),7.0)</f>
        <v>7</v>
      </c>
      <c r="L350" s="33">
        <f>IFERROR(__xludf.DUMMYFUNCTION("""COMPUTED_VALUE"""),6.0)</f>
        <v>6</v>
      </c>
      <c r="M350" s="33">
        <f>IFERROR(__xludf.DUMMYFUNCTION("""COMPUTED_VALUE"""),21.0)</f>
        <v>21</v>
      </c>
      <c r="N350" s="33">
        <f>IFERROR(__xludf.DUMMYFUNCTION("""COMPUTED_VALUE"""),21.0)</f>
        <v>21</v>
      </c>
      <c r="O350" s="33">
        <f>IFERROR(__xludf.DUMMYFUNCTION("""COMPUTED_VALUE"""),7.0)</f>
        <v>7</v>
      </c>
      <c r="P350" s="33">
        <f>IFERROR(__xludf.DUMMYFUNCTION("""COMPUTED_VALUE"""),21.0)</f>
        <v>21</v>
      </c>
      <c r="Q350" s="33">
        <f>IFERROR(__xludf.DUMMYFUNCTION("""COMPUTED_VALUE"""),0.0)</f>
        <v>0</v>
      </c>
      <c r="R350" s="33">
        <f>IFERROR(__xludf.DUMMYFUNCTION("""COMPUTED_VALUE"""),63037.0)</f>
        <v>63037</v>
      </c>
      <c r="S350" s="33">
        <f>IFERROR(__xludf.DUMMYFUNCTION("""COMPUTED_VALUE"""),51443.0)</f>
        <v>51443</v>
      </c>
      <c r="T350" s="33">
        <f>IFERROR(__xludf.DUMMYFUNCTION("""COMPUTED_VALUE"""),5.37555555555555)</f>
        <v>5.375555556</v>
      </c>
      <c r="U350" s="33">
        <f>IFERROR(__xludf.DUMMYFUNCTION("""COMPUTED_VALUE"""),5.10972222222222)</f>
        <v>5.109722222</v>
      </c>
      <c r="V350" s="33">
        <f>IFERROR(__xludf.DUMMYFUNCTION("""COMPUTED_VALUE"""),4.19416666666666)</f>
        <v>4.194166667</v>
      </c>
      <c r="W350" s="33">
        <f>IFERROR(__xludf.DUMMYFUNCTION("""COMPUTED_VALUE"""),4.46)</f>
        <v>4.46</v>
      </c>
      <c r="X350" s="33">
        <f>IFERROR(__xludf.DUMMYFUNCTION("""COMPUTED_VALUE"""),0.265833333333333)</f>
        <v>0.2658333333</v>
      </c>
      <c r="Y350" s="33">
        <f>IFERROR(__xludf.DUMMYFUNCTION("""COMPUTED_VALUE"""),5.14888888888888)</f>
        <v>5.148888889</v>
      </c>
      <c r="Z350" s="33">
        <f>IFERROR(__xludf.DUMMYFUNCTION("""COMPUTED_VALUE"""),1.76555555555555)</f>
        <v>1.765555556</v>
      </c>
      <c r="AA350" s="33">
        <f>IFERROR(__xludf.DUMMYFUNCTION("""COMPUTED_VALUE"""),1.51972222222222)</f>
        <v>1.519722222</v>
      </c>
      <c r="AB350" s="33">
        <f>IFERROR(__xludf.DUMMYFUNCTION("""COMPUTED_VALUE"""),5.14861111111111)</f>
        <v>5.148611111</v>
      </c>
      <c r="AC350" s="33">
        <f>IFERROR(__xludf.DUMMYFUNCTION("""COMPUTED_VALUE"""),5.14861111111111)</f>
        <v>5.148611111</v>
      </c>
      <c r="AD350" s="33">
        <f>IFERROR(__xludf.DUMMYFUNCTION("""COMPUTED_VALUE"""),1.72444444444444)</f>
        <v>1.724444444</v>
      </c>
      <c r="AE350" s="33">
        <f>IFERROR(__xludf.DUMMYFUNCTION("""COMPUTED_VALUE"""),5.14861111111111)</f>
        <v>5.148611111</v>
      </c>
      <c r="AF350" s="33">
        <f>IFERROR(__xludf.DUMMYFUNCTION("""COMPUTED_VALUE"""),21.0)</f>
        <v>21</v>
      </c>
    </row>
    <row r="351">
      <c r="A351" s="49">
        <f>IFERROR(__xludf.DUMMYFUNCTION("""COMPUTED_VALUE"""),46055.0)</f>
        <v>46055</v>
      </c>
      <c r="B351" s="33" t="str">
        <f>IFERROR(__xludf.DUMMYFUNCTION("""COMPUTED_VALUE"""),"5baf4c80faf4b2d4eb9401a1d0081872e0158e89")</f>
        <v>5baf4c80faf4b2d4eb9401a1d0081872e0158e89</v>
      </c>
      <c r="C351" s="33" t="str">
        <f>IFERROR(__xludf.DUMMYFUNCTION("""COMPUTED_VALUE"""),"Brahmyodha : The Destroyer - Production showId")</f>
        <v>Brahmyodha : The Destroyer - Production showId</v>
      </c>
      <c r="D351" s="33">
        <f>IFERROR(__xludf.DUMMYFUNCTION("""COMPUTED_VALUE"""),0.0)</f>
        <v>0</v>
      </c>
      <c r="E351" s="33">
        <f>IFERROR(__xludf.DUMMYFUNCTION("""COMPUTED_VALUE"""),18.0)</f>
        <v>18</v>
      </c>
      <c r="F351" s="33">
        <f>IFERROR(__xludf.DUMMYFUNCTION("""COMPUTED_VALUE"""),3.0)</f>
        <v>3</v>
      </c>
      <c r="G351" s="33">
        <f>IFERROR(__xludf.DUMMYFUNCTION("""COMPUTED_VALUE"""),0.0)</f>
        <v>0</v>
      </c>
      <c r="H351" s="33">
        <f>IFERROR(__xludf.DUMMYFUNCTION("""COMPUTED_VALUE"""),16.0)</f>
        <v>16</v>
      </c>
      <c r="I351" s="33">
        <f>IFERROR(__xludf.DUMMYFUNCTION("""COMPUTED_VALUE"""),12.0)</f>
        <v>12</v>
      </c>
      <c r="J351" s="33">
        <f>IFERROR(__xludf.DUMMYFUNCTION("""COMPUTED_VALUE"""),16.0)</f>
        <v>16</v>
      </c>
      <c r="K351" s="33">
        <f>IFERROR(__xludf.DUMMYFUNCTION("""COMPUTED_VALUE"""),0.0)</f>
        <v>0</v>
      </c>
      <c r="L351" s="33">
        <f>IFERROR(__xludf.DUMMYFUNCTION("""COMPUTED_VALUE"""),0.0)</f>
        <v>0</v>
      </c>
      <c r="M351" s="33">
        <f>IFERROR(__xludf.DUMMYFUNCTION("""COMPUTED_VALUE"""),18.0)</f>
        <v>18</v>
      </c>
      <c r="N351" s="33">
        <f>IFERROR(__xludf.DUMMYFUNCTION("""COMPUTED_VALUE"""),18.0)</f>
        <v>18</v>
      </c>
      <c r="O351" s="33">
        <f>IFERROR(__xludf.DUMMYFUNCTION("""COMPUTED_VALUE"""),6.0)</f>
        <v>6</v>
      </c>
      <c r="P351" s="33">
        <f>IFERROR(__xludf.DUMMYFUNCTION("""COMPUTED_VALUE"""),18.0)</f>
        <v>18</v>
      </c>
      <c r="Q351" s="33">
        <f>IFERROR(__xludf.DUMMYFUNCTION("""COMPUTED_VALUE"""),0.0)</f>
        <v>0</v>
      </c>
      <c r="R351" s="33">
        <f>IFERROR(__xludf.DUMMYFUNCTION("""COMPUTED_VALUE"""),0.0)</f>
        <v>0</v>
      </c>
      <c r="S351" s="33">
        <f>IFERROR(__xludf.DUMMYFUNCTION("""COMPUTED_VALUE"""),47375.0)</f>
        <v>47375</v>
      </c>
      <c r="T351" s="33">
        <f>IFERROR(__xludf.DUMMYFUNCTION("""COMPUTED_VALUE"""),2.34583333333333)</f>
        <v>2.345833333</v>
      </c>
      <c r="U351" s="33">
        <f>IFERROR(__xludf.DUMMYFUNCTION("""COMPUTED_VALUE"""),0.7325)</f>
        <v>0.7325</v>
      </c>
      <c r="V351" s="33">
        <f>IFERROR(__xludf.DUMMYFUNCTION("""COMPUTED_VALUE"""),0.0)</f>
        <v>0</v>
      </c>
      <c r="W351" s="33">
        <f>IFERROR(__xludf.DUMMYFUNCTION("""COMPUTED_VALUE"""),4.09833333333333)</f>
        <v>4.098333333</v>
      </c>
      <c r="X351" s="33">
        <f>IFERROR(__xludf.DUMMYFUNCTION("""COMPUTED_VALUE"""),3.08388888888888)</f>
        <v>3.083888889</v>
      </c>
      <c r="Y351" s="33">
        <f>IFERROR(__xludf.DUMMYFUNCTION("""COMPUTED_VALUE"""),4.10972222222222)</f>
        <v>4.109722222</v>
      </c>
      <c r="Z351" s="33">
        <f>IFERROR(__xludf.DUMMYFUNCTION("""COMPUTED_VALUE"""),0.0)</f>
        <v>0</v>
      </c>
      <c r="AA351" s="33">
        <f>IFERROR(__xludf.DUMMYFUNCTION("""COMPUTED_VALUE"""),0.0)</f>
        <v>0</v>
      </c>
      <c r="AB351" s="33">
        <f>IFERROR(__xludf.DUMMYFUNCTION("""COMPUTED_VALUE"""),4.63388888888888)</f>
        <v>4.633888889</v>
      </c>
      <c r="AC351" s="33">
        <f>IFERROR(__xludf.DUMMYFUNCTION("""COMPUTED_VALUE"""),4.63388888888888)</f>
        <v>4.633888889</v>
      </c>
      <c r="AD351" s="33">
        <f>IFERROR(__xludf.DUMMYFUNCTION("""COMPUTED_VALUE"""),1.30861111111111)</f>
        <v>1.308611111</v>
      </c>
      <c r="AE351" s="33">
        <f>IFERROR(__xludf.DUMMYFUNCTION("""COMPUTED_VALUE"""),4.63388888888888)</f>
        <v>4.633888889</v>
      </c>
      <c r="AF351" s="33">
        <f>IFERROR(__xludf.DUMMYFUNCTION("""COMPUTED_VALUE"""),9.0)</f>
        <v>9</v>
      </c>
    </row>
    <row r="352">
      <c r="A352" s="49">
        <f>IFERROR(__xludf.DUMMYFUNCTION("""COMPUTED_VALUE"""),46055.0)</f>
        <v>46055</v>
      </c>
      <c r="B352" s="33" t="str">
        <f>IFERROR(__xludf.DUMMYFUNCTION("""COMPUTED_VALUE"""),"641b6f77fd211e92df35a3bcbab67e6879e19a66")</f>
        <v>641b6f77fd211e92df35a3bcbab67e6879e19a66</v>
      </c>
      <c r="C352" s="33" t="str">
        <f>IFERROR(__xludf.DUMMYFUNCTION("""COMPUTED_VALUE"""),"Mahagatha | महागाथा | Author - S. Mauryavanshi")</f>
        <v>Mahagatha | महागाथा | Author - S. Mauryavanshi</v>
      </c>
      <c r="D352" s="33">
        <f>IFERROR(__xludf.DUMMYFUNCTION("""COMPUTED_VALUE"""),16.0)</f>
        <v>16</v>
      </c>
      <c r="E352" s="33">
        <f>IFERROR(__xludf.DUMMYFUNCTION("""COMPUTED_VALUE"""),20.0)</f>
        <v>20</v>
      </c>
      <c r="F352" s="33">
        <f>IFERROR(__xludf.DUMMYFUNCTION("""COMPUTED_VALUE"""),6.0)</f>
        <v>6</v>
      </c>
      <c r="G352" s="33">
        <f>IFERROR(__xludf.DUMMYFUNCTION("""COMPUTED_VALUE"""),0.0)</f>
        <v>0</v>
      </c>
      <c r="H352" s="33">
        <f>IFERROR(__xludf.DUMMYFUNCTION("""COMPUTED_VALUE"""),16.0)</f>
        <v>16</v>
      </c>
      <c r="I352" s="33">
        <f>IFERROR(__xludf.DUMMYFUNCTION("""COMPUTED_VALUE"""),10.0)</f>
        <v>10</v>
      </c>
      <c r="J352" s="33">
        <f>IFERROR(__xludf.DUMMYFUNCTION("""COMPUTED_VALUE"""),17.0)</f>
        <v>17</v>
      </c>
      <c r="K352" s="33">
        <f>IFERROR(__xludf.DUMMYFUNCTION("""COMPUTED_VALUE"""),2.0)</f>
        <v>2</v>
      </c>
      <c r="L352" s="33">
        <f>IFERROR(__xludf.DUMMYFUNCTION("""COMPUTED_VALUE"""),0.0)</f>
        <v>0</v>
      </c>
      <c r="M352" s="33">
        <f>IFERROR(__xludf.DUMMYFUNCTION("""COMPUTED_VALUE"""),18.0)</f>
        <v>18</v>
      </c>
      <c r="N352" s="33">
        <f>IFERROR(__xludf.DUMMYFUNCTION("""COMPUTED_VALUE"""),18.0)</f>
        <v>18</v>
      </c>
      <c r="O352" s="33">
        <f>IFERROR(__xludf.DUMMYFUNCTION("""COMPUTED_VALUE"""),6.0)</f>
        <v>6</v>
      </c>
      <c r="P352" s="33">
        <f>IFERROR(__xludf.DUMMYFUNCTION("""COMPUTED_VALUE"""),18.0)</f>
        <v>18</v>
      </c>
      <c r="Q352" s="33">
        <f>IFERROR(__xludf.DUMMYFUNCTION("""COMPUTED_VALUE"""),0.0)</f>
        <v>0</v>
      </c>
      <c r="R352" s="33">
        <f>IFERROR(__xludf.DUMMYFUNCTION("""COMPUTED_VALUE"""),38214.0)</f>
        <v>38214</v>
      </c>
      <c r="S352" s="33">
        <f>IFERROR(__xludf.DUMMYFUNCTION("""COMPUTED_VALUE"""),47440.0)</f>
        <v>47440</v>
      </c>
      <c r="T352" s="33">
        <f>IFERROR(__xludf.DUMMYFUNCTION("""COMPUTED_VALUE"""),3.68166666666666)</f>
        <v>3.681666667</v>
      </c>
      <c r="U352" s="33">
        <f>IFERROR(__xludf.DUMMYFUNCTION("""COMPUTED_VALUE"""),1.37666666666666)</f>
        <v>1.376666667</v>
      </c>
      <c r="V352" s="33">
        <f>IFERROR(__xludf.DUMMYFUNCTION("""COMPUTED_VALUE"""),0.0)</f>
        <v>0</v>
      </c>
      <c r="W352" s="33">
        <f>IFERROR(__xludf.DUMMYFUNCTION("""COMPUTED_VALUE"""),3.68472222222222)</f>
        <v>3.684722222</v>
      </c>
      <c r="X352" s="33">
        <f>IFERROR(__xludf.DUMMYFUNCTION("""COMPUTED_VALUE"""),2.30499999999999)</f>
        <v>2.305</v>
      </c>
      <c r="Y352" s="33">
        <f>IFERROR(__xludf.DUMMYFUNCTION("""COMPUTED_VALUE"""),3.94666666666666)</f>
        <v>3.946666667</v>
      </c>
      <c r="Z352" s="33">
        <f>IFERROR(__xludf.DUMMYFUNCTION("""COMPUTED_VALUE"""),0.457777777777777)</f>
        <v>0.4577777778</v>
      </c>
      <c r="AA352" s="33">
        <f>IFERROR(__xludf.DUMMYFUNCTION("""COMPUTED_VALUE"""),0.0)</f>
        <v>0</v>
      </c>
      <c r="AB352" s="33">
        <f>IFERROR(__xludf.DUMMYFUNCTION("""COMPUTED_VALUE"""),4.19166666666666)</f>
        <v>4.191666667</v>
      </c>
      <c r="AC352" s="33">
        <f>IFERROR(__xludf.DUMMYFUNCTION("""COMPUTED_VALUE"""),4.19166666666666)</f>
        <v>4.191666667</v>
      </c>
      <c r="AD352" s="33">
        <f>IFERROR(__xludf.DUMMYFUNCTION("""COMPUTED_VALUE"""),1.38166666666666)</f>
        <v>1.381666667</v>
      </c>
      <c r="AE352" s="33">
        <f>IFERROR(__xludf.DUMMYFUNCTION("""COMPUTED_VALUE"""),4.19166666666666)</f>
        <v>4.191666667</v>
      </c>
      <c r="AF352" s="33">
        <f>IFERROR(__xludf.DUMMYFUNCTION("""COMPUTED_VALUE"""),16.0)</f>
        <v>16</v>
      </c>
    </row>
    <row r="353">
      <c r="A353" s="49">
        <f>IFERROR(__xludf.DUMMYFUNCTION("""COMPUTED_VALUE"""),46055.0)</f>
        <v>46055</v>
      </c>
      <c r="B353" s="33" t="str">
        <f>IFERROR(__xludf.DUMMYFUNCTION("""COMPUTED_VALUE"""),"6b246320a4c5853ce55127d5e00ee8805a97659a")</f>
        <v>6b246320a4c5853ce55127d5e00ee8805a97659a</v>
      </c>
      <c r="C353" s="33" t="str">
        <f>IFERROR(__xludf.DUMMYFUNCTION("""COMPUTED_VALUE"""),"Mystic Fate System - Production Show_id")</f>
        <v>Mystic Fate System - Production Show_id</v>
      </c>
      <c r="D353" s="33">
        <f>IFERROR(__xludf.DUMMYFUNCTION("""COMPUTED_VALUE"""),3.0)</f>
        <v>3</v>
      </c>
      <c r="E353" s="33">
        <f>IFERROR(__xludf.DUMMYFUNCTION("""COMPUTED_VALUE"""),0.0)</f>
        <v>0</v>
      </c>
      <c r="F353" s="33">
        <f>IFERROR(__xludf.DUMMYFUNCTION("""COMPUTED_VALUE"""),0.0)</f>
        <v>0</v>
      </c>
      <c r="G353" s="33">
        <f>IFERROR(__xludf.DUMMYFUNCTION("""COMPUTED_VALUE"""),0.0)</f>
        <v>0</v>
      </c>
      <c r="H353" s="33">
        <f>IFERROR(__xludf.DUMMYFUNCTION("""COMPUTED_VALUE"""),0.0)</f>
        <v>0</v>
      </c>
      <c r="I353" s="33">
        <f>IFERROR(__xludf.DUMMYFUNCTION("""COMPUTED_VALUE"""),0.0)</f>
        <v>0</v>
      </c>
      <c r="J353" s="33">
        <f>IFERROR(__xludf.DUMMYFUNCTION("""COMPUTED_VALUE"""),0.0)</f>
        <v>0</v>
      </c>
      <c r="K353" s="33">
        <f>IFERROR(__xludf.DUMMYFUNCTION("""COMPUTED_VALUE"""),0.0)</f>
        <v>0</v>
      </c>
      <c r="L353" s="33">
        <f>IFERROR(__xludf.DUMMYFUNCTION("""COMPUTED_VALUE"""),0.0)</f>
        <v>0</v>
      </c>
      <c r="M353" s="33">
        <f>IFERROR(__xludf.DUMMYFUNCTION("""COMPUTED_VALUE"""),0.0)</f>
        <v>0</v>
      </c>
      <c r="N353" s="33">
        <f>IFERROR(__xludf.DUMMYFUNCTION("""COMPUTED_VALUE"""),0.0)</f>
        <v>0</v>
      </c>
      <c r="O353" s="33">
        <f>IFERROR(__xludf.DUMMYFUNCTION("""COMPUTED_VALUE"""),0.0)</f>
        <v>0</v>
      </c>
      <c r="P353" s="33">
        <f>IFERROR(__xludf.DUMMYFUNCTION("""COMPUTED_VALUE"""),0.0)</f>
        <v>0</v>
      </c>
      <c r="Q353" s="33">
        <f>IFERROR(__xludf.DUMMYFUNCTION("""COMPUTED_VALUE"""),0.0)</f>
        <v>0</v>
      </c>
      <c r="R353" s="33">
        <f>IFERROR(__xludf.DUMMYFUNCTION("""COMPUTED_VALUE"""),7076.0)</f>
        <v>7076</v>
      </c>
      <c r="S353" s="33">
        <f>IFERROR(__xludf.DUMMYFUNCTION("""COMPUTED_VALUE"""),0.0)</f>
        <v>0</v>
      </c>
      <c r="T353" s="33">
        <f>IFERROR(__xludf.DUMMYFUNCTION("""COMPUTED_VALUE"""),0.0)</f>
        <v>0</v>
      </c>
      <c r="U353" s="33">
        <f>IFERROR(__xludf.DUMMYFUNCTION("""COMPUTED_VALUE"""),0.0)</f>
        <v>0</v>
      </c>
      <c r="V353" s="33">
        <f>IFERROR(__xludf.DUMMYFUNCTION("""COMPUTED_VALUE"""),0.0)</f>
        <v>0</v>
      </c>
      <c r="W353" s="33">
        <f>IFERROR(__xludf.DUMMYFUNCTION("""COMPUTED_VALUE"""),0.0)</f>
        <v>0</v>
      </c>
      <c r="X353" s="33">
        <f>IFERROR(__xludf.DUMMYFUNCTION("""COMPUTED_VALUE"""),0.0)</f>
        <v>0</v>
      </c>
      <c r="Y353" s="33">
        <f>IFERROR(__xludf.DUMMYFUNCTION("""COMPUTED_VALUE"""),0.0)</f>
        <v>0</v>
      </c>
      <c r="Z353" s="33">
        <f>IFERROR(__xludf.DUMMYFUNCTION("""COMPUTED_VALUE"""),0.0)</f>
        <v>0</v>
      </c>
      <c r="AA353" s="33">
        <f>IFERROR(__xludf.DUMMYFUNCTION("""COMPUTED_VALUE"""),0.0)</f>
        <v>0</v>
      </c>
      <c r="AB353" s="33">
        <f>IFERROR(__xludf.DUMMYFUNCTION("""COMPUTED_VALUE"""),0.0)</f>
        <v>0</v>
      </c>
      <c r="AC353" s="33">
        <f>IFERROR(__xludf.DUMMYFUNCTION("""COMPUTED_VALUE"""),0.0)</f>
        <v>0</v>
      </c>
      <c r="AD353" s="33">
        <f>IFERROR(__xludf.DUMMYFUNCTION("""COMPUTED_VALUE"""),0.0)</f>
        <v>0</v>
      </c>
      <c r="AE353" s="33">
        <f>IFERROR(__xludf.DUMMYFUNCTION("""COMPUTED_VALUE"""),0.0)</f>
        <v>0</v>
      </c>
      <c r="AF353" s="33">
        <f>IFERROR(__xludf.DUMMYFUNCTION("""COMPUTED_VALUE"""),0.0)</f>
        <v>0</v>
      </c>
    </row>
    <row r="354">
      <c r="A354" s="49">
        <f>IFERROR(__xludf.DUMMYFUNCTION("""COMPUTED_VALUE"""),46055.0)</f>
        <v>46055</v>
      </c>
      <c r="B354" s="33" t="str">
        <f>IFERROR(__xludf.DUMMYFUNCTION("""COMPUTED_VALUE"""),"81de0bc81be63a15ef7b7f2a301e23b4f3d49745")</f>
        <v>81de0bc81be63a15ef7b7f2a301e23b4f3d49745</v>
      </c>
      <c r="C354" s="33" t="str">
        <f>IFERROR(__xludf.DUMMYFUNCTION("""COMPUTED_VALUE"""),"Married to a Hard Hearted")</f>
        <v>Married to a Hard Hearted</v>
      </c>
      <c r="D354" s="33">
        <f>IFERROR(__xludf.DUMMYFUNCTION("""COMPUTED_VALUE"""),16.0)</f>
        <v>16</v>
      </c>
      <c r="E354" s="33">
        <f>IFERROR(__xludf.DUMMYFUNCTION("""COMPUTED_VALUE"""),17.0)</f>
        <v>17</v>
      </c>
      <c r="F354" s="33">
        <f>IFERROR(__xludf.DUMMYFUNCTION("""COMPUTED_VALUE"""),5.0)</f>
        <v>5</v>
      </c>
      <c r="G354" s="33">
        <f>IFERROR(__xludf.DUMMYFUNCTION("""COMPUTED_VALUE"""),0.0)</f>
        <v>0</v>
      </c>
      <c r="H354" s="33">
        <f>IFERROR(__xludf.DUMMYFUNCTION("""COMPUTED_VALUE"""),13.0)</f>
        <v>13</v>
      </c>
      <c r="I354" s="33">
        <f>IFERROR(__xludf.DUMMYFUNCTION("""COMPUTED_VALUE"""),8.0)</f>
        <v>8</v>
      </c>
      <c r="J354" s="33">
        <f>IFERROR(__xludf.DUMMYFUNCTION("""COMPUTED_VALUE"""),14.0)</f>
        <v>14</v>
      </c>
      <c r="K354" s="33">
        <f>IFERROR(__xludf.DUMMYFUNCTION("""COMPUTED_VALUE"""),0.0)</f>
        <v>0</v>
      </c>
      <c r="L354" s="33">
        <f>IFERROR(__xludf.DUMMYFUNCTION("""COMPUTED_VALUE"""),0.0)</f>
        <v>0</v>
      </c>
      <c r="M354" s="33">
        <f>IFERROR(__xludf.DUMMYFUNCTION("""COMPUTED_VALUE"""),16.0)</f>
        <v>16</v>
      </c>
      <c r="N354" s="33">
        <f>IFERROR(__xludf.DUMMYFUNCTION("""COMPUTED_VALUE"""),16.0)</f>
        <v>16</v>
      </c>
      <c r="O354" s="33">
        <f>IFERROR(__xludf.DUMMYFUNCTION("""COMPUTED_VALUE"""),6.0)</f>
        <v>6</v>
      </c>
      <c r="P354" s="33">
        <f>IFERROR(__xludf.DUMMYFUNCTION("""COMPUTED_VALUE"""),16.0)</f>
        <v>16</v>
      </c>
      <c r="Q354" s="33">
        <f>IFERROR(__xludf.DUMMYFUNCTION("""COMPUTED_VALUE"""),0.0)</f>
        <v>0</v>
      </c>
      <c r="R354" s="33">
        <f>IFERROR(__xludf.DUMMYFUNCTION("""COMPUTED_VALUE"""),32552.0)</f>
        <v>32552</v>
      </c>
      <c r="S354" s="33">
        <f>IFERROR(__xludf.DUMMYFUNCTION("""COMPUTED_VALUE"""),35498.0)</f>
        <v>35498</v>
      </c>
      <c r="T354" s="33">
        <f>IFERROR(__xludf.DUMMYFUNCTION("""COMPUTED_VALUE"""),2.15555555555555)</f>
        <v>2.155555556</v>
      </c>
      <c r="U354" s="33">
        <f>IFERROR(__xludf.DUMMYFUNCTION("""COMPUTED_VALUE"""),0.989166666666666)</f>
        <v>0.9891666667</v>
      </c>
      <c r="V354" s="33">
        <f>IFERROR(__xludf.DUMMYFUNCTION("""COMPUTED_VALUE"""),0.0)</f>
        <v>0</v>
      </c>
      <c r="W354" s="33">
        <f>IFERROR(__xludf.DUMMYFUNCTION("""COMPUTED_VALUE"""),2.55972222222222)</f>
        <v>2.559722222</v>
      </c>
      <c r="X354" s="33">
        <f>IFERROR(__xludf.DUMMYFUNCTION("""COMPUTED_VALUE"""),1.57277777777777)</f>
        <v>1.572777778</v>
      </c>
      <c r="Y354" s="33">
        <f>IFERROR(__xludf.DUMMYFUNCTION("""COMPUTED_VALUE"""),2.75138888888888)</f>
        <v>2.751388889</v>
      </c>
      <c r="Z354" s="33">
        <f>IFERROR(__xludf.DUMMYFUNCTION("""COMPUTED_VALUE"""),0.0)</f>
        <v>0</v>
      </c>
      <c r="AA354" s="33">
        <f>IFERROR(__xludf.DUMMYFUNCTION("""COMPUTED_VALUE"""),0.0)</f>
        <v>0</v>
      </c>
      <c r="AB354" s="33">
        <f>IFERROR(__xludf.DUMMYFUNCTION("""COMPUTED_VALUE"""),3.15416666666666)</f>
        <v>3.154166667</v>
      </c>
      <c r="AC354" s="33">
        <f>IFERROR(__xludf.DUMMYFUNCTION("""COMPUTED_VALUE"""),3.15416666666666)</f>
        <v>3.154166667</v>
      </c>
      <c r="AD354" s="33">
        <f>IFERROR(__xludf.DUMMYFUNCTION("""COMPUTED_VALUE"""),1.14)</f>
        <v>1.14</v>
      </c>
      <c r="AE354" s="33">
        <f>IFERROR(__xludf.DUMMYFUNCTION("""COMPUTED_VALUE"""),3.15416666666666)</f>
        <v>3.154166667</v>
      </c>
      <c r="AF354" s="33">
        <f>IFERROR(__xludf.DUMMYFUNCTION("""COMPUTED_VALUE"""),11.0)</f>
        <v>11</v>
      </c>
    </row>
    <row r="355">
      <c r="A355" s="49">
        <f>IFERROR(__xludf.DUMMYFUNCTION("""COMPUTED_VALUE"""),46055.0)</f>
        <v>46055</v>
      </c>
      <c r="B355" s="33" t="str">
        <f>IFERROR(__xludf.DUMMYFUNCTION("""COMPUTED_VALUE"""),"859785ba4869b28dddcfcb0e75295d1e1ad9b5a9")</f>
        <v>859785ba4869b28dddcfcb0e75295d1e1ad9b5a9</v>
      </c>
      <c r="C355" s="33" t="str">
        <f>IFERROR(__xludf.DUMMYFUNCTION("""COMPUTED_VALUE"""),"King of Dragon | किंग ऑफ ड्रैगन | Author - Nitesh")</f>
        <v>King of Dragon | किंग ऑफ ड्रैगन | Author - Nitesh</v>
      </c>
      <c r="D355" s="33">
        <f>IFERROR(__xludf.DUMMYFUNCTION("""COMPUTED_VALUE"""),0.0)</f>
        <v>0</v>
      </c>
      <c r="E355" s="33">
        <f>IFERROR(__xludf.DUMMYFUNCTION("""COMPUTED_VALUE"""),0.0)</f>
        <v>0</v>
      </c>
      <c r="F355" s="33">
        <f>IFERROR(__xludf.DUMMYFUNCTION("""COMPUTED_VALUE"""),0.0)</f>
        <v>0</v>
      </c>
      <c r="G355" s="33">
        <f>IFERROR(__xludf.DUMMYFUNCTION("""COMPUTED_VALUE"""),0.0)</f>
        <v>0</v>
      </c>
      <c r="H355" s="33">
        <f>IFERROR(__xludf.DUMMYFUNCTION("""COMPUTED_VALUE"""),0.0)</f>
        <v>0</v>
      </c>
      <c r="I355" s="33">
        <f>IFERROR(__xludf.DUMMYFUNCTION("""COMPUTED_VALUE"""),0.0)</f>
        <v>0</v>
      </c>
      <c r="J355" s="33">
        <f>IFERROR(__xludf.DUMMYFUNCTION("""COMPUTED_VALUE"""),0.0)</f>
        <v>0</v>
      </c>
      <c r="K355" s="33">
        <f>IFERROR(__xludf.DUMMYFUNCTION("""COMPUTED_VALUE"""),0.0)</f>
        <v>0</v>
      </c>
      <c r="L355" s="33">
        <f>IFERROR(__xludf.DUMMYFUNCTION("""COMPUTED_VALUE"""),0.0)</f>
        <v>0</v>
      </c>
      <c r="M355" s="33">
        <f>IFERROR(__xludf.DUMMYFUNCTION("""COMPUTED_VALUE"""),0.0)</f>
        <v>0</v>
      </c>
      <c r="N355" s="33">
        <f>IFERROR(__xludf.DUMMYFUNCTION("""COMPUTED_VALUE"""),0.0)</f>
        <v>0</v>
      </c>
      <c r="O355" s="33">
        <f>IFERROR(__xludf.DUMMYFUNCTION("""COMPUTED_VALUE"""),4.0)</f>
        <v>4</v>
      </c>
      <c r="P355" s="33">
        <f>IFERROR(__xludf.DUMMYFUNCTION("""COMPUTED_VALUE"""),7.0)</f>
        <v>7</v>
      </c>
      <c r="Q355" s="33">
        <f>IFERROR(__xludf.DUMMYFUNCTION("""COMPUTED_VALUE"""),0.0)</f>
        <v>0</v>
      </c>
      <c r="R355" s="33">
        <f>IFERROR(__xludf.DUMMYFUNCTION("""COMPUTED_VALUE"""),0.0)</f>
        <v>0</v>
      </c>
      <c r="S355" s="33">
        <f>IFERROR(__xludf.DUMMYFUNCTION("""COMPUTED_VALUE"""),0.0)</f>
        <v>0</v>
      </c>
      <c r="T355" s="33">
        <f>IFERROR(__xludf.DUMMYFUNCTION("""COMPUTED_VALUE"""),0.0)</f>
        <v>0</v>
      </c>
      <c r="U355" s="33">
        <f>IFERROR(__xludf.DUMMYFUNCTION("""COMPUTED_VALUE"""),0.0)</f>
        <v>0</v>
      </c>
      <c r="V355" s="33">
        <f>IFERROR(__xludf.DUMMYFUNCTION("""COMPUTED_VALUE"""),0.0)</f>
        <v>0</v>
      </c>
      <c r="W355" s="33">
        <f>IFERROR(__xludf.DUMMYFUNCTION("""COMPUTED_VALUE"""),0.0)</f>
        <v>0</v>
      </c>
      <c r="X355" s="33">
        <f>IFERROR(__xludf.DUMMYFUNCTION("""COMPUTED_VALUE"""),0.0)</f>
        <v>0</v>
      </c>
      <c r="Y355" s="33">
        <f>IFERROR(__xludf.DUMMYFUNCTION("""COMPUTED_VALUE"""),0.0)</f>
        <v>0</v>
      </c>
      <c r="Z355" s="33">
        <f>IFERROR(__xludf.DUMMYFUNCTION("""COMPUTED_VALUE"""),0.0)</f>
        <v>0</v>
      </c>
      <c r="AA355" s="33">
        <f>IFERROR(__xludf.DUMMYFUNCTION("""COMPUTED_VALUE"""),0.0)</f>
        <v>0</v>
      </c>
      <c r="AB355" s="33">
        <f>IFERROR(__xludf.DUMMYFUNCTION("""COMPUTED_VALUE"""),0.0)</f>
        <v>0</v>
      </c>
      <c r="AC355" s="33">
        <f>IFERROR(__xludf.DUMMYFUNCTION("""COMPUTED_VALUE"""),0.0)</f>
        <v>0</v>
      </c>
      <c r="AD355" s="33">
        <f>IFERROR(__xludf.DUMMYFUNCTION("""COMPUTED_VALUE"""),1.12555555555555)</f>
        <v>1.125555556</v>
      </c>
      <c r="AE355" s="33">
        <f>IFERROR(__xludf.DUMMYFUNCTION("""COMPUTED_VALUE"""),1.99444444444444)</f>
        <v>1.994444444</v>
      </c>
      <c r="AF355" s="33">
        <f>IFERROR(__xludf.DUMMYFUNCTION("""COMPUTED_VALUE"""),0.0)</f>
        <v>0</v>
      </c>
    </row>
    <row r="356">
      <c r="A356" s="49">
        <f>IFERROR(__xludf.DUMMYFUNCTION("""COMPUTED_VALUE"""),46055.0)</f>
        <v>46055</v>
      </c>
      <c r="B356" s="33" t="str">
        <f>IFERROR(__xludf.DUMMYFUNCTION("""COMPUTED_VALUE"""),"96f1f89e4494e06fb7f9e3c4645563fa62ef9320")</f>
        <v>96f1f89e4494e06fb7f9e3c4645563fa62ef9320</v>
      </c>
      <c r="C356" s="33" t="str">
        <f>IFERROR(__xludf.DUMMYFUNCTION("""COMPUTED_VALUE"""),"King of Dragon - Production Show_id")</f>
        <v>King of Dragon - Production Show_id</v>
      </c>
      <c r="D356" s="33">
        <f>IFERROR(__xludf.DUMMYFUNCTION("""COMPUTED_VALUE"""),0.0)</f>
        <v>0</v>
      </c>
      <c r="E356" s="33">
        <f>IFERROR(__xludf.DUMMYFUNCTION("""COMPUTED_VALUE"""),10.0)</f>
        <v>10</v>
      </c>
      <c r="F356" s="33">
        <f>IFERROR(__xludf.DUMMYFUNCTION("""COMPUTED_VALUE"""),10.0)</f>
        <v>10</v>
      </c>
      <c r="G356" s="33">
        <f>IFERROR(__xludf.DUMMYFUNCTION("""COMPUTED_VALUE"""),8.0)</f>
        <v>8</v>
      </c>
      <c r="H356" s="33">
        <f>IFERROR(__xludf.DUMMYFUNCTION("""COMPUTED_VALUE"""),14.0)</f>
        <v>14</v>
      </c>
      <c r="I356" s="33">
        <f>IFERROR(__xludf.DUMMYFUNCTION("""COMPUTED_VALUE"""),6.0)</f>
        <v>6</v>
      </c>
      <c r="J356" s="33">
        <f>IFERROR(__xludf.DUMMYFUNCTION("""COMPUTED_VALUE"""),8.0)</f>
        <v>8</v>
      </c>
      <c r="K356" s="33">
        <f>IFERROR(__xludf.DUMMYFUNCTION("""COMPUTED_VALUE"""),1.0)</f>
        <v>1</v>
      </c>
      <c r="L356" s="33">
        <f>IFERROR(__xludf.DUMMYFUNCTION("""COMPUTED_VALUE"""),1.0)</f>
        <v>1</v>
      </c>
      <c r="M356" s="33">
        <f>IFERROR(__xludf.DUMMYFUNCTION("""COMPUTED_VALUE"""),6.0)</f>
        <v>6</v>
      </c>
      <c r="N356" s="33">
        <f>IFERROR(__xludf.DUMMYFUNCTION("""COMPUTED_VALUE"""),6.0)</f>
        <v>6</v>
      </c>
      <c r="O356" s="33">
        <f>IFERROR(__xludf.DUMMYFUNCTION("""COMPUTED_VALUE"""),6.0)</f>
        <v>6</v>
      </c>
      <c r="P356" s="33">
        <f>IFERROR(__xludf.DUMMYFUNCTION("""COMPUTED_VALUE"""),6.0)</f>
        <v>6</v>
      </c>
      <c r="Q356" s="33">
        <f>IFERROR(__xludf.DUMMYFUNCTION("""COMPUTED_VALUE"""),0.0)</f>
        <v>0</v>
      </c>
      <c r="R356" s="33">
        <f>IFERROR(__xludf.DUMMYFUNCTION("""COMPUTED_VALUE"""),0.0)</f>
        <v>0</v>
      </c>
      <c r="S356" s="33">
        <f>IFERROR(__xludf.DUMMYFUNCTION("""COMPUTED_VALUE"""),24586.0)</f>
        <v>24586</v>
      </c>
      <c r="T356" s="33">
        <f>IFERROR(__xludf.DUMMYFUNCTION("""COMPUTED_VALUE"""),4.26222222222222)</f>
        <v>4.262222222</v>
      </c>
      <c r="U356" s="33">
        <f>IFERROR(__xludf.DUMMYFUNCTION("""COMPUTED_VALUE"""),2.59833333333333)</f>
        <v>2.598333333</v>
      </c>
      <c r="V356" s="33">
        <f>IFERROR(__xludf.DUMMYFUNCTION("""COMPUTED_VALUE"""),2.03388888888888)</f>
        <v>2.033888889</v>
      </c>
      <c r="W356" s="33">
        <f>IFERROR(__xludf.DUMMYFUNCTION("""COMPUTED_VALUE"""),3.53194444444444)</f>
        <v>3.531944444</v>
      </c>
      <c r="X356" s="33">
        <f>IFERROR(__xludf.DUMMYFUNCTION("""COMPUTED_VALUE"""),1.49805555555555)</f>
        <v>1.498055556</v>
      </c>
      <c r="Y356" s="33">
        <f>IFERROR(__xludf.DUMMYFUNCTION("""COMPUTED_VALUE"""),2.04944444444444)</f>
        <v>2.049444444</v>
      </c>
      <c r="Z356" s="33">
        <f>IFERROR(__xludf.DUMMYFUNCTION("""COMPUTED_VALUE"""),0.28)</f>
        <v>0.28</v>
      </c>
      <c r="AA356" s="33">
        <f>IFERROR(__xludf.DUMMYFUNCTION("""COMPUTED_VALUE"""),0.28)</f>
        <v>0.28</v>
      </c>
      <c r="AB356" s="33">
        <f>IFERROR(__xludf.DUMMYFUNCTION("""COMPUTED_VALUE"""),1.55527777777777)</f>
        <v>1.555277778</v>
      </c>
      <c r="AC356" s="33">
        <f>IFERROR(__xludf.DUMMYFUNCTION("""COMPUTED_VALUE"""),1.55527777777777)</f>
        <v>1.555277778</v>
      </c>
      <c r="AD356" s="33">
        <f>IFERROR(__xludf.DUMMYFUNCTION("""COMPUTED_VALUE"""),1.53638888888888)</f>
        <v>1.536388889</v>
      </c>
      <c r="AE356" s="33">
        <f>IFERROR(__xludf.DUMMYFUNCTION("""COMPUTED_VALUE"""),1.55527777777777)</f>
        <v>1.555277778</v>
      </c>
      <c r="AF356" s="33">
        <f>IFERROR(__xludf.DUMMYFUNCTION("""COMPUTED_VALUE"""),16.0)</f>
        <v>16</v>
      </c>
    </row>
    <row r="357">
      <c r="A357" s="49">
        <f>IFERROR(__xludf.DUMMYFUNCTION("""COMPUTED_VALUE"""),46055.0)</f>
        <v>46055</v>
      </c>
      <c r="B357" s="33" t="str">
        <f>IFERROR(__xludf.DUMMYFUNCTION("""COMPUTED_VALUE"""),"a3ba65aa427077188e1ad7dbcbcafae266683ca9")</f>
        <v>a3ba65aa427077188e1ad7dbcbcafae266683ca9</v>
      </c>
      <c r="C357" s="33" t="str">
        <f>IFERROR(__xludf.DUMMYFUNCTION("""COMPUTED_VALUE"""),"The Warrior | Author - Dayaram Prajapati")</f>
        <v>The Warrior | Author - Dayaram Prajapati</v>
      </c>
      <c r="D357" s="33">
        <f>IFERROR(__xludf.DUMMYFUNCTION("""COMPUTED_VALUE"""),12.0)</f>
        <v>12</v>
      </c>
      <c r="E357" s="33">
        <f>IFERROR(__xludf.DUMMYFUNCTION("""COMPUTED_VALUE"""),12.0)</f>
        <v>12</v>
      </c>
      <c r="F357" s="33">
        <f>IFERROR(__xludf.DUMMYFUNCTION("""COMPUTED_VALUE"""),0.0)</f>
        <v>0</v>
      </c>
      <c r="G357" s="33">
        <f>IFERROR(__xludf.DUMMYFUNCTION("""COMPUTED_VALUE"""),0.0)</f>
        <v>0</v>
      </c>
      <c r="H357" s="33">
        <f>IFERROR(__xludf.DUMMYFUNCTION("""COMPUTED_VALUE"""),0.0)</f>
        <v>0</v>
      </c>
      <c r="I357" s="33">
        <f>IFERROR(__xludf.DUMMYFUNCTION("""COMPUTED_VALUE"""),0.0)</f>
        <v>0</v>
      </c>
      <c r="J357" s="33">
        <f>IFERROR(__xludf.DUMMYFUNCTION("""COMPUTED_VALUE"""),0.0)</f>
        <v>0</v>
      </c>
      <c r="K357" s="33">
        <f>IFERROR(__xludf.DUMMYFUNCTION("""COMPUTED_VALUE"""),0.0)</f>
        <v>0</v>
      </c>
      <c r="L357" s="33">
        <f>IFERROR(__xludf.DUMMYFUNCTION("""COMPUTED_VALUE"""),0.0)</f>
        <v>0</v>
      </c>
      <c r="M357" s="33">
        <f>IFERROR(__xludf.DUMMYFUNCTION("""COMPUTED_VALUE"""),12.0)</f>
        <v>12</v>
      </c>
      <c r="N357" s="33">
        <f>IFERROR(__xludf.DUMMYFUNCTION("""COMPUTED_VALUE"""),12.0)</f>
        <v>12</v>
      </c>
      <c r="O357" s="33">
        <f>IFERROR(__xludf.DUMMYFUNCTION("""COMPUTED_VALUE"""),5.0)</f>
        <v>5</v>
      </c>
      <c r="P357" s="33">
        <f>IFERROR(__xludf.DUMMYFUNCTION("""COMPUTED_VALUE"""),12.0)</f>
        <v>12</v>
      </c>
      <c r="Q357" s="33">
        <f>IFERROR(__xludf.DUMMYFUNCTION("""COMPUTED_VALUE"""),0.0)</f>
        <v>0</v>
      </c>
      <c r="R357" s="33">
        <f>IFERROR(__xludf.DUMMYFUNCTION("""COMPUTED_VALUE"""),37025.0)</f>
        <v>37025</v>
      </c>
      <c r="S357" s="33">
        <f>IFERROR(__xludf.DUMMYFUNCTION("""COMPUTED_VALUE"""),36905.0)</f>
        <v>36905</v>
      </c>
      <c r="T357" s="33">
        <f>IFERROR(__xludf.DUMMYFUNCTION("""COMPUTED_VALUE"""),0.0)</f>
        <v>0</v>
      </c>
      <c r="U357" s="33">
        <f>IFERROR(__xludf.DUMMYFUNCTION("""COMPUTED_VALUE"""),0.0)</f>
        <v>0</v>
      </c>
      <c r="V357" s="33">
        <f>IFERROR(__xludf.DUMMYFUNCTION("""COMPUTED_VALUE"""),0.0)</f>
        <v>0</v>
      </c>
      <c r="W357" s="33">
        <f>IFERROR(__xludf.DUMMYFUNCTION("""COMPUTED_VALUE"""),0.0)</f>
        <v>0</v>
      </c>
      <c r="X357" s="33">
        <f>IFERROR(__xludf.DUMMYFUNCTION("""COMPUTED_VALUE"""),0.0)</f>
        <v>0</v>
      </c>
      <c r="Y357" s="33">
        <f>IFERROR(__xludf.DUMMYFUNCTION("""COMPUTED_VALUE"""),0.0)</f>
        <v>0</v>
      </c>
      <c r="Z357" s="33">
        <f>IFERROR(__xludf.DUMMYFUNCTION("""COMPUTED_VALUE"""),0.0)</f>
        <v>0</v>
      </c>
      <c r="AA357" s="33">
        <f>IFERROR(__xludf.DUMMYFUNCTION("""COMPUTED_VALUE"""),0.0)</f>
        <v>0</v>
      </c>
      <c r="AB357" s="33">
        <f>IFERROR(__xludf.DUMMYFUNCTION("""COMPUTED_VALUE"""),3.83222222222222)</f>
        <v>3.832222222</v>
      </c>
      <c r="AC357" s="33">
        <f>IFERROR(__xludf.DUMMYFUNCTION("""COMPUTED_VALUE"""),3.82499999999999)</f>
        <v>3.825</v>
      </c>
      <c r="AD357" s="33">
        <f>IFERROR(__xludf.DUMMYFUNCTION("""COMPUTED_VALUE"""),1.14861111111111)</f>
        <v>1.148611111</v>
      </c>
      <c r="AE357" s="33">
        <f>IFERROR(__xludf.DUMMYFUNCTION("""COMPUTED_VALUE"""),3.825)</f>
        <v>3.825</v>
      </c>
      <c r="AF357" s="33">
        <f>IFERROR(__xludf.DUMMYFUNCTION("""COMPUTED_VALUE"""),0.0)</f>
        <v>0</v>
      </c>
    </row>
    <row r="358">
      <c r="A358" s="49">
        <f>IFERROR(__xludf.DUMMYFUNCTION("""COMPUTED_VALUE"""),46055.0)</f>
        <v>46055</v>
      </c>
      <c r="B358" s="33" t="str">
        <f>IFERROR(__xludf.DUMMYFUNCTION("""COMPUTED_VALUE"""),"aa81f1feb820ed6f22bd7b22b55890db740929cb")</f>
        <v>aa81f1feb820ed6f22bd7b22b55890db740929cb</v>
      </c>
      <c r="C358" s="33" t="str">
        <f>IFERROR(__xludf.DUMMYFUNCTION("""COMPUTED_VALUE"""),"Shunya Samrat")</f>
        <v>Shunya Samrat</v>
      </c>
      <c r="D358" s="33">
        <f>IFERROR(__xludf.DUMMYFUNCTION("""COMPUTED_VALUE"""),30.0)</f>
        <v>30</v>
      </c>
      <c r="E358" s="33">
        <f>IFERROR(__xludf.DUMMYFUNCTION("""COMPUTED_VALUE"""),30.0)</f>
        <v>30</v>
      </c>
      <c r="F358" s="33">
        <f>IFERROR(__xludf.DUMMYFUNCTION("""COMPUTED_VALUE"""),0.0)</f>
        <v>0</v>
      </c>
      <c r="G358" s="33">
        <f>IFERROR(__xludf.DUMMYFUNCTION("""COMPUTED_VALUE"""),0.0)</f>
        <v>0</v>
      </c>
      <c r="H358" s="33">
        <f>IFERROR(__xludf.DUMMYFUNCTION("""COMPUTED_VALUE"""),0.0)</f>
        <v>0</v>
      </c>
      <c r="I358" s="33">
        <f>IFERROR(__xludf.DUMMYFUNCTION("""COMPUTED_VALUE"""),0.0)</f>
        <v>0</v>
      </c>
      <c r="J358" s="33">
        <f>IFERROR(__xludf.DUMMYFUNCTION("""COMPUTED_VALUE"""),0.0)</f>
        <v>0</v>
      </c>
      <c r="K358" s="33">
        <f>IFERROR(__xludf.DUMMYFUNCTION("""COMPUTED_VALUE"""),0.0)</f>
        <v>0</v>
      </c>
      <c r="L358" s="33">
        <f>IFERROR(__xludf.DUMMYFUNCTION("""COMPUTED_VALUE"""),0.0)</f>
        <v>0</v>
      </c>
      <c r="M358" s="33">
        <f>IFERROR(__xludf.DUMMYFUNCTION("""COMPUTED_VALUE"""),0.0)</f>
        <v>0</v>
      </c>
      <c r="N358" s="33">
        <f>IFERROR(__xludf.DUMMYFUNCTION("""COMPUTED_VALUE"""),30.0)</f>
        <v>30</v>
      </c>
      <c r="O358" s="33">
        <f>IFERROR(__xludf.DUMMYFUNCTION("""COMPUTED_VALUE"""),5.0)</f>
        <v>5</v>
      </c>
      <c r="P358" s="33">
        <f>IFERROR(__xludf.DUMMYFUNCTION("""COMPUTED_VALUE"""),30.0)</f>
        <v>30</v>
      </c>
      <c r="Q358" s="33">
        <f>IFERROR(__xludf.DUMMYFUNCTION("""COMPUTED_VALUE"""),0.0)</f>
        <v>0</v>
      </c>
      <c r="R358" s="33">
        <f>IFERROR(__xludf.DUMMYFUNCTION("""COMPUTED_VALUE"""),66389.0)</f>
        <v>66389</v>
      </c>
      <c r="S358" s="33">
        <f>IFERROR(__xludf.DUMMYFUNCTION("""COMPUTED_VALUE"""),66389.0)</f>
        <v>66389</v>
      </c>
      <c r="T358" s="33">
        <f>IFERROR(__xludf.DUMMYFUNCTION("""COMPUTED_VALUE"""),0.0)</f>
        <v>0</v>
      </c>
      <c r="U358" s="33">
        <f>IFERROR(__xludf.DUMMYFUNCTION("""COMPUTED_VALUE"""),0.0)</f>
        <v>0</v>
      </c>
      <c r="V358" s="33">
        <f>IFERROR(__xludf.DUMMYFUNCTION("""COMPUTED_VALUE"""),0.0)</f>
        <v>0</v>
      </c>
      <c r="W358" s="33">
        <f>IFERROR(__xludf.DUMMYFUNCTION("""COMPUTED_VALUE"""),0.0)</f>
        <v>0</v>
      </c>
      <c r="X358" s="33">
        <f>IFERROR(__xludf.DUMMYFUNCTION("""COMPUTED_VALUE"""),0.0)</f>
        <v>0</v>
      </c>
      <c r="Y358" s="33">
        <f>IFERROR(__xludf.DUMMYFUNCTION("""COMPUTED_VALUE"""),0.0)</f>
        <v>0</v>
      </c>
      <c r="Z358" s="33">
        <f>IFERROR(__xludf.DUMMYFUNCTION("""COMPUTED_VALUE"""),0.0)</f>
        <v>0</v>
      </c>
      <c r="AA358" s="33">
        <f>IFERROR(__xludf.DUMMYFUNCTION("""COMPUTED_VALUE"""),0.0)</f>
        <v>0</v>
      </c>
      <c r="AB358" s="33">
        <f>IFERROR(__xludf.DUMMYFUNCTION("""COMPUTED_VALUE"""),0.0)</f>
        <v>0</v>
      </c>
      <c r="AC358" s="33">
        <f>IFERROR(__xludf.DUMMYFUNCTION("""COMPUTED_VALUE"""),7.04277777777777)</f>
        <v>7.042777778</v>
      </c>
      <c r="AD358" s="33">
        <f>IFERROR(__xludf.DUMMYFUNCTION("""COMPUTED_VALUE"""),0.991388888888888)</f>
        <v>0.9913888889</v>
      </c>
      <c r="AE358" s="33">
        <f>IFERROR(__xludf.DUMMYFUNCTION("""COMPUTED_VALUE"""),7.04277777777777)</f>
        <v>7.042777778</v>
      </c>
      <c r="AF358" s="33">
        <f>IFERROR(__xludf.DUMMYFUNCTION("""COMPUTED_VALUE"""),0.0)</f>
        <v>0</v>
      </c>
    </row>
    <row r="359">
      <c r="A359" s="49">
        <f>IFERROR(__xludf.DUMMYFUNCTION("""COMPUTED_VALUE"""),46055.0)</f>
        <v>46055</v>
      </c>
      <c r="B359" s="33" t="str">
        <f>IFERROR(__xludf.DUMMYFUNCTION("""COMPUTED_VALUE"""),"b236b697a3dda78049a484b58d63a75f4503ad66")</f>
        <v>b236b697a3dda78049a484b58d63a75f4503ad66</v>
      </c>
      <c r="C359" s="33" t="str">
        <f>IFERROR(__xludf.DUMMYFUNCTION("""COMPUTED_VALUE"""),"Rudra - Rise of Supreme Yoddha - Production Show_id")</f>
        <v>Rudra - Rise of Supreme Yoddha - Production Show_id</v>
      </c>
      <c r="D359" s="33">
        <f>IFERROR(__xludf.DUMMYFUNCTION("""COMPUTED_VALUE"""),13.0)</f>
        <v>13</v>
      </c>
      <c r="E359" s="33">
        <f>IFERROR(__xludf.DUMMYFUNCTION("""COMPUTED_VALUE"""),7.0)</f>
        <v>7</v>
      </c>
      <c r="F359" s="33">
        <f>IFERROR(__xludf.DUMMYFUNCTION("""COMPUTED_VALUE"""),3.0)</f>
        <v>3</v>
      </c>
      <c r="G359" s="33">
        <f>IFERROR(__xludf.DUMMYFUNCTION("""COMPUTED_VALUE"""),0.0)</f>
        <v>0</v>
      </c>
      <c r="H359" s="33">
        <f>IFERROR(__xludf.DUMMYFUNCTION("""COMPUTED_VALUE"""),3.0)</f>
        <v>3</v>
      </c>
      <c r="I359" s="33">
        <f>IFERROR(__xludf.DUMMYFUNCTION("""COMPUTED_VALUE"""),3.0)</f>
        <v>3</v>
      </c>
      <c r="J359" s="33">
        <f>IFERROR(__xludf.DUMMYFUNCTION("""COMPUTED_VALUE"""),0.0)</f>
        <v>0</v>
      </c>
      <c r="K359" s="33">
        <f>IFERROR(__xludf.DUMMYFUNCTION("""COMPUTED_VALUE"""),0.0)</f>
        <v>0</v>
      </c>
      <c r="L359" s="33">
        <f>IFERROR(__xludf.DUMMYFUNCTION("""COMPUTED_VALUE"""),0.0)</f>
        <v>0</v>
      </c>
      <c r="M359" s="33">
        <f>IFERROR(__xludf.DUMMYFUNCTION("""COMPUTED_VALUE"""),0.0)</f>
        <v>0</v>
      </c>
      <c r="N359" s="33">
        <f>IFERROR(__xludf.DUMMYFUNCTION("""COMPUTED_VALUE"""),0.0)</f>
        <v>0</v>
      </c>
      <c r="O359" s="33">
        <f>IFERROR(__xludf.DUMMYFUNCTION("""COMPUTED_VALUE"""),0.0)</f>
        <v>0</v>
      </c>
      <c r="P359" s="33">
        <f>IFERROR(__xludf.DUMMYFUNCTION("""COMPUTED_VALUE"""),0.0)</f>
        <v>0</v>
      </c>
      <c r="Q359" s="33">
        <f>IFERROR(__xludf.DUMMYFUNCTION("""COMPUTED_VALUE"""),0.0)</f>
        <v>0</v>
      </c>
      <c r="R359" s="33">
        <f>IFERROR(__xludf.DUMMYFUNCTION("""COMPUTED_VALUE"""),28431.0)</f>
        <v>28431</v>
      </c>
      <c r="S359" s="33">
        <f>IFERROR(__xludf.DUMMYFUNCTION("""COMPUTED_VALUE"""),15742.0)</f>
        <v>15742</v>
      </c>
      <c r="T359" s="33">
        <f>IFERROR(__xludf.DUMMYFUNCTION("""COMPUTED_VALUE"""),1.31777777777777)</f>
        <v>1.317777778</v>
      </c>
      <c r="U359" s="33">
        <f>IFERROR(__xludf.DUMMYFUNCTION("""COMPUTED_VALUE"""),0.678055555555555)</f>
        <v>0.6780555556</v>
      </c>
      <c r="V359" s="33">
        <f>IFERROR(__xludf.DUMMYFUNCTION("""COMPUTED_VALUE"""),0.0)</f>
        <v>0</v>
      </c>
      <c r="W359" s="33">
        <f>IFERROR(__xludf.DUMMYFUNCTION("""COMPUTED_VALUE"""),0.639722222222222)</f>
        <v>0.6397222222</v>
      </c>
      <c r="X359" s="33">
        <f>IFERROR(__xludf.DUMMYFUNCTION("""COMPUTED_VALUE"""),0.639722222222222)</f>
        <v>0.6397222222</v>
      </c>
      <c r="Y359" s="33">
        <f>IFERROR(__xludf.DUMMYFUNCTION("""COMPUTED_VALUE"""),0.0)</f>
        <v>0</v>
      </c>
      <c r="Z359" s="33">
        <f>IFERROR(__xludf.DUMMYFUNCTION("""COMPUTED_VALUE"""),0.0)</f>
        <v>0</v>
      </c>
      <c r="AA359" s="33">
        <f>IFERROR(__xludf.DUMMYFUNCTION("""COMPUTED_VALUE"""),0.0)</f>
        <v>0</v>
      </c>
      <c r="AB359" s="33">
        <f>IFERROR(__xludf.DUMMYFUNCTION("""COMPUTED_VALUE"""),0.0)</f>
        <v>0</v>
      </c>
      <c r="AC359" s="33">
        <f>IFERROR(__xludf.DUMMYFUNCTION("""COMPUTED_VALUE"""),0.0)</f>
        <v>0</v>
      </c>
      <c r="AD359" s="33">
        <f>IFERROR(__xludf.DUMMYFUNCTION("""COMPUTED_VALUE"""),0.0)</f>
        <v>0</v>
      </c>
      <c r="AE359" s="33">
        <f>IFERROR(__xludf.DUMMYFUNCTION("""COMPUTED_VALUE"""),0.0)</f>
        <v>0</v>
      </c>
      <c r="AF359" s="33">
        <f>IFERROR(__xludf.DUMMYFUNCTION("""COMPUTED_VALUE"""),6.0)</f>
        <v>6</v>
      </c>
    </row>
    <row r="360">
      <c r="A360" s="49">
        <f>IFERROR(__xludf.DUMMYFUNCTION("""COMPUTED_VALUE"""),46055.0)</f>
        <v>46055</v>
      </c>
      <c r="B360" s="33" t="str">
        <f>IFERROR(__xludf.DUMMYFUNCTION("""COMPUTED_VALUE"""),"b9727274f880f47671ad54caad4904a491fad9c7")</f>
        <v>b9727274f880f47671ad54caad4904a491fad9c7</v>
      </c>
      <c r="C360" s="33" t="str">
        <f>IFERROR(__xludf.DUMMYFUNCTION("""COMPUTED_VALUE"""),"Brahmand Ka Rakshak - Production Show")</f>
        <v>Brahmand Ka Rakshak - Production Show</v>
      </c>
      <c r="D360" s="33">
        <f>IFERROR(__xludf.DUMMYFUNCTION("""COMPUTED_VALUE"""),26.0)</f>
        <v>26</v>
      </c>
      <c r="E360" s="33">
        <f>IFERROR(__xludf.DUMMYFUNCTION("""COMPUTED_VALUE"""),27.0)</f>
        <v>27</v>
      </c>
      <c r="F360" s="33">
        <f>IFERROR(__xludf.DUMMYFUNCTION("""COMPUTED_VALUE"""),5.0)</f>
        <v>5</v>
      </c>
      <c r="G360" s="33">
        <f>IFERROR(__xludf.DUMMYFUNCTION("""COMPUTED_VALUE"""),4.0)</f>
        <v>4</v>
      </c>
      <c r="H360" s="33">
        <f>IFERROR(__xludf.DUMMYFUNCTION("""COMPUTED_VALUE"""),19.0)</f>
        <v>19</v>
      </c>
      <c r="I360" s="33">
        <f>IFERROR(__xludf.DUMMYFUNCTION("""COMPUTED_VALUE"""),15.0)</f>
        <v>15</v>
      </c>
      <c r="J360" s="33">
        <f>IFERROR(__xludf.DUMMYFUNCTION("""COMPUTED_VALUE"""),23.0)</f>
        <v>23</v>
      </c>
      <c r="K360" s="33">
        <f>IFERROR(__xludf.DUMMYFUNCTION("""COMPUTED_VALUE"""),2.0)</f>
        <v>2</v>
      </c>
      <c r="L360" s="33">
        <f>IFERROR(__xludf.DUMMYFUNCTION("""COMPUTED_VALUE"""),0.0)</f>
        <v>0</v>
      </c>
      <c r="M360" s="33">
        <f>IFERROR(__xludf.DUMMYFUNCTION("""COMPUTED_VALUE"""),23.0)</f>
        <v>23</v>
      </c>
      <c r="N360" s="33">
        <f>IFERROR(__xludf.DUMMYFUNCTION("""COMPUTED_VALUE"""),23.0)</f>
        <v>23</v>
      </c>
      <c r="O360" s="33">
        <f>IFERROR(__xludf.DUMMYFUNCTION("""COMPUTED_VALUE"""),6.0)</f>
        <v>6</v>
      </c>
      <c r="P360" s="33">
        <f>IFERROR(__xludf.DUMMYFUNCTION("""COMPUTED_VALUE"""),23.0)</f>
        <v>23</v>
      </c>
      <c r="Q360" s="33">
        <f>IFERROR(__xludf.DUMMYFUNCTION("""COMPUTED_VALUE"""),0.0)</f>
        <v>0</v>
      </c>
      <c r="R360" s="33">
        <f>IFERROR(__xludf.DUMMYFUNCTION("""COMPUTED_VALUE"""),56476.0)</f>
        <v>56476</v>
      </c>
      <c r="S360" s="33">
        <f>IFERROR(__xludf.DUMMYFUNCTION("""COMPUTED_VALUE"""),57140.0)</f>
        <v>57140</v>
      </c>
      <c r="T360" s="33">
        <f>IFERROR(__xludf.DUMMYFUNCTION("""COMPUTED_VALUE"""),3.85666666666666)</f>
        <v>3.856666667</v>
      </c>
      <c r="U360" s="33">
        <f>IFERROR(__xludf.DUMMYFUNCTION("""COMPUTED_VALUE"""),0.966111111111111)</f>
        <v>0.9661111111</v>
      </c>
      <c r="V360" s="33">
        <f>IFERROR(__xludf.DUMMYFUNCTION("""COMPUTED_VALUE"""),0.756944444444444)</f>
        <v>0.7569444444</v>
      </c>
      <c r="W360" s="33">
        <f>IFERROR(__xludf.DUMMYFUNCTION("""COMPUTED_VALUE"""),3.6475)</f>
        <v>3.6475</v>
      </c>
      <c r="X360" s="33">
        <f>IFERROR(__xludf.DUMMYFUNCTION("""COMPUTED_VALUE"""),2.89055555555555)</f>
        <v>2.890555556</v>
      </c>
      <c r="Y360" s="33">
        <f>IFERROR(__xludf.DUMMYFUNCTION("""COMPUTED_VALUE"""),4.51055555555555)</f>
        <v>4.510555556</v>
      </c>
      <c r="Z360" s="33">
        <f>IFERROR(__xludf.DUMMYFUNCTION("""COMPUTED_VALUE"""),0.358055555555555)</f>
        <v>0.3580555556</v>
      </c>
      <c r="AA360" s="33">
        <f>IFERROR(__xludf.DUMMYFUNCTION("""COMPUTED_VALUE"""),0.0)</f>
        <v>0</v>
      </c>
      <c r="AB360" s="33">
        <f>IFERROR(__xludf.DUMMYFUNCTION("""COMPUTED_VALUE"""),4.49222222222222)</f>
        <v>4.492222222</v>
      </c>
      <c r="AC360" s="33">
        <f>IFERROR(__xludf.DUMMYFUNCTION("""COMPUTED_VALUE"""),4.49222222222222)</f>
        <v>4.492222222</v>
      </c>
      <c r="AD360" s="33">
        <f>IFERROR(__xludf.DUMMYFUNCTION("""COMPUTED_VALUE"""),1.14722222222222)</f>
        <v>1.147222222</v>
      </c>
      <c r="AE360" s="33">
        <f>IFERROR(__xludf.DUMMYFUNCTION("""COMPUTED_VALUE"""),4.49222222222222)</f>
        <v>4.492222222</v>
      </c>
      <c r="AF360" s="33">
        <f>IFERROR(__xludf.DUMMYFUNCTION("""COMPUTED_VALUE"""),20.0)</f>
        <v>20</v>
      </c>
    </row>
    <row r="361">
      <c r="A361" s="49">
        <f>IFERROR(__xludf.DUMMYFUNCTION("""COMPUTED_VALUE"""),46055.0)</f>
        <v>46055</v>
      </c>
      <c r="B361" s="33" t="str">
        <f>IFERROR(__xludf.DUMMYFUNCTION("""COMPUTED_VALUE"""),"bb6f447c782519839d8793fda0d35f90bad4421a")</f>
        <v>bb6f447c782519839d8793fda0d35f90bad4421a</v>
      </c>
      <c r="C361" s="33" t="str">
        <f>IFERROR(__xludf.DUMMYFUNCTION("""COMPUTED_VALUE"""),"Ruthless")</f>
        <v>Ruthless</v>
      </c>
      <c r="D361" s="33">
        <f>IFERROR(__xludf.DUMMYFUNCTION("""COMPUTED_VALUE"""),20.0)</f>
        <v>20</v>
      </c>
      <c r="E361" s="33">
        <f>IFERROR(__xludf.DUMMYFUNCTION("""COMPUTED_VALUE"""),19.0)</f>
        <v>19</v>
      </c>
      <c r="F361" s="33">
        <f>IFERROR(__xludf.DUMMYFUNCTION("""COMPUTED_VALUE"""),10.0)</f>
        <v>10</v>
      </c>
      <c r="G361" s="33">
        <f>IFERROR(__xludf.DUMMYFUNCTION("""COMPUTED_VALUE"""),7.0)</f>
        <v>7</v>
      </c>
      <c r="H361" s="33">
        <f>IFERROR(__xludf.DUMMYFUNCTION("""COMPUTED_VALUE"""),10.0)</f>
        <v>10</v>
      </c>
      <c r="I361" s="33">
        <f>IFERROR(__xludf.DUMMYFUNCTION("""COMPUTED_VALUE"""),4.0)</f>
        <v>4</v>
      </c>
      <c r="J361" s="33">
        <f>IFERROR(__xludf.DUMMYFUNCTION("""COMPUTED_VALUE"""),8.0)</f>
        <v>8</v>
      </c>
      <c r="K361" s="33">
        <f>IFERROR(__xludf.DUMMYFUNCTION("""COMPUTED_VALUE"""),3.0)</f>
        <v>3</v>
      </c>
      <c r="L361" s="33">
        <f>IFERROR(__xludf.DUMMYFUNCTION("""COMPUTED_VALUE"""),2.0)</f>
        <v>2</v>
      </c>
      <c r="M361" s="33">
        <f>IFERROR(__xludf.DUMMYFUNCTION("""COMPUTED_VALUE"""),4.0)</f>
        <v>4</v>
      </c>
      <c r="N361" s="33">
        <f>IFERROR(__xludf.DUMMYFUNCTION("""COMPUTED_VALUE"""),0.0)</f>
        <v>0</v>
      </c>
      <c r="O361" s="33">
        <f>IFERROR(__xludf.DUMMYFUNCTION("""COMPUTED_VALUE"""),0.0)</f>
        <v>0</v>
      </c>
      <c r="P361" s="33">
        <f>IFERROR(__xludf.DUMMYFUNCTION("""COMPUTED_VALUE"""),0.0)</f>
        <v>0</v>
      </c>
      <c r="Q361" s="33">
        <f>IFERROR(__xludf.DUMMYFUNCTION("""COMPUTED_VALUE"""),0.0)</f>
        <v>0</v>
      </c>
      <c r="R361" s="33">
        <f>IFERROR(__xludf.DUMMYFUNCTION("""COMPUTED_VALUE"""),50397.0)</f>
        <v>50397</v>
      </c>
      <c r="S361" s="33">
        <f>IFERROR(__xludf.DUMMYFUNCTION("""COMPUTED_VALUE"""),47577.0)</f>
        <v>47577</v>
      </c>
      <c r="T361" s="33">
        <f>IFERROR(__xludf.DUMMYFUNCTION("""COMPUTED_VALUE"""),3.6725)</f>
        <v>3.6725</v>
      </c>
      <c r="U361" s="33">
        <f>IFERROR(__xludf.DUMMYFUNCTION("""COMPUTED_VALUE"""),2.32416666666666)</f>
        <v>2.324166667</v>
      </c>
      <c r="V361" s="33">
        <f>IFERROR(__xludf.DUMMYFUNCTION("""COMPUTED_VALUE"""),1.6625)</f>
        <v>1.6625</v>
      </c>
      <c r="W361" s="33">
        <f>IFERROR(__xludf.DUMMYFUNCTION("""COMPUTED_VALUE"""),2.33694444444444)</f>
        <v>2.336944444</v>
      </c>
      <c r="X361" s="33">
        <f>IFERROR(__xludf.DUMMYFUNCTION("""COMPUTED_VALUE"""),0.893611111111111)</f>
        <v>0.8936111111</v>
      </c>
      <c r="Y361" s="33">
        <f>IFERROR(__xludf.DUMMYFUNCTION("""COMPUTED_VALUE"""),1.91722222222222)</f>
        <v>1.917222222</v>
      </c>
      <c r="Z361" s="33">
        <f>IFERROR(__xludf.DUMMYFUNCTION("""COMPUTED_VALUE"""),0.704166666666666)</f>
        <v>0.7041666667</v>
      </c>
      <c r="AA361" s="33">
        <f>IFERROR(__xludf.DUMMYFUNCTION("""COMPUTED_VALUE"""),0.498333333333333)</f>
        <v>0.4983333333</v>
      </c>
      <c r="AB361" s="33">
        <f>IFERROR(__xludf.DUMMYFUNCTION("""COMPUTED_VALUE"""),0.951111111111111)</f>
        <v>0.9511111111</v>
      </c>
      <c r="AC361" s="33">
        <f>IFERROR(__xludf.DUMMYFUNCTION("""COMPUTED_VALUE"""),0.0)</f>
        <v>0</v>
      </c>
      <c r="AD361" s="33">
        <f>IFERROR(__xludf.DUMMYFUNCTION("""COMPUTED_VALUE"""),0.0)</f>
        <v>0</v>
      </c>
      <c r="AE361" s="33">
        <f>IFERROR(__xludf.DUMMYFUNCTION("""COMPUTED_VALUE"""),0.0)</f>
        <v>0</v>
      </c>
      <c r="AF361" s="33">
        <f>IFERROR(__xludf.DUMMYFUNCTION("""COMPUTED_VALUE"""),16.0)</f>
        <v>16</v>
      </c>
    </row>
    <row r="362">
      <c r="A362" s="49">
        <f>IFERROR(__xludf.DUMMYFUNCTION("""COMPUTED_VALUE"""),46055.0)</f>
        <v>46055</v>
      </c>
      <c r="B362" s="33" t="str">
        <f>IFERROR(__xludf.DUMMYFUNCTION("""COMPUTED_VALUE"""),"ca6c466ebfcd2658a9f1641045f468c15417a1e7")</f>
        <v>ca6c466ebfcd2658a9f1641045f468c15417a1e7</v>
      </c>
      <c r="C362" s="33" t="str">
        <f>IFERROR(__xludf.DUMMYFUNCTION("""COMPUTED_VALUE"""),"My Mysterious Princess")</f>
        <v>My Mysterious Princess</v>
      </c>
      <c r="D362" s="33">
        <f>IFERROR(__xludf.DUMMYFUNCTION("""COMPUTED_VALUE"""),17.0)</f>
        <v>17</v>
      </c>
      <c r="E362" s="33">
        <f>IFERROR(__xludf.DUMMYFUNCTION("""COMPUTED_VALUE"""),17.0)</f>
        <v>17</v>
      </c>
      <c r="F362" s="33">
        <f>IFERROR(__xludf.DUMMYFUNCTION("""COMPUTED_VALUE"""),11.0)</f>
        <v>11</v>
      </c>
      <c r="G362" s="33">
        <f>IFERROR(__xludf.DUMMYFUNCTION("""COMPUTED_VALUE"""),0.0)</f>
        <v>0</v>
      </c>
      <c r="H362" s="33">
        <f>IFERROR(__xludf.DUMMYFUNCTION("""COMPUTED_VALUE"""),16.0)</f>
        <v>16</v>
      </c>
      <c r="I362" s="33">
        <f>IFERROR(__xludf.DUMMYFUNCTION("""COMPUTED_VALUE"""),7.0)</f>
        <v>7</v>
      </c>
      <c r="J362" s="33">
        <f>IFERROR(__xludf.DUMMYFUNCTION("""COMPUTED_VALUE"""),14.0)</f>
        <v>14</v>
      </c>
      <c r="K362" s="33">
        <f>IFERROR(__xludf.DUMMYFUNCTION("""COMPUTED_VALUE"""),0.0)</f>
        <v>0</v>
      </c>
      <c r="L362" s="33">
        <f>IFERROR(__xludf.DUMMYFUNCTION("""COMPUTED_VALUE"""),0.0)</f>
        <v>0</v>
      </c>
      <c r="M362" s="33">
        <f>IFERROR(__xludf.DUMMYFUNCTION("""COMPUTED_VALUE"""),15.0)</f>
        <v>15</v>
      </c>
      <c r="N362" s="33">
        <f>IFERROR(__xludf.DUMMYFUNCTION("""COMPUTED_VALUE"""),14.0)</f>
        <v>14</v>
      </c>
      <c r="O362" s="33">
        <f>IFERROR(__xludf.DUMMYFUNCTION("""COMPUTED_VALUE"""),6.0)</f>
        <v>6</v>
      </c>
      <c r="P362" s="33">
        <f>IFERROR(__xludf.DUMMYFUNCTION("""COMPUTED_VALUE"""),14.0)</f>
        <v>14</v>
      </c>
      <c r="Q362" s="33">
        <f>IFERROR(__xludf.DUMMYFUNCTION("""COMPUTED_VALUE"""),0.0)</f>
        <v>0</v>
      </c>
      <c r="R362" s="33">
        <f>IFERROR(__xludf.DUMMYFUNCTION("""COMPUTED_VALUE"""),38494.0)</f>
        <v>38494</v>
      </c>
      <c r="S362" s="33">
        <f>IFERROR(__xludf.DUMMYFUNCTION("""COMPUTED_VALUE"""),40390.0)</f>
        <v>40390</v>
      </c>
      <c r="T362" s="33">
        <f>IFERROR(__xludf.DUMMYFUNCTION("""COMPUTED_VALUE"""),4.08083333333333)</f>
        <v>4.080833333</v>
      </c>
      <c r="U362" s="33">
        <f>IFERROR(__xludf.DUMMYFUNCTION("""COMPUTED_VALUE"""),2.51027777777777)</f>
        <v>2.510277778</v>
      </c>
      <c r="V362" s="33">
        <f>IFERROR(__xludf.DUMMYFUNCTION("""COMPUTED_VALUE"""),0.0)</f>
        <v>0</v>
      </c>
      <c r="W362" s="33">
        <f>IFERROR(__xludf.DUMMYFUNCTION("""COMPUTED_VALUE"""),3.67694444444444)</f>
        <v>3.676944444</v>
      </c>
      <c r="X362" s="33">
        <f>IFERROR(__xludf.DUMMYFUNCTION("""COMPUTED_VALUE"""),1.57055555555555)</f>
        <v>1.570555556</v>
      </c>
      <c r="Y362" s="33">
        <f>IFERROR(__xludf.DUMMYFUNCTION("""COMPUTED_VALUE"""),3.29805555555555)</f>
        <v>3.298055556</v>
      </c>
      <c r="Z362" s="33">
        <f>IFERROR(__xludf.DUMMYFUNCTION("""COMPUTED_VALUE"""),0.0)</f>
        <v>0</v>
      </c>
      <c r="AA362" s="33">
        <f>IFERROR(__xludf.DUMMYFUNCTION("""COMPUTED_VALUE"""),0.0)</f>
        <v>0</v>
      </c>
      <c r="AB362" s="33">
        <f>IFERROR(__xludf.DUMMYFUNCTION("""COMPUTED_VALUE"""),3.53166666666666)</f>
        <v>3.531666667</v>
      </c>
      <c r="AC362" s="33">
        <f>IFERROR(__xludf.DUMMYFUNCTION("""COMPUTED_VALUE"""),3.30722222222222)</f>
        <v>3.307222222</v>
      </c>
      <c r="AD362" s="33">
        <f>IFERROR(__xludf.DUMMYFUNCTION("""COMPUTED_VALUE"""),1.45555555555555)</f>
        <v>1.455555556</v>
      </c>
      <c r="AE362" s="33">
        <f>IFERROR(__xludf.DUMMYFUNCTION("""COMPUTED_VALUE"""),3.30722222222222)</f>
        <v>3.307222222</v>
      </c>
      <c r="AF362" s="33">
        <f>IFERROR(__xludf.DUMMYFUNCTION("""COMPUTED_VALUE"""),18.0)</f>
        <v>18</v>
      </c>
    </row>
    <row r="363">
      <c r="A363" s="49">
        <f>IFERROR(__xludf.DUMMYFUNCTION("""COMPUTED_VALUE"""),46055.0)</f>
        <v>46055</v>
      </c>
      <c r="B363" s="33" t="str">
        <f>IFERROR(__xludf.DUMMYFUNCTION("""COMPUTED_VALUE"""),"dbbc7f35e9eb33b7562f0fd82896e827101bf13c")</f>
        <v>dbbc7f35e9eb33b7562f0fd82896e827101bf13c</v>
      </c>
      <c r="C363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63" s="33">
        <f>IFERROR(__xludf.DUMMYFUNCTION("""COMPUTED_VALUE"""),0.0)</f>
        <v>0</v>
      </c>
      <c r="E363" s="33">
        <f>IFERROR(__xludf.DUMMYFUNCTION("""COMPUTED_VALUE"""),0.0)</f>
        <v>0</v>
      </c>
      <c r="F363" s="33">
        <f>IFERROR(__xludf.DUMMYFUNCTION("""COMPUTED_VALUE"""),0.0)</f>
        <v>0</v>
      </c>
      <c r="G363" s="33">
        <f>IFERROR(__xludf.DUMMYFUNCTION("""COMPUTED_VALUE"""),0.0)</f>
        <v>0</v>
      </c>
      <c r="H363" s="33">
        <f>IFERROR(__xludf.DUMMYFUNCTION("""COMPUTED_VALUE"""),0.0)</f>
        <v>0</v>
      </c>
      <c r="I363" s="33">
        <f>IFERROR(__xludf.DUMMYFUNCTION("""COMPUTED_VALUE"""),0.0)</f>
        <v>0</v>
      </c>
      <c r="J363" s="33">
        <f>IFERROR(__xludf.DUMMYFUNCTION("""COMPUTED_VALUE"""),0.0)</f>
        <v>0</v>
      </c>
      <c r="K363" s="33">
        <f>IFERROR(__xludf.DUMMYFUNCTION("""COMPUTED_VALUE"""),0.0)</f>
        <v>0</v>
      </c>
      <c r="L363" s="33">
        <f>IFERROR(__xludf.DUMMYFUNCTION("""COMPUTED_VALUE"""),0.0)</f>
        <v>0</v>
      </c>
      <c r="M363" s="33">
        <f>IFERROR(__xludf.DUMMYFUNCTION("""COMPUTED_VALUE"""),0.0)</f>
        <v>0</v>
      </c>
      <c r="N363" s="33">
        <f>IFERROR(__xludf.DUMMYFUNCTION("""COMPUTED_VALUE"""),10.0)</f>
        <v>10</v>
      </c>
      <c r="O363" s="33">
        <f>IFERROR(__xludf.DUMMYFUNCTION("""COMPUTED_VALUE"""),4.0)</f>
        <v>4</v>
      </c>
      <c r="P363" s="33">
        <f>IFERROR(__xludf.DUMMYFUNCTION("""COMPUTED_VALUE"""),10.0)</f>
        <v>10</v>
      </c>
      <c r="Q363" s="33">
        <f>IFERROR(__xludf.DUMMYFUNCTION("""COMPUTED_VALUE"""),0.0)</f>
        <v>0</v>
      </c>
      <c r="R363" s="33">
        <f>IFERROR(__xludf.DUMMYFUNCTION("""COMPUTED_VALUE"""),0.0)</f>
        <v>0</v>
      </c>
      <c r="S363" s="33">
        <f>IFERROR(__xludf.DUMMYFUNCTION("""COMPUTED_VALUE"""),0.0)</f>
        <v>0</v>
      </c>
      <c r="T363" s="33">
        <f>IFERROR(__xludf.DUMMYFUNCTION("""COMPUTED_VALUE"""),0.0)</f>
        <v>0</v>
      </c>
      <c r="U363" s="33">
        <f>IFERROR(__xludf.DUMMYFUNCTION("""COMPUTED_VALUE"""),0.0)</f>
        <v>0</v>
      </c>
      <c r="V363" s="33">
        <f>IFERROR(__xludf.DUMMYFUNCTION("""COMPUTED_VALUE"""),0.0)</f>
        <v>0</v>
      </c>
      <c r="W363" s="33">
        <f>IFERROR(__xludf.DUMMYFUNCTION("""COMPUTED_VALUE"""),0.0)</f>
        <v>0</v>
      </c>
      <c r="X363" s="33">
        <f>IFERROR(__xludf.DUMMYFUNCTION("""COMPUTED_VALUE"""),0.0)</f>
        <v>0</v>
      </c>
      <c r="Y363" s="33">
        <f>IFERROR(__xludf.DUMMYFUNCTION("""COMPUTED_VALUE"""),0.0)</f>
        <v>0</v>
      </c>
      <c r="Z363" s="33">
        <f>IFERROR(__xludf.DUMMYFUNCTION("""COMPUTED_VALUE"""),0.0)</f>
        <v>0</v>
      </c>
      <c r="AA363" s="33">
        <f>IFERROR(__xludf.DUMMYFUNCTION("""COMPUTED_VALUE"""),0.0)</f>
        <v>0</v>
      </c>
      <c r="AB363" s="33">
        <f>IFERROR(__xludf.DUMMYFUNCTION("""COMPUTED_VALUE"""),0.0)</f>
        <v>0</v>
      </c>
      <c r="AC363" s="33">
        <f>IFERROR(__xludf.DUMMYFUNCTION("""COMPUTED_VALUE"""),0.0)</f>
        <v>0</v>
      </c>
      <c r="AD363" s="33">
        <f>IFERROR(__xludf.DUMMYFUNCTION("""COMPUTED_VALUE"""),0.757222222222222)</f>
        <v>0.7572222222</v>
      </c>
      <c r="AE363" s="33">
        <f>IFERROR(__xludf.DUMMYFUNCTION("""COMPUTED_VALUE"""),2.63916666666666)</f>
        <v>2.639166667</v>
      </c>
      <c r="AF363" s="33">
        <f>IFERROR(__xludf.DUMMYFUNCTION("""COMPUTED_VALUE"""),0.0)</f>
        <v>0</v>
      </c>
    </row>
    <row r="364">
      <c r="A364" s="49">
        <f>IFERROR(__xludf.DUMMYFUNCTION("""COMPUTED_VALUE"""),46055.0)</f>
        <v>46055</v>
      </c>
      <c r="B364" s="33" t="str">
        <f>IFERROR(__xludf.DUMMYFUNCTION("""COMPUTED_VALUE"""),"e493cee863483a057af12de782cd20043a19ed05")</f>
        <v>e493cee863483a057af12de782cd20043a19ed05</v>
      </c>
      <c r="C364" s="33" t="str">
        <f>IFERROR(__xludf.DUMMYFUNCTION("""COMPUTED_VALUE"""),"Malang")</f>
        <v>Malang</v>
      </c>
      <c r="D364" s="33">
        <f>IFERROR(__xludf.DUMMYFUNCTION("""COMPUTED_VALUE"""),7.0)</f>
        <v>7</v>
      </c>
      <c r="E364" s="33">
        <f>IFERROR(__xludf.DUMMYFUNCTION("""COMPUTED_VALUE"""),10.0)</f>
        <v>10</v>
      </c>
      <c r="F364" s="33">
        <f>IFERROR(__xludf.DUMMYFUNCTION("""COMPUTED_VALUE"""),7.0)</f>
        <v>7</v>
      </c>
      <c r="G364" s="33">
        <f>IFERROR(__xludf.DUMMYFUNCTION("""COMPUTED_VALUE"""),0.0)</f>
        <v>0</v>
      </c>
      <c r="H364" s="33">
        <f>IFERROR(__xludf.DUMMYFUNCTION("""COMPUTED_VALUE"""),12.0)</f>
        <v>12</v>
      </c>
      <c r="I364" s="33">
        <f>IFERROR(__xludf.DUMMYFUNCTION("""COMPUTED_VALUE"""),9.0)</f>
        <v>9</v>
      </c>
      <c r="J364" s="33">
        <f>IFERROR(__xludf.DUMMYFUNCTION("""COMPUTED_VALUE"""),12.0)</f>
        <v>12</v>
      </c>
      <c r="K364" s="33">
        <f>IFERROR(__xludf.DUMMYFUNCTION("""COMPUTED_VALUE"""),0.0)</f>
        <v>0</v>
      </c>
      <c r="L364" s="33">
        <f>IFERROR(__xludf.DUMMYFUNCTION("""COMPUTED_VALUE"""),0.0)</f>
        <v>0</v>
      </c>
      <c r="M364" s="33">
        <f>IFERROR(__xludf.DUMMYFUNCTION("""COMPUTED_VALUE"""),15.0)</f>
        <v>15</v>
      </c>
      <c r="N364" s="33">
        <f>IFERROR(__xludf.DUMMYFUNCTION("""COMPUTED_VALUE"""),15.0)</f>
        <v>15</v>
      </c>
      <c r="O364" s="33">
        <f>IFERROR(__xludf.DUMMYFUNCTION("""COMPUTED_VALUE"""),7.0)</f>
        <v>7</v>
      </c>
      <c r="P364" s="33">
        <f>IFERROR(__xludf.DUMMYFUNCTION("""COMPUTED_VALUE"""),15.0)</f>
        <v>15</v>
      </c>
      <c r="Q364" s="33">
        <f>IFERROR(__xludf.DUMMYFUNCTION("""COMPUTED_VALUE"""),0.0)</f>
        <v>0</v>
      </c>
      <c r="R364" s="33">
        <f>IFERROR(__xludf.DUMMYFUNCTION("""COMPUTED_VALUE"""),15950.0)</f>
        <v>15950</v>
      </c>
      <c r="S364" s="33">
        <f>IFERROR(__xludf.DUMMYFUNCTION("""COMPUTED_VALUE"""),23623.0)</f>
        <v>23623</v>
      </c>
      <c r="T364" s="33">
        <f>IFERROR(__xludf.DUMMYFUNCTION("""COMPUTED_VALUE"""),2.65916666666666)</f>
        <v>2.659166667</v>
      </c>
      <c r="U364" s="33">
        <f>IFERROR(__xludf.DUMMYFUNCTION("""COMPUTED_VALUE"""),1.44805555555555)</f>
        <v>1.448055556</v>
      </c>
      <c r="V364" s="33">
        <f>IFERROR(__xludf.DUMMYFUNCTION("""COMPUTED_VALUE"""),0.0)</f>
        <v>0</v>
      </c>
      <c r="W364" s="33">
        <f>IFERROR(__xludf.DUMMYFUNCTION("""COMPUTED_VALUE"""),2.47416666666666)</f>
        <v>2.474166667</v>
      </c>
      <c r="X364" s="33">
        <f>IFERROR(__xludf.DUMMYFUNCTION("""COMPUTED_VALUE"""),1.84361111111111)</f>
        <v>1.843611111</v>
      </c>
      <c r="Y364" s="33">
        <f>IFERROR(__xludf.DUMMYFUNCTION("""COMPUTED_VALUE"""),2.4725)</f>
        <v>2.4725</v>
      </c>
      <c r="Z364" s="33">
        <f>IFERROR(__xludf.DUMMYFUNCTION("""COMPUTED_VALUE"""),0.0)</f>
        <v>0</v>
      </c>
      <c r="AA364" s="33">
        <f>IFERROR(__xludf.DUMMYFUNCTION("""COMPUTED_VALUE"""),0.0)</f>
        <v>0</v>
      </c>
      <c r="AB364" s="33">
        <f>IFERROR(__xludf.DUMMYFUNCTION("""COMPUTED_VALUE"""),3.07055555555555)</f>
        <v>3.070555556</v>
      </c>
      <c r="AC364" s="33">
        <f>IFERROR(__xludf.DUMMYFUNCTION("""COMPUTED_VALUE"""),3.07055555555555)</f>
        <v>3.070555556</v>
      </c>
      <c r="AD364" s="33">
        <f>IFERROR(__xludf.DUMMYFUNCTION("""COMPUTED_VALUE"""),1.37666666666666)</f>
        <v>1.376666667</v>
      </c>
      <c r="AE364" s="33">
        <f>IFERROR(__xludf.DUMMYFUNCTION("""COMPUTED_VALUE"""),3.07055555555555)</f>
        <v>3.070555556</v>
      </c>
      <c r="AF364" s="33">
        <f>IFERROR(__xludf.DUMMYFUNCTION("""COMPUTED_VALUE"""),13.0)</f>
        <v>13</v>
      </c>
    </row>
    <row r="365">
      <c r="A365" s="49">
        <f>IFERROR(__xludf.DUMMYFUNCTION("""COMPUTED_VALUE"""),46055.0)</f>
        <v>46055</v>
      </c>
      <c r="B365" s="33" t="str">
        <f>IFERROR(__xludf.DUMMYFUNCTION("""COMPUTED_VALUE"""),"f43f4253dc3c596ff8f2e3cc9f3b677981a70310")</f>
        <v>f43f4253dc3c596ff8f2e3cc9f3b677981a70310</v>
      </c>
      <c r="C365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65" s="33">
        <f>IFERROR(__xludf.DUMMYFUNCTION("""COMPUTED_VALUE"""),8.0)</f>
        <v>8</v>
      </c>
      <c r="E365" s="33">
        <f>IFERROR(__xludf.DUMMYFUNCTION("""COMPUTED_VALUE"""),5.0)</f>
        <v>5</v>
      </c>
      <c r="F365" s="33">
        <f>IFERROR(__xludf.DUMMYFUNCTION("""COMPUTED_VALUE"""),0.0)</f>
        <v>0</v>
      </c>
      <c r="G365" s="33">
        <f>IFERROR(__xludf.DUMMYFUNCTION("""COMPUTED_VALUE"""),0.0)</f>
        <v>0</v>
      </c>
      <c r="H365" s="33">
        <f>IFERROR(__xludf.DUMMYFUNCTION("""COMPUTED_VALUE"""),0.0)</f>
        <v>0</v>
      </c>
      <c r="I365" s="33">
        <f>IFERROR(__xludf.DUMMYFUNCTION("""COMPUTED_VALUE"""),0.0)</f>
        <v>0</v>
      </c>
      <c r="J365" s="33">
        <f>IFERROR(__xludf.DUMMYFUNCTION("""COMPUTED_VALUE"""),0.0)</f>
        <v>0</v>
      </c>
      <c r="K365" s="33">
        <f>IFERROR(__xludf.DUMMYFUNCTION("""COMPUTED_VALUE"""),0.0)</f>
        <v>0</v>
      </c>
      <c r="L365" s="33">
        <f>IFERROR(__xludf.DUMMYFUNCTION("""COMPUTED_VALUE"""),0.0)</f>
        <v>0</v>
      </c>
      <c r="M365" s="33">
        <f>IFERROR(__xludf.DUMMYFUNCTION("""COMPUTED_VALUE"""),0.0)</f>
        <v>0</v>
      </c>
      <c r="N365" s="33">
        <f>IFERROR(__xludf.DUMMYFUNCTION("""COMPUTED_VALUE"""),2.0)</f>
        <v>2</v>
      </c>
      <c r="O365" s="33">
        <f>IFERROR(__xludf.DUMMYFUNCTION("""COMPUTED_VALUE"""),4.0)</f>
        <v>4</v>
      </c>
      <c r="P365" s="33">
        <f>IFERROR(__xludf.DUMMYFUNCTION("""COMPUTED_VALUE"""),5.0)</f>
        <v>5</v>
      </c>
      <c r="Q365" s="33">
        <f>IFERROR(__xludf.DUMMYFUNCTION("""COMPUTED_VALUE"""),0.0)</f>
        <v>0</v>
      </c>
      <c r="R365" s="33">
        <f>IFERROR(__xludf.DUMMYFUNCTION("""COMPUTED_VALUE"""),20957.0)</f>
        <v>20957</v>
      </c>
      <c r="S365" s="33">
        <f>IFERROR(__xludf.DUMMYFUNCTION("""COMPUTED_VALUE"""),12601.0)</f>
        <v>12601</v>
      </c>
      <c r="T365" s="33">
        <f>IFERROR(__xludf.DUMMYFUNCTION("""COMPUTED_VALUE"""),0.0)</f>
        <v>0</v>
      </c>
      <c r="U365" s="33">
        <f>IFERROR(__xludf.DUMMYFUNCTION("""COMPUTED_VALUE"""),0.0)</f>
        <v>0</v>
      </c>
      <c r="V365" s="33">
        <f>IFERROR(__xludf.DUMMYFUNCTION("""COMPUTED_VALUE"""),0.0)</f>
        <v>0</v>
      </c>
      <c r="W365" s="33">
        <f>IFERROR(__xludf.DUMMYFUNCTION("""COMPUTED_VALUE"""),0.0)</f>
        <v>0</v>
      </c>
      <c r="X365" s="33">
        <f>IFERROR(__xludf.DUMMYFUNCTION("""COMPUTED_VALUE"""),0.0)</f>
        <v>0</v>
      </c>
      <c r="Y365" s="33">
        <f>IFERROR(__xludf.DUMMYFUNCTION("""COMPUTED_VALUE"""),0.0)</f>
        <v>0</v>
      </c>
      <c r="Z365" s="33">
        <f>IFERROR(__xludf.DUMMYFUNCTION("""COMPUTED_VALUE"""),0.0)</f>
        <v>0</v>
      </c>
      <c r="AA365" s="33">
        <f>IFERROR(__xludf.DUMMYFUNCTION("""COMPUTED_VALUE"""),0.0)</f>
        <v>0</v>
      </c>
      <c r="AB365" s="33">
        <f>IFERROR(__xludf.DUMMYFUNCTION("""COMPUTED_VALUE"""),0.0)</f>
        <v>0</v>
      </c>
      <c r="AC365" s="33">
        <f>IFERROR(__xludf.DUMMYFUNCTION("""COMPUTED_VALUE"""),0.486666666666666)</f>
        <v>0.4866666667</v>
      </c>
      <c r="AD365" s="33">
        <f>IFERROR(__xludf.DUMMYFUNCTION("""COMPUTED_VALUE"""),1.02805555555555)</f>
        <v>1.028055556</v>
      </c>
      <c r="AE365" s="33">
        <f>IFERROR(__xludf.DUMMYFUNCTION("""COMPUTED_VALUE"""),1.19861111111111)</f>
        <v>1.198611111</v>
      </c>
      <c r="AF365" s="33">
        <f>IFERROR(__xludf.DUMMYFUNCTION("""COMPUTED_VALUE"""),0.0)</f>
        <v>0</v>
      </c>
    </row>
    <row r="366">
      <c r="A366" s="49">
        <f>IFERROR(__xludf.DUMMYFUNCTION("""COMPUTED_VALUE"""),46048.0)</f>
        <v>46048</v>
      </c>
      <c r="B366" s="33" t="str">
        <f>IFERROR(__xludf.DUMMYFUNCTION("""COMPUTED_VALUE"""),"017fddbaa7617afdd8289be5c433df09dcde1da2")</f>
        <v>017fddbaa7617afdd8289be5c433df09dcde1da2</v>
      </c>
      <c r="C366" s="33" t="str">
        <f>IFERROR(__xludf.DUMMYFUNCTION("""COMPUTED_VALUE"""),"His Secret Fortune - Production Show_id")</f>
        <v>His Secret Fortune - Production Show_id</v>
      </c>
      <c r="D366" s="33">
        <f>IFERROR(__xludf.DUMMYFUNCTION("""COMPUTED_VALUE"""),6.0)</f>
        <v>6</v>
      </c>
      <c r="E366" s="33">
        <f>IFERROR(__xludf.DUMMYFUNCTION("""COMPUTED_VALUE"""),11.0)</f>
        <v>11</v>
      </c>
      <c r="F366" s="33">
        <f>IFERROR(__xludf.DUMMYFUNCTION("""COMPUTED_VALUE"""),0.0)</f>
        <v>0</v>
      </c>
      <c r="G366" s="33">
        <f>IFERROR(__xludf.DUMMYFUNCTION("""COMPUTED_VALUE"""),0.0)</f>
        <v>0</v>
      </c>
      <c r="H366" s="33">
        <f>IFERROR(__xludf.DUMMYFUNCTION("""COMPUTED_VALUE"""),0.0)</f>
        <v>0</v>
      </c>
      <c r="I366" s="33">
        <f>IFERROR(__xludf.DUMMYFUNCTION("""COMPUTED_VALUE"""),0.0)</f>
        <v>0</v>
      </c>
      <c r="J366" s="33">
        <f>IFERROR(__xludf.DUMMYFUNCTION("""COMPUTED_VALUE"""),0.0)</f>
        <v>0</v>
      </c>
      <c r="K366" s="33">
        <f>IFERROR(__xludf.DUMMYFUNCTION("""COMPUTED_VALUE"""),0.0)</f>
        <v>0</v>
      </c>
      <c r="L366" s="33">
        <f>IFERROR(__xludf.DUMMYFUNCTION("""COMPUTED_VALUE"""),0.0)</f>
        <v>0</v>
      </c>
      <c r="M366" s="33">
        <f>IFERROR(__xludf.DUMMYFUNCTION("""COMPUTED_VALUE"""),0.0)</f>
        <v>0</v>
      </c>
      <c r="N366" s="33">
        <f>IFERROR(__xludf.DUMMYFUNCTION("""COMPUTED_VALUE"""),0.0)</f>
        <v>0</v>
      </c>
      <c r="O366" s="33">
        <f>IFERROR(__xludf.DUMMYFUNCTION("""COMPUTED_VALUE"""),0.0)</f>
        <v>0</v>
      </c>
      <c r="P366" s="33">
        <f>IFERROR(__xludf.DUMMYFUNCTION("""COMPUTED_VALUE"""),0.0)</f>
        <v>0</v>
      </c>
      <c r="Q366" s="33">
        <f>IFERROR(__xludf.DUMMYFUNCTION("""COMPUTED_VALUE"""),0.0)</f>
        <v>0</v>
      </c>
      <c r="R366" s="33">
        <f>IFERROR(__xludf.DUMMYFUNCTION("""COMPUTED_VALUE"""),13407.0)</f>
        <v>13407</v>
      </c>
      <c r="S366" s="33">
        <f>IFERROR(__xludf.DUMMYFUNCTION("""COMPUTED_VALUE"""),18487.0)</f>
        <v>18487</v>
      </c>
      <c r="T366" s="33">
        <f>IFERROR(__xludf.DUMMYFUNCTION("""COMPUTED_VALUE"""),0.0)</f>
        <v>0</v>
      </c>
      <c r="U366" s="33">
        <f>IFERROR(__xludf.DUMMYFUNCTION("""COMPUTED_VALUE"""),0.0)</f>
        <v>0</v>
      </c>
      <c r="V366" s="33">
        <f>IFERROR(__xludf.DUMMYFUNCTION("""COMPUTED_VALUE"""),0.0)</f>
        <v>0</v>
      </c>
      <c r="W366" s="33">
        <f>IFERROR(__xludf.DUMMYFUNCTION("""COMPUTED_VALUE"""),0.0)</f>
        <v>0</v>
      </c>
      <c r="X366" s="33">
        <f>IFERROR(__xludf.DUMMYFUNCTION("""COMPUTED_VALUE"""),0.0)</f>
        <v>0</v>
      </c>
      <c r="Y366" s="33">
        <f>IFERROR(__xludf.DUMMYFUNCTION("""COMPUTED_VALUE"""),0.0)</f>
        <v>0</v>
      </c>
      <c r="Z366" s="33">
        <f>IFERROR(__xludf.DUMMYFUNCTION("""COMPUTED_VALUE"""),0.0)</f>
        <v>0</v>
      </c>
      <c r="AA366" s="33">
        <f>IFERROR(__xludf.DUMMYFUNCTION("""COMPUTED_VALUE"""),0.0)</f>
        <v>0</v>
      </c>
      <c r="AB366" s="33">
        <f>IFERROR(__xludf.DUMMYFUNCTION("""COMPUTED_VALUE"""),0.0)</f>
        <v>0</v>
      </c>
      <c r="AC366" s="33">
        <f>IFERROR(__xludf.DUMMYFUNCTION("""COMPUTED_VALUE"""),0.0)</f>
        <v>0</v>
      </c>
      <c r="AD366" s="33">
        <f>IFERROR(__xludf.DUMMYFUNCTION("""COMPUTED_VALUE"""),0.0)</f>
        <v>0</v>
      </c>
      <c r="AE366" s="33">
        <f>IFERROR(__xludf.DUMMYFUNCTION("""COMPUTED_VALUE"""),0.0)</f>
        <v>0</v>
      </c>
      <c r="AF366" s="33">
        <f>IFERROR(__xludf.DUMMYFUNCTION("""COMPUTED_VALUE"""),0.0)</f>
        <v>0</v>
      </c>
    </row>
    <row r="367">
      <c r="A367" s="49">
        <f>IFERROR(__xludf.DUMMYFUNCTION("""COMPUTED_VALUE"""),46048.0)</f>
        <v>46048</v>
      </c>
      <c r="B367" s="33" t="str">
        <f>IFERROR(__xludf.DUMMYFUNCTION("""COMPUTED_VALUE"""),"2549f1505a3739b3e90a0b63921ad55271440d40")</f>
        <v>2549f1505a3739b3e90a0b63921ad55271440d40</v>
      </c>
      <c r="C367" s="33" t="str">
        <f>IFERROR(__xludf.DUMMYFUNCTION("""COMPUTED_VALUE"""),"Reborn in Martial World ")</f>
        <v>Reborn in Martial World </v>
      </c>
      <c r="D367" s="33">
        <f>IFERROR(__xludf.DUMMYFUNCTION("""COMPUTED_VALUE"""),20.0)</f>
        <v>20</v>
      </c>
      <c r="E367" s="33">
        <f>IFERROR(__xludf.DUMMYFUNCTION("""COMPUTED_VALUE"""),30.0)</f>
        <v>30</v>
      </c>
      <c r="F367" s="33">
        <f>IFERROR(__xludf.DUMMYFUNCTION("""COMPUTED_VALUE"""),0.0)</f>
        <v>0</v>
      </c>
      <c r="G367" s="33">
        <f>IFERROR(__xludf.DUMMYFUNCTION("""COMPUTED_VALUE"""),0.0)</f>
        <v>0</v>
      </c>
      <c r="H367" s="33">
        <f>IFERROR(__xludf.DUMMYFUNCTION("""COMPUTED_VALUE"""),0.0)</f>
        <v>0</v>
      </c>
      <c r="I367" s="33">
        <f>IFERROR(__xludf.DUMMYFUNCTION("""COMPUTED_VALUE"""),0.0)</f>
        <v>0</v>
      </c>
      <c r="J367" s="33">
        <f>IFERROR(__xludf.DUMMYFUNCTION("""COMPUTED_VALUE"""),0.0)</f>
        <v>0</v>
      </c>
      <c r="K367" s="33">
        <f>IFERROR(__xludf.DUMMYFUNCTION("""COMPUTED_VALUE"""),0.0)</f>
        <v>0</v>
      </c>
      <c r="L367" s="33">
        <f>IFERROR(__xludf.DUMMYFUNCTION("""COMPUTED_VALUE"""),0.0)</f>
        <v>0</v>
      </c>
      <c r="M367" s="33">
        <f>IFERROR(__xludf.DUMMYFUNCTION("""COMPUTED_VALUE"""),20.0)</f>
        <v>20</v>
      </c>
      <c r="N367" s="33">
        <f>IFERROR(__xludf.DUMMYFUNCTION("""COMPUTED_VALUE"""),30.0)</f>
        <v>30</v>
      </c>
      <c r="O367" s="33">
        <f>IFERROR(__xludf.DUMMYFUNCTION("""COMPUTED_VALUE"""),4.0)</f>
        <v>4</v>
      </c>
      <c r="P367" s="33">
        <f>IFERROR(__xludf.DUMMYFUNCTION("""COMPUTED_VALUE"""),30.0)</f>
        <v>30</v>
      </c>
      <c r="Q367" s="33">
        <f>IFERROR(__xludf.DUMMYFUNCTION("""COMPUTED_VALUE"""),0.0)</f>
        <v>0</v>
      </c>
      <c r="R367" s="33">
        <f>IFERROR(__xludf.DUMMYFUNCTION("""COMPUTED_VALUE"""),45651.0)</f>
        <v>45651</v>
      </c>
      <c r="S367" s="33">
        <f>IFERROR(__xludf.DUMMYFUNCTION("""COMPUTED_VALUE"""),74170.0)</f>
        <v>74170</v>
      </c>
      <c r="T367" s="33">
        <f>IFERROR(__xludf.DUMMYFUNCTION("""COMPUTED_VALUE"""),0.0)</f>
        <v>0</v>
      </c>
      <c r="U367" s="33">
        <f>IFERROR(__xludf.DUMMYFUNCTION("""COMPUTED_VALUE"""),0.0)</f>
        <v>0</v>
      </c>
      <c r="V367" s="33">
        <f>IFERROR(__xludf.DUMMYFUNCTION("""COMPUTED_VALUE"""),0.0)</f>
        <v>0</v>
      </c>
      <c r="W367" s="33">
        <f>IFERROR(__xludf.DUMMYFUNCTION("""COMPUTED_VALUE"""),0.0)</f>
        <v>0</v>
      </c>
      <c r="X367" s="33">
        <f>IFERROR(__xludf.DUMMYFUNCTION("""COMPUTED_VALUE"""),0.0)</f>
        <v>0</v>
      </c>
      <c r="Y367" s="33">
        <f>IFERROR(__xludf.DUMMYFUNCTION("""COMPUTED_VALUE"""),0.0)</f>
        <v>0</v>
      </c>
      <c r="Z367" s="33">
        <f>IFERROR(__xludf.DUMMYFUNCTION("""COMPUTED_VALUE"""),0.0)</f>
        <v>0</v>
      </c>
      <c r="AA367" s="33">
        <f>IFERROR(__xludf.DUMMYFUNCTION("""COMPUTED_VALUE"""),0.0)</f>
        <v>0</v>
      </c>
      <c r="AB367" s="33">
        <f>IFERROR(__xludf.DUMMYFUNCTION("""COMPUTED_VALUE"""),5.33777777777777)</f>
        <v>5.337777778</v>
      </c>
      <c r="AC367" s="33">
        <f>IFERROR(__xludf.DUMMYFUNCTION("""COMPUTED_VALUE"""),7.60722222222222)</f>
        <v>7.607222222</v>
      </c>
      <c r="AD367" s="33">
        <f>IFERROR(__xludf.DUMMYFUNCTION("""COMPUTED_VALUE"""),0.834444444444444)</f>
        <v>0.8344444444</v>
      </c>
      <c r="AE367" s="33">
        <f>IFERROR(__xludf.DUMMYFUNCTION("""COMPUTED_VALUE"""),7.60722222222222)</f>
        <v>7.607222222</v>
      </c>
      <c r="AF367" s="33">
        <f>IFERROR(__xludf.DUMMYFUNCTION("""COMPUTED_VALUE"""),0.0)</f>
        <v>0</v>
      </c>
    </row>
    <row r="368">
      <c r="A368" s="49">
        <f>IFERROR(__xludf.DUMMYFUNCTION("""COMPUTED_VALUE"""),46048.0)</f>
        <v>46048</v>
      </c>
      <c r="B368" s="33" t="str">
        <f>IFERROR(__xludf.DUMMYFUNCTION("""COMPUTED_VALUE"""),"37e68193f879e91ec362f75f4b46511110658e2b")</f>
        <v>37e68193f879e91ec362f75f4b46511110658e2b</v>
      </c>
      <c r="C368" s="33" t="str">
        <f>IFERROR(__xludf.DUMMYFUNCTION("""COMPUTED_VALUE"""),"Shiva : Ek Pretyodha")</f>
        <v>Shiva : Ek Pretyodha</v>
      </c>
      <c r="D368" s="33">
        <f>IFERROR(__xludf.DUMMYFUNCTION("""COMPUTED_VALUE"""),0.0)</f>
        <v>0</v>
      </c>
      <c r="E368" s="33">
        <f>IFERROR(__xludf.DUMMYFUNCTION("""COMPUTED_VALUE"""),0.0)</f>
        <v>0</v>
      </c>
      <c r="F368" s="33">
        <f>IFERROR(__xludf.DUMMYFUNCTION("""COMPUTED_VALUE"""),0.0)</f>
        <v>0</v>
      </c>
      <c r="G368" s="33">
        <f>IFERROR(__xludf.DUMMYFUNCTION("""COMPUTED_VALUE"""),0.0)</f>
        <v>0</v>
      </c>
      <c r="H368" s="33">
        <f>IFERROR(__xludf.DUMMYFUNCTION("""COMPUTED_VALUE"""),0.0)</f>
        <v>0</v>
      </c>
      <c r="I368" s="33">
        <f>IFERROR(__xludf.DUMMYFUNCTION("""COMPUTED_VALUE"""),0.0)</f>
        <v>0</v>
      </c>
      <c r="J368" s="33">
        <f>IFERROR(__xludf.DUMMYFUNCTION("""COMPUTED_VALUE"""),0.0)</f>
        <v>0</v>
      </c>
      <c r="K368" s="33">
        <f>IFERROR(__xludf.DUMMYFUNCTION("""COMPUTED_VALUE"""),0.0)</f>
        <v>0</v>
      </c>
      <c r="L368" s="33">
        <f>IFERROR(__xludf.DUMMYFUNCTION("""COMPUTED_VALUE"""),0.0)</f>
        <v>0</v>
      </c>
      <c r="M368" s="33">
        <f>IFERROR(__xludf.DUMMYFUNCTION("""COMPUTED_VALUE"""),0.0)</f>
        <v>0</v>
      </c>
      <c r="N368" s="33">
        <f>IFERROR(__xludf.DUMMYFUNCTION("""COMPUTED_VALUE"""),1.0)</f>
        <v>1</v>
      </c>
      <c r="O368" s="33">
        <f>IFERROR(__xludf.DUMMYFUNCTION("""COMPUTED_VALUE"""),18.0)</f>
        <v>18</v>
      </c>
      <c r="P368" s="33">
        <f>IFERROR(__xludf.DUMMYFUNCTION("""COMPUTED_VALUE"""),18.0)</f>
        <v>18</v>
      </c>
      <c r="Q368" s="33">
        <f>IFERROR(__xludf.DUMMYFUNCTION("""COMPUTED_VALUE"""),0.0)</f>
        <v>0</v>
      </c>
      <c r="R368" s="33">
        <f>IFERROR(__xludf.DUMMYFUNCTION("""COMPUTED_VALUE"""),0.0)</f>
        <v>0</v>
      </c>
      <c r="S368" s="33">
        <f>IFERROR(__xludf.DUMMYFUNCTION("""COMPUTED_VALUE"""),0.0)</f>
        <v>0</v>
      </c>
      <c r="T368" s="33">
        <f>IFERROR(__xludf.DUMMYFUNCTION("""COMPUTED_VALUE"""),0.0)</f>
        <v>0</v>
      </c>
      <c r="U368" s="33">
        <f>IFERROR(__xludf.DUMMYFUNCTION("""COMPUTED_VALUE"""),0.0)</f>
        <v>0</v>
      </c>
      <c r="V368" s="33">
        <f>IFERROR(__xludf.DUMMYFUNCTION("""COMPUTED_VALUE"""),0.0)</f>
        <v>0</v>
      </c>
      <c r="W368" s="33">
        <f>IFERROR(__xludf.DUMMYFUNCTION("""COMPUTED_VALUE"""),0.0)</f>
        <v>0</v>
      </c>
      <c r="X368" s="33">
        <f>IFERROR(__xludf.DUMMYFUNCTION("""COMPUTED_VALUE"""),0.0)</f>
        <v>0</v>
      </c>
      <c r="Y368" s="33">
        <f>IFERROR(__xludf.DUMMYFUNCTION("""COMPUTED_VALUE"""),0.0)</f>
        <v>0</v>
      </c>
      <c r="Z368" s="33">
        <f>IFERROR(__xludf.DUMMYFUNCTION("""COMPUTED_VALUE"""),0.0)</f>
        <v>0</v>
      </c>
      <c r="AA368" s="33">
        <f>IFERROR(__xludf.DUMMYFUNCTION("""COMPUTED_VALUE"""),0.0)</f>
        <v>0</v>
      </c>
      <c r="AB368" s="33">
        <f>IFERROR(__xludf.DUMMYFUNCTION("""COMPUTED_VALUE"""),0.0)</f>
        <v>0</v>
      </c>
      <c r="AC368" s="33">
        <f>IFERROR(__xludf.DUMMYFUNCTION("""COMPUTED_VALUE"""),0.101388888888888)</f>
        <v>0.1013888889</v>
      </c>
      <c r="AD368" s="33">
        <f>IFERROR(__xludf.DUMMYFUNCTION("""COMPUTED_VALUE"""),2.17888888888888)</f>
        <v>2.178888889</v>
      </c>
      <c r="AE368" s="33">
        <f>IFERROR(__xludf.DUMMYFUNCTION("""COMPUTED_VALUE"""),2.18805555555555)</f>
        <v>2.188055556</v>
      </c>
      <c r="AF368" s="33">
        <f>IFERROR(__xludf.DUMMYFUNCTION("""COMPUTED_VALUE"""),0.0)</f>
        <v>0</v>
      </c>
    </row>
    <row r="369">
      <c r="A369" s="49">
        <f>IFERROR(__xludf.DUMMYFUNCTION("""COMPUTED_VALUE"""),46048.0)</f>
        <v>46048</v>
      </c>
      <c r="B369" s="33" t="str">
        <f>IFERROR(__xludf.DUMMYFUNCTION("""COMPUTED_VALUE"""),"394d109f7b50d9a46fb591dbaaba2d0aac90a696")</f>
        <v>394d109f7b50d9a46fb591dbaaba2d0aac90a696</v>
      </c>
      <c r="C369" s="33" t="str">
        <f>IFERROR(__xludf.DUMMYFUNCTION("""COMPUTED_VALUE"""),"Empire of Hidden King (SRGJ) - Production Show_id")</f>
        <v>Empire of Hidden King (SRGJ) - Production Show_id</v>
      </c>
      <c r="D369" s="33">
        <f>IFERROR(__xludf.DUMMYFUNCTION("""COMPUTED_VALUE"""),26.0)</f>
        <v>26</v>
      </c>
      <c r="E369" s="33">
        <f>IFERROR(__xludf.DUMMYFUNCTION("""COMPUTED_VALUE"""),20.0)</f>
        <v>20</v>
      </c>
      <c r="F369" s="33">
        <f>IFERROR(__xludf.DUMMYFUNCTION("""COMPUTED_VALUE"""),8.0)</f>
        <v>8</v>
      </c>
      <c r="G369" s="33">
        <f>IFERROR(__xludf.DUMMYFUNCTION("""COMPUTED_VALUE"""),5.0)</f>
        <v>5</v>
      </c>
      <c r="H369" s="33">
        <f>IFERROR(__xludf.DUMMYFUNCTION("""COMPUTED_VALUE"""),8.0)</f>
        <v>8</v>
      </c>
      <c r="I369" s="33">
        <f>IFERROR(__xludf.DUMMYFUNCTION("""COMPUTED_VALUE"""),2.0)</f>
        <v>2</v>
      </c>
      <c r="J369" s="33">
        <f>IFERROR(__xludf.DUMMYFUNCTION("""COMPUTED_VALUE"""),8.0)</f>
        <v>8</v>
      </c>
      <c r="K369" s="33">
        <f>IFERROR(__xludf.DUMMYFUNCTION("""COMPUTED_VALUE"""),10.0)</f>
        <v>10</v>
      </c>
      <c r="L369" s="33">
        <f>IFERROR(__xludf.DUMMYFUNCTION("""COMPUTED_VALUE"""),5.0)</f>
        <v>5</v>
      </c>
      <c r="M369" s="33">
        <f>IFERROR(__xludf.DUMMYFUNCTION("""COMPUTED_VALUE"""),16.0)</f>
        <v>16</v>
      </c>
      <c r="N369" s="33">
        <f>IFERROR(__xludf.DUMMYFUNCTION("""COMPUTED_VALUE"""),16.0)</f>
        <v>16</v>
      </c>
      <c r="O369" s="33">
        <f>IFERROR(__xludf.DUMMYFUNCTION("""COMPUTED_VALUE"""),7.0)</f>
        <v>7</v>
      </c>
      <c r="P369" s="33">
        <f>IFERROR(__xludf.DUMMYFUNCTION("""COMPUTED_VALUE"""),16.0)</f>
        <v>16</v>
      </c>
      <c r="Q369" s="33">
        <f>IFERROR(__xludf.DUMMYFUNCTION("""COMPUTED_VALUE"""),0.0)</f>
        <v>0</v>
      </c>
      <c r="R369" s="33">
        <f>IFERROR(__xludf.DUMMYFUNCTION("""COMPUTED_VALUE"""),78039.0)</f>
        <v>78039</v>
      </c>
      <c r="S369" s="33">
        <f>IFERROR(__xludf.DUMMYFUNCTION("""COMPUTED_VALUE"""),63368.0)</f>
        <v>63368</v>
      </c>
      <c r="T369" s="33">
        <f>IFERROR(__xludf.DUMMYFUNCTION("""COMPUTED_VALUE"""),3.31111111111111)</f>
        <v>3.311111111</v>
      </c>
      <c r="U369" s="33">
        <f>IFERROR(__xludf.DUMMYFUNCTION("""COMPUTED_VALUE"""),2.19416666666666)</f>
        <v>2.194166667</v>
      </c>
      <c r="V369" s="33">
        <f>IFERROR(__xludf.DUMMYFUNCTION("""COMPUTED_VALUE"""),1.34416666666666)</f>
        <v>1.344166667</v>
      </c>
      <c r="W369" s="33">
        <f>IFERROR(__xludf.DUMMYFUNCTION("""COMPUTED_VALUE"""),2.175)</f>
        <v>2.175</v>
      </c>
      <c r="X369" s="33">
        <f>IFERROR(__xludf.DUMMYFUNCTION("""COMPUTED_VALUE"""),0.553333333333333)</f>
        <v>0.5533333333</v>
      </c>
      <c r="Y369" s="33">
        <f>IFERROR(__xludf.DUMMYFUNCTION("""COMPUTED_VALUE"""),2.17638888888888)</f>
        <v>2.176388889</v>
      </c>
      <c r="Z369" s="33">
        <f>IFERROR(__xludf.DUMMYFUNCTION("""COMPUTED_VALUE"""),2.69305555555555)</f>
        <v>2.693055556</v>
      </c>
      <c r="AA369" s="33">
        <f>IFERROR(__xludf.DUMMYFUNCTION("""COMPUTED_VALUE"""),1.33666666666666)</f>
        <v>1.336666667</v>
      </c>
      <c r="AB369" s="33">
        <f>IFERROR(__xludf.DUMMYFUNCTION("""COMPUTED_VALUE"""),4.34472222222222)</f>
        <v>4.344722222</v>
      </c>
      <c r="AC369" s="33">
        <f>IFERROR(__xludf.DUMMYFUNCTION("""COMPUTED_VALUE"""),4.34472222222222)</f>
        <v>4.344722222</v>
      </c>
      <c r="AD369" s="33">
        <f>IFERROR(__xludf.DUMMYFUNCTION("""COMPUTED_VALUE"""),1.79333333333333)</f>
        <v>1.793333333</v>
      </c>
      <c r="AE369" s="33">
        <f>IFERROR(__xludf.DUMMYFUNCTION("""COMPUTED_VALUE"""),4.34472222222222)</f>
        <v>4.344722222</v>
      </c>
      <c r="AF369" s="33">
        <f>IFERROR(__xludf.DUMMYFUNCTION("""COMPUTED_VALUE"""),12.0)</f>
        <v>12</v>
      </c>
    </row>
    <row r="370">
      <c r="A370" s="49">
        <f>IFERROR(__xludf.DUMMYFUNCTION("""COMPUTED_VALUE"""),46048.0)</f>
        <v>46048</v>
      </c>
      <c r="B370" s="33" t="str">
        <f>IFERROR(__xludf.DUMMYFUNCTION("""COMPUTED_VALUE"""),"5066c0736f9e9444f2b4da840d6860b1f7f47d11")</f>
        <v>5066c0736f9e9444f2b4da840d6860b1f7f47d11</v>
      </c>
      <c r="C370" s="33" t="str">
        <f>IFERROR(__xludf.DUMMYFUNCTION("""COMPUTED_VALUE"""),"The Warrior | Author - Dayaram Prajapati - Replica (For Production Only)")</f>
        <v>The Warrior | Author - Dayaram Prajapati - Replica (For Production Only)</v>
      </c>
      <c r="D370" s="33">
        <f>IFERROR(__xludf.DUMMYFUNCTION("""COMPUTED_VALUE"""),22.0)</f>
        <v>22</v>
      </c>
      <c r="E370" s="33">
        <f>IFERROR(__xludf.DUMMYFUNCTION("""COMPUTED_VALUE"""),22.0)</f>
        <v>22</v>
      </c>
      <c r="F370" s="33">
        <f>IFERROR(__xludf.DUMMYFUNCTION("""COMPUTED_VALUE"""),12.0)</f>
        <v>12</v>
      </c>
      <c r="G370" s="33">
        <f>IFERROR(__xludf.DUMMYFUNCTION("""COMPUTED_VALUE"""),10.0)</f>
        <v>10</v>
      </c>
      <c r="H370" s="33">
        <f>IFERROR(__xludf.DUMMYFUNCTION("""COMPUTED_VALUE"""),20.0)</f>
        <v>20</v>
      </c>
      <c r="I370" s="33">
        <f>IFERROR(__xludf.DUMMYFUNCTION("""COMPUTED_VALUE"""),10.0)</f>
        <v>10</v>
      </c>
      <c r="J370" s="33">
        <f>IFERROR(__xludf.DUMMYFUNCTION("""COMPUTED_VALUE"""),16.0)</f>
        <v>16</v>
      </c>
      <c r="K370" s="33">
        <f>IFERROR(__xludf.DUMMYFUNCTION("""COMPUTED_VALUE"""),1.0)</f>
        <v>1</v>
      </c>
      <c r="L370" s="33">
        <f>IFERROR(__xludf.DUMMYFUNCTION("""COMPUTED_VALUE"""),1.0)</f>
        <v>1</v>
      </c>
      <c r="M370" s="33">
        <f>IFERROR(__xludf.DUMMYFUNCTION("""COMPUTED_VALUE"""),17.0)</f>
        <v>17</v>
      </c>
      <c r="N370" s="33">
        <f>IFERROR(__xludf.DUMMYFUNCTION("""COMPUTED_VALUE"""),17.0)</f>
        <v>17</v>
      </c>
      <c r="O370" s="33">
        <f>IFERROR(__xludf.DUMMYFUNCTION("""COMPUTED_VALUE"""),5.0)</f>
        <v>5</v>
      </c>
      <c r="P370" s="33">
        <f>IFERROR(__xludf.DUMMYFUNCTION("""COMPUTED_VALUE"""),17.0)</f>
        <v>17</v>
      </c>
      <c r="Q370" s="33">
        <f>IFERROR(__xludf.DUMMYFUNCTION("""COMPUTED_VALUE"""),0.0)</f>
        <v>0</v>
      </c>
      <c r="R370" s="33">
        <f>IFERROR(__xludf.DUMMYFUNCTION("""COMPUTED_VALUE"""),64882.0)</f>
        <v>64882</v>
      </c>
      <c r="S370" s="33">
        <f>IFERROR(__xludf.DUMMYFUNCTION("""COMPUTED_VALUE"""),53190.0)</f>
        <v>53190</v>
      </c>
      <c r="T370" s="33">
        <f>IFERROR(__xludf.DUMMYFUNCTION("""COMPUTED_VALUE"""),5.21555555555555)</f>
        <v>5.215555556</v>
      </c>
      <c r="U370" s="33">
        <f>IFERROR(__xludf.DUMMYFUNCTION("""COMPUTED_VALUE"""),2.86888888888888)</f>
        <v>2.868888889</v>
      </c>
      <c r="V370" s="33">
        <f>IFERROR(__xludf.DUMMYFUNCTION("""COMPUTED_VALUE"""),2.39194444444444)</f>
        <v>2.391944444</v>
      </c>
      <c r="W370" s="33">
        <f>IFERROR(__xludf.DUMMYFUNCTION("""COMPUTED_VALUE"""),4.73944444444444)</f>
        <v>4.739444444</v>
      </c>
      <c r="X370" s="33">
        <f>IFERROR(__xludf.DUMMYFUNCTION("""COMPUTED_VALUE"""),2.3475)</f>
        <v>2.3475</v>
      </c>
      <c r="Y370" s="33">
        <f>IFERROR(__xludf.DUMMYFUNCTION("""COMPUTED_VALUE"""),3.79083333333333)</f>
        <v>3.790833333</v>
      </c>
      <c r="Z370" s="33">
        <f>IFERROR(__xludf.DUMMYFUNCTION("""COMPUTED_VALUE"""),0.236666666666666)</f>
        <v>0.2366666667</v>
      </c>
      <c r="AA370" s="33">
        <f>IFERROR(__xludf.DUMMYFUNCTION("""COMPUTED_VALUE"""),0.236666666666666)</f>
        <v>0.2366666667</v>
      </c>
      <c r="AB370" s="33">
        <f>IFERROR(__xludf.DUMMYFUNCTION("""COMPUTED_VALUE"""),4.01805555555555)</f>
        <v>4.018055556</v>
      </c>
      <c r="AC370" s="33">
        <f>IFERROR(__xludf.DUMMYFUNCTION("""COMPUTED_VALUE"""),4.01805555555555)</f>
        <v>4.018055556</v>
      </c>
      <c r="AD370" s="33">
        <f>IFERROR(__xludf.DUMMYFUNCTION("""COMPUTED_VALUE"""),1.21083333333333)</f>
        <v>1.210833333</v>
      </c>
      <c r="AE370" s="33">
        <f>IFERROR(__xludf.DUMMYFUNCTION("""COMPUTED_VALUE"""),4.01805555555555)</f>
        <v>4.018055556</v>
      </c>
      <c r="AF370" s="33">
        <f>IFERROR(__xludf.DUMMYFUNCTION("""COMPUTED_VALUE"""),22.0)</f>
        <v>22</v>
      </c>
    </row>
    <row r="371">
      <c r="A371" s="49">
        <f>IFERROR(__xludf.DUMMYFUNCTION("""COMPUTED_VALUE"""),46048.0)</f>
        <v>46048</v>
      </c>
      <c r="B371" s="33" t="str">
        <f>IFERROR(__xludf.DUMMYFUNCTION("""COMPUTED_VALUE"""),"5baf4c80faf4b2d4eb9401a1d0081872e0158e89")</f>
        <v>5baf4c80faf4b2d4eb9401a1d0081872e0158e89</v>
      </c>
      <c r="C371" s="33" t="str">
        <f>IFERROR(__xludf.DUMMYFUNCTION("""COMPUTED_VALUE"""),"Brahmyodha : The Destroyer - Production showId")</f>
        <v>Brahmyodha : The Destroyer - Production showId</v>
      </c>
      <c r="D371" s="33">
        <f>IFERROR(__xludf.DUMMYFUNCTION("""COMPUTED_VALUE"""),0.0)</f>
        <v>0</v>
      </c>
      <c r="E371" s="33">
        <f>IFERROR(__xludf.DUMMYFUNCTION("""COMPUTED_VALUE"""),15.0)</f>
        <v>15</v>
      </c>
      <c r="F371" s="33">
        <f>IFERROR(__xludf.DUMMYFUNCTION("""COMPUTED_VALUE"""),6.0)</f>
        <v>6</v>
      </c>
      <c r="G371" s="33">
        <f>IFERROR(__xludf.DUMMYFUNCTION("""COMPUTED_VALUE"""),0.0)</f>
        <v>0</v>
      </c>
      <c r="H371" s="33">
        <f>IFERROR(__xludf.DUMMYFUNCTION("""COMPUTED_VALUE"""),14.0)</f>
        <v>14</v>
      </c>
      <c r="I371" s="33">
        <f>IFERROR(__xludf.DUMMYFUNCTION("""COMPUTED_VALUE"""),9.0)</f>
        <v>9</v>
      </c>
      <c r="J371" s="33">
        <f>IFERROR(__xludf.DUMMYFUNCTION("""COMPUTED_VALUE"""),15.0)</f>
        <v>15</v>
      </c>
      <c r="K371" s="33">
        <f>IFERROR(__xludf.DUMMYFUNCTION("""COMPUTED_VALUE"""),1.0)</f>
        <v>1</v>
      </c>
      <c r="L371" s="33">
        <f>IFERROR(__xludf.DUMMYFUNCTION("""COMPUTED_VALUE"""),0.0)</f>
        <v>0</v>
      </c>
      <c r="M371" s="33">
        <f>IFERROR(__xludf.DUMMYFUNCTION("""COMPUTED_VALUE"""),14.0)</f>
        <v>14</v>
      </c>
      <c r="N371" s="33">
        <f>IFERROR(__xludf.DUMMYFUNCTION("""COMPUTED_VALUE"""),14.0)</f>
        <v>14</v>
      </c>
      <c r="O371" s="33">
        <f>IFERROR(__xludf.DUMMYFUNCTION("""COMPUTED_VALUE"""),6.0)</f>
        <v>6</v>
      </c>
      <c r="P371" s="33">
        <f>IFERROR(__xludf.DUMMYFUNCTION("""COMPUTED_VALUE"""),14.0)</f>
        <v>14</v>
      </c>
      <c r="Q371" s="33">
        <f>IFERROR(__xludf.DUMMYFUNCTION("""COMPUTED_VALUE"""),0.0)</f>
        <v>0</v>
      </c>
      <c r="R371" s="33">
        <f>IFERROR(__xludf.DUMMYFUNCTION("""COMPUTED_VALUE"""),0.0)</f>
        <v>0</v>
      </c>
      <c r="S371" s="33">
        <f>IFERROR(__xludf.DUMMYFUNCTION("""COMPUTED_VALUE"""),38916.0)</f>
        <v>38916</v>
      </c>
      <c r="T371" s="33">
        <f>IFERROR(__xludf.DUMMYFUNCTION("""COMPUTED_VALUE"""),5.26472222222222)</f>
        <v>5.264722222</v>
      </c>
      <c r="U371" s="33">
        <f>IFERROR(__xludf.DUMMYFUNCTION("""COMPUTED_VALUE"""),1.51194444444444)</f>
        <v>1.511944444</v>
      </c>
      <c r="V371" s="33">
        <f>IFERROR(__xludf.DUMMYFUNCTION("""COMPUTED_VALUE"""),0.0)</f>
        <v>0</v>
      </c>
      <c r="W371" s="33">
        <f>IFERROR(__xludf.DUMMYFUNCTION("""COMPUTED_VALUE"""),3.54388888888888)</f>
        <v>3.543888889</v>
      </c>
      <c r="X371" s="33">
        <f>IFERROR(__xludf.DUMMYFUNCTION("""COMPUTED_VALUE"""),2.28222222222222)</f>
        <v>2.282222222</v>
      </c>
      <c r="Y371" s="33">
        <f>IFERROR(__xludf.DUMMYFUNCTION("""COMPUTED_VALUE"""),3.80222222222222)</f>
        <v>3.802222222</v>
      </c>
      <c r="Z371" s="33">
        <f>IFERROR(__xludf.DUMMYFUNCTION("""COMPUTED_VALUE"""),0.270277777777777)</f>
        <v>0.2702777778</v>
      </c>
      <c r="AA371" s="33">
        <f>IFERROR(__xludf.DUMMYFUNCTION("""COMPUTED_VALUE"""),0.0)</f>
        <v>0</v>
      </c>
      <c r="AB371" s="33">
        <f>IFERROR(__xludf.DUMMYFUNCTION("""COMPUTED_VALUE"""),3.54833333333333)</f>
        <v>3.548333333</v>
      </c>
      <c r="AC371" s="33">
        <f>IFERROR(__xludf.DUMMYFUNCTION("""COMPUTED_VALUE"""),3.54833333333333)</f>
        <v>3.548333333</v>
      </c>
      <c r="AD371" s="33">
        <f>IFERROR(__xludf.DUMMYFUNCTION("""COMPUTED_VALUE"""),1.26638888888888)</f>
        <v>1.266388889</v>
      </c>
      <c r="AE371" s="33">
        <f>IFERROR(__xludf.DUMMYFUNCTION("""COMPUTED_VALUE"""),3.54833333333333)</f>
        <v>3.548333333</v>
      </c>
      <c r="AF371" s="33">
        <f>IFERROR(__xludf.DUMMYFUNCTION("""COMPUTED_VALUE"""),21.0)</f>
        <v>21</v>
      </c>
    </row>
    <row r="372">
      <c r="A372" s="49">
        <f>IFERROR(__xludf.DUMMYFUNCTION("""COMPUTED_VALUE"""),46048.0)</f>
        <v>46048</v>
      </c>
      <c r="B372" s="33" t="str">
        <f>IFERROR(__xludf.DUMMYFUNCTION("""COMPUTED_VALUE"""),"641b6f77fd211e92df35a3bcbab67e6879e19a66")</f>
        <v>641b6f77fd211e92df35a3bcbab67e6879e19a66</v>
      </c>
      <c r="C372" s="33" t="str">
        <f>IFERROR(__xludf.DUMMYFUNCTION("""COMPUTED_VALUE"""),"Mahagatha | महागाथा | Author - S. Mauryavanshi")</f>
        <v>Mahagatha | महागाथा | Author - S. Mauryavanshi</v>
      </c>
      <c r="D372" s="33">
        <f>IFERROR(__xludf.DUMMYFUNCTION("""COMPUTED_VALUE"""),15.0)</f>
        <v>15</v>
      </c>
      <c r="E372" s="33">
        <f>IFERROR(__xludf.DUMMYFUNCTION("""COMPUTED_VALUE"""),15.0)</f>
        <v>15</v>
      </c>
      <c r="F372" s="33">
        <f>IFERROR(__xludf.DUMMYFUNCTION("""COMPUTED_VALUE"""),3.0)</f>
        <v>3</v>
      </c>
      <c r="G372" s="33">
        <f>IFERROR(__xludf.DUMMYFUNCTION("""COMPUTED_VALUE"""),0.0)</f>
        <v>0</v>
      </c>
      <c r="H372" s="33">
        <f>IFERROR(__xludf.DUMMYFUNCTION("""COMPUTED_VALUE"""),15.0)</f>
        <v>15</v>
      </c>
      <c r="I372" s="33">
        <f>IFERROR(__xludf.DUMMYFUNCTION("""COMPUTED_VALUE"""),12.0)</f>
        <v>12</v>
      </c>
      <c r="J372" s="33">
        <f>IFERROR(__xludf.DUMMYFUNCTION("""COMPUTED_VALUE"""),14.0)</f>
        <v>14</v>
      </c>
      <c r="K372" s="33">
        <f>IFERROR(__xludf.DUMMYFUNCTION("""COMPUTED_VALUE"""),1.0)</f>
        <v>1</v>
      </c>
      <c r="L372" s="33">
        <f>IFERROR(__xludf.DUMMYFUNCTION("""COMPUTED_VALUE"""),0.0)</f>
        <v>0</v>
      </c>
      <c r="M372" s="33">
        <f>IFERROR(__xludf.DUMMYFUNCTION("""COMPUTED_VALUE"""),14.0)</f>
        <v>14</v>
      </c>
      <c r="N372" s="33">
        <f>IFERROR(__xludf.DUMMYFUNCTION("""COMPUTED_VALUE"""),15.0)</f>
        <v>15</v>
      </c>
      <c r="O372" s="33">
        <f>IFERROR(__xludf.DUMMYFUNCTION("""COMPUTED_VALUE"""),6.0)</f>
        <v>6</v>
      </c>
      <c r="P372" s="33">
        <f>IFERROR(__xludf.DUMMYFUNCTION("""COMPUTED_VALUE"""),15.0)</f>
        <v>15</v>
      </c>
      <c r="Q372" s="33">
        <f>IFERROR(__xludf.DUMMYFUNCTION("""COMPUTED_VALUE"""),0.0)</f>
        <v>0</v>
      </c>
      <c r="R372" s="33">
        <f>IFERROR(__xludf.DUMMYFUNCTION("""COMPUTED_VALUE"""),35428.0)</f>
        <v>35428</v>
      </c>
      <c r="S372" s="33">
        <f>IFERROR(__xludf.DUMMYFUNCTION("""COMPUTED_VALUE"""),35227.0)</f>
        <v>35227</v>
      </c>
      <c r="T372" s="33">
        <f>IFERROR(__xludf.DUMMYFUNCTION("""COMPUTED_VALUE"""),3.54722222222222)</f>
        <v>3.547222222</v>
      </c>
      <c r="U372" s="33">
        <f>IFERROR(__xludf.DUMMYFUNCTION("""COMPUTED_VALUE"""),0.693611111111111)</f>
        <v>0.6936111111</v>
      </c>
      <c r="V372" s="33">
        <f>IFERROR(__xludf.DUMMYFUNCTION("""COMPUTED_VALUE"""),0.0)</f>
        <v>0</v>
      </c>
      <c r="W372" s="33">
        <f>IFERROR(__xludf.DUMMYFUNCTION("""COMPUTED_VALUE"""),3.55083333333333)</f>
        <v>3.550833333</v>
      </c>
      <c r="X372" s="33">
        <f>IFERROR(__xludf.DUMMYFUNCTION("""COMPUTED_VALUE"""),2.85361111111111)</f>
        <v>2.853611111</v>
      </c>
      <c r="Y372" s="33">
        <f>IFERROR(__xludf.DUMMYFUNCTION("""COMPUTED_VALUE"""),3.325)</f>
        <v>3.325</v>
      </c>
      <c r="Z372" s="33">
        <f>IFERROR(__xludf.DUMMYFUNCTION("""COMPUTED_VALUE"""),0.245)</f>
        <v>0.245</v>
      </c>
      <c r="AA372" s="33">
        <f>IFERROR(__xludf.DUMMYFUNCTION("""COMPUTED_VALUE"""),0.0)</f>
        <v>0</v>
      </c>
      <c r="AB372" s="33">
        <f>IFERROR(__xludf.DUMMYFUNCTION("""COMPUTED_VALUE"""),3.3175)</f>
        <v>3.3175</v>
      </c>
      <c r="AC372" s="33">
        <f>IFERROR(__xludf.DUMMYFUNCTION("""COMPUTED_VALUE"""),3.55555555555555)</f>
        <v>3.555555556</v>
      </c>
      <c r="AD372" s="33">
        <f>IFERROR(__xludf.DUMMYFUNCTION("""COMPUTED_VALUE"""),1.30611111111111)</f>
        <v>1.306111111</v>
      </c>
      <c r="AE372" s="33">
        <f>IFERROR(__xludf.DUMMYFUNCTION("""COMPUTED_VALUE"""),3.55555555555555)</f>
        <v>3.555555556</v>
      </c>
      <c r="AF372" s="33">
        <f>IFERROR(__xludf.DUMMYFUNCTION("""COMPUTED_VALUE"""),15.0)</f>
        <v>15</v>
      </c>
    </row>
    <row r="373">
      <c r="A373" s="49">
        <f>IFERROR(__xludf.DUMMYFUNCTION("""COMPUTED_VALUE"""),46048.0)</f>
        <v>46048</v>
      </c>
      <c r="B373" s="33" t="str">
        <f>IFERROR(__xludf.DUMMYFUNCTION("""COMPUTED_VALUE"""),"81de0bc81be63a15ef7b7f2a301e23b4f3d49745")</f>
        <v>81de0bc81be63a15ef7b7f2a301e23b4f3d49745</v>
      </c>
      <c r="C373" s="33" t="str">
        <f>IFERROR(__xludf.DUMMYFUNCTION("""COMPUTED_VALUE"""),"Married to a Hard Hearted")</f>
        <v>Married to a Hard Hearted</v>
      </c>
      <c r="D373" s="33">
        <f>IFERROR(__xludf.DUMMYFUNCTION("""COMPUTED_VALUE"""),17.0)</f>
        <v>17</v>
      </c>
      <c r="E373" s="33">
        <f>IFERROR(__xludf.DUMMYFUNCTION("""COMPUTED_VALUE"""),14.0)</f>
        <v>14</v>
      </c>
      <c r="F373" s="33">
        <f>IFERROR(__xludf.DUMMYFUNCTION("""COMPUTED_VALUE"""),6.0)</f>
        <v>6</v>
      </c>
      <c r="G373" s="33">
        <f>IFERROR(__xludf.DUMMYFUNCTION("""COMPUTED_VALUE"""),2.0)</f>
        <v>2</v>
      </c>
      <c r="H373" s="33">
        <f>IFERROR(__xludf.DUMMYFUNCTION("""COMPUTED_VALUE"""),14.0)</f>
        <v>14</v>
      </c>
      <c r="I373" s="33">
        <f>IFERROR(__xludf.DUMMYFUNCTION("""COMPUTED_VALUE"""),11.0)</f>
        <v>11</v>
      </c>
      <c r="J373" s="33">
        <f>IFERROR(__xludf.DUMMYFUNCTION("""COMPUTED_VALUE"""),14.0)</f>
        <v>14</v>
      </c>
      <c r="K373" s="33">
        <f>IFERROR(__xludf.DUMMYFUNCTION("""COMPUTED_VALUE"""),1.0)</f>
        <v>1</v>
      </c>
      <c r="L373" s="33">
        <f>IFERROR(__xludf.DUMMYFUNCTION("""COMPUTED_VALUE"""),0.0)</f>
        <v>0</v>
      </c>
      <c r="M373" s="33">
        <f>IFERROR(__xludf.DUMMYFUNCTION("""COMPUTED_VALUE"""),12.0)</f>
        <v>12</v>
      </c>
      <c r="N373" s="33">
        <f>IFERROR(__xludf.DUMMYFUNCTION("""COMPUTED_VALUE"""),12.0)</f>
        <v>12</v>
      </c>
      <c r="O373" s="33">
        <f>IFERROR(__xludf.DUMMYFUNCTION("""COMPUTED_VALUE"""),6.0)</f>
        <v>6</v>
      </c>
      <c r="P373" s="33">
        <f>IFERROR(__xludf.DUMMYFUNCTION("""COMPUTED_VALUE"""),12.0)</f>
        <v>12</v>
      </c>
      <c r="Q373" s="33">
        <f>IFERROR(__xludf.DUMMYFUNCTION("""COMPUTED_VALUE"""),0.0)</f>
        <v>0</v>
      </c>
      <c r="R373" s="33">
        <f>IFERROR(__xludf.DUMMYFUNCTION("""COMPUTED_VALUE"""),31220.0)</f>
        <v>31220</v>
      </c>
      <c r="S373" s="33">
        <f>IFERROR(__xludf.DUMMYFUNCTION("""COMPUTED_VALUE"""),31030.0)</f>
        <v>31030</v>
      </c>
      <c r="T373" s="33">
        <f>IFERROR(__xludf.DUMMYFUNCTION("""COMPUTED_VALUE"""),2.71277777777777)</f>
        <v>2.712777778</v>
      </c>
      <c r="U373" s="33">
        <f>IFERROR(__xludf.DUMMYFUNCTION("""COMPUTED_VALUE"""),1.2975)</f>
        <v>1.2975</v>
      </c>
      <c r="V373" s="33">
        <f>IFERROR(__xludf.DUMMYFUNCTION("""COMPUTED_VALUE"""),0.405)</f>
        <v>0.405</v>
      </c>
      <c r="W373" s="33">
        <f>IFERROR(__xludf.DUMMYFUNCTION("""COMPUTED_VALUE"""),2.78611111111111)</f>
        <v>2.786111111</v>
      </c>
      <c r="X373" s="33">
        <f>IFERROR(__xludf.DUMMYFUNCTION("""COMPUTED_VALUE"""),2.18416666666666)</f>
        <v>2.184166667</v>
      </c>
      <c r="Y373" s="33">
        <f>IFERROR(__xludf.DUMMYFUNCTION("""COMPUTED_VALUE"""),2.77194444444444)</f>
        <v>2.771944444</v>
      </c>
      <c r="Z373" s="33">
        <f>IFERROR(__xludf.DUMMYFUNCTION("""COMPUTED_VALUE"""),0.205555555555555)</f>
        <v>0.2055555556</v>
      </c>
      <c r="AA373" s="33">
        <f>IFERROR(__xludf.DUMMYFUNCTION("""COMPUTED_VALUE"""),0.0)</f>
        <v>0</v>
      </c>
      <c r="AB373" s="33">
        <f>IFERROR(__xludf.DUMMYFUNCTION("""COMPUTED_VALUE"""),2.36388888888888)</f>
        <v>2.363888889</v>
      </c>
      <c r="AC373" s="33">
        <f>IFERROR(__xludf.DUMMYFUNCTION("""COMPUTED_VALUE"""),2.36388888888888)</f>
        <v>2.363888889</v>
      </c>
      <c r="AD373" s="33">
        <f>IFERROR(__xludf.DUMMYFUNCTION("""COMPUTED_VALUE"""),1.15249999999999)</f>
        <v>1.1525</v>
      </c>
      <c r="AE373" s="33">
        <f>IFERROR(__xludf.DUMMYFUNCTION("""COMPUTED_VALUE"""),2.36388888888888)</f>
        <v>2.363888889</v>
      </c>
      <c r="AF373" s="33">
        <f>IFERROR(__xludf.DUMMYFUNCTION("""COMPUTED_VALUE"""),13.0)</f>
        <v>13</v>
      </c>
    </row>
    <row r="374">
      <c r="A374" s="49">
        <f>IFERROR(__xludf.DUMMYFUNCTION("""COMPUTED_VALUE"""),46048.0)</f>
        <v>46048</v>
      </c>
      <c r="B374" s="33" t="str">
        <f>IFERROR(__xludf.DUMMYFUNCTION("""COMPUTED_VALUE"""),"96f1f89e4494e06fb7f9e3c4645563fa62ef9320")</f>
        <v>96f1f89e4494e06fb7f9e3c4645563fa62ef9320</v>
      </c>
      <c r="C374" s="33" t="str">
        <f>IFERROR(__xludf.DUMMYFUNCTION("""COMPUTED_VALUE"""),"King of Dragon - Production Show_id")</f>
        <v>King of Dragon - Production Show_id</v>
      </c>
      <c r="D374" s="33">
        <f>IFERROR(__xludf.DUMMYFUNCTION("""COMPUTED_VALUE"""),2.0)</f>
        <v>2</v>
      </c>
      <c r="E374" s="33">
        <f>IFERROR(__xludf.DUMMYFUNCTION("""COMPUTED_VALUE"""),17.0)</f>
        <v>17</v>
      </c>
      <c r="F374" s="33">
        <f>IFERROR(__xludf.DUMMYFUNCTION("""COMPUTED_VALUE"""),2.0)</f>
        <v>2</v>
      </c>
      <c r="G374" s="33">
        <f>IFERROR(__xludf.DUMMYFUNCTION("""COMPUTED_VALUE"""),3.0)</f>
        <v>3</v>
      </c>
      <c r="H374" s="33">
        <f>IFERROR(__xludf.DUMMYFUNCTION("""COMPUTED_VALUE"""),6.0)</f>
        <v>6</v>
      </c>
      <c r="I374" s="33">
        <f>IFERROR(__xludf.DUMMYFUNCTION("""COMPUTED_VALUE"""),3.0)</f>
        <v>3</v>
      </c>
      <c r="J374" s="33">
        <f>IFERROR(__xludf.DUMMYFUNCTION("""COMPUTED_VALUE"""),6.0)</f>
        <v>6</v>
      </c>
      <c r="K374" s="33">
        <f>IFERROR(__xludf.DUMMYFUNCTION("""COMPUTED_VALUE"""),0.0)</f>
        <v>0</v>
      </c>
      <c r="L374" s="33">
        <f>IFERROR(__xludf.DUMMYFUNCTION("""COMPUTED_VALUE"""),0.0)</f>
        <v>0</v>
      </c>
      <c r="M374" s="33">
        <f>IFERROR(__xludf.DUMMYFUNCTION("""COMPUTED_VALUE"""),7.0)</f>
        <v>7</v>
      </c>
      <c r="N374" s="33">
        <f>IFERROR(__xludf.DUMMYFUNCTION("""COMPUTED_VALUE"""),7.0)</f>
        <v>7</v>
      </c>
      <c r="O374" s="33">
        <f>IFERROR(__xludf.DUMMYFUNCTION("""COMPUTED_VALUE"""),5.0)</f>
        <v>5</v>
      </c>
      <c r="P374" s="33">
        <f>IFERROR(__xludf.DUMMYFUNCTION("""COMPUTED_VALUE"""),7.0)</f>
        <v>7</v>
      </c>
      <c r="Q374" s="33">
        <f>IFERROR(__xludf.DUMMYFUNCTION("""COMPUTED_VALUE"""),0.0)</f>
        <v>0</v>
      </c>
      <c r="R374" s="33">
        <f>IFERROR(__xludf.DUMMYFUNCTION("""COMPUTED_VALUE"""),5037.0)</f>
        <v>5037</v>
      </c>
      <c r="S374" s="33">
        <f>IFERROR(__xludf.DUMMYFUNCTION("""COMPUTED_VALUE"""),39958.0)</f>
        <v>39958</v>
      </c>
      <c r="T374" s="33">
        <f>IFERROR(__xludf.DUMMYFUNCTION("""COMPUTED_VALUE"""),2.5625)</f>
        <v>2.5625</v>
      </c>
      <c r="U374" s="33">
        <f>IFERROR(__xludf.DUMMYFUNCTION("""COMPUTED_VALUE"""),0.535)</f>
        <v>0.535</v>
      </c>
      <c r="V374" s="33">
        <f>IFERROR(__xludf.DUMMYFUNCTION("""COMPUTED_VALUE"""),0.803055555555555)</f>
        <v>0.8030555556</v>
      </c>
      <c r="W374" s="33">
        <f>IFERROR(__xludf.DUMMYFUNCTION("""COMPUTED_VALUE"""),1.57638888888888)</f>
        <v>1.576388889</v>
      </c>
      <c r="X374" s="33">
        <f>IFERROR(__xludf.DUMMYFUNCTION("""COMPUTED_VALUE"""),0.773333333333333)</f>
        <v>0.7733333333</v>
      </c>
      <c r="Y374" s="33">
        <f>IFERROR(__xludf.DUMMYFUNCTION("""COMPUTED_VALUE"""),1.57861111111111)</f>
        <v>1.578611111</v>
      </c>
      <c r="Z374" s="33">
        <f>IFERROR(__xludf.DUMMYFUNCTION("""COMPUTED_VALUE"""),0.0)</f>
        <v>0</v>
      </c>
      <c r="AA374" s="33">
        <f>IFERROR(__xludf.DUMMYFUNCTION("""COMPUTED_VALUE"""),0.0)</f>
        <v>0</v>
      </c>
      <c r="AB374" s="33">
        <f>IFERROR(__xludf.DUMMYFUNCTION("""COMPUTED_VALUE"""),1.85305555555555)</f>
        <v>1.853055556</v>
      </c>
      <c r="AC374" s="33">
        <f>IFERROR(__xludf.DUMMYFUNCTION("""COMPUTED_VALUE"""),1.85305555555555)</f>
        <v>1.853055556</v>
      </c>
      <c r="AD374" s="33">
        <f>IFERROR(__xludf.DUMMYFUNCTION("""COMPUTED_VALUE"""),1.34527777777777)</f>
        <v>1.345277778</v>
      </c>
      <c r="AE374" s="33">
        <f>IFERROR(__xludf.DUMMYFUNCTION("""COMPUTED_VALUE"""),1.85305555555555)</f>
        <v>1.853055556</v>
      </c>
      <c r="AF374" s="33">
        <f>IFERROR(__xludf.DUMMYFUNCTION("""COMPUTED_VALUE"""),10.0)</f>
        <v>10</v>
      </c>
    </row>
    <row r="375">
      <c r="A375" s="49">
        <f>IFERROR(__xludf.DUMMYFUNCTION("""COMPUTED_VALUE"""),46048.0)</f>
        <v>46048</v>
      </c>
      <c r="B375" s="33" t="str">
        <f>IFERROR(__xludf.DUMMYFUNCTION("""COMPUTED_VALUE"""),"a3ba65aa427077188e1ad7dbcbcafae266683ca9")</f>
        <v>a3ba65aa427077188e1ad7dbcbcafae266683ca9</v>
      </c>
      <c r="C375" s="33" t="str">
        <f>IFERROR(__xludf.DUMMYFUNCTION("""COMPUTED_VALUE"""),"The Warrior | Author - Dayaram Prajapati")</f>
        <v>The Warrior | Author - Dayaram Prajapati</v>
      </c>
      <c r="D375" s="33">
        <f>IFERROR(__xludf.DUMMYFUNCTION("""COMPUTED_VALUE"""),9.0)</f>
        <v>9</v>
      </c>
      <c r="E375" s="33">
        <f>IFERROR(__xludf.DUMMYFUNCTION("""COMPUTED_VALUE"""),12.0)</f>
        <v>12</v>
      </c>
      <c r="F375" s="33">
        <f>IFERROR(__xludf.DUMMYFUNCTION("""COMPUTED_VALUE"""),0.0)</f>
        <v>0</v>
      </c>
      <c r="G375" s="33">
        <f>IFERROR(__xludf.DUMMYFUNCTION("""COMPUTED_VALUE"""),0.0)</f>
        <v>0</v>
      </c>
      <c r="H375" s="33">
        <f>IFERROR(__xludf.DUMMYFUNCTION("""COMPUTED_VALUE"""),0.0)</f>
        <v>0</v>
      </c>
      <c r="I375" s="33">
        <f>IFERROR(__xludf.DUMMYFUNCTION("""COMPUTED_VALUE"""),0.0)</f>
        <v>0</v>
      </c>
      <c r="J375" s="33">
        <f>IFERROR(__xludf.DUMMYFUNCTION("""COMPUTED_VALUE"""),0.0)</f>
        <v>0</v>
      </c>
      <c r="K375" s="33">
        <f>IFERROR(__xludf.DUMMYFUNCTION("""COMPUTED_VALUE"""),0.0)</f>
        <v>0</v>
      </c>
      <c r="L375" s="33">
        <f>IFERROR(__xludf.DUMMYFUNCTION("""COMPUTED_VALUE"""),0.0)</f>
        <v>0</v>
      </c>
      <c r="M375" s="33">
        <f>IFERROR(__xludf.DUMMYFUNCTION("""COMPUTED_VALUE"""),9.0)</f>
        <v>9</v>
      </c>
      <c r="N375" s="33">
        <f>IFERROR(__xludf.DUMMYFUNCTION("""COMPUTED_VALUE"""),12.0)</f>
        <v>12</v>
      </c>
      <c r="O375" s="33">
        <f>IFERROR(__xludf.DUMMYFUNCTION("""COMPUTED_VALUE"""),4.0)</f>
        <v>4</v>
      </c>
      <c r="P375" s="33">
        <f>IFERROR(__xludf.DUMMYFUNCTION("""COMPUTED_VALUE"""),12.0)</f>
        <v>12</v>
      </c>
      <c r="Q375" s="33">
        <f>IFERROR(__xludf.DUMMYFUNCTION("""COMPUTED_VALUE"""),0.0)</f>
        <v>0</v>
      </c>
      <c r="R375" s="33">
        <f>IFERROR(__xludf.DUMMYFUNCTION("""COMPUTED_VALUE"""),31815.0)</f>
        <v>31815</v>
      </c>
      <c r="S375" s="33">
        <f>IFERROR(__xludf.DUMMYFUNCTION("""COMPUTED_VALUE"""),40079.0)</f>
        <v>40079</v>
      </c>
      <c r="T375" s="33">
        <f>IFERROR(__xludf.DUMMYFUNCTION("""COMPUTED_VALUE"""),0.0)</f>
        <v>0</v>
      </c>
      <c r="U375" s="33">
        <f>IFERROR(__xludf.DUMMYFUNCTION("""COMPUTED_VALUE"""),0.0)</f>
        <v>0</v>
      </c>
      <c r="V375" s="33">
        <f>IFERROR(__xludf.DUMMYFUNCTION("""COMPUTED_VALUE"""),0.0)</f>
        <v>0</v>
      </c>
      <c r="W375" s="33">
        <f>IFERROR(__xludf.DUMMYFUNCTION("""COMPUTED_VALUE"""),0.0)</f>
        <v>0</v>
      </c>
      <c r="X375" s="33">
        <f>IFERROR(__xludf.DUMMYFUNCTION("""COMPUTED_VALUE"""),0.0)</f>
        <v>0</v>
      </c>
      <c r="Y375" s="33">
        <f>IFERROR(__xludf.DUMMYFUNCTION("""COMPUTED_VALUE"""),0.0)</f>
        <v>0</v>
      </c>
      <c r="Z375" s="33">
        <f>IFERROR(__xludf.DUMMYFUNCTION("""COMPUTED_VALUE"""),0.0)</f>
        <v>0</v>
      </c>
      <c r="AA375" s="33">
        <f>IFERROR(__xludf.DUMMYFUNCTION("""COMPUTED_VALUE"""),0.0)</f>
        <v>0</v>
      </c>
      <c r="AB375" s="33">
        <f>IFERROR(__xludf.DUMMYFUNCTION("""COMPUTED_VALUE"""),3.24805555555555)</f>
        <v>3.248055556</v>
      </c>
      <c r="AC375" s="33">
        <f>IFERROR(__xludf.DUMMYFUNCTION("""COMPUTED_VALUE"""),4.13972222222222)</f>
        <v>4.139722222</v>
      </c>
      <c r="AD375" s="33">
        <f>IFERROR(__xludf.DUMMYFUNCTION("""COMPUTED_VALUE"""),0.918888888888888)</f>
        <v>0.9188888889</v>
      </c>
      <c r="AE375" s="33">
        <f>IFERROR(__xludf.DUMMYFUNCTION("""COMPUTED_VALUE"""),4.13972222222222)</f>
        <v>4.139722222</v>
      </c>
      <c r="AF375" s="33">
        <f>IFERROR(__xludf.DUMMYFUNCTION("""COMPUTED_VALUE"""),0.0)</f>
        <v>0</v>
      </c>
    </row>
    <row r="376">
      <c r="A376" s="49">
        <f>IFERROR(__xludf.DUMMYFUNCTION("""COMPUTED_VALUE"""),46048.0)</f>
        <v>46048</v>
      </c>
      <c r="B376" s="33" t="str">
        <f>IFERROR(__xludf.DUMMYFUNCTION("""COMPUTED_VALUE"""),"aa81f1feb820ed6f22bd7b22b55890db740929cb")</f>
        <v>aa81f1feb820ed6f22bd7b22b55890db740929cb</v>
      </c>
      <c r="C376" s="33" t="str">
        <f>IFERROR(__xludf.DUMMYFUNCTION("""COMPUTED_VALUE"""),"Shunya Samrat")</f>
        <v>Shunya Samrat</v>
      </c>
      <c r="D376" s="33">
        <f>IFERROR(__xludf.DUMMYFUNCTION("""COMPUTED_VALUE"""),25.0)</f>
        <v>25</v>
      </c>
      <c r="E376" s="33">
        <f>IFERROR(__xludf.DUMMYFUNCTION("""COMPUTED_VALUE"""),25.0)</f>
        <v>25</v>
      </c>
      <c r="F376" s="33">
        <f>IFERROR(__xludf.DUMMYFUNCTION("""COMPUTED_VALUE"""),0.0)</f>
        <v>0</v>
      </c>
      <c r="G376" s="33">
        <f>IFERROR(__xludf.DUMMYFUNCTION("""COMPUTED_VALUE"""),0.0)</f>
        <v>0</v>
      </c>
      <c r="H376" s="33">
        <f>IFERROR(__xludf.DUMMYFUNCTION("""COMPUTED_VALUE"""),0.0)</f>
        <v>0</v>
      </c>
      <c r="I376" s="33">
        <f>IFERROR(__xludf.DUMMYFUNCTION("""COMPUTED_VALUE"""),0.0)</f>
        <v>0</v>
      </c>
      <c r="J376" s="33">
        <f>IFERROR(__xludf.DUMMYFUNCTION("""COMPUTED_VALUE"""),0.0)</f>
        <v>0</v>
      </c>
      <c r="K376" s="33">
        <f>IFERROR(__xludf.DUMMYFUNCTION("""COMPUTED_VALUE"""),0.0)</f>
        <v>0</v>
      </c>
      <c r="L376" s="33">
        <f>IFERROR(__xludf.DUMMYFUNCTION("""COMPUTED_VALUE"""),0.0)</f>
        <v>0</v>
      </c>
      <c r="M376" s="33">
        <f>IFERROR(__xludf.DUMMYFUNCTION("""COMPUTED_VALUE"""),0.0)</f>
        <v>0</v>
      </c>
      <c r="N376" s="33">
        <f>IFERROR(__xludf.DUMMYFUNCTION("""COMPUTED_VALUE"""),25.0)</f>
        <v>25</v>
      </c>
      <c r="O376" s="33">
        <f>IFERROR(__xludf.DUMMYFUNCTION("""COMPUTED_VALUE"""),4.0)</f>
        <v>4</v>
      </c>
      <c r="P376" s="33">
        <f>IFERROR(__xludf.DUMMYFUNCTION("""COMPUTED_VALUE"""),25.0)</f>
        <v>25</v>
      </c>
      <c r="Q376" s="33">
        <f>IFERROR(__xludf.DUMMYFUNCTION("""COMPUTED_VALUE"""),0.0)</f>
        <v>0</v>
      </c>
      <c r="R376" s="33">
        <f>IFERROR(__xludf.DUMMYFUNCTION("""COMPUTED_VALUE"""),58114.0)</f>
        <v>58114</v>
      </c>
      <c r="S376" s="33">
        <f>IFERROR(__xludf.DUMMYFUNCTION("""COMPUTED_VALUE"""),58114.0)</f>
        <v>58114</v>
      </c>
      <c r="T376" s="33">
        <f>IFERROR(__xludf.DUMMYFUNCTION("""COMPUTED_VALUE"""),0.0)</f>
        <v>0</v>
      </c>
      <c r="U376" s="33">
        <f>IFERROR(__xludf.DUMMYFUNCTION("""COMPUTED_VALUE"""),0.0)</f>
        <v>0</v>
      </c>
      <c r="V376" s="33">
        <f>IFERROR(__xludf.DUMMYFUNCTION("""COMPUTED_VALUE"""),0.0)</f>
        <v>0</v>
      </c>
      <c r="W376" s="33">
        <f>IFERROR(__xludf.DUMMYFUNCTION("""COMPUTED_VALUE"""),0.0)</f>
        <v>0</v>
      </c>
      <c r="X376" s="33">
        <f>IFERROR(__xludf.DUMMYFUNCTION("""COMPUTED_VALUE"""),0.0)</f>
        <v>0</v>
      </c>
      <c r="Y376" s="33">
        <f>IFERROR(__xludf.DUMMYFUNCTION("""COMPUTED_VALUE"""),0.0)</f>
        <v>0</v>
      </c>
      <c r="Z376" s="33">
        <f>IFERROR(__xludf.DUMMYFUNCTION("""COMPUTED_VALUE"""),0.0)</f>
        <v>0</v>
      </c>
      <c r="AA376" s="33">
        <f>IFERROR(__xludf.DUMMYFUNCTION("""COMPUTED_VALUE"""),0.0)</f>
        <v>0</v>
      </c>
      <c r="AB376" s="33">
        <f>IFERROR(__xludf.DUMMYFUNCTION("""COMPUTED_VALUE"""),0.0)</f>
        <v>0</v>
      </c>
      <c r="AC376" s="33">
        <f>IFERROR(__xludf.DUMMYFUNCTION("""COMPUTED_VALUE"""),5.9375)</f>
        <v>5.9375</v>
      </c>
      <c r="AD376" s="33">
        <f>IFERROR(__xludf.DUMMYFUNCTION("""COMPUTED_VALUE"""),0.860555555555555)</f>
        <v>0.8605555556</v>
      </c>
      <c r="AE376" s="33">
        <f>IFERROR(__xludf.DUMMYFUNCTION("""COMPUTED_VALUE"""),5.9375)</f>
        <v>5.9375</v>
      </c>
      <c r="AF376" s="33">
        <f>IFERROR(__xludf.DUMMYFUNCTION("""COMPUTED_VALUE"""),0.0)</f>
        <v>0</v>
      </c>
    </row>
    <row r="377">
      <c r="A377" s="49">
        <f>IFERROR(__xludf.DUMMYFUNCTION("""COMPUTED_VALUE"""),46048.0)</f>
        <v>46048</v>
      </c>
      <c r="B377" s="33" t="str">
        <f>IFERROR(__xludf.DUMMYFUNCTION("""COMPUTED_VALUE"""),"b236b697a3dda78049a484b58d63a75f4503ad66")</f>
        <v>b236b697a3dda78049a484b58d63a75f4503ad66</v>
      </c>
      <c r="C377" s="33" t="str">
        <f>IFERROR(__xludf.DUMMYFUNCTION("""COMPUTED_VALUE"""),"Rudra - Rise of Supreme Yoddha - Production Show_id")</f>
        <v>Rudra - Rise of Supreme Yoddha - Production Show_id</v>
      </c>
      <c r="D377" s="33">
        <f>IFERROR(__xludf.DUMMYFUNCTION("""COMPUTED_VALUE"""),8.0)</f>
        <v>8</v>
      </c>
      <c r="E377" s="33">
        <f>IFERROR(__xludf.DUMMYFUNCTION("""COMPUTED_VALUE"""),5.0)</f>
        <v>5</v>
      </c>
      <c r="F377" s="33">
        <f>IFERROR(__xludf.DUMMYFUNCTION("""COMPUTED_VALUE"""),0.0)</f>
        <v>0</v>
      </c>
      <c r="G377" s="33">
        <f>IFERROR(__xludf.DUMMYFUNCTION("""COMPUTED_VALUE"""),0.0)</f>
        <v>0</v>
      </c>
      <c r="H377" s="33">
        <f>IFERROR(__xludf.DUMMYFUNCTION("""COMPUTED_VALUE"""),0.0)</f>
        <v>0</v>
      </c>
      <c r="I377" s="33">
        <f>IFERROR(__xludf.DUMMYFUNCTION("""COMPUTED_VALUE"""),0.0)</f>
        <v>0</v>
      </c>
      <c r="J377" s="33">
        <f>IFERROR(__xludf.DUMMYFUNCTION("""COMPUTED_VALUE"""),0.0)</f>
        <v>0</v>
      </c>
      <c r="K377" s="33">
        <f>IFERROR(__xludf.DUMMYFUNCTION("""COMPUTED_VALUE"""),0.0)</f>
        <v>0</v>
      </c>
      <c r="L377" s="33">
        <f>IFERROR(__xludf.DUMMYFUNCTION("""COMPUTED_VALUE"""),0.0)</f>
        <v>0</v>
      </c>
      <c r="M377" s="33">
        <f>IFERROR(__xludf.DUMMYFUNCTION("""COMPUTED_VALUE"""),0.0)</f>
        <v>0</v>
      </c>
      <c r="N377" s="33">
        <f>IFERROR(__xludf.DUMMYFUNCTION("""COMPUTED_VALUE"""),0.0)</f>
        <v>0</v>
      </c>
      <c r="O377" s="33">
        <f>IFERROR(__xludf.DUMMYFUNCTION("""COMPUTED_VALUE"""),0.0)</f>
        <v>0</v>
      </c>
      <c r="P377" s="33">
        <f>IFERROR(__xludf.DUMMYFUNCTION("""COMPUTED_VALUE"""),0.0)</f>
        <v>0</v>
      </c>
      <c r="Q377" s="33">
        <f>IFERROR(__xludf.DUMMYFUNCTION("""COMPUTED_VALUE"""),0.0)</f>
        <v>0</v>
      </c>
      <c r="R377" s="33">
        <f>IFERROR(__xludf.DUMMYFUNCTION("""COMPUTED_VALUE"""),18915.0)</f>
        <v>18915</v>
      </c>
      <c r="S377" s="33">
        <f>IFERROR(__xludf.DUMMYFUNCTION("""COMPUTED_VALUE"""),12002.0)</f>
        <v>12002</v>
      </c>
      <c r="T377" s="33">
        <f>IFERROR(__xludf.DUMMYFUNCTION("""COMPUTED_VALUE"""),0.0)</f>
        <v>0</v>
      </c>
      <c r="U377" s="33">
        <f>IFERROR(__xludf.DUMMYFUNCTION("""COMPUTED_VALUE"""),0.0)</f>
        <v>0</v>
      </c>
      <c r="V377" s="33">
        <f>IFERROR(__xludf.DUMMYFUNCTION("""COMPUTED_VALUE"""),0.0)</f>
        <v>0</v>
      </c>
      <c r="W377" s="33">
        <f>IFERROR(__xludf.DUMMYFUNCTION("""COMPUTED_VALUE"""),0.0)</f>
        <v>0</v>
      </c>
      <c r="X377" s="33">
        <f>IFERROR(__xludf.DUMMYFUNCTION("""COMPUTED_VALUE"""),0.0)</f>
        <v>0</v>
      </c>
      <c r="Y377" s="33">
        <f>IFERROR(__xludf.DUMMYFUNCTION("""COMPUTED_VALUE"""),0.0)</f>
        <v>0</v>
      </c>
      <c r="Z377" s="33">
        <f>IFERROR(__xludf.DUMMYFUNCTION("""COMPUTED_VALUE"""),0.0)</f>
        <v>0</v>
      </c>
      <c r="AA377" s="33">
        <f>IFERROR(__xludf.DUMMYFUNCTION("""COMPUTED_VALUE"""),0.0)</f>
        <v>0</v>
      </c>
      <c r="AB377" s="33">
        <f>IFERROR(__xludf.DUMMYFUNCTION("""COMPUTED_VALUE"""),0.0)</f>
        <v>0</v>
      </c>
      <c r="AC377" s="33">
        <f>IFERROR(__xludf.DUMMYFUNCTION("""COMPUTED_VALUE"""),0.0)</f>
        <v>0</v>
      </c>
      <c r="AD377" s="33">
        <f>IFERROR(__xludf.DUMMYFUNCTION("""COMPUTED_VALUE"""),0.0)</f>
        <v>0</v>
      </c>
      <c r="AE377" s="33">
        <f>IFERROR(__xludf.DUMMYFUNCTION("""COMPUTED_VALUE"""),0.0)</f>
        <v>0</v>
      </c>
      <c r="AF377" s="33">
        <f>IFERROR(__xludf.DUMMYFUNCTION("""COMPUTED_VALUE"""),0.0)</f>
        <v>0</v>
      </c>
    </row>
    <row r="378">
      <c r="A378" s="49">
        <f>IFERROR(__xludf.DUMMYFUNCTION("""COMPUTED_VALUE"""),46048.0)</f>
        <v>46048</v>
      </c>
      <c r="B378" s="33" t="str">
        <f>IFERROR(__xludf.DUMMYFUNCTION("""COMPUTED_VALUE"""),"b9727274f880f47671ad54caad4904a491fad9c7")</f>
        <v>b9727274f880f47671ad54caad4904a491fad9c7</v>
      </c>
      <c r="C378" s="33" t="str">
        <f>IFERROR(__xludf.DUMMYFUNCTION("""COMPUTED_VALUE"""),"Brahmand Ka Rakshak - Production Show")</f>
        <v>Brahmand Ka Rakshak - Production Show</v>
      </c>
      <c r="D378" s="33">
        <f>IFERROR(__xludf.DUMMYFUNCTION("""COMPUTED_VALUE"""),20.0)</f>
        <v>20</v>
      </c>
      <c r="E378" s="33">
        <f>IFERROR(__xludf.DUMMYFUNCTION("""COMPUTED_VALUE"""),20.0)</f>
        <v>20</v>
      </c>
      <c r="F378" s="33">
        <f>IFERROR(__xludf.DUMMYFUNCTION("""COMPUTED_VALUE"""),3.0)</f>
        <v>3</v>
      </c>
      <c r="G378" s="33">
        <f>IFERROR(__xludf.DUMMYFUNCTION("""COMPUTED_VALUE"""),2.0)</f>
        <v>2</v>
      </c>
      <c r="H378" s="33">
        <f>IFERROR(__xludf.DUMMYFUNCTION("""COMPUTED_VALUE"""),21.0)</f>
        <v>21</v>
      </c>
      <c r="I378" s="33">
        <f>IFERROR(__xludf.DUMMYFUNCTION("""COMPUTED_VALUE"""),19.0)</f>
        <v>19</v>
      </c>
      <c r="J378" s="33">
        <f>IFERROR(__xludf.DUMMYFUNCTION("""COMPUTED_VALUE"""),16.0)</f>
        <v>16</v>
      </c>
      <c r="K378" s="33">
        <f>IFERROR(__xludf.DUMMYFUNCTION("""COMPUTED_VALUE"""),0.0)</f>
        <v>0</v>
      </c>
      <c r="L378" s="33">
        <f>IFERROR(__xludf.DUMMYFUNCTION("""COMPUTED_VALUE"""),0.0)</f>
        <v>0</v>
      </c>
      <c r="M378" s="33">
        <f>IFERROR(__xludf.DUMMYFUNCTION("""COMPUTED_VALUE"""),16.0)</f>
        <v>16</v>
      </c>
      <c r="N378" s="33">
        <f>IFERROR(__xludf.DUMMYFUNCTION("""COMPUTED_VALUE"""),16.0)</f>
        <v>16</v>
      </c>
      <c r="O378" s="33">
        <f>IFERROR(__xludf.DUMMYFUNCTION("""COMPUTED_VALUE"""),5.0)</f>
        <v>5</v>
      </c>
      <c r="P378" s="33">
        <f>IFERROR(__xludf.DUMMYFUNCTION("""COMPUTED_VALUE"""),16.0)</f>
        <v>16</v>
      </c>
      <c r="Q378" s="33">
        <f>IFERROR(__xludf.DUMMYFUNCTION("""COMPUTED_VALUE"""),0.0)</f>
        <v>0</v>
      </c>
      <c r="R378" s="33">
        <f>IFERROR(__xludf.DUMMYFUNCTION("""COMPUTED_VALUE"""),45113.0)</f>
        <v>45113</v>
      </c>
      <c r="S378" s="33">
        <f>IFERROR(__xludf.DUMMYFUNCTION("""COMPUTED_VALUE"""),45270.0)</f>
        <v>45270</v>
      </c>
      <c r="T378" s="33">
        <f>IFERROR(__xludf.DUMMYFUNCTION("""COMPUTED_VALUE"""),4.81499999999999)</f>
        <v>4.815</v>
      </c>
      <c r="U378" s="33">
        <f>IFERROR(__xludf.DUMMYFUNCTION("""COMPUTED_VALUE"""),0.862222222222222)</f>
        <v>0.8622222222</v>
      </c>
      <c r="V378" s="33">
        <f>IFERROR(__xludf.DUMMYFUNCTION("""COMPUTED_VALUE"""),0.556111111111111)</f>
        <v>0.5561111111</v>
      </c>
      <c r="W378" s="33">
        <f>IFERROR(__xludf.DUMMYFUNCTION("""COMPUTED_VALUE"""),4.81611111111111)</f>
        <v>4.816111111</v>
      </c>
      <c r="X378" s="33">
        <f>IFERROR(__xludf.DUMMYFUNCTION("""COMPUTED_VALUE"""),4.26)</f>
        <v>4.26</v>
      </c>
      <c r="Y378" s="33">
        <f>IFERROR(__xludf.DUMMYFUNCTION("""COMPUTED_VALUE"""),3.81916666666666)</f>
        <v>3.819166667</v>
      </c>
      <c r="Z378" s="33">
        <f>IFERROR(__xludf.DUMMYFUNCTION("""COMPUTED_VALUE"""),0.0)</f>
        <v>0</v>
      </c>
      <c r="AA378" s="33">
        <f>IFERROR(__xludf.DUMMYFUNCTION("""COMPUTED_VALUE"""),0.0)</f>
        <v>0</v>
      </c>
      <c r="AB378" s="33">
        <f>IFERROR(__xludf.DUMMYFUNCTION("""COMPUTED_VALUE"""),3.81916666666666)</f>
        <v>3.819166667</v>
      </c>
      <c r="AC378" s="33">
        <f>IFERROR(__xludf.DUMMYFUNCTION("""COMPUTED_VALUE"""),3.81916666666666)</f>
        <v>3.819166667</v>
      </c>
      <c r="AD378" s="33">
        <f>IFERROR(__xludf.DUMMYFUNCTION("""COMPUTED_VALUE"""),0.951944444444444)</f>
        <v>0.9519444444</v>
      </c>
      <c r="AE378" s="33">
        <f>IFERROR(__xludf.DUMMYFUNCTION("""COMPUTED_VALUE"""),3.81916666666666)</f>
        <v>3.819166667</v>
      </c>
      <c r="AF378" s="33">
        <f>IFERROR(__xludf.DUMMYFUNCTION("""COMPUTED_VALUE"""),21.0)</f>
        <v>21</v>
      </c>
    </row>
    <row r="379">
      <c r="A379" s="49">
        <f>IFERROR(__xludf.DUMMYFUNCTION("""COMPUTED_VALUE"""),46048.0)</f>
        <v>46048</v>
      </c>
      <c r="B379" s="33" t="str">
        <f>IFERROR(__xludf.DUMMYFUNCTION("""COMPUTED_VALUE"""),"bb6f447c782519839d8793fda0d35f90bad4421a")</f>
        <v>bb6f447c782519839d8793fda0d35f90bad4421a</v>
      </c>
      <c r="C379" s="33" t="str">
        <f>IFERROR(__xludf.DUMMYFUNCTION("""COMPUTED_VALUE"""),"Ruthless")</f>
        <v>Ruthless</v>
      </c>
      <c r="D379" s="33">
        <f>IFERROR(__xludf.DUMMYFUNCTION("""COMPUTED_VALUE"""),18.0)</f>
        <v>18</v>
      </c>
      <c r="E379" s="33">
        <f>IFERROR(__xludf.DUMMYFUNCTION("""COMPUTED_VALUE"""),18.0)</f>
        <v>18</v>
      </c>
      <c r="F379" s="33">
        <f>IFERROR(__xludf.DUMMYFUNCTION("""COMPUTED_VALUE"""),1.0)</f>
        <v>1</v>
      </c>
      <c r="G379" s="33">
        <f>IFERROR(__xludf.DUMMYFUNCTION("""COMPUTED_VALUE"""),1.0)</f>
        <v>1</v>
      </c>
      <c r="H379" s="33">
        <f>IFERROR(__xludf.DUMMYFUNCTION("""COMPUTED_VALUE"""),1.0)</f>
        <v>1</v>
      </c>
      <c r="I379" s="33">
        <f>IFERROR(__xludf.DUMMYFUNCTION("""COMPUTED_VALUE"""),1.0)</f>
        <v>1</v>
      </c>
      <c r="J379" s="33">
        <f>IFERROR(__xludf.DUMMYFUNCTION("""COMPUTED_VALUE"""),1.0)</f>
        <v>1</v>
      </c>
      <c r="K379" s="33">
        <f>IFERROR(__xludf.DUMMYFUNCTION("""COMPUTED_VALUE"""),0.0)</f>
        <v>0</v>
      </c>
      <c r="L379" s="33">
        <f>IFERROR(__xludf.DUMMYFUNCTION("""COMPUTED_VALUE"""),0.0)</f>
        <v>0</v>
      </c>
      <c r="M379" s="33">
        <f>IFERROR(__xludf.DUMMYFUNCTION("""COMPUTED_VALUE"""),1.0)</f>
        <v>1</v>
      </c>
      <c r="N379" s="33">
        <f>IFERROR(__xludf.DUMMYFUNCTION("""COMPUTED_VALUE"""),1.0)</f>
        <v>1</v>
      </c>
      <c r="O379" s="33">
        <f>IFERROR(__xludf.DUMMYFUNCTION("""COMPUTED_VALUE"""),1.0)</f>
        <v>1</v>
      </c>
      <c r="P379" s="33">
        <f>IFERROR(__xludf.DUMMYFUNCTION("""COMPUTED_VALUE"""),1.0)</f>
        <v>1</v>
      </c>
      <c r="Q379" s="33">
        <f>IFERROR(__xludf.DUMMYFUNCTION("""COMPUTED_VALUE"""),0.0)</f>
        <v>0</v>
      </c>
      <c r="R379" s="33">
        <f>IFERROR(__xludf.DUMMYFUNCTION("""COMPUTED_VALUE"""),48263.0)</f>
        <v>48263</v>
      </c>
      <c r="S379" s="33">
        <f>IFERROR(__xludf.DUMMYFUNCTION("""COMPUTED_VALUE"""),43386.0)</f>
        <v>43386</v>
      </c>
      <c r="T379" s="33">
        <f>IFERROR(__xludf.DUMMYFUNCTION("""COMPUTED_VALUE"""),0.0)</f>
        <v>0</v>
      </c>
      <c r="U379" s="33">
        <f>IFERROR(__xludf.DUMMYFUNCTION("""COMPUTED_VALUE"""),0.253333333333333)</f>
        <v>0.2533333333</v>
      </c>
      <c r="V379" s="33">
        <f>IFERROR(__xludf.DUMMYFUNCTION("""COMPUTED_VALUE"""),0.251388888888888)</f>
        <v>0.2513888889</v>
      </c>
      <c r="W379" s="33">
        <f>IFERROR(__xludf.DUMMYFUNCTION("""COMPUTED_VALUE"""),0.253333333333333)</f>
        <v>0.2533333333</v>
      </c>
      <c r="X379" s="33">
        <f>IFERROR(__xludf.DUMMYFUNCTION("""COMPUTED_VALUE"""),0.253333333333333)</f>
        <v>0.2533333333</v>
      </c>
      <c r="Y379" s="33">
        <f>IFERROR(__xludf.DUMMYFUNCTION("""COMPUTED_VALUE"""),0.251388888888888)</f>
        <v>0.2513888889</v>
      </c>
      <c r="Z379" s="33">
        <f>IFERROR(__xludf.DUMMYFUNCTION("""COMPUTED_VALUE"""),0.0)</f>
        <v>0</v>
      </c>
      <c r="AA379" s="33">
        <f>IFERROR(__xludf.DUMMYFUNCTION("""COMPUTED_VALUE"""),0.0)</f>
        <v>0</v>
      </c>
      <c r="AB379" s="33">
        <f>IFERROR(__xludf.DUMMYFUNCTION("""COMPUTED_VALUE"""),0.251388888888888)</f>
        <v>0.2513888889</v>
      </c>
      <c r="AC379" s="33">
        <f>IFERROR(__xludf.DUMMYFUNCTION("""COMPUTED_VALUE"""),0.251388888888888)</f>
        <v>0.2513888889</v>
      </c>
      <c r="AD379" s="33">
        <f>IFERROR(__xludf.DUMMYFUNCTION("""COMPUTED_VALUE"""),0.251388888888888)</f>
        <v>0.2513888889</v>
      </c>
      <c r="AE379" s="33">
        <f>IFERROR(__xludf.DUMMYFUNCTION("""COMPUTED_VALUE"""),0.251388888888888)</f>
        <v>0.2513888889</v>
      </c>
      <c r="AF379" s="33">
        <f>IFERROR(__xludf.DUMMYFUNCTION("""COMPUTED_VALUE"""),0.0)</f>
        <v>0</v>
      </c>
    </row>
    <row r="380">
      <c r="A380" s="49">
        <f>IFERROR(__xludf.DUMMYFUNCTION("""COMPUTED_VALUE"""),46048.0)</f>
        <v>46048</v>
      </c>
      <c r="B380" s="33" t="str">
        <f>IFERROR(__xludf.DUMMYFUNCTION("""COMPUTED_VALUE"""),"ca6c466ebfcd2658a9f1641045f468c15417a1e7")</f>
        <v>ca6c466ebfcd2658a9f1641045f468c15417a1e7</v>
      </c>
      <c r="C380" s="33" t="str">
        <f>IFERROR(__xludf.DUMMYFUNCTION("""COMPUTED_VALUE"""),"My Mysterious Princess")</f>
        <v>My Mysterious Princess</v>
      </c>
      <c r="D380" s="33">
        <f>IFERROR(__xludf.DUMMYFUNCTION("""COMPUTED_VALUE"""),18.0)</f>
        <v>18</v>
      </c>
      <c r="E380" s="33">
        <f>IFERROR(__xludf.DUMMYFUNCTION("""COMPUTED_VALUE"""),16.0)</f>
        <v>16</v>
      </c>
      <c r="F380" s="33">
        <f>IFERROR(__xludf.DUMMYFUNCTION("""COMPUTED_VALUE"""),5.0)</f>
        <v>5</v>
      </c>
      <c r="G380" s="33">
        <f>IFERROR(__xludf.DUMMYFUNCTION("""COMPUTED_VALUE"""),0.0)</f>
        <v>0</v>
      </c>
      <c r="H380" s="33">
        <f>IFERROR(__xludf.DUMMYFUNCTION("""COMPUTED_VALUE"""),14.0)</f>
        <v>14</v>
      </c>
      <c r="I380" s="33">
        <f>IFERROR(__xludf.DUMMYFUNCTION("""COMPUTED_VALUE"""),10.0)</f>
        <v>10</v>
      </c>
      <c r="J380" s="33">
        <f>IFERROR(__xludf.DUMMYFUNCTION("""COMPUTED_VALUE"""),13.0)</f>
        <v>13</v>
      </c>
      <c r="K380" s="33">
        <f>IFERROR(__xludf.DUMMYFUNCTION("""COMPUTED_VALUE"""),1.0)</f>
        <v>1</v>
      </c>
      <c r="L380" s="33">
        <f>IFERROR(__xludf.DUMMYFUNCTION("""COMPUTED_VALUE"""),0.0)</f>
        <v>0</v>
      </c>
      <c r="M380" s="33">
        <f>IFERROR(__xludf.DUMMYFUNCTION("""COMPUTED_VALUE"""),12.0)</f>
        <v>12</v>
      </c>
      <c r="N380" s="33">
        <f>IFERROR(__xludf.DUMMYFUNCTION("""COMPUTED_VALUE"""),13.0)</f>
        <v>13</v>
      </c>
      <c r="O380" s="33">
        <f>IFERROR(__xludf.DUMMYFUNCTION("""COMPUTED_VALUE"""),6.0)</f>
        <v>6</v>
      </c>
      <c r="P380" s="33">
        <f>IFERROR(__xludf.DUMMYFUNCTION("""COMPUTED_VALUE"""),13.0)</f>
        <v>13</v>
      </c>
      <c r="Q380" s="33">
        <f>IFERROR(__xludf.DUMMYFUNCTION("""COMPUTED_VALUE"""),0.0)</f>
        <v>0</v>
      </c>
      <c r="R380" s="33">
        <f>IFERROR(__xludf.DUMMYFUNCTION("""COMPUTED_VALUE"""),41257.0)</f>
        <v>41257</v>
      </c>
      <c r="S380" s="33">
        <f>IFERROR(__xludf.DUMMYFUNCTION("""COMPUTED_VALUE"""),37931.0)</f>
        <v>37931</v>
      </c>
      <c r="T380" s="33">
        <f>IFERROR(__xludf.DUMMYFUNCTION("""COMPUTED_VALUE"""),3.47694444444444)</f>
        <v>3.476944444</v>
      </c>
      <c r="U380" s="33">
        <f>IFERROR(__xludf.DUMMYFUNCTION("""COMPUTED_VALUE"""),1.13833333333333)</f>
        <v>1.138333333</v>
      </c>
      <c r="V380" s="33">
        <f>IFERROR(__xludf.DUMMYFUNCTION("""COMPUTED_VALUE"""),0.0)</f>
        <v>0</v>
      </c>
      <c r="W380" s="33">
        <f>IFERROR(__xludf.DUMMYFUNCTION("""COMPUTED_VALUE"""),3.28277777777777)</f>
        <v>3.282777778</v>
      </c>
      <c r="X380" s="33">
        <f>IFERROR(__xludf.DUMMYFUNCTION("""COMPUTED_VALUE"""),2.33861111111111)</f>
        <v>2.338611111</v>
      </c>
      <c r="Y380" s="33">
        <f>IFERROR(__xludf.DUMMYFUNCTION("""COMPUTED_VALUE"""),3.11638888888888)</f>
        <v>3.116388889</v>
      </c>
      <c r="Z380" s="33">
        <f>IFERROR(__xludf.DUMMYFUNCTION("""COMPUTED_VALUE"""),0.255833333333333)</f>
        <v>0.2558333333</v>
      </c>
      <c r="AA380" s="33">
        <f>IFERROR(__xludf.DUMMYFUNCTION("""COMPUTED_VALUE"""),0.0)</f>
        <v>0</v>
      </c>
      <c r="AB380" s="33">
        <f>IFERROR(__xludf.DUMMYFUNCTION("""COMPUTED_VALUE"""),2.88583333333333)</f>
        <v>2.885833333</v>
      </c>
      <c r="AC380" s="33">
        <f>IFERROR(__xludf.DUMMYFUNCTION("""COMPUTED_VALUE"""),3.14222222222222)</f>
        <v>3.142222222</v>
      </c>
      <c r="AD380" s="33">
        <f>IFERROR(__xludf.DUMMYFUNCTION("""COMPUTED_VALUE"""),1.42277777777777)</f>
        <v>1.422777778</v>
      </c>
      <c r="AE380" s="33">
        <f>IFERROR(__xludf.DUMMYFUNCTION("""COMPUTED_VALUE"""),3.14222222222222)</f>
        <v>3.142222222</v>
      </c>
      <c r="AF380" s="33">
        <f>IFERROR(__xludf.DUMMYFUNCTION("""COMPUTED_VALUE"""),15.0)</f>
        <v>15</v>
      </c>
    </row>
    <row r="381">
      <c r="A381" s="49">
        <f>IFERROR(__xludf.DUMMYFUNCTION("""COMPUTED_VALUE"""),46048.0)</f>
        <v>46048</v>
      </c>
      <c r="B381" s="33" t="str">
        <f>IFERROR(__xludf.DUMMYFUNCTION("""COMPUTED_VALUE"""),"dbbc7f35e9eb33b7562f0fd82896e827101bf13c")</f>
        <v>dbbc7f35e9eb33b7562f0fd82896e827101bf13c</v>
      </c>
      <c r="C381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81" s="33">
        <f>IFERROR(__xludf.DUMMYFUNCTION("""COMPUTED_VALUE"""),0.0)</f>
        <v>0</v>
      </c>
      <c r="E381" s="33">
        <f>IFERROR(__xludf.DUMMYFUNCTION("""COMPUTED_VALUE"""),0.0)</f>
        <v>0</v>
      </c>
      <c r="F381" s="33">
        <f>IFERROR(__xludf.DUMMYFUNCTION("""COMPUTED_VALUE"""),0.0)</f>
        <v>0</v>
      </c>
      <c r="G381" s="33">
        <f>IFERROR(__xludf.DUMMYFUNCTION("""COMPUTED_VALUE"""),0.0)</f>
        <v>0</v>
      </c>
      <c r="H381" s="33">
        <f>IFERROR(__xludf.DUMMYFUNCTION("""COMPUTED_VALUE"""),0.0)</f>
        <v>0</v>
      </c>
      <c r="I381" s="33">
        <f>IFERROR(__xludf.DUMMYFUNCTION("""COMPUTED_VALUE"""),0.0)</f>
        <v>0</v>
      </c>
      <c r="J381" s="33">
        <f>IFERROR(__xludf.DUMMYFUNCTION("""COMPUTED_VALUE"""),0.0)</f>
        <v>0</v>
      </c>
      <c r="K381" s="33">
        <f>IFERROR(__xludf.DUMMYFUNCTION("""COMPUTED_VALUE"""),0.0)</f>
        <v>0</v>
      </c>
      <c r="L381" s="33">
        <f>IFERROR(__xludf.DUMMYFUNCTION("""COMPUTED_VALUE"""),0.0)</f>
        <v>0</v>
      </c>
      <c r="M381" s="33">
        <f>IFERROR(__xludf.DUMMYFUNCTION("""COMPUTED_VALUE"""),0.0)</f>
        <v>0</v>
      </c>
      <c r="N381" s="33">
        <f>IFERROR(__xludf.DUMMYFUNCTION("""COMPUTED_VALUE"""),8.0)</f>
        <v>8</v>
      </c>
      <c r="O381" s="33">
        <f>IFERROR(__xludf.DUMMYFUNCTION("""COMPUTED_VALUE"""),4.0)</f>
        <v>4</v>
      </c>
      <c r="P381" s="33">
        <f>IFERROR(__xludf.DUMMYFUNCTION("""COMPUTED_VALUE"""),8.0)</f>
        <v>8</v>
      </c>
      <c r="Q381" s="33">
        <f>IFERROR(__xludf.DUMMYFUNCTION("""COMPUTED_VALUE"""),0.0)</f>
        <v>0</v>
      </c>
      <c r="R381" s="33">
        <f>IFERROR(__xludf.DUMMYFUNCTION("""COMPUTED_VALUE"""),0.0)</f>
        <v>0</v>
      </c>
      <c r="S381" s="33">
        <f>IFERROR(__xludf.DUMMYFUNCTION("""COMPUTED_VALUE"""),0.0)</f>
        <v>0</v>
      </c>
      <c r="T381" s="33">
        <f>IFERROR(__xludf.DUMMYFUNCTION("""COMPUTED_VALUE"""),0.0)</f>
        <v>0</v>
      </c>
      <c r="U381" s="33">
        <f>IFERROR(__xludf.DUMMYFUNCTION("""COMPUTED_VALUE"""),0.0)</f>
        <v>0</v>
      </c>
      <c r="V381" s="33">
        <f>IFERROR(__xludf.DUMMYFUNCTION("""COMPUTED_VALUE"""),0.0)</f>
        <v>0</v>
      </c>
      <c r="W381" s="33">
        <f>IFERROR(__xludf.DUMMYFUNCTION("""COMPUTED_VALUE"""),0.0)</f>
        <v>0</v>
      </c>
      <c r="X381" s="33">
        <f>IFERROR(__xludf.DUMMYFUNCTION("""COMPUTED_VALUE"""),0.0)</f>
        <v>0</v>
      </c>
      <c r="Y381" s="33">
        <f>IFERROR(__xludf.DUMMYFUNCTION("""COMPUTED_VALUE"""),0.0)</f>
        <v>0</v>
      </c>
      <c r="Z381" s="33">
        <f>IFERROR(__xludf.DUMMYFUNCTION("""COMPUTED_VALUE"""),0.0)</f>
        <v>0</v>
      </c>
      <c r="AA381" s="33">
        <f>IFERROR(__xludf.DUMMYFUNCTION("""COMPUTED_VALUE"""),0.0)</f>
        <v>0</v>
      </c>
      <c r="AB381" s="33">
        <f>IFERROR(__xludf.DUMMYFUNCTION("""COMPUTED_VALUE"""),0.0)</f>
        <v>0</v>
      </c>
      <c r="AC381" s="33">
        <f>IFERROR(__xludf.DUMMYFUNCTION("""COMPUTED_VALUE"""),0.0)</f>
        <v>0</v>
      </c>
      <c r="AD381" s="33">
        <f>IFERROR(__xludf.DUMMYFUNCTION("""COMPUTED_VALUE"""),0.786111111111111)</f>
        <v>0.7861111111</v>
      </c>
      <c r="AE381" s="33">
        <f>IFERROR(__xludf.DUMMYFUNCTION("""COMPUTED_VALUE"""),2.11222222222222)</f>
        <v>2.112222222</v>
      </c>
      <c r="AF381" s="33">
        <f>IFERROR(__xludf.DUMMYFUNCTION("""COMPUTED_VALUE"""),0.0)</f>
        <v>0</v>
      </c>
    </row>
    <row r="382">
      <c r="A382" s="49">
        <f>IFERROR(__xludf.DUMMYFUNCTION("""COMPUTED_VALUE"""),46048.0)</f>
        <v>46048</v>
      </c>
      <c r="B382" s="33" t="str">
        <f>IFERROR(__xludf.DUMMYFUNCTION("""COMPUTED_VALUE"""),"e493cee863483a057af12de782cd20043a19ed05")</f>
        <v>e493cee863483a057af12de782cd20043a19ed05</v>
      </c>
      <c r="C382" s="33" t="str">
        <f>IFERROR(__xludf.DUMMYFUNCTION("""COMPUTED_VALUE"""),"Malang")</f>
        <v>Malang</v>
      </c>
      <c r="D382" s="33">
        <f>IFERROR(__xludf.DUMMYFUNCTION("""COMPUTED_VALUE"""),7.0)</f>
        <v>7</v>
      </c>
      <c r="E382" s="33">
        <f>IFERROR(__xludf.DUMMYFUNCTION("""COMPUTED_VALUE"""),9.0)</f>
        <v>9</v>
      </c>
      <c r="F382" s="33">
        <f>IFERROR(__xludf.DUMMYFUNCTION("""COMPUTED_VALUE"""),7.0)</f>
        <v>7</v>
      </c>
      <c r="G382" s="33">
        <f>IFERROR(__xludf.DUMMYFUNCTION("""COMPUTED_VALUE"""),0.0)</f>
        <v>0</v>
      </c>
      <c r="H382" s="33">
        <f>IFERROR(__xludf.DUMMYFUNCTION("""COMPUTED_VALUE"""),13.0)</f>
        <v>13</v>
      </c>
      <c r="I382" s="33">
        <f>IFERROR(__xludf.DUMMYFUNCTION("""COMPUTED_VALUE"""),6.0)</f>
        <v>6</v>
      </c>
      <c r="J382" s="33">
        <f>IFERROR(__xludf.DUMMYFUNCTION("""COMPUTED_VALUE"""),13.0)</f>
        <v>13</v>
      </c>
      <c r="K382" s="33">
        <f>IFERROR(__xludf.DUMMYFUNCTION("""COMPUTED_VALUE"""),0.0)</f>
        <v>0</v>
      </c>
      <c r="L382" s="33">
        <f>IFERROR(__xludf.DUMMYFUNCTION("""COMPUTED_VALUE"""),0.0)</f>
        <v>0</v>
      </c>
      <c r="M382" s="33">
        <f>IFERROR(__xludf.DUMMYFUNCTION("""COMPUTED_VALUE"""),10.0)</f>
        <v>10</v>
      </c>
      <c r="N382" s="33">
        <f>IFERROR(__xludf.DUMMYFUNCTION("""COMPUTED_VALUE"""),13.0)</f>
        <v>13</v>
      </c>
      <c r="O382" s="33">
        <f>IFERROR(__xludf.DUMMYFUNCTION("""COMPUTED_VALUE"""),5.0)</f>
        <v>5</v>
      </c>
      <c r="P382" s="33">
        <f>IFERROR(__xludf.DUMMYFUNCTION("""COMPUTED_VALUE"""),13.0)</f>
        <v>13</v>
      </c>
      <c r="Q382" s="33">
        <f>IFERROR(__xludf.DUMMYFUNCTION("""COMPUTED_VALUE"""),0.0)</f>
        <v>0</v>
      </c>
      <c r="R382" s="33">
        <f>IFERROR(__xludf.DUMMYFUNCTION("""COMPUTED_VALUE"""),15873.0)</f>
        <v>15873</v>
      </c>
      <c r="S382" s="33">
        <f>IFERROR(__xludf.DUMMYFUNCTION("""COMPUTED_VALUE"""),21055.0)</f>
        <v>21055</v>
      </c>
      <c r="T382" s="33">
        <f>IFERROR(__xludf.DUMMYFUNCTION("""COMPUTED_VALUE"""),2.20472222222222)</f>
        <v>2.204722222</v>
      </c>
      <c r="U382" s="33">
        <f>IFERROR(__xludf.DUMMYFUNCTION("""COMPUTED_VALUE"""),1.41972222222222)</f>
        <v>1.419722222</v>
      </c>
      <c r="V382" s="33">
        <f>IFERROR(__xludf.DUMMYFUNCTION("""COMPUTED_VALUE"""),0.0)</f>
        <v>0</v>
      </c>
      <c r="W382" s="33">
        <f>IFERROR(__xludf.DUMMYFUNCTION("""COMPUTED_VALUE"""),2.63555555555555)</f>
        <v>2.635555556</v>
      </c>
      <c r="X382" s="33">
        <f>IFERROR(__xludf.DUMMYFUNCTION("""COMPUTED_VALUE"""),1.22694444444444)</f>
        <v>1.226944444</v>
      </c>
      <c r="Y382" s="33">
        <f>IFERROR(__xludf.DUMMYFUNCTION("""COMPUTED_VALUE"""),2.63194444444444)</f>
        <v>2.631944444</v>
      </c>
      <c r="Z382" s="33">
        <f>IFERROR(__xludf.DUMMYFUNCTION("""COMPUTED_VALUE"""),0.0)</f>
        <v>0</v>
      </c>
      <c r="AA382" s="33">
        <f>IFERROR(__xludf.DUMMYFUNCTION("""COMPUTED_VALUE"""),0.0)</f>
        <v>0</v>
      </c>
      <c r="AB382" s="33">
        <f>IFERROR(__xludf.DUMMYFUNCTION("""COMPUTED_VALUE"""),2.03388888888888)</f>
        <v>2.033888889</v>
      </c>
      <c r="AC382" s="33">
        <f>IFERROR(__xludf.DUMMYFUNCTION("""COMPUTED_VALUE"""),2.6325)</f>
        <v>2.6325</v>
      </c>
      <c r="AD382" s="33">
        <f>IFERROR(__xludf.DUMMYFUNCTION("""COMPUTED_VALUE"""),0.956388888888889)</f>
        <v>0.9563888889</v>
      </c>
      <c r="AE382" s="33">
        <f>IFERROR(__xludf.DUMMYFUNCTION("""COMPUTED_VALUE"""),2.6325)</f>
        <v>2.6325</v>
      </c>
      <c r="AF382" s="33">
        <f>IFERROR(__xludf.DUMMYFUNCTION("""COMPUTED_VALUE"""),11.0)</f>
        <v>11</v>
      </c>
    </row>
    <row r="383">
      <c r="A383" s="49">
        <f>IFERROR(__xludf.DUMMYFUNCTION("""COMPUTED_VALUE"""),46048.0)</f>
        <v>46048</v>
      </c>
      <c r="B383" s="33" t="str">
        <f>IFERROR(__xludf.DUMMYFUNCTION("""COMPUTED_VALUE"""),"f43f4253dc3c596ff8f2e3cc9f3b677981a70310")</f>
        <v>f43f4253dc3c596ff8f2e3cc9f3b677981a70310</v>
      </c>
      <c r="C383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83" s="33">
        <f>IFERROR(__xludf.DUMMYFUNCTION("""COMPUTED_VALUE"""),7.0)</f>
        <v>7</v>
      </c>
      <c r="E383" s="33">
        <f>IFERROR(__xludf.DUMMYFUNCTION("""COMPUTED_VALUE"""),5.0)</f>
        <v>5</v>
      </c>
      <c r="F383" s="33">
        <f>IFERROR(__xludf.DUMMYFUNCTION("""COMPUTED_VALUE"""),0.0)</f>
        <v>0</v>
      </c>
      <c r="G383" s="33">
        <f>IFERROR(__xludf.DUMMYFUNCTION("""COMPUTED_VALUE"""),0.0)</f>
        <v>0</v>
      </c>
      <c r="H383" s="33">
        <f>IFERROR(__xludf.DUMMYFUNCTION("""COMPUTED_VALUE"""),0.0)</f>
        <v>0</v>
      </c>
      <c r="I383" s="33">
        <f>IFERROR(__xludf.DUMMYFUNCTION("""COMPUTED_VALUE"""),0.0)</f>
        <v>0</v>
      </c>
      <c r="J383" s="33">
        <f>IFERROR(__xludf.DUMMYFUNCTION("""COMPUTED_VALUE"""),0.0)</f>
        <v>0</v>
      </c>
      <c r="K383" s="33">
        <f>IFERROR(__xludf.DUMMYFUNCTION("""COMPUTED_VALUE"""),0.0)</f>
        <v>0</v>
      </c>
      <c r="L383" s="33">
        <f>IFERROR(__xludf.DUMMYFUNCTION("""COMPUTED_VALUE"""),0.0)</f>
        <v>0</v>
      </c>
      <c r="M383" s="33">
        <f>IFERROR(__xludf.DUMMYFUNCTION("""COMPUTED_VALUE"""),0.0)</f>
        <v>0</v>
      </c>
      <c r="N383" s="33">
        <f>IFERROR(__xludf.DUMMYFUNCTION("""COMPUTED_VALUE"""),0.0)</f>
        <v>0</v>
      </c>
      <c r="O383" s="33">
        <f>IFERROR(__xludf.DUMMYFUNCTION("""COMPUTED_VALUE"""),4.0)</f>
        <v>4</v>
      </c>
      <c r="P383" s="33">
        <f>IFERROR(__xludf.DUMMYFUNCTION("""COMPUTED_VALUE"""),5.0)</f>
        <v>5</v>
      </c>
      <c r="Q383" s="33">
        <f>IFERROR(__xludf.DUMMYFUNCTION("""COMPUTED_VALUE"""),0.0)</f>
        <v>0</v>
      </c>
      <c r="R383" s="33">
        <f>IFERROR(__xludf.DUMMYFUNCTION("""COMPUTED_VALUE"""),18137.0)</f>
        <v>18137</v>
      </c>
      <c r="S383" s="33">
        <f>IFERROR(__xludf.DUMMYFUNCTION("""COMPUTED_VALUE"""),12688.0)</f>
        <v>12688</v>
      </c>
      <c r="T383" s="33">
        <f>IFERROR(__xludf.DUMMYFUNCTION("""COMPUTED_VALUE"""),0.0)</f>
        <v>0</v>
      </c>
      <c r="U383" s="33">
        <f>IFERROR(__xludf.DUMMYFUNCTION("""COMPUTED_VALUE"""),0.0)</f>
        <v>0</v>
      </c>
      <c r="V383" s="33">
        <f>IFERROR(__xludf.DUMMYFUNCTION("""COMPUTED_VALUE"""),0.0)</f>
        <v>0</v>
      </c>
      <c r="W383" s="33">
        <f>IFERROR(__xludf.DUMMYFUNCTION("""COMPUTED_VALUE"""),0.0)</f>
        <v>0</v>
      </c>
      <c r="X383" s="33">
        <f>IFERROR(__xludf.DUMMYFUNCTION("""COMPUTED_VALUE"""),0.0)</f>
        <v>0</v>
      </c>
      <c r="Y383" s="33">
        <f>IFERROR(__xludf.DUMMYFUNCTION("""COMPUTED_VALUE"""),0.0)</f>
        <v>0</v>
      </c>
      <c r="Z383" s="33">
        <f>IFERROR(__xludf.DUMMYFUNCTION("""COMPUTED_VALUE"""),0.0)</f>
        <v>0</v>
      </c>
      <c r="AA383" s="33">
        <f>IFERROR(__xludf.DUMMYFUNCTION("""COMPUTED_VALUE"""),0.0)</f>
        <v>0</v>
      </c>
      <c r="AB383" s="33">
        <f>IFERROR(__xludf.DUMMYFUNCTION("""COMPUTED_VALUE"""),0.0)</f>
        <v>0</v>
      </c>
      <c r="AC383" s="33">
        <f>IFERROR(__xludf.DUMMYFUNCTION("""COMPUTED_VALUE"""),0.0)</f>
        <v>0</v>
      </c>
      <c r="AD383" s="33">
        <f>IFERROR(__xludf.DUMMYFUNCTION("""COMPUTED_VALUE"""),1.01472222222222)</f>
        <v>1.014722222</v>
      </c>
      <c r="AE383" s="33">
        <f>IFERROR(__xludf.DUMMYFUNCTION("""COMPUTED_VALUE"""),1.16305555555555)</f>
        <v>1.163055556</v>
      </c>
      <c r="AF383" s="33">
        <f>IFERROR(__xludf.DUMMYFUNCTION("""COMPUTED_VALUE"""),0.0)</f>
        <v>0</v>
      </c>
    </row>
    <row r="384">
      <c r="A384" s="49">
        <f>IFERROR(__xludf.DUMMYFUNCTION("""COMPUTED_VALUE"""),46041.0)</f>
        <v>46041</v>
      </c>
      <c r="B384" s="33" t="str">
        <f>IFERROR(__xludf.DUMMYFUNCTION("""COMPUTED_VALUE"""),"017fddbaa7617afdd8289be5c433df09dcde1da2")</f>
        <v>017fddbaa7617afdd8289be5c433df09dcde1da2</v>
      </c>
      <c r="C384" s="33" t="str">
        <f>IFERROR(__xludf.DUMMYFUNCTION("""COMPUTED_VALUE"""),"His Secret Fortune - Production Show_id")</f>
        <v>His Secret Fortune - Production Show_id</v>
      </c>
      <c r="D384" s="33">
        <f>IFERROR(__xludf.DUMMYFUNCTION("""COMPUTED_VALUE"""),16.0)</f>
        <v>16</v>
      </c>
      <c r="E384" s="33">
        <f>IFERROR(__xludf.DUMMYFUNCTION("""COMPUTED_VALUE"""),1.0)</f>
        <v>1</v>
      </c>
      <c r="F384" s="33">
        <f>IFERROR(__xludf.DUMMYFUNCTION("""COMPUTED_VALUE"""),0.0)</f>
        <v>0</v>
      </c>
      <c r="G384" s="33">
        <f>IFERROR(__xludf.DUMMYFUNCTION("""COMPUTED_VALUE"""),0.0)</f>
        <v>0</v>
      </c>
      <c r="H384" s="33">
        <f>IFERROR(__xludf.DUMMYFUNCTION("""COMPUTED_VALUE"""),0.0)</f>
        <v>0</v>
      </c>
      <c r="I384" s="33">
        <f>IFERROR(__xludf.DUMMYFUNCTION("""COMPUTED_VALUE"""),0.0)</f>
        <v>0</v>
      </c>
      <c r="J384" s="33">
        <f>IFERROR(__xludf.DUMMYFUNCTION("""COMPUTED_VALUE"""),0.0)</f>
        <v>0</v>
      </c>
      <c r="K384" s="33">
        <f>IFERROR(__xludf.DUMMYFUNCTION("""COMPUTED_VALUE"""),0.0)</f>
        <v>0</v>
      </c>
      <c r="L384" s="33">
        <f>IFERROR(__xludf.DUMMYFUNCTION("""COMPUTED_VALUE"""),0.0)</f>
        <v>0</v>
      </c>
      <c r="M384" s="33">
        <f>IFERROR(__xludf.DUMMYFUNCTION("""COMPUTED_VALUE"""),0.0)</f>
        <v>0</v>
      </c>
      <c r="N384" s="33">
        <f>IFERROR(__xludf.DUMMYFUNCTION("""COMPUTED_VALUE"""),0.0)</f>
        <v>0</v>
      </c>
      <c r="O384" s="33">
        <f>IFERROR(__xludf.DUMMYFUNCTION("""COMPUTED_VALUE"""),0.0)</f>
        <v>0</v>
      </c>
      <c r="P384" s="33">
        <f>IFERROR(__xludf.DUMMYFUNCTION("""COMPUTED_VALUE"""),0.0)</f>
        <v>0</v>
      </c>
      <c r="Q384" s="33">
        <f>IFERROR(__xludf.DUMMYFUNCTION("""COMPUTED_VALUE"""),0.0)</f>
        <v>0</v>
      </c>
      <c r="R384" s="33">
        <f>IFERROR(__xludf.DUMMYFUNCTION("""COMPUTED_VALUE"""),29500.0)</f>
        <v>29500</v>
      </c>
      <c r="S384" s="33">
        <f>IFERROR(__xludf.DUMMYFUNCTION("""COMPUTED_VALUE"""),2581.0)</f>
        <v>2581</v>
      </c>
      <c r="T384" s="33">
        <f>IFERROR(__xludf.DUMMYFUNCTION("""COMPUTED_VALUE"""),0.0)</f>
        <v>0</v>
      </c>
      <c r="U384" s="33">
        <f>IFERROR(__xludf.DUMMYFUNCTION("""COMPUTED_VALUE"""),0.0)</f>
        <v>0</v>
      </c>
      <c r="V384" s="33">
        <f>IFERROR(__xludf.DUMMYFUNCTION("""COMPUTED_VALUE"""),0.0)</f>
        <v>0</v>
      </c>
      <c r="W384" s="33">
        <f>IFERROR(__xludf.DUMMYFUNCTION("""COMPUTED_VALUE"""),0.0)</f>
        <v>0</v>
      </c>
      <c r="X384" s="33">
        <f>IFERROR(__xludf.DUMMYFUNCTION("""COMPUTED_VALUE"""),0.0)</f>
        <v>0</v>
      </c>
      <c r="Y384" s="33">
        <f>IFERROR(__xludf.DUMMYFUNCTION("""COMPUTED_VALUE"""),0.0)</f>
        <v>0</v>
      </c>
      <c r="Z384" s="33">
        <f>IFERROR(__xludf.DUMMYFUNCTION("""COMPUTED_VALUE"""),0.0)</f>
        <v>0</v>
      </c>
      <c r="AA384" s="33">
        <f>IFERROR(__xludf.DUMMYFUNCTION("""COMPUTED_VALUE"""),0.0)</f>
        <v>0</v>
      </c>
      <c r="AB384" s="33">
        <f>IFERROR(__xludf.DUMMYFUNCTION("""COMPUTED_VALUE"""),0.0)</f>
        <v>0</v>
      </c>
      <c r="AC384" s="33">
        <f>IFERROR(__xludf.DUMMYFUNCTION("""COMPUTED_VALUE"""),0.0)</f>
        <v>0</v>
      </c>
      <c r="AD384" s="33">
        <f>IFERROR(__xludf.DUMMYFUNCTION("""COMPUTED_VALUE"""),0.0)</f>
        <v>0</v>
      </c>
      <c r="AE384" s="33">
        <f>IFERROR(__xludf.DUMMYFUNCTION("""COMPUTED_VALUE"""),0.0)</f>
        <v>0</v>
      </c>
      <c r="AF384" s="33">
        <f>IFERROR(__xludf.DUMMYFUNCTION("""COMPUTED_VALUE"""),0.0)</f>
        <v>0</v>
      </c>
    </row>
    <row r="385">
      <c r="A385" s="49">
        <f>IFERROR(__xludf.DUMMYFUNCTION("""COMPUTED_VALUE"""),46041.0)</f>
        <v>46041</v>
      </c>
      <c r="B385" s="33" t="str">
        <f>IFERROR(__xludf.DUMMYFUNCTION("""COMPUTED_VALUE"""),"2549f1505a3739b3e90a0b63921ad55271440d40")</f>
        <v>2549f1505a3739b3e90a0b63921ad55271440d40</v>
      </c>
      <c r="C385" s="33" t="str">
        <f>IFERROR(__xludf.DUMMYFUNCTION("""COMPUTED_VALUE"""),"Reborn in Martial World ")</f>
        <v>Reborn in Martial World </v>
      </c>
      <c r="D385" s="33">
        <f>IFERROR(__xludf.DUMMYFUNCTION("""COMPUTED_VALUE"""),50.0)</f>
        <v>50</v>
      </c>
      <c r="E385" s="33">
        <f>IFERROR(__xludf.DUMMYFUNCTION("""COMPUTED_VALUE"""),22.0)</f>
        <v>22</v>
      </c>
      <c r="F385" s="33">
        <f>IFERROR(__xludf.DUMMYFUNCTION("""COMPUTED_VALUE"""),0.0)</f>
        <v>0</v>
      </c>
      <c r="G385" s="33">
        <f>IFERROR(__xludf.DUMMYFUNCTION("""COMPUTED_VALUE"""),0.0)</f>
        <v>0</v>
      </c>
      <c r="H385" s="33">
        <f>IFERROR(__xludf.DUMMYFUNCTION("""COMPUTED_VALUE"""),0.0)</f>
        <v>0</v>
      </c>
      <c r="I385" s="33">
        <f>IFERROR(__xludf.DUMMYFUNCTION("""COMPUTED_VALUE"""),0.0)</f>
        <v>0</v>
      </c>
      <c r="J385" s="33">
        <f>IFERROR(__xludf.DUMMYFUNCTION("""COMPUTED_VALUE"""),0.0)</f>
        <v>0</v>
      </c>
      <c r="K385" s="33">
        <f>IFERROR(__xludf.DUMMYFUNCTION("""COMPUTED_VALUE"""),0.0)</f>
        <v>0</v>
      </c>
      <c r="L385" s="33">
        <f>IFERROR(__xludf.DUMMYFUNCTION("""COMPUTED_VALUE"""),0.0)</f>
        <v>0</v>
      </c>
      <c r="M385" s="33">
        <f>IFERROR(__xludf.DUMMYFUNCTION("""COMPUTED_VALUE"""),49.0)</f>
        <v>49</v>
      </c>
      <c r="N385" s="33">
        <f>IFERROR(__xludf.DUMMYFUNCTION("""COMPUTED_VALUE"""),45.0)</f>
        <v>45</v>
      </c>
      <c r="O385" s="33">
        <f>IFERROR(__xludf.DUMMYFUNCTION("""COMPUTED_VALUE"""),5.0)</f>
        <v>5</v>
      </c>
      <c r="P385" s="33">
        <f>IFERROR(__xludf.DUMMYFUNCTION("""COMPUTED_VALUE"""),45.0)</f>
        <v>45</v>
      </c>
      <c r="Q385" s="33">
        <f>IFERROR(__xludf.DUMMYFUNCTION("""COMPUTED_VALUE"""),0.0)</f>
        <v>0</v>
      </c>
      <c r="R385" s="33">
        <f>IFERROR(__xludf.DUMMYFUNCTION("""COMPUTED_VALUE"""),119623.0)</f>
        <v>119623</v>
      </c>
      <c r="S385" s="33">
        <f>IFERROR(__xludf.DUMMYFUNCTION("""COMPUTED_VALUE"""),47921.0)</f>
        <v>47921</v>
      </c>
      <c r="T385" s="33">
        <f>IFERROR(__xludf.DUMMYFUNCTION("""COMPUTED_VALUE"""),0.0)</f>
        <v>0</v>
      </c>
      <c r="U385" s="33">
        <f>IFERROR(__xludf.DUMMYFUNCTION("""COMPUTED_VALUE"""),0.0)</f>
        <v>0</v>
      </c>
      <c r="V385" s="33">
        <f>IFERROR(__xludf.DUMMYFUNCTION("""COMPUTED_VALUE"""),0.0)</f>
        <v>0</v>
      </c>
      <c r="W385" s="33">
        <f>IFERROR(__xludf.DUMMYFUNCTION("""COMPUTED_VALUE"""),0.0)</f>
        <v>0</v>
      </c>
      <c r="X385" s="33">
        <f>IFERROR(__xludf.DUMMYFUNCTION("""COMPUTED_VALUE"""),0.0)</f>
        <v>0</v>
      </c>
      <c r="Y385" s="33">
        <f>IFERROR(__xludf.DUMMYFUNCTION("""COMPUTED_VALUE"""),0.0)</f>
        <v>0</v>
      </c>
      <c r="Z385" s="33">
        <f>IFERROR(__xludf.DUMMYFUNCTION("""COMPUTED_VALUE"""),0.0)</f>
        <v>0</v>
      </c>
      <c r="AA385" s="33">
        <f>IFERROR(__xludf.DUMMYFUNCTION("""COMPUTED_VALUE"""),0.0)</f>
        <v>0</v>
      </c>
      <c r="AB385" s="33">
        <f>IFERROR(__xludf.DUMMYFUNCTION("""COMPUTED_VALUE"""),12.9511111111111)</f>
        <v>12.95111111</v>
      </c>
      <c r="AC385" s="33">
        <f>IFERROR(__xludf.DUMMYFUNCTION("""COMPUTED_VALUE"""),9.99277777777777)</f>
        <v>9.992777778</v>
      </c>
      <c r="AD385" s="33">
        <f>IFERROR(__xludf.DUMMYFUNCTION("""COMPUTED_VALUE"""),1.00611111111111)</f>
        <v>1.006111111</v>
      </c>
      <c r="AE385" s="33">
        <f>IFERROR(__xludf.DUMMYFUNCTION("""COMPUTED_VALUE"""),9.99083333333333)</f>
        <v>9.990833333</v>
      </c>
      <c r="AF385" s="33">
        <f>IFERROR(__xludf.DUMMYFUNCTION("""COMPUTED_VALUE"""),0.0)</f>
        <v>0</v>
      </c>
    </row>
    <row r="386">
      <c r="A386" s="49">
        <f>IFERROR(__xludf.DUMMYFUNCTION("""COMPUTED_VALUE"""),46041.0)</f>
        <v>46041</v>
      </c>
      <c r="B386" s="33" t="str">
        <f>IFERROR(__xludf.DUMMYFUNCTION("""COMPUTED_VALUE"""),"37e68193f879e91ec362f75f4b46511110658e2b")</f>
        <v>37e68193f879e91ec362f75f4b46511110658e2b</v>
      </c>
      <c r="C386" s="33" t="str">
        <f>IFERROR(__xludf.DUMMYFUNCTION("""COMPUTED_VALUE"""),"Shiva : Ek Pretyodha")</f>
        <v>Shiva : Ek Pretyodha</v>
      </c>
      <c r="D386" s="33">
        <f>IFERROR(__xludf.DUMMYFUNCTION("""COMPUTED_VALUE"""),0.0)</f>
        <v>0</v>
      </c>
      <c r="E386" s="33">
        <f>IFERROR(__xludf.DUMMYFUNCTION("""COMPUTED_VALUE"""),0.0)</f>
        <v>0</v>
      </c>
      <c r="F386" s="33">
        <f>IFERROR(__xludf.DUMMYFUNCTION("""COMPUTED_VALUE"""),0.0)</f>
        <v>0</v>
      </c>
      <c r="G386" s="33">
        <f>IFERROR(__xludf.DUMMYFUNCTION("""COMPUTED_VALUE"""),0.0)</f>
        <v>0</v>
      </c>
      <c r="H386" s="33">
        <f>IFERROR(__xludf.DUMMYFUNCTION("""COMPUTED_VALUE"""),0.0)</f>
        <v>0</v>
      </c>
      <c r="I386" s="33">
        <f>IFERROR(__xludf.DUMMYFUNCTION("""COMPUTED_VALUE"""),0.0)</f>
        <v>0</v>
      </c>
      <c r="J386" s="33">
        <f>IFERROR(__xludf.DUMMYFUNCTION("""COMPUTED_VALUE"""),0.0)</f>
        <v>0</v>
      </c>
      <c r="K386" s="33">
        <f>IFERROR(__xludf.DUMMYFUNCTION("""COMPUTED_VALUE"""),0.0)</f>
        <v>0</v>
      </c>
      <c r="L386" s="33">
        <f>IFERROR(__xludf.DUMMYFUNCTION("""COMPUTED_VALUE"""),0.0)</f>
        <v>0</v>
      </c>
      <c r="M386" s="33">
        <f>IFERROR(__xludf.DUMMYFUNCTION("""COMPUTED_VALUE"""),0.0)</f>
        <v>0</v>
      </c>
      <c r="N386" s="33">
        <f>IFERROR(__xludf.DUMMYFUNCTION("""COMPUTED_VALUE"""),1.0)</f>
        <v>1</v>
      </c>
      <c r="O386" s="33">
        <f>IFERROR(__xludf.DUMMYFUNCTION("""COMPUTED_VALUE"""),18.0)</f>
        <v>18</v>
      </c>
      <c r="P386" s="33">
        <f>IFERROR(__xludf.DUMMYFUNCTION("""COMPUTED_VALUE"""),16.0)</f>
        <v>16</v>
      </c>
      <c r="Q386" s="33">
        <f>IFERROR(__xludf.DUMMYFUNCTION("""COMPUTED_VALUE"""),0.0)</f>
        <v>0</v>
      </c>
      <c r="R386" s="33">
        <f>IFERROR(__xludf.DUMMYFUNCTION("""COMPUTED_VALUE"""),0.0)</f>
        <v>0</v>
      </c>
      <c r="S386" s="33">
        <f>IFERROR(__xludf.DUMMYFUNCTION("""COMPUTED_VALUE"""),0.0)</f>
        <v>0</v>
      </c>
      <c r="T386" s="33">
        <f>IFERROR(__xludf.DUMMYFUNCTION("""COMPUTED_VALUE"""),0.0)</f>
        <v>0</v>
      </c>
      <c r="U386" s="33">
        <f>IFERROR(__xludf.DUMMYFUNCTION("""COMPUTED_VALUE"""),0.0)</f>
        <v>0</v>
      </c>
      <c r="V386" s="33">
        <f>IFERROR(__xludf.DUMMYFUNCTION("""COMPUTED_VALUE"""),0.0)</f>
        <v>0</v>
      </c>
      <c r="W386" s="33">
        <f>IFERROR(__xludf.DUMMYFUNCTION("""COMPUTED_VALUE"""),0.0)</f>
        <v>0</v>
      </c>
      <c r="X386" s="33">
        <f>IFERROR(__xludf.DUMMYFUNCTION("""COMPUTED_VALUE"""),0.0)</f>
        <v>0</v>
      </c>
      <c r="Y386" s="33">
        <f>IFERROR(__xludf.DUMMYFUNCTION("""COMPUTED_VALUE"""),0.0)</f>
        <v>0</v>
      </c>
      <c r="Z386" s="33">
        <f>IFERROR(__xludf.DUMMYFUNCTION("""COMPUTED_VALUE"""),0.0)</f>
        <v>0</v>
      </c>
      <c r="AA386" s="33">
        <f>IFERROR(__xludf.DUMMYFUNCTION("""COMPUTED_VALUE"""),0.0)</f>
        <v>0</v>
      </c>
      <c r="AB386" s="33">
        <f>IFERROR(__xludf.DUMMYFUNCTION("""COMPUTED_VALUE"""),0.0)</f>
        <v>0</v>
      </c>
      <c r="AC386" s="33">
        <f>IFERROR(__xludf.DUMMYFUNCTION("""COMPUTED_VALUE"""),0.238611111111111)</f>
        <v>0.2386111111</v>
      </c>
      <c r="AD386" s="33">
        <f>IFERROR(__xludf.DUMMYFUNCTION("""COMPUTED_VALUE"""),3.69999999999999)</f>
        <v>3.7</v>
      </c>
      <c r="AE386" s="33">
        <f>IFERROR(__xludf.DUMMYFUNCTION("""COMPUTED_VALUE"""),3.76555555555555)</f>
        <v>3.765555556</v>
      </c>
      <c r="AF386" s="33">
        <f>IFERROR(__xludf.DUMMYFUNCTION("""COMPUTED_VALUE"""),0.0)</f>
        <v>0</v>
      </c>
    </row>
    <row r="387">
      <c r="A387" s="49">
        <f>IFERROR(__xludf.DUMMYFUNCTION("""COMPUTED_VALUE"""),46041.0)</f>
        <v>46041</v>
      </c>
      <c r="B387" s="33" t="str">
        <f>IFERROR(__xludf.DUMMYFUNCTION("""COMPUTED_VALUE"""),"394d109f7b50d9a46fb591dbaaba2d0aac90a696")</f>
        <v>394d109f7b50d9a46fb591dbaaba2d0aac90a696</v>
      </c>
      <c r="C387" s="33" t="str">
        <f>IFERROR(__xludf.DUMMYFUNCTION("""COMPUTED_VALUE"""),"Empire of Hidden King (SRGJ) - Production Show_id")</f>
        <v>Empire of Hidden King (SRGJ) - Production Show_id</v>
      </c>
      <c r="D387" s="33">
        <f>IFERROR(__xludf.DUMMYFUNCTION("""COMPUTED_VALUE"""),30.0)</f>
        <v>30</v>
      </c>
      <c r="E387" s="33">
        <f>IFERROR(__xludf.DUMMYFUNCTION("""COMPUTED_VALUE"""),11.0)</f>
        <v>11</v>
      </c>
      <c r="F387" s="33">
        <f>IFERROR(__xludf.DUMMYFUNCTION("""COMPUTED_VALUE"""),12.0)</f>
        <v>12</v>
      </c>
      <c r="G387" s="33">
        <f>IFERROR(__xludf.DUMMYFUNCTION("""COMPUTED_VALUE"""),14.0)</f>
        <v>14</v>
      </c>
      <c r="H387" s="33">
        <f>IFERROR(__xludf.DUMMYFUNCTION("""COMPUTED_VALUE"""),15.0)</f>
        <v>15</v>
      </c>
      <c r="I387" s="33">
        <f>IFERROR(__xludf.DUMMYFUNCTION("""COMPUTED_VALUE"""),1.0)</f>
        <v>1</v>
      </c>
      <c r="J387" s="33">
        <f>IFERROR(__xludf.DUMMYFUNCTION("""COMPUTED_VALUE"""),15.0)</f>
        <v>15</v>
      </c>
      <c r="K387" s="33">
        <f>IFERROR(__xludf.DUMMYFUNCTION("""COMPUTED_VALUE"""),2.0)</f>
        <v>2</v>
      </c>
      <c r="L387" s="33">
        <f>IFERROR(__xludf.DUMMYFUNCTION("""COMPUTED_VALUE"""),3.0)</f>
        <v>3</v>
      </c>
      <c r="M387" s="33">
        <f>IFERROR(__xludf.DUMMYFUNCTION("""COMPUTED_VALUE"""),8.0)</f>
        <v>8</v>
      </c>
      <c r="N387" s="33">
        <f>IFERROR(__xludf.DUMMYFUNCTION("""COMPUTED_VALUE"""),11.0)</f>
        <v>11</v>
      </c>
      <c r="O387" s="33">
        <f>IFERROR(__xludf.DUMMYFUNCTION("""COMPUTED_VALUE"""),7.0)</f>
        <v>7</v>
      </c>
      <c r="P387" s="33">
        <f>IFERROR(__xludf.DUMMYFUNCTION("""COMPUTED_VALUE"""),11.0)</f>
        <v>11</v>
      </c>
      <c r="Q387" s="33">
        <f>IFERROR(__xludf.DUMMYFUNCTION("""COMPUTED_VALUE"""),0.0)</f>
        <v>0</v>
      </c>
      <c r="R387" s="33">
        <f>IFERROR(__xludf.DUMMYFUNCTION("""COMPUTED_VALUE"""),94314.0)</f>
        <v>94314</v>
      </c>
      <c r="S387" s="33">
        <f>IFERROR(__xludf.DUMMYFUNCTION("""COMPUTED_VALUE"""),34418.0)</f>
        <v>34418</v>
      </c>
      <c r="T387" s="33">
        <f>IFERROR(__xludf.DUMMYFUNCTION("""COMPUTED_VALUE"""),3.49666666666666)</f>
        <v>3.496666667</v>
      </c>
      <c r="U387" s="33">
        <f>IFERROR(__xludf.DUMMYFUNCTION("""COMPUTED_VALUE"""),3.22527777777777)</f>
        <v>3.225277778</v>
      </c>
      <c r="V387" s="33">
        <f>IFERROR(__xludf.DUMMYFUNCTION("""COMPUTED_VALUE"""),3.76611111111111)</f>
        <v>3.766111111</v>
      </c>
      <c r="W387" s="33">
        <f>IFERROR(__xludf.DUMMYFUNCTION("""COMPUTED_VALUE"""),4.03777777777777)</f>
        <v>4.037777778</v>
      </c>
      <c r="X387" s="33">
        <f>IFERROR(__xludf.DUMMYFUNCTION("""COMPUTED_VALUE"""),0.271666666666666)</f>
        <v>0.2716666667</v>
      </c>
      <c r="Y387" s="33">
        <f>IFERROR(__xludf.DUMMYFUNCTION("""COMPUTED_VALUE"""),4.03833333333333)</f>
        <v>4.038333333</v>
      </c>
      <c r="Z387" s="33">
        <f>IFERROR(__xludf.DUMMYFUNCTION("""COMPUTED_VALUE"""),0.486111111111111)</f>
        <v>0.4861111111</v>
      </c>
      <c r="AA387" s="33">
        <f>IFERROR(__xludf.DUMMYFUNCTION("""COMPUTED_VALUE"""),0.785)</f>
        <v>0.785</v>
      </c>
      <c r="AB387" s="33">
        <f>IFERROR(__xludf.DUMMYFUNCTION("""COMPUTED_VALUE"""),2.16888888888888)</f>
        <v>2.168888889</v>
      </c>
      <c r="AC387" s="33">
        <f>IFERROR(__xludf.DUMMYFUNCTION("""COMPUTED_VALUE"""),3.06333333333333)</f>
        <v>3.063333333</v>
      </c>
      <c r="AD387" s="33">
        <f>IFERROR(__xludf.DUMMYFUNCTION("""COMPUTED_VALUE"""),1.72111111111111)</f>
        <v>1.721111111</v>
      </c>
      <c r="AE387" s="33">
        <f>IFERROR(__xludf.DUMMYFUNCTION("""COMPUTED_VALUE"""),3.06333333333333)</f>
        <v>3.063333333</v>
      </c>
      <c r="AF387" s="33">
        <f>IFERROR(__xludf.DUMMYFUNCTION("""COMPUTED_VALUE"""),13.0)</f>
        <v>13</v>
      </c>
    </row>
    <row r="388">
      <c r="A388" s="49">
        <f>IFERROR(__xludf.DUMMYFUNCTION("""COMPUTED_VALUE"""),46041.0)</f>
        <v>46041</v>
      </c>
      <c r="B388" s="33" t="str">
        <f>IFERROR(__xludf.DUMMYFUNCTION("""COMPUTED_VALUE"""),"5066c0736f9e9444f2b4da840d6860b1f7f47d11")</f>
        <v>5066c0736f9e9444f2b4da840d6860b1f7f47d11</v>
      </c>
      <c r="C388" s="33" t="str">
        <f>IFERROR(__xludf.DUMMYFUNCTION("""COMPUTED_VALUE"""),"The Warrior | Author - Dayaram Prajapati - Replica (For Production Only)")</f>
        <v>The Warrior | Author - Dayaram Prajapati - Replica (For Production Only)</v>
      </c>
      <c r="D388" s="33">
        <f>IFERROR(__xludf.DUMMYFUNCTION("""COMPUTED_VALUE"""),20.0)</f>
        <v>20</v>
      </c>
      <c r="E388" s="33">
        <f>IFERROR(__xludf.DUMMYFUNCTION("""COMPUTED_VALUE"""),20.0)</f>
        <v>20</v>
      </c>
      <c r="F388" s="33">
        <f>IFERROR(__xludf.DUMMYFUNCTION("""COMPUTED_VALUE"""),12.0)</f>
        <v>12</v>
      </c>
      <c r="G388" s="33">
        <f>IFERROR(__xludf.DUMMYFUNCTION("""COMPUTED_VALUE"""),13.0)</f>
        <v>13</v>
      </c>
      <c r="H388" s="33">
        <f>IFERROR(__xludf.DUMMYFUNCTION("""COMPUTED_VALUE"""),22.0)</f>
        <v>22</v>
      </c>
      <c r="I388" s="33">
        <f>IFERROR(__xludf.DUMMYFUNCTION("""COMPUTED_VALUE"""),9.0)</f>
        <v>9</v>
      </c>
      <c r="J388" s="33">
        <f>IFERROR(__xludf.DUMMYFUNCTION("""COMPUTED_VALUE"""),22.0)</f>
        <v>22</v>
      </c>
      <c r="K388" s="33">
        <f>IFERROR(__xludf.DUMMYFUNCTION("""COMPUTED_VALUE"""),0.0)</f>
        <v>0</v>
      </c>
      <c r="L388" s="33">
        <f>IFERROR(__xludf.DUMMYFUNCTION("""COMPUTED_VALUE"""),0.0)</f>
        <v>0</v>
      </c>
      <c r="M388" s="33">
        <f>IFERROR(__xludf.DUMMYFUNCTION("""COMPUTED_VALUE"""),21.0)</f>
        <v>21</v>
      </c>
      <c r="N388" s="33">
        <f>IFERROR(__xludf.DUMMYFUNCTION("""COMPUTED_VALUE"""),21.0)</f>
        <v>21</v>
      </c>
      <c r="O388" s="33">
        <f>IFERROR(__xludf.DUMMYFUNCTION("""COMPUTED_VALUE"""),6.0)</f>
        <v>6</v>
      </c>
      <c r="P388" s="33">
        <f>IFERROR(__xludf.DUMMYFUNCTION("""COMPUTED_VALUE"""),21.0)</f>
        <v>21</v>
      </c>
      <c r="Q388" s="33">
        <f>IFERROR(__xludf.DUMMYFUNCTION("""COMPUTED_VALUE"""),0.0)</f>
        <v>0</v>
      </c>
      <c r="R388" s="33">
        <f>IFERROR(__xludf.DUMMYFUNCTION("""COMPUTED_VALUE"""),67016.0)</f>
        <v>67016</v>
      </c>
      <c r="S388" s="33">
        <f>IFERROR(__xludf.DUMMYFUNCTION("""COMPUTED_VALUE"""),49704.0)</f>
        <v>49704</v>
      </c>
      <c r="T388" s="33">
        <f>IFERROR(__xludf.DUMMYFUNCTION("""COMPUTED_VALUE"""),5.01861111111111)</f>
        <v>5.018611111</v>
      </c>
      <c r="U388" s="33">
        <f>IFERROR(__xludf.DUMMYFUNCTION("""COMPUTED_VALUE"""),2.87888888888888)</f>
        <v>2.878888889</v>
      </c>
      <c r="V388" s="33">
        <f>IFERROR(__xludf.DUMMYFUNCTION("""COMPUTED_VALUE"""),3.12333333333333)</f>
        <v>3.123333333</v>
      </c>
      <c r="W388" s="33">
        <f>IFERROR(__xludf.DUMMYFUNCTION("""COMPUTED_VALUE"""),5.26305555555555)</f>
        <v>5.263055556</v>
      </c>
      <c r="X388" s="33">
        <f>IFERROR(__xludf.DUMMYFUNCTION("""COMPUTED_VALUE"""),2.13972222222222)</f>
        <v>2.139722222</v>
      </c>
      <c r="Y388" s="33">
        <f>IFERROR(__xludf.DUMMYFUNCTION("""COMPUTED_VALUE"""),5.27111111111111)</f>
        <v>5.271111111</v>
      </c>
      <c r="Z388" s="33">
        <f>IFERROR(__xludf.DUMMYFUNCTION("""COMPUTED_VALUE"""),0.0)</f>
        <v>0</v>
      </c>
      <c r="AA388" s="33">
        <f>IFERROR(__xludf.DUMMYFUNCTION("""COMPUTED_VALUE"""),0.0)</f>
        <v>0</v>
      </c>
      <c r="AB388" s="33">
        <f>IFERROR(__xludf.DUMMYFUNCTION("""COMPUTED_VALUE"""),5.04388888888888)</f>
        <v>5.043888889</v>
      </c>
      <c r="AC388" s="33">
        <f>IFERROR(__xludf.DUMMYFUNCTION("""COMPUTED_VALUE"""),5.04388888888888)</f>
        <v>5.043888889</v>
      </c>
      <c r="AD388" s="33">
        <f>IFERROR(__xludf.DUMMYFUNCTION("""COMPUTED_VALUE"""),1.42916666666666)</f>
        <v>1.429166667</v>
      </c>
      <c r="AE388" s="33">
        <f>IFERROR(__xludf.DUMMYFUNCTION("""COMPUTED_VALUE"""),5.04388888888888)</f>
        <v>5.043888889</v>
      </c>
      <c r="AF388" s="33">
        <f>IFERROR(__xludf.DUMMYFUNCTION("""COMPUTED_VALUE"""),21.0)</f>
        <v>21</v>
      </c>
    </row>
    <row r="389">
      <c r="A389" s="49">
        <f>IFERROR(__xludf.DUMMYFUNCTION("""COMPUTED_VALUE"""),46041.0)</f>
        <v>46041</v>
      </c>
      <c r="B389" s="33" t="str">
        <f>IFERROR(__xludf.DUMMYFUNCTION("""COMPUTED_VALUE"""),"5baf4c80faf4b2d4eb9401a1d0081872e0158e89")</f>
        <v>5baf4c80faf4b2d4eb9401a1d0081872e0158e89</v>
      </c>
      <c r="C389" s="33" t="str">
        <f>IFERROR(__xludf.DUMMYFUNCTION("""COMPUTED_VALUE"""),"Brahmyodha : The Destroyer - Production showId")</f>
        <v>Brahmyodha : The Destroyer - Production showId</v>
      </c>
      <c r="D389" s="33">
        <f>IFERROR(__xludf.DUMMYFUNCTION("""COMPUTED_VALUE"""),0.0)</f>
        <v>0</v>
      </c>
      <c r="E389" s="33">
        <f>IFERROR(__xludf.DUMMYFUNCTION("""COMPUTED_VALUE"""),24.0)</f>
        <v>24</v>
      </c>
      <c r="F389" s="33">
        <f>IFERROR(__xludf.DUMMYFUNCTION("""COMPUTED_VALUE"""),1.0)</f>
        <v>1</v>
      </c>
      <c r="G389" s="33">
        <f>IFERROR(__xludf.DUMMYFUNCTION("""COMPUTED_VALUE"""),0.0)</f>
        <v>0</v>
      </c>
      <c r="H389" s="33">
        <f>IFERROR(__xludf.DUMMYFUNCTION("""COMPUTED_VALUE"""),18.0)</f>
        <v>18</v>
      </c>
      <c r="I389" s="33">
        <f>IFERROR(__xludf.DUMMYFUNCTION("""COMPUTED_VALUE"""),17.0)</f>
        <v>17</v>
      </c>
      <c r="J389" s="33">
        <f>IFERROR(__xludf.DUMMYFUNCTION("""COMPUTED_VALUE"""),17.0)</f>
        <v>17</v>
      </c>
      <c r="K389" s="33">
        <f>IFERROR(__xludf.DUMMYFUNCTION("""COMPUTED_VALUE"""),1.0)</f>
        <v>1</v>
      </c>
      <c r="L389" s="33">
        <f>IFERROR(__xludf.DUMMYFUNCTION("""COMPUTED_VALUE"""),0.0)</f>
        <v>0</v>
      </c>
      <c r="M389" s="33">
        <f>IFERROR(__xludf.DUMMYFUNCTION("""COMPUTED_VALUE"""),18.0)</f>
        <v>18</v>
      </c>
      <c r="N389" s="33">
        <f>IFERROR(__xludf.DUMMYFUNCTION("""COMPUTED_VALUE"""),18.0)</f>
        <v>18</v>
      </c>
      <c r="O389" s="33">
        <f>IFERROR(__xludf.DUMMYFUNCTION("""COMPUTED_VALUE"""),5.0)</f>
        <v>5</v>
      </c>
      <c r="P389" s="33">
        <f>IFERROR(__xludf.DUMMYFUNCTION("""COMPUTED_VALUE"""),18.0)</f>
        <v>18</v>
      </c>
      <c r="Q389" s="33">
        <f>IFERROR(__xludf.DUMMYFUNCTION("""COMPUTED_VALUE"""),0.0)</f>
        <v>0</v>
      </c>
      <c r="R389" s="33">
        <f>IFERROR(__xludf.DUMMYFUNCTION("""COMPUTED_VALUE"""),0.0)</f>
        <v>0</v>
      </c>
      <c r="S389" s="33">
        <f>IFERROR(__xludf.DUMMYFUNCTION("""COMPUTED_VALUE"""),59349.0)</f>
        <v>59349</v>
      </c>
      <c r="T389" s="33">
        <f>IFERROR(__xludf.DUMMYFUNCTION("""COMPUTED_VALUE"""),4.44555555555555)</f>
        <v>4.445555556</v>
      </c>
      <c r="U389" s="33">
        <f>IFERROR(__xludf.DUMMYFUNCTION("""COMPUTED_VALUE"""),0.270277777777777)</f>
        <v>0.2702777778</v>
      </c>
      <c r="V389" s="33">
        <f>IFERROR(__xludf.DUMMYFUNCTION("""COMPUTED_VALUE"""),0.0)</f>
        <v>0</v>
      </c>
      <c r="W389" s="33">
        <f>IFERROR(__xludf.DUMMYFUNCTION("""COMPUTED_VALUE"""),4.44555555555555)</f>
        <v>4.445555556</v>
      </c>
      <c r="X389" s="33">
        <f>IFERROR(__xludf.DUMMYFUNCTION("""COMPUTED_VALUE"""),4.17527777777777)</f>
        <v>4.175277778</v>
      </c>
      <c r="Y389" s="33">
        <f>IFERROR(__xludf.DUMMYFUNCTION("""COMPUTED_VALUE"""),4.21027777777777)</f>
        <v>4.210277778</v>
      </c>
      <c r="Z389" s="33">
        <f>IFERROR(__xludf.DUMMYFUNCTION("""COMPUTED_VALUE"""),0.238611111111111)</f>
        <v>0.2386111111</v>
      </c>
      <c r="AA389" s="33">
        <f>IFERROR(__xludf.DUMMYFUNCTION("""COMPUTED_VALUE"""),0.0)</f>
        <v>0</v>
      </c>
      <c r="AB389" s="33">
        <f>IFERROR(__xludf.DUMMYFUNCTION("""COMPUTED_VALUE"""),4.39972222222222)</f>
        <v>4.399722222</v>
      </c>
      <c r="AC389" s="33">
        <f>IFERROR(__xludf.DUMMYFUNCTION("""COMPUTED_VALUE"""),4.39972222222222)</f>
        <v>4.399722222</v>
      </c>
      <c r="AD389" s="33">
        <f>IFERROR(__xludf.DUMMYFUNCTION("""COMPUTED_VALUE"""),1.04083333333333)</f>
        <v>1.040833333</v>
      </c>
      <c r="AE389" s="33">
        <f>IFERROR(__xludf.DUMMYFUNCTION("""COMPUTED_VALUE"""),4.39972222222222)</f>
        <v>4.399722222</v>
      </c>
      <c r="AF389" s="33">
        <f>IFERROR(__xludf.DUMMYFUNCTION("""COMPUTED_VALUE"""),18.0)</f>
        <v>18</v>
      </c>
    </row>
    <row r="390">
      <c r="A390" s="49">
        <f>IFERROR(__xludf.DUMMYFUNCTION("""COMPUTED_VALUE"""),46041.0)</f>
        <v>46041</v>
      </c>
      <c r="B390" s="33" t="str">
        <f>IFERROR(__xludf.DUMMYFUNCTION("""COMPUTED_VALUE"""),"641b6f77fd211e92df35a3bcbab67e6879e19a66")</f>
        <v>641b6f77fd211e92df35a3bcbab67e6879e19a66</v>
      </c>
      <c r="C390" s="33" t="str">
        <f>IFERROR(__xludf.DUMMYFUNCTION("""COMPUTED_VALUE"""),"Mahagatha | महागाथा | Author - S. Mauryavanshi")</f>
        <v>Mahagatha | महागाथा | Author - S. Mauryavanshi</v>
      </c>
      <c r="D390" s="33">
        <f>IFERROR(__xludf.DUMMYFUNCTION("""COMPUTED_VALUE"""),20.0)</f>
        <v>20</v>
      </c>
      <c r="E390" s="33">
        <f>IFERROR(__xludf.DUMMYFUNCTION("""COMPUTED_VALUE"""),20.0)</f>
        <v>20</v>
      </c>
      <c r="F390" s="33">
        <f>IFERROR(__xludf.DUMMYFUNCTION("""COMPUTED_VALUE"""),2.0)</f>
        <v>2</v>
      </c>
      <c r="G390" s="33">
        <f>IFERROR(__xludf.DUMMYFUNCTION("""COMPUTED_VALUE"""),0.0)</f>
        <v>0</v>
      </c>
      <c r="H390" s="33">
        <f>IFERROR(__xludf.DUMMYFUNCTION("""COMPUTED_VALUE"""),16.0)</f>
        <v>16</v>
      </c>
      <c r="I390" s="33">
        <f>IFERROR(__xludf.DUMMYFUNCTION("""COMPUTED_VALUE"""),14.0)</f>
        <v>14</v>
      </c>
      <c r="J390" s="33">
        <f>IFERROR(__xludf.DUMMYFUNCTION("""COMPUTED_VALUE"""),16.0)</f>
        <v>16</v>
      </c>
      <c r="K390" s="33">
        <f>IFERROR(__xludf.DUMMYFUNCTION("""COMPUTED_VALUE"""),0.0)</f>
        <v>0</v>
      </c>
      <c r="L390" s="33">
        <f>IFERROR(__xludf.DUMMYFUNCTION("""COMPUTED_VALUE"""),0.0)</f>
        <v>0</v>
      </c>
      <c r="M390" s="33">
        <f>IFERROR(__xludf.DUMMYFUNCTION("""COMPUTED_VALUE"""),16.0)</f>
        <v>16</v>
      </c>
      <c r="N390" s="33">
        <f>IFERROR(__xludf.DUMMYFUNCTION("""COMPUTED_VALUE"""),15.0)</f>
        <v>15</v>
      </c>
      <c r="O390" s="33">
        <f>IFERROR(__xludf.DUMMYFUNCTION("""COMPUTED_VALUE"""),9.0)</f>
        <v>9</v>
      </c>
      <c r="P390" s="33">
        <f>IFERROR(__xludf.DUMMYFUNCTION("""COMPUTED_VALUE"""),15.0)</f>
        <v>15</v>
      </c>
      <c r="Q390" s="33">
        <f>IFERROR(__xludf.DUMMYFUNCTION("""COMPUTED_VALUE"""),0.0)</f>
        <v>0</v>
      </c>
      <c r="R390" s="33">
        <f>IFERROR(__xludf.DUMMYFUNCTION("""COMPUTED_VALUE"""),46935.0)</f>
        <v>46935</v>
      </c>
      <c r="S390" s="33">
        <f>IFERROR(__xludf.DUMMYFUNCTION("""COMPUTED_VALUE"""),47124.0)</f>
        <v>47124</v>
      </c>
      <c r="T390" s="33">
        <f>IFERROR(__xludf.DUMMYFUNCTION("""COMPUTED_VALUE"""),3.81583333333333)</f>
        <v>3.815833333</v>
      </c>
      <c r="U390" s="33">
        <f>IFERROR(__xludf.DUMMYFUNCTION("""COMPUTED_VALUE"""),0.475277777777777)</f>
        <v>0.4752777778</v>
      </c>
      <c r="V390" s="33">
        <f>IFERROR(__xludf.DUMMYFUNCTION("""COMPUTED_VALUE"""),0.0)</f>
        <v>0</v>
      </c>
      <c r="W390" s="33">
        <f>IFERROR(__xludf.DUMMYFUNCTION("""COMPUTED_VALUE"""),3.81666666666666)</f>
        <v>3.816666667</v>
      </c>
      <c r="X390" s="33">
        <f>IFERROR(__xludf.DUMMYFUNCTION("""COMPUTED_VALUE"""),3.34055555555555)</f>
        <v>3.340555556</v>
      </c>
      <c r="Y390" s="33">
        <f>IFERROR(__xludf.DUMMYFUNCTION("""COMPUTED_VALUE"""),3.81388888888888)</f>
        <v>3.813888889</v>
      </c>
      <c r="Z390" s="33">
        <f>IFERROR(__xludf.DUMMYFUNCTION("""COMPUTED_VALUE"""),0.0)</f>
        <v>0</v>
      </c>
      <c r="AA390" s="33">
        <f>IFERROR(__xludf.DUMMYFUNCTION("""COMPUTED_VALUE"""),0.0)</f>
        <v>0</v>
      </c>
      <c r="AB390" s="33">
        <f>IFERROR(__xludf.DUMMYFUNCTION("""COMPUTED_VALUE"""),3.83333333333333)</f>
        <v>3.833333333</v>
      </c>
      <c r="AC390" s="33">
        <f>IFERROR(__xludf.DUMMYFUNCTION("""COMPUTED_VALUE"""),3.59527777777777)</f>
        <v>3.595277778</v>
      </c>
      <c r="AD390" s="33">
        <f>IFERROR(__xludf.DUMMYFUNCTION("""COMPUTED_VALUE"""),1.97)</f>
        <v>1.97</v>
      </c>
      <c r="AE390" s="33">
        <f>IFERROR(__xludf.DUMMYFUNCTION("""COMPUTED_VALUE"""),3.59527777777777)</f>
        <v>3.595277778</v>
      </c>
      <c r="AF390" s="33">
        <f>IFERROR(__xludf.DUMMYFUNCTION("""COMPUTED_VALUE"""),16.0)</f>
        <v>16</v>
      </c>
    </row>
    <row r="391">
      <c r="A391" s="49">
        <f>IFERROR(__xludf.DUMMYFUNCTION("""COMPUTED_VALUE"""),46041.0)</f>
        <v>46041</v>
      </c>
      <c r="B391" s="33" t="str">
        <f>IFERROR(__xludf.DUMMYFUNCTION("""COMPUTED_VALUE"""),"81de0bc81be63a15ef7b7f2a301e23b4f3d49745")</f>
        <v>81de0bc81be63a15ef7b7f2a301e23b4f3d49745</v>
      </c>
      <c r="C391" s="33" t="str">
        <f>IFERROR(__xludf.DUMMYFUNCTION("""COMPUTED_VALUE"""),"Married to a Hard Hearted")</f>
        <v>Married to a Hard Hearted</v>
      </c>
      <c r="D391" s="33">
        <f>IFERROR(__xludf.DUMMYFUNCTION("""COMPUTED_VALUE"""),1.0)</f>
        <v>1</v>
      </c>
      <c r="E391" s="33">
        <f>IFERROR(__xludf.DUMMYFUNCTION("""COMPUTED_VALUE"""),6.0)</f>
        <v>6</v>
      </c>
      <c r="F391" s="33">
        <f>IFERROR(__xludf.DUMMYFUNCTION("""COMPUTED_VALUE"""),3.0)</f>
        <v>3</v>
      </c>
      <c r="G391" s="33">
        <f>IFERROR(__xludf.DUMMYFUNCTION("""COMPUTED_VALUE"""),0.0)</f>
        <v>0</v>
      </c>
      <c r="H391" s="33">
        <f>IFERROR(__xludf.DUMMYFUNCTION("""COMPUTED_VALUE"""),16.0)</f>
        <v>16</v>
      </c>
      <c r="I391" s="33">
        <f>IFERROR(__xludf.DUMMYFUNCTION("""COMPUTED_VALUE"""),14.0)</f>
        <v>14</v>
      </c>
      <c r="J391" s="33">
        <f>IFERROR(__xludf.DUMMYFUNCTION("""COMPUTED_VALUE"""),15.0)</f>
        <v>15</v>
      </c>
      <c r="K391" s="33">
        <f>IFERROR(__xludf.DUMMYFUNCTION("""COMPUTED_VALUE"""),4.0)</f>
        <v>4</v>
      </c>
      <c r="L391" s="33">
        <f>IFERROR(__xludf.DUMMYFUNCTION("""COMPUTED_VALUE"""),0.0)</f>
        <v>0</v>
      </c>
      <c r="M391" s="33">
        <f>IFERROR(__xludf.DUMMYFUNCTION("""COMPUTED_VALUE"""),15.0)</f>
        <v>15</v>
      </c>
      <c r="N391" s="33">
        <f>IFERROR(__xludf.DUMMYFUNCTION("""COMPUTED_VALUE"""),15.0)</f>
        <v>15</v>
      </c>
      <c r="O391" s="33">
        <f>IFERROR(__xludf.DUMMYFUNCTION("""COMPUTED_VALUE"""),6.0)</f>
        <v>6</v>
      </c>
      <c r="P391" s="33">
        <f>IFERROR(__xludf.DUMMYFUNCTION("""COMPUTED_VALUE"""),15.0)</f>
        <v>15</v>
      </c>
      <c r="Q391" s="33">
        <f>IFERROR(__xludf.DUMMYFUNCTION("""COMPUTED_VALUE"""),0.0)</f>
        <v>0</v>
      </c>
      <c r="R391" s="33">
        <f>IFERROR(__xludf.DUMMYFUNCTION("""COMPUTED_VALUE"""),2259.0)</f>
        <v>2259</v>
      </c>
      <c r="S391" s="33">
        <f>IFERROR(__xludf.DUMMYFUNCTION("""COMPUTED_VALUE"""),13320.0)</f>
        <v>13320</v>
      </c>
      <c r="T391" s="33">
        <f>IFERROR(__xludf.DUMMYFUNCTION("""COMPUTED_VALUE"""),3.94416666666666)</f>
        <v>3.944166667</v>
      </c>
      <c r="U391" s="33">
        <f>IFERROR(__xludf.DUMMYFUNCTION("""COMPUTED_VALUE"""),0.598888888888888)</f>
        <v>0.5988888889</v>
      </c>
      <c r="V391" s="33">
        <f>IFERROR(__xludf.DUMMYFUNCTION("""COMPUTED_VALUE"""),0.0)</f>
        <v>0</v>
      </c>
      <c r="W391" s="33">
        <f>IFERROR(__xludf.DUMMYFUNCTION("""COMPUTED_VALUE"""),3.17083333333333)</f>
        <v>3.170833333</v>
      </c>
      <c r="X391" s="33">
        <f>IFERROR(__xludf.DUMMYFUNCTION("""COMPUTED_VALUE"""),2.77944444444444)</f>
        <v>2.779444444</v>
      </c>
      <c r="Y391" s="33">
        <f>IFERROR(__xludf.DUMMYFUNCTION("""COMPUTED_VALUE"""),2.94888888888888)</f>
        <v>2.948888889</v>
      </c>
      <c r="Z391" s="33">
        <f>IFERROR(__xludf.DUMMYFUNCTION("""COMPUTED_VALUE"""),0.8)</f>
        <v>0.8</v>
      </c>
      <c r="AA391" s="33">
        <f>IFERROR(__xludf.DUMMYFUNCTION("""COMPUTED_VALUE"""),0.0)</f>
        <v>0</v>
      </c>
      <c r="AB391" s="33">
        <f>IFERROR(__xludf.DUMMYFUNCTION("""COMPUTED_VALUE"""),2.94888888888888)</f>
        <v>2.948888889</v>
      </c>
      <c r="AC391" s="33">
        <f>IFERROR(__xludf.DUMMYFUNCTION("""COMPUTED_VALUE"""),2.94888888888888)</f>
        <v>2.948888889</v>
      </c>
      <c r="AD391" s="33">
        <f>IFERROR(__xludf.DUMMYFUNCTION("""COMPUTED_VALUE"""),1.1325)</f>
        <v>1.1325</v>
      </c>
      <c r="AE391" s="33">
        <f>IFERROR(__xludf.DUMMYFUNCTION("""COMPUTED_VALUE"""),2.94888888888888)</f>
        <v>2.948888889</v>
      </c>
      <c r="AF391" s="33">
        <f>IFERROR(__xludf.DUMMYFUNCTION("""COMPUTED_VALUE"""),20.0)</f>
        <v>20</v>
      </c>
    </row>
    <row r="392">
      <c r="A392" s="49">
        <f>IFERROR(__xludf.DUMMYFUNCTION("""COMPUTED_VALUE"""),46041.0)</f>
        <v>46041</v>
      </c>
      <c r="B392" s="33" t="str">
        <f>IFERROR(__xludf.DUMMYFUNCTION("""COMPUTED_VALUE"""),"96f1f89e4494e06fb7f9e3c4645563fa62ef9320")</f>
        <v>96f1f89e4494e06fb7f9e3c4645563fa62ef9320</v>
      </c>
      <c r="C392" s="33" t="str">
        <f>IFERROR(__xludf.DUMMYFUNCTION("""COMPUTED_VALUE"""),"King of Dragon - Production Show_id")</f>
        <v>King of Dragon - Production Show_id</v>
      </c>
      <c r="D392" s="33">
        <f>IFERROR(__xludf.DUMMYFUNCTION("""COMPUTED_VALUE"""),31.0)</f>
        <v>31</v>
      </c>
      <c r="E392" s="33">
        <f>IFERROR(__xludf.DUMMYFUNCTION("""COMPUTED_VALUE"""),3.0)</f>
        <v>3</v>
      </c>
      <c r="F392" s="33">
        <f>IFERROR(__xludf.DUMMYFUNCTION("""COMPUTED_VALUE"""),9.0)</f>
        <v>9</v>
      </c>
      <c r="G392" s="33">
        <f>IFERROR(__xludf.DUMMYFUNCTION("""COMPUTED_VALUE"""),6.0)</f>
        <v>6</v>
      </c>
      <c r="H392" s="33">
        <f>IFERROR(__xludf.DUMMYFUNCTION("""COMPUTED_VALUE"""),7.0)</f>
        <v>7</v>
      </c>
      <c r="I392" s="33">
        <f>IFERROR(__xludf.DUMMYFUNCTION("""COMPUTED_VALUE"""),1.0)</f>
        <v>1</v>
      </c>
      <c r="J392" s="33">
        <f>IFERROR(__xludf.DUMMYFUNCTION("""COMPUTED_VALUE"""),7.0)</f>
        <v>7</v>
      </c>
      <c r="K392" s="33">
        <f>IFERROR(__xludf.DUMMYFUNCTION("""COMPUTED_VALUE"""),1.0)</f>
        <v>1</v>
      </c>
      <c r="L392" s="33">
        <f>IFERROR(__xludf.DUMMYFUNCTION("""COMPUTED_VALUE"""),1.0)</f>
        <v>1</v>
      </c>
      <c r="M392" s="33">
        <f>IFERROR(__xludf.DUMMYFUNCTION("""COMPUTED_VALUE"""),6.0)</f>
        <v>6</v>
      </c>
      <c r="N392" s="33">
        <f>IFERROR(__xludf.DUMMYFUNCTION("""COMPUTED_VALUE"""),6.0)</f>
        <v>6</v>
      </c>
      <c r="O392" s="33">
        <f>IFERROR(__xludf.DUMMYFUNCTION("""COMPUTED_VALUE"""),5.0)</f>
        <v>5</v>
      </c>
      <c r="P392" s="33">
        <f>IFERROR(__xludf.DUMMYFUNCTION("""COMPUTED_VALUE"""),6.0)</f>
        <v>6</v>
      </c>
      <c r="Q392" s="33">
        <f>IFERROR(__xludf.DUMMYFUNCTION("""COMPUTED_VALUE"""),0.0)</f>
        <v>0</v>
      </c>
      <c r="R392" s="33">
        <f>IFERROR(__xludf.DUMMYFUNCTION("""COMPUTED_VALUE"""),66294.0)</f>
        <v>66294</v>
      </c>
      <c r="S392" s="33">
        <f>IFERROR(__xludf.DUMMYFUNCTION("""COMPUTED_VALUE"""),7538.0)</f>
        <v>7538</v>
      </c>
      <c r="T392" s="33">
        <f>IFERROR(__xludf.DUMMYFUNCTION("""COMPUTED_VALUE"""),2.58583333333333)</f>
        <v>2.585833333</v>
      </c>
      <c r="U392" s="33">
        <f>IFERROR(__xludf.DUMMYFUNCTION("""COMPUTED_VALUE"""),2.58583333333333)</f>
        <v>2.585833333</v>
      </c>
      <c r="V392" s="33">
        <f>IFERROR(__xludf.DUMMYFUNCTION("""COMPUTED_VALUE"""),1.67194444444444)</f>
        <v>1.671944444</v>
      </c>
      <c r="W392" s="33">
        <f>IFERROR(__xludf.DUMMYFUNCTION("""COMPUTED_VALUE"""),1.96944444444444)</f>
        <v>1.969444444</v>
      </c>
      <c r="X392" s="33">
        <f>IFERROR(__xludf.DUMMYFUNCTION("""COMPUTED_VALUE"""),0.2975)</f>
        <v>0.2975</v>
      </c>
      <c r="Y392" s="33">
        <f>IFERROR(__xludf.DUMMYFUNCTION("""COMPUTED_VALUE"""),1.95333333333333)</f>
        <v>1.953333333</v>
      </c>
      <c r="Z392" s="33">
        <f>IFERROR(__xludf.DUMMYFUNCTION("""COMPUTED_VALUE"""),0.276666666666666)</f>
        <v>0.2766666667</v>
      </c>
      <c r="AA392" s="33">
        <f>IFERROR(__xludf.DUMMYFUNCTION("""COMPUTED_VALUE"""),0.276666666666666)</f>
        <v>0.2766666667</v>
      </c>
      <c r="AB392" s="33">
        <f>IFERROR(__xludf.DUMMYFUNCTION("""COMPUTED_VALUE"""),1.67888888888888)</f>
        <v>1.678888889</v>
      </c>
      <c r="AC392" s="33">
        <f>IFERROR(__xludf.DUMMYFUNCTION("""COMPUTED_VALUE"""),1.67888888888888)</f>
        <v>1.678888889</v>
      </c>
      <c r="AD392" s="33">
        <f>IFERROR(__xludf.DUMMYFUNCTION("""COMPUTED_VALUE"""),1.38972222222222)</f>
        <v>1.389722222</v>
      </c>
      <c r="AE392" s="33">
        <f>IFERROR(__xludf.DUMMYFUNCTION("""COMPUTED_VALUE"""),1.67888888888888)</f>
        <v>1.678888889</v>
      </c>
      <c r="AF392" s="33">
        <f>IFERROR(__xludf.DUMMYFUNCTION("""COMPUTED_VALUE"""),9.0)</f>
        <v>9</v>
      </c>
    </row>
    <row r="393">
      <c r="A393" s="49">
        <f>IFERROR(__xludf.DUMMYFUNCTION("""COMPUTED_VALUE"""),46041.0)</f>
        <v>46041</v>
      </c>
      <c r="B393" s="33" t="str">
        <f>IFERROR(__xludf.DUMMYFUNCTION("""COMPUTED_VALUE"""),"a3ba65aa427077188e1ad7dbcbcafae266683ca9")</f>
        <v>a3ba65aa427077188e1ad7dbcbcafae266683ca9</v>
      </c>
      <c r="C393" s="33" t="str">
        <f>IFERROR(__xludf.DUMMYFUNCTION("""COMPUTED_VALUE"""),"The Warrior | Author - Dayaram Prajapati")</f>
        <v>The Warrior | Author - Dayaram Prajapati</v>
      </c>
      <c r="D393" s="33">
        <f>IFERROR(__xludf.DUMMYFUNCTION("""COMPUTED_VALUE"""),10.0)</f>
        <v>10</v>
      </c>
      <c r="E393" s="33">
        <f>IFERROR(__xludf.DUMMYFUNCTION("""COMPUTED_VALUE"""),4.0)</f>
        <v>4</v>
      </c>
      <c r="F393" s="33">
        <f>IFERROR(__xludf.DUMMYFUNCTION("""COMPUTED_VALUE"""),0.0)</f>
        <v>0</v>
      </c>
      <c r="G393" s="33">
        <f>IFERROR(__xludf.DUMMYFUNCTION("""COMPUTED_VALUE"""),0.0)</f>
        <v>0</v>
      </c>
      <c r="H393" s="33">
        <f>IFERROR(__xludf.DUMMYFUNCTION("""COMPUTED_VALUE"""),0.0)</f>
        <v>0</v>
      </c>
      <c r="I393" s="33">
        <f>IFERROR(__xludf.DUMMYFUNCTION("""COMPUTED_VALUE"""),0.0)</f>
        <v>0</v>
      </c>
      <c r="J393" s="33">
        <f>IFERROR(__xludf.DUMMYFUNCTION("""COMPUTED_VALUE"""),0.0)</f>
        <v>0</v>
      </c>
      <c r="K393" s="33">
        <f>IFERROR(__xludf.DUMMYFUNCTION("""COMPUTED_VALUE"""),0.0)</f>
        <v>0</v>
      </c>
      <c r="L393" s="33">
        <f>IFERROR(__xludf.DUMMYFUNCTION("""COMPUTED_VALUE"""),0.0)</f>
        <v>0</v>
      </c>
      <c r="M393" s="33">
        <f>IFERROR(__xludf.DUMMYFUNCTION("""COMPUTED_VALUE"""),10.0)</f>
        <v>10</v>
      </c>
      <c r="N393" s="33">
        <f>IFERROR(__xludf.DUMMYFUNCTION("""COMPUTED_VALUE"""),4.0)</f>
        <v>4</v>
      </c>
      <c r="O393" s="33">
        <f>IFERROR(__xludf.DUMMYFUNCTION("""COMPUTED_VALUE"""),1.0)</f>
        <v>1</v>
      </c>
      <c r="P393" s="33">
        <f>IFERROR(__xludf.DUMMYFUNCTION("""COMPUTED_VALUE"""),4.0)</f>
        <v>4</v>
      </c>
      <c r="Q393" s="33">
        <f>IFERROR(__xludf.DUMMYFUNCTION("""COMPUTED_VALUE"""),0.0)</f>
        <v>0</v>
      </c>
      <c r="R393" s="33">
        <f>IFERROR(__xludf.DUMMYFUNCTION("""COMPUTED_VALUE"""),29079.0)</f>
        <v>29079</v>
      </c>
      <c r="S393" s="33">
        <f>IFERROR(__xludf.DUMMYFUNCTION("""COMPUTED_VALUE"""),11587.0)</f>
        <v>11587</v>
      </c>
      <c r="T393" s="33">
        <f>IFERROR(__xludf.DUMMYFUNCTION("""COMPUTED_VALUE"""),0.0)</f>
        <v>0</v>
      </c>
      <c r="U393" s="33">
        <f>IFERROR(__xludf.DUMMYFUNCTION("""COMPUTED_VALUE"""),0.0)</f>
        <v>0</v>
      </c>
      <c r="V393" s="33">
        <f>IFERROR(__xludf.DUMMYFUNCTION("""COMPUTED_VALUE"""),0.0)</f>
        <v>0</v>
      </c>
      <c r="W393" s="33">
        <f>IFERROR(__xludf.DUMMYFUNCTION("""COMPUTED_VALUE"""),0.0)</f>
        <v>0</v>
      </c>
      <c r="X393" s="33">
        <f>IFERROR(__xludf.DUMMYFUNCTION("""COMPUTED_VALUE"""),0.0)</f>
        <v>0</v>
      </c>
      <c r="Y393" s="33">
        <f>IFERROR(__xludf.DUMMYFUNCTION("""COMPUTED_VALUE"""),0.0)</f>
        <v>0</v>
      </c>
      <c r="Z393" s="33">
        <f>IFERROR(__xludf.DUMMYFUNCTION("""COMPUTED_VALUE"""),0.0)</f>
        <v>0</v>
      </c>
      <c r="AA393" s="33">
        <f>IFERROR(__xludf.DUMMYFUNCTION("""COMPUTED_VALUE"""),0.0)</f>
        <v>0</v>
      </c>
      <c r="AB393" s="33">
        <f>IFERROR(__xludf.DUMMYFUNCTION("""COMPUTED_VALUE"""),3.06944444444444)</f>
        <v>3.069444444</v>
      </c>
      <c r="AC393" s="33">
        <f>IFERROR(__xludf.DUMMYFUNCTION("""COMPUTED_VALUE"""),1.22972222222222)</f>
        <v>1.229722222</v>
      </c>
      <c r="AD393" s="33">
        <f>IFERROR(__xludf.DUMMYFUNCTION("""COMPUTED_VALUE"""),0.229166666666666)</f>
        <v>0.2291666667</v>
      </c>
      <c r="AE393" s="33">
        <f>IFERROR(__xludf.DUMMYFUNCTION("""COMPUTED_VALUE"""),1.22972222222222)</f>
        <v>1.229722222</v>
      </c>
      <c r="AF393" s="33">
        <f>IFERROR(__xludf.DUMMYFUNCTION("""COMPUTED_VALUE"""),0.0)</f>
        <v>0</v>
      </c>
    </row>
    <row r="394">
      <c r="A394" s="49">
        <f>IFERROR(__xludf.DUMMYFUNCTION("""COMPUTED_VALUE"""),46041.0)</f>
        <v>46041</v>
      </c>
      <c r="B394" s="33" t="str">
        <f>IFERROR(__xludf.DUMMYFUNCTION("""COMPUTED_VALUE"""),"aa81f1feb820ed6f22bd7b22b55890db740929cb")</f>
        <v>aa81f1feb820ed6f22bd7b22b55890db740929cb</v>
      </c>
      <c r="C394" s="33" t="str">
        <f>IFERROR(__xludf.DUMMYFUNCTION("""COMPUTED_VALUE"""),"Shunya Samrat")</f>
        <v>Shunya Samrat</v>
      </c>
      <c r="D394" s="33">
        <f>IFERROR(__xludf.DUMMYFUNCTION("""COMPUTED_VALUE"""),35.0)</f>
        <v>35</v>
      </c>
      <c r="E394" s="33">
        <f>IFERROR(__xludf.DUMMYFUNCTION("""COMPUTED_VALUE"""),40.0)</f>
        <v>40</v>
      </c>
      <c r="F394" s="33">
        <f>IFERROR(__xludf.DUMMYFUNCTION("""COMPUTED_VALUE"""),0.0)</f>
        <v>0</v>
      </c>
      <c r="G394" s="33">
        <f>IFERROR(__xludf.DUMMYFUNCTION("""COMPUTED_VALUE"""),0.0)</f>
        <v>0</v>
      </c>
      <c r="H394" s="33">
        <f>IFERROR(__xludf.DUMMYFUNCTION("""COMPUTED_VALUE"""),0.0)</f>
        <v>0</v>
      </c>
      <c r="I394" s="33">
        <f>IFERROR(__xludf.DUMMYFUNCTION("""COMPUTED_VALUE"""),0.0)</f>
        <v>0</v>
      </c>
      <c r="J394" s="33">
        <f>IFERROR(__xludf.DUMMYFUNCTION("""COMPUTED_VALUE"""),0.0)</f>
        <v>0</v>
      </c>
      <c r="K394" s="33">
        <f>IFERROR(__xludf.DUMMYFUNCTION("""COMPUTED_VALUE"""),0.0)</f>
        <v>0</v>
      </c>
      <c r="L394" s="33">
        <f>IFERROR(__xludf.DUMMYFUNCTION("""COMPUTED_VALUE"""),0.0)</f>
        <v>0</v>
      </c>
      <c r="M394" s="33">
        <f>IFERROR(__xludf.DUMMYFUNCTION("""COMPUTED_VALUE"""),0.0)</f>
        <v>0</v>
      </c>
      <c r="N394" s="33">
        <f>IFERROR(__xludf.DUMMYFUNCTION("""COMPUTED_VALUE"""),35.0)</f>
        <v>35</v>
      </c>
      <c r="O394" s="33">
        <f>IFERROR(__xludf.DUMMYFUNCTION("""COMPUTED_VALUE"""),5.0)</f>
        <v>5</v>
      </c>
      <c r="P394" s="33">
        <f>IFERROR(__xludf.DUMMYFUNCTION("""COMPUTED_VALUE"""),35.0)</f>
        <v>35</v>
      </c>
      <c r="Q394" s="33">
        <f>IFERROR(__xludf.DUMMYFUNCTION("""COMPUTED_VALUE"""),0.0)</f>
        <v>0</v>
      </c>
      <c r="R394" s="33">
        <f>IFERROR(__xludf.DUMMYFUNCTION("""COMPUTED_VALUE"""),80749.0)</f>
        <v>80749</v>
      </c>
      <c r="S394" s="33">
        <f>IFERROR(__xludf.DUMMYFUNCTION("""COMPUTED_VALUE"""),91724.0)</f>
        <v>91724</v>
      </c>
      <c r="T394" s="33">
        <f>IFERROR(__xludf.DUMMYFUNCTION("""COMPUTED_VALUE"""),0.0)</f>
        <v>0</v>
      </c>
      <c r="U394" s="33">
        <f>IFERROR(__xludf.DUMMYFUNCTION("""COMPUTED_VALUE"""),0.0)</f>
        <v>0</v>
      </c>
      <c r="V394" s="33">
        <f>IFERROR(__xludf.DUMMYFUNCTION("""COMPUTED_VALUE"""),0.0)</f>
        <v>0</v>
      </c>
      <c r="W394" s="33">
        <f>IFERROR(__xludf.DUMMYFUNCTION("""COMPUTED_VALUE"""),0.0)</f>
        <v>0</v>
      </c>
      <c r="X394" s="33">
        <f>IFERROR(__xludf.DUMMYFUNCTION("""COMPUTED_VALUE"""),0.0)</f>
        <v>0</v>
      </c>
      <c r="Y394" s="33">
        <f>IFERROR(__xludf.DUMMYFUNCTION("""COMPUTED_VALUE"""),0.0)</f>
        <v>0</v>
      </c>
      <c r="Z394" s="33">
        <f>IFERROR(__xludf.DUMMYFUNCTION("""COMPUTED_VALUE"""),0.0)</f>
        <v>0</v>
      </c>
      <c r="AA394" s="33">
        <f>IFERROR(__xludf.DUMMYFUNCTION("""COMPUTED_VALUE"""),0.0)</f>
        <v>0</v>
      </c>
      <c r="AB394" s="33">
        <f>IFERROR(__xludf.DUMMYFUNCTION("""COMPUTED_VALUE"""),0.0)</f>
        <v>0</v>
      </c>
      <c r="AC394" s="33">
        <f>IFERROR(__xludf.DUMMYFUNCTION("""COMPUTED_VALUE"""),8.09666666666666)</f>
        <v>8.096666667</v>
      </c>
      <c r="AD394" s="33">
        <f>IFERROR(__xludf.DUMMYFUNCTION("""COMPUTED_VALUE"""),1.05555555555555)</f>
        <v>1.055555556</v>
      </c>
      <c r="AE394" s="33">
        <f>IFERROR(__xludf.DUMMYFUNCTION("""COMPUTED_VALUE"""),8.09666666666666)</f>
        <v>8.096666667</v>
      </c>
      <c r="AF394" s="33">
        <f>IFERROR(__xludf.DUMMYFUNCTION("""COMPUTED_VALUE"""),0.0)</f>
        <v>0</v>
      </c>
    </row>
    <row r="395">
      <c r="A395" s="49">
        <f>IFERROR(__xludf.DUMMYFUNCTION("""COMPUTED_VALUE"""),46041.0)</f>
        <v>46041</v>
      </c>
      <c r="B395" s="33" t="str">
        <f>IFERROR(__xludf.DUMMYFUNCTION("""COMPUTED_VALUE"""),"b236b697a3dda78049a484b58d63a75f4503ad66")</f>
        <v>b236b697a3dda78049a484b58d63a75f4503ad66</v>
      </c>
      <c r="C395" s="33" t="str">
        <f>IFERROR(__xludf.DUMMYFUNCTION("""COMPUTED_VALUE"""),"Rudra - Rise of Supreme Yoddha - Production Show_id")</f>
        <v>Rudra - Rise of Supreme Yoddha - Production Show_id</v>
      </c>
      <c r="D395" s="33">
        <f>IFERROR(__xludf.DUMMYFUNCTION("""COMPUTED_VALUE"""),1.0)</f>
        <v>1</v>
      </c>
      <c r="E395" s="33">
        <f>IFERROR(__xludf.DUMMYFUNCTION("""COMPUTED_VALUE"""),0.0)</f>
        <v>0</v>
      </c>
      <c r="F395" s="33">
        <f>IFERROR(__xludf.DUMMYFUNCTION("""COMPUTED_VALUE"""),0.0)</f>
        <v>0</v>
      </c>
      <c r="G395" s="33">
        <f>IFERROR(__xludf.DUMMYFUNCTION("""COMPUTED_VALUE"""),0.0)</f>
        <v>0</v>
      </c>
      <c r="H395" s="33">
        <f>IFERROR(__xludf.DUMMYFUNCTION("""COMPUTED_VALUE"""),0.0)</f>
        <v>0</v>
      </c>
      <c r="I395" s="33">
        <f>IFERROR(__xludf.DUMMYFUNCTION("""COMPUTED_VALUE"""),0.0)</f>
        <v>0</v>
      </c>
      <c r="J395" s="33">
        <f>IFERROR(__xludf.DUMMYFUNCTION("""COMPUTED_VALUE"""),0.0)</f>
        <v>0</v>
      </c>
      <c r="K395" s="33">
        <f>IFERROR(__xludf.DUMMYFUNCTION("""COMPUTED_VALUE"""),0.0)</f>
        <v>0</v>
      </c>
      <c r="L395" s="33">
        <f>IFERROR(__xludf.DUMMYFUNCTION("""COMPUTED_VALUE"""),0.0)</f>
        <v>0</v>
      </c>
      <c r="M395" s="33">
        <f>IFERROR(__xludf.DUMMYFUNCTION("""COMPUTED_VALUE"""),0.0)</f>
        <v>0</v>
      </c>
      <c r="N395" s="33">
        <f>IFERROR(__xludf.DUMMYFUNCTION("""COMPUTED_VALUE"""),0.0)</f>
        <v>0</v>
      </c>
      <c r="O395" s="33">
        <f>IFERROR(__xludf.DUMMYFUNCTION("""COMPUTED_VALUE"""),0.0)</f>
        <v>0</v>
      </c>
      <c r="P395" s="33">
        <f>IFERROR(__xludf.DUMMYFUNCTION("""COMPUTED_VALUE"""),0.0)</f>
        <v>0</v>
      </c>
      <c r="Q395" s="33">
        <f>IFERROR(__xludf.DUMMYFUNCTION("""COMPUTED_VALUE"""),0.0)</f>
        <v>0</v>
      </c>
      <c r="R395" s="33">
        <f>IFERROR(__xludf.DUMMYFUNCTION("""COMPUTED_VALUE"""),2398.0)</f>
        <v>2398</v>
      </c>
      <c r="S395" s="33">
        <f>IFERROR(__xludf.DUMMYFUNCTION("""COMPUTED_VALUE"""),0.0)</f>
        <v>0</v>
      </c>
      <c r="T395" s="33">
        <f>IFERROR(__xludf.DUMMYFUNCTION("""COMPUTED_VALUE"""),0.0)</f>
        <v>0</v>
      </c>
      <c r="U395" s="33">
        <f>IFERROR(__xludf.DUMMYFUNCTION("""COMPUTED_VALUE"""),0.0)</f>
        <v>0</v>
      </c>
      <c r="V395" s="33">
        <f>IFERROR(__xludf.DUMMYFUNCTION("""COMPUTED_VALUE"""),0.0)</f>
        <v>0</v>
      </c>
      <c r="W395" s="33">
        <f>IFERROR(__xludf.DUMMYFUNCTION("""COMPUTED_VALUE"""),0.0)</f>
        <v>0</v>
      </c>
      <c r="X395" s="33">
        <f>IFERROR(__xludf.DUMMYFUNCTION("""COMPUTED_VALUE"""),0.0)</f>
        <v>0</v>
      </c>
      <c r="Y395" s="33">
        <f>IFERROR(__xludf.DUMMYFUNCTION("""COMPUTED_VALUE"""),0.0)</f>
        <v>0</v>
      </c>
      <c r="Z395" s="33">
        <f>IFERROR(__xludf.DUMMYFUNCTION("""COMPUTED_VALUE"""),0.0)</f>
        <v>0</v>
      </c>
      <c r="AA395" s="33">
        <f>IFERROR(__xludf.DUMMYFUNCTION("""COMPUTED_VALUE"""),0.0)</f>
        <v>0</v>
      </c>
      <c r="AB395" s="33">
        <f>IFERROR(__xludf.DUMMYFUNCTION("""COMPUTED_VALUE"""),0.0)</f>
        <v>0</v>
      </c>
      <c r="AC395" s="33">
        <f>IFERROR(__xludf.DUMMYFUNCTION("""COMPUTED_VALUE"""),0.0)</f>
        <v>0</v>
      </c>
      <c r="AD395" s="33">
        <f>IFERROR(__xludf.DUMMYFUNCTION("""COMPUTED_VALUE"""),0.0)</f>
        <v>0</v>
      </c>
      <c r="AE395" s="33">
        <f>IFERROR(__xludf.DUMMYFUNCTION("""COMPUTED_VALUE"""),0.0)</f>
        <v>0</v>
      </c>
      <c r="AF395" s="33">
        <f>IFERROR(__xludf.DUMMYFUNCTION("""COMPUTED_VALUE"""),0.0)</f>
        <v>0</v>
      </c>
    </row>
    <row r="396">
      <c r="A396" s="49">
        <f>IFERROR(__xludf.DUMMYFUNCTION("""COMPUTED_VALUE"""),46041.0)</f>
        <v>46041</v>
      </c>
      <c r="B396" s="33" t="str">
        <f>IFERROR(__xludf.DUMMYFUNCTION("""COMPUTED_VALUE"""),"b9727274f880f47671ad54caad4904a491fad9c7")</f>
        <v>b9727274f880f47671ad54caad4904a491fad9c7</v>
      </c>
      <c r="C396" s="33" t="str">
        <f>IFERROR(__xludf.DUMMYFUNCTION("""COMPUTED_VALUE"""),"Brahmand Ka Rakshak - Production Show")</f>
        <v>Brahmand Ka Rakshak - Production Show</v>
      </c>
      <c r="D396" s="33">
        <f>IFERROR(__xludf.DUMMYFUNCTION("""COMPUTED_VALUE"""),25.0)</f>
        <v>25</v>
      </c>
      <c r="E396" s="33">
        <f>IFERROR(__xludf.DUMMYFUNCTION("""COMPUTED_VALUE"""),19.0)</f>
        <v>19</v>
      </c>
      <c r="F396" s="33">
        <f>IFERROR(__xludf.DUMMYFUNCTION("""COMPUTED_VALUE"""),9.0)</f>
        <v>9</v>
      </c>
      <c r="G396" s="33">
        <f>IFERROR(__xludf.DUMMYFUNCTION("""COMPUTED_VALUE"""),9.0)</f>
        <v>9</v>
      </c>
      <c r="H396" s="33">
        <f>IFERROR(__xludf.DUMMYFUNCTION("""COMPUTED_VALUE"""),20.0)</f>
        <v>20</v>
      </c>
      <c r="I396" s="33">
        <f>IFERROR(__xludf.DUMMYFUNCTION("""COMPUTED_VALUE"""),11.0)</f>
        <v>11</v>
      </c>
      <c r="J396" s="33">
        <f>IFERROR(__xludf.DUMMYFUNCTION("""COMPUTED_VALUE"""),20.0)</f>
        <v>20</v>
      </c>
      <c r="K396" s="33">
        <f>IFERROR(__xludf.DUMMYFUNCTION("""COMPUTED_VALUE"""),4.0)</f>
        <v>4</v>
      </c>
      <c r="L396" s="33">
        <f>IFERROR(__xludf.DUMMYFUNCTION("""COMPUTED_VALUE"""),4.0)</f>
        <v>4</v>
      </c>
      <c r="M396" s="33">
        <f>IFERROR(__xludf.DUMMYFUNCTION("""COMPUTED_VALUE"""),21.0)</f>
        <v>21</v>
      </c>
      <c r="N396" s="33">
        <f>IFERROR(__xludf.DUMMYFUNCTION("""COMPUTED_VALUE"""),21.0)</f>
        <v>21</v>
      </c>
      <c r="O396" s="33">
        <f>IFERROR(__xludf.DUMMYFUNCTION("""COMPUTED_VALUE"""),6.0)</f>
        <v>6</v>
      </c>
      <c r="P396" s="33">
        <f>IFERROR(__xludf.DUMMYFUNCTION("""COMPUTED_VALUE"""),21.0)</f>
        <v>21</v>
      </c>
      <c r="Q396" s="33">
        <f>IFERROR(__xludf.DUMMYFUNCTION("""COMPUTED_VALUE"""),0.0)</f>
        <v>0</v>
      </c>
      <c r="R396" s="33">
        <f>IFERROR(__xludf.DUMMYFUNCTION("""COMPUTED_VALUE"""),59142.0)</f>
        <v>59142</v>
      </c>
      <c r="S396" s="33">
        <f>IFERROR(__xludf.DUMMYFUNCTION("""COMPUTED_VALUE"""),48547.0)</f>
        <v>48547</v>
      </c>
      <c r="T396" s="33">
        <f>IFERROR(__xludf.DUMMYFUNCTION("""COMPUTED_VALUE"""),4.72777777777777)</f>
        <v>4.727777778</v>
      </c>
      <c r="U396" s="33">
        <f>IFERROR(__xludf.DUMMYFUNCTION("""COMPUTED_VALUE"""),2.34361111111111)</f>
        <v>2.343611111</v>
      </c>
      <c r="V396" s="33">
        <f>IFERROR(__xludf.DUMMYFUNCTION("""COMPUTED_VALUE"""),2.34888888888888)</f>
        <v>2.348888889</v>
      </c>
      <c r="W396" s="33">
        <f>IFERROR(__xludf.DUMMYFUNCTION("""COMPUTED_VALUE"""),4.73305555555555)</f>
        <v>4.733055556</v>
      </c>
      <c r="X396" s="33">
        <f>IFERROR(__xludf.DUMMYFUNCTION("""COMPUTED_VALUE"""),2.38416666666666)</f>
        <v>2.384166667</v>
      </c>
      <c r="Y396" s="33">
        <f>IFERROR(__xludf.DUMMYFUNCTION("""COMPUTED_VALUE"""),4.74333333333333)</f>
        <v>4.743333333</v>
      </c>
      <c r="Z396" s="33">
        <f>IFERROR(__xludf.DUMMYFUNCTION("""COMPUTED_VALUE"""),1.15055555555555)</f>
        <v>1.150555556</v>
      </c>
      <c r="AA396" s="33">
        <f>IFERROR(__xludf.DUMMYFUNCTION("""COMPUTED_VALUE"""),1.15055555555555)</f>
        <v>1.150555556</v>
      </c>
      <c r="AB396" s="33">
        <f>IFERROR(__xludf.DUMMYFUNCTION("""COMPUTED_VALUE"""),4.92305555555555)</f>
        <v>4.923055556</v>
      </c>
      <c r="AC396" s="33">
        <f>IFERROR(__xludf.DUMMYFUNCTION("""COMPUTED_VALUE"""),4.92305555555555)</f>
        <v>4.923055556</v>
      </c>
      <c r="AD396" s="33">
        <f>IFERROR(__xludf.DUMMYFUNCTION("""COMPUTED_VALUE"""),1.18222222222222)</f>
        <v>1.182222222</v>
      </c>
      <c r="AE396" s="33">
        <f>IFERROR(__xludf.DUMMYFUNCTION("""COMPUTED_VALUE"""),4.92305555555555)</f>
        <v>4.923055556</v>
      </c>
      <c r="AF396" s="33">
        <f>IFERROR(__xludf.DUMMYFUNCTION("""COMPUTED_VALUE"""),20.0)</f>
        <v>20</v>
      </c>
    </row>
    <row r="397">
      <c r="A397" s="49">
        <f>IFERROR(__xludf.DUMMYFUNCTION("""COMPUTED_VALUE"""),46041.0)</f>
        <v>46041</v>
      </c>
      <c r="B397" s="33" t="str">
        <f>IFERROR(__xludf.DUMMYFUNCTION("""COMPUTED_VALUE"""),"bb6f447c782519839d8793fda0d35f90bad4421a")</f>
        <v>bb6f447c782519839d8793fda0d35f90bad4421a</v>
      </c>
      <c r="C397" s="33" t="str">
        <f>IFERROR(__xludf.DUMMYFUNCTION("""COMPUTED_VALUE"""),"Ruthless")</f>
        <v>Ruthless</v>
      </c>
      <c r="D397" s="33">
        <f>IFERROR(__xludf.DUMMYFUNCTION("""COMPUTED_VALUE"""),9.0)</f>
        <v>9</v>
      </c>
      <c r="E397" s="33">
        <f>IFERROR(__xludf.DUMMYFUNCTION("""COMPUTED_VALUE"""),1.0)</f>
        <v>1</v>
      </c>
      <c r="F397" s="33">
        <f>IFERROR(__xludf.DUMMYFUNCTION("""COMPUTED_VALUE"""),0.0)</f>
        <v>0</v>
      </c>
      <c r="G397" s="33">
        <f>IFERROR(__xludf.DUMMYFUNCTION("""COMPUTED_VALUE"""),0.0)</f>
        <v>0</v>
      </c>
      <c r="H397" s="33">
        <f>IFERROR(__xludf.DUMMYFUNCTION("""COMPUTED_VALUE"""),0.0)</f>
        <v>0</v>
      </c>
      <c r="I397" s="33">
        <f>IFERROR(__xludf.DUMMYFUNCTION("""COMPUTED_VALUE"""),0.0)</f>
        <v>0</v>
      </c>
      <c r="J397" s="33">
        <f>IFERROR(__xludf.DUMMYFUNCTION("""COMPUTED_VALUE"""),0.0)</f>
        <v>0</v>
      </c>
      <c r="K397" s="33">
        <f>IFERROR(__xludf.DUMMYFUNCTION("""COMPUTED_VALUE"""),0.0)</f>
        <v>0</v>
      </c>
      <c r="L397" s="33">
        <f>IFERROR(__xludf.DUMMYFUNCTION("""COMPUTED_VALUE"""),0.0)</f>
        <v>0</v>
      </c>
      <c r="M397" s="33">
        <f>IFERROR(__xludf.DUMMYFUNCTION("""COMPUTED_VALUE"""),0.0)</f>
        <v>0</v>
      </c>
      <c r="N397" s="33">
        <f>IFERROR(__xludf.DUMMYFUNCTION("""COMPUTED_VALUE"""),0.0)</f>
        <v>0</v>
      </c>
      <c r="O397" s="33">
        <f>IFERROR(__xludf.DUMMYFUNCTION("""COMPUTED_VALUE"""),0.0)</f>
        <v>0</v>
      </c>
      <c r="P397" s="33">
        <f>IFERROR(__xludf.DUMMYFUNCTION("""COMPUTED_VALUE"""),0.0)</f>
        <v>0</v>
      </c>
      <c r="Q397" s="33">
        <f>IFERROR(__xludf.DUMMYFUNCTION("""COMPUTED_VALUE"""),0.0)</f>
        <v>0</v>
      </c>
      <c r="R397" s="33">
        <f>IFERROR(__xludf.DUMMYFUNCTION("""COMPUTED_VALUE"""),23099.0)</f>
        <v>23099</v>
      </c>
      <c r="S397" s="33">
        <f>IFERROR(__xludf.DUMMYFUNCTION("""COMPUTED_VALUE"""),2514.0)</f>
        <v>2514</v>
      </c>
      <c r="T397" s="33">
        <f>IFERROR(__xludf.DUMMYFUNCTION("""COMPUTED_VALUE"""),0.253333333333333)</f>
        <v>0.2533333333</v>
      </c>
      <c r="U397" s="33">
        <f>IFERROR(__xludf.DUMMYFUNCTION("""COMPUTED_VALUE"""),0.0)</f>
        <v>0</v>
      </c>
      <c r="V397" s="33">
        <f>IFERROR(__xludf.DUMMYFUNCTION("""COMPUTED_VALUE"""),0.0)</f>
        <v>0</v>
      </c>
      <c r="W397" s="33">
        <f>IFERROR(__xludf.DUMMYFUNCTION("""COMPUTED_VALUE"""),0.0)</f>
        <v>0</v>
      </c>
      <c r="X397" s="33">
        <f>IFERROR(__xludf.DUMMYFUNCTION("""COMPUTED_VALUE"""),0.0)</f>
        <v>0</v>
      </c>
      <c r="Y397" s="33">
        <f>IFERROR(__xludf.DUMMYFUNCTION("""COMPUTED_VALUE"""),0.0)</f>
        <v>0</v>
      </c>
      <c r="Z397" s="33">
        <f>IFERROR(__xludf.DUMMYFUNCTION("""COMPUTED_VALUE"""),0.0)</f>
        <v>0</v>
      </c>
      <c r="AA397" s="33">
        <f>IFERROR(__xludf.DUMMYFUNCTION("""COMPUTED_VALUE"""),0.0)</f>
        <v>0</v>
      </c>
      <c r="AB397" s="33">
        <f>IFERROR(__xludf.DUMMYFUNCTION("""COMPUTED_VALUE"""),0.0)</f>
        <v>0</v>
      </c>
      <c r="AC397" s="33">
        <f>IFERROR(__xludf.DUMMYFUNCTION("""COMPUTED_VALUE"""),0.0)</f>
        <v>0</v>
      </c>
      <c r="AD397" s="33">
        <f>IFERROR(__xludf.DUMMYFUNCTION("""COMPUTED_VALUE"""),0.0)</f>
        <v>0</v>
      </c>
      <c r="AE397" s="33">
        <f>IFERROR(__xludf.DUMMYFUNCTION("""COMPUTED_VALUE"""),0.0)</f>
        <v>0</v>
      </c>
      <c r="AF397" s="33">
        <f>IFERROR(__xludf.DUMMYFUNCTION("""COMPUTED_VALUE"""),1.0)</f>
        <v>1</v>
      </c>
    </row>
    <row r="398">
      <c r="A398" s="49">
        <f>IFERROR(__xludf.DUMMYFUNCTION("""COMPUTED_VALUE"""),46041.0)</f>
        <v>46041</v>
      </c>
      <c r="B398" s="33" t="str">
        <f>IFERROR(__xludf.DUMMYFUNCTION("""COMPUTED_VALUE"""),"ca6c466ebfcd2658a9f1641045f468c15417a1e7")</f>
        <v>ca6c466ebfcd2658a9f1641045f468c15417a1e7</v>
      </c>
      <c r="C398" s="33" t="str">
        <f>IFERROR(__xludf.DUMMYFUNCTION("""COMPUTED_VALUE"""),"My Mysterious Princess")</f>
        <v>My Mysterious Princess</v>
      </c>
      <c r="D398" s="33">
        <f>IFERROR(__xludf.DUMMYFUNCTION("""COMPUTED_VALUE"""),20.0)</f>
        <v>20</v>
      </c>
      <c r="E398" s="33">
        <f>IFERROR(__xludf.DUMMYFUNCTION("""COMPUTED_VALUE"""),12.0)</f>
        <v>12</v>
      </c>
      <c r="F398" s="33">
        <f>IFERROR(__xludf.DUMMYFUNCTION("""COMPUTED_VALUE"""),7.0)</f>
        <v>7</v>
      </c>
      <c r="G398" s="33">
        <f>IFERROR(__xludf.DUMMYFUNCTION("""COMPUTED_VALUE"""),0.0)</f>
        <v>0</v>
      </c>
      <c r="H398" s="33">
        <f>IFERROR(__xludf.DUMMYFUNCTION("""COMPUTED_VALUE"""),11.0)</f>
        <v>11</v>
      </c>
      <c r="I398" s="33">
        <f>IFERROR(__xludf.DUMMYFUNCTION("""COMPUTED_VALUE"""),4.0)</f>
        <v>4</v>
      </c>
      <c r="J398" s="33">
        <f>IFERROR(__xludf.DUMMYFUNCTION("""COMPUTED_VALUE"""),12.0)</f>
        <v>12</v>
      </c>
      <c r="K398" s="33">
        <f>IFERROR(__xludf.DUMMYFUNCTION("""COMPUTED_VALUE"""),0.0)</f>
        <v>0</v>
      </c>
      <c r="L398" s="33">
        <f>IFERROR(__xludf.DUMMYFUNCTION("""COMPUTED_VALUE"""),0.0)</f>
        <v>0</v>
      </c>
      <c r="M398" s="33">
        <f>IFERROR(__xludf.DUMMYFUNCTION("""COMPUTED_VALUE"""),14.0)</f>
        <v>14</v>
      </c>
      <c r="N398" s="33">
        <f>IFERROR(__xludf.DUMMYFUNCTION("""COMPUTED_VALUE"""),13.0)</f>
        <v>13</v>
      </c>
      <c r="O398" s="33">
        <f>IFERROR(__xludf.DUMMYFUNCTION("""COMPUTED_VALUE"""),6.0)</f>
        <v>6</v>
      </c>
      <c r="P398" s="33">
        <f>IFERROR(__xludf.DUMMYFUNCTION("""COMPUTED_VALUE"""),13.0)</f>
        <v>13</v>
      </c>
      <c r="Q398" s="33">
        <f>IFERROR(__xludf.DUMMYFUNCTION("""COMPUTED_VALUE"""),0.0)</f>
        <v>0</v>
      </c>
      <c r="R398" s="33">
        <f>IFERROR(__xludf.DUMMYFUNCTION("""COMPUTED_VALUE"""),47491.0)</f>
        <v>47491</v>
      </c>
      <c r="S398" s="33">
        <f>IFERROR(__xludf.DUMMYFUNCTION("""COMPUTED_VALUE"""),27979.0)</f>
        <v>27979</v>
      </c>
      <c r="T398" s="33">
        <f>IFERROR(__xludf.DUMMYFUNCTION("""COMPUTED_VALUE"""),2.38277777777777)</f>
        <v>2.382777778</v>
      </c>
      <c r="U398" s="33">
        <f>IFERROR(__xludf.DUMMYFUNCTION("""COMPUTED_VALUE"""),1.68055555555555)</f>
        <v>1.680555556</v>
      </c>
      <c r="V398" s="33">
        <f>IFERROR(__xludf.DUMMYFUNCTION("""COMPUTED_VALUE"""),0.0)</f>
        <v>0</v>
      </c>
      <c r="W398" s="33">
        <f>IFERROR(__xludf.DUMMYFUNCTION("""COMPUTED_VALUE"""),2.67055555555555)</f>
        <v>2.670555556</v>
      </c>
      <c r="X398" s="33">
        <f>IFERROR(__xludf.DUMMYFUNCTION("""COMPUTED_VALUE"""),0.933888888888888)</f>
        <v>0.9338888889</v>
      </c>
      <c r="Y398" s="33">
        <f>IFERROR(__xludf.DUMMYFUNCTION("""COMPUTED_VALUE"""),2.94638888888888)</f>
        <v>2.946388889</v>
      </c>
      <c r="Z398" s="33">
        <f>IFERROR(__xludf.DUMMYFUNCTION("""COMPUTED_VALUE"""),0.0)</f>
        <v>0</v>
      </c>
      <c r="AA398" s="33">
        <f>IFERROR(__xludf.DUMMYFUNCTION("""COMPUTED_VALUE"""),0.0)</f>
        <v>0</v>
      </c>
      <c r="AB398" s="33">
        <f>IFERROR(__xludf.DUMMYFUNCTION("""COMPUTED_VALUE"""),3.36055555555555)</f>
        <v>3.360555556</v>
      </c>
      <c r="AC398" s="33">
        <f>IFERROR(__xludf.DUMMYFUNCTION("""COMPUTED_VALUE"""),3.10111111111111)</f>
        <v>3.101111111</v>
      </c>
      <c r="AD398" s="33">
        <f>IFERROR(__xludf.DUMMYFUNCTION("""COMPUTED_VALUE"""),1.51277777777777)</f>
        <v>1.512777778</v>
      </c>
      <c r="AE398" s="33">
        <f>IFERROR(__xludf.DUMMYFUNCTION("""COMPUTED_VALUE"""),3.10111111111111)</f>
        <v>3.101111111</v>
      </c>
      <c r="AF398" s="33">
        <f>IFERROR(__xludf.DUMMYFUNCTION("""COMPUTED_VALUE"""),10.0)</f>
        <v>10</v>
      </c>
    </row>
    <row r="399">
      <c r="A399" s="49">
        <f>IFERROR(__xludf.DUMMYFUNCTION("""COMPUTED_VALUE"""),46041.0)</f>
        <v>46041</v>
      </c>
      <c r="B399" s="33" t="str">
        <f>IFERROR(__xludf.DUMMYFUNCTION("""COMPUTED_VALUE"""),"dbbc7f35e9eb33b7562f0fd82896e827101bf13c")</f>
        <v>dbbc7f35e9eb33b7562f0fd82896e827101bf13c</v>
      </c>
      <c r="C399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99" s="33">
        <f>IFERROR(__xludf.DUMMYFUNCTION("""COMPUTED_VALUE"""),0.0)</f>
        <v>0</v>
      </c>
      <c r="E399" s="33">
        <f>IFERROR(__xludf.DUMMYFUNCTION("""COMPUTED_VALUE"""),0.0)</f>
        <v>0</v>
      </c>
      <c r="F399" s="33">
        <f>IFERROR(__xludf.DUMMYFUNCTION("""COMPUTED_VALUE"""),0.0)</f>
        <v>0</v>
      </c>
      <c r="G399" s="33">
        <f>IFERROR(__xludf.DUMMYFUNCTION("""COMPUTED_VALUE"""),0.0)</f>
        <v>0</v>
      </c>
      <c r="H399" s="33">
        <f>IFERROR(__xludf.DUMMYFUNCTION("""COMPUTED_VALUE"""),0.0)</f>
        <v>0</v>
      </c>
      <c r="I399" s="33">
        <f>IFERROR(__xludf.DUMMYFUNCTION("""COMPUTED_VALUE"""),0.0)</f>
        <v>0</v>
      </c>
      <c r="J399" s="33">
        <f>IFERROR(__xludf.DUMMYFUNCTION("""COMPUTED_VALUE"""),0.0)</f>
        <v>0</v>
      </c>
      <c r="K399" s="33">
        <f>IFERROR(__xludf.DUMMYFUNCTION("""COMPUTED_VALUE"""),0.0)</f>
        <v>0</v>
      </c>
      <c r="L399" s="33">
        <f>IFERROR(__xludf.DUMMYFUNCTION("""COMPUTED_VALUE"""),0.0)</f>
        <v>0</v>
      </c>
      <c r="M399" s="33">
        <f>IFERROR(__xludf.DUMMYFUNCTION("""COMPUTED_VALUE"""),0.0)</f>
        <v>0</v>
      </c>
      <c r="N399" s="33">
        <f>IFERROR(__xludf.DUMMYFUNCTION("""COMPUTED_VALUE"""),9.0)</f>
        <v>9</v>
      </c>
      <c r="O399" s="33">
        <f>IFERROR(__xludf.DUMMYFUNCTION("""COMPUTED_VALUE"""),4.0)</f>
        <v>4</v>
      </c>
      <c r="P399" s="33">
        <f>IFERROR(__xludf.DUMMYFUNCTION("""COMPUTED_VALUE"""),9.0)</f>
        <v>9</v>
      </c>
      <c r="Q399" s="33">
        <f>IFERROR(__xludf.DUMMYFUNCTION("""COMPUTED_VALUE"""),0.0)</f>
        <v>0</v>
      </c>
      <c r="R399" s="33">
        <f>IFERROR(__xludf.DUMMYFUNCTION("""COMPUTED_VALUE"""),0.0)</f>
        <v>0</v>
      </c>
      <c r="S399" s="33">
        <f>IFERROR(__xludf.DUMMYFUNCTION("""COMPUTED_VALUE"""),0.0)</f>
        <v>0</v>
      </c>
      <c r="T399" s="33">
        <f>IFERROR(__xludf.DUMMYFUNCTION("""COMPUTED_VALUE"""),0.0)</f>
        <v>0</v>
      </c>
      <c r="U399" s="33">
        <f>IFERROR(__xludf.DUMMYFUNCTION("""COMPUTED_VALUE"""),0.0)</f>
        <v>0</v>
      </c>
      <c r="V399" s="33">
        <f>IFERROR(__xludf.DUMMYFUNCTION("""COMPUTED_VALUE"""),0.0)</f>
        <v>0</v>
      </c>
      <c r="W399" s="33">
        <f>IFERROR(__xludf.DUMMYFUNCTION("""COMPUTED_VALUE"""),0.0)</f>
        <v>0</v>
      </c>
      <c r="X399" s="33">
        <f>IFERROR(__xludf.DUMMYFUNCTION("""COMPUTED_VALUE"""),0.0)</f>
        <v>0</v>
      </c>
      <c r="Y399" s="33">
        <f>IFERROR(__xludf.DUMMYFUNCTION("""COMPUTED_VALUE"""),0.0)</f>
        <v>0</v>
      </c>
      <c r="Z399" s="33">
        <f>IFERROR(__xludf.DUMMYFUNCTION("""COMPUTED_VALUE"""),0.0)</f>
        <v>0</v>
      </c>
      <c r="AA399" s="33">
        <f>IFERROR(__xludf.DUMMYFUNCTION("""COMPUTED_VALUE"""),0.0)</f>
        <v>0</v>
      </c>
      <c r="AB399" s="33">
        <f>IFERROR(__xludf.DUMMYFUNCTION("""COMPUTED_VALUE"""),0.0)</f>
        <v>0</v>
      </c>
      <c r="AC399" s="33">
        <f>IFERROR(__xludf.DUMMYFUNCTION("""COMPUTED_VALUE"""),0.0)</f>
        <v>0</v>
      </c>
      <c r="AD399" s="33">
        <f>IFERROR(__xludf.DUMMYFUNCTION("""COMPUTED_VALUE"""),0.791388888888888)</f>
        <v>0.7913888889</v>
      </c>
      <c r="AE399" s="33">
        <f>IFERROR(__xludf.DUMMYFUNCTION("""COMPUTED_VALUE"""),2.36222222222222)</f>
        <v>2.362222222</v>
      </c>
      <c r="AF399" s="33">
        <f>IFERROR(__xludf.DUMMYFUNCTION("""COMPUTED_VALUE"""),0.0)</f>
        <v>0</v>
      </c>
    </row>
    <row r="400">
      <c r="A400" s="49">
        <f>IFERROR(__xludf.DUMMYFUNCTION("""COMPUTED_VALUE"""),46041.0)</f>
        <v>46041</v>
      </c>
      <c r="B400" s="33" t="str">
        <f>IFERROR(__xludf.DUMMYFUNCTION("""COMPUTED_VALUE"""),"e493cee863483a057af12de782cd20043a19ed05")</f>
        <v>e493cee863483a057af12de782cd20043a19ed05</v>
      </c>
      <c r="C400" s="33" t="str">
        <f>IFERROR(__xludf.DUMMYFUNCTION("""COMPUTED_VALUE"""),"Malang")</f>
        <v>Malang</v>
      </c>
      <c r="D400" s="33">
        <f>IFERROR(__xludf.DUMMYFUNCTION("""COMPUTED_VALUE"""),20.0)</f>
        <v>20</v>
      </c>
      <c r="E400" s="33">
        <f>IFERROR(__xludf.DUMMYFUNCTION("""COMPUTED_VALUE"""),11.0)</f>
        <v>11</v>
      </c>
      <c r="F400" s="33">
        <f>IFERROR(__xludf.DUMMYFUNCTION("""COMPUTED_VALUE"""),7.0)</f>
        <v>7</v>
      </c>
      <c r="G400" s="33">
        <f>IFERROR(__xludf.DUMMYFUNCTION("""COMPUTED_VALUE"""),1.0)</f>
        <v>1</v>
      </c>
      <c r="H400" s="33">
        <f>IFERROR(__xludf.DUMMYFUNCTION("""COMPUTED_VALUE"""),17.0)</f>
        <v>17</v>
      </c>
      <c r="I400" s="33">
        <f>IFERROR(__xludf.DUMMYFUNCTION("""COMPUTED_VALUE"""),12.0)</f>
        <v>12</v>
      </c>
      <c r="J400" s="33">
        <f>IFERROR(__xludf.DUMMYFUNCTION("""COMPUTED_VALUE"""),17.0)</f>
        <v>17</v>
      </c>
      <c r="K400" s="33">
        <f>IFERROR(__xludf.DUMMYFUNCTION("""COMPUTED_VALUE"""),0.0)</f>
        <v>0</v>
      </c>
      <c r="L400" s="33">
        <f>IFERROR(__xludf.DUMMYFUNCTION("""COMPUTED_VALUE"""),0.0)</f>
        <v>0</v>
      </c>
      <c r="M400" s="33">
        <f>IFERROR(__xludf.DUMMYFUNCTION("""COMPUTED_VALUE"""),17.0)</f>
        <v>17</v>
      </c>
      <c r="N400" s="33">
        <f>IFERROR(__xludf.DUMMYFUNCTION("""COMPUTED_VALUE"""),14.0)</f>
        <v>14</v>
      </c>
      <c r="O400" s="33">
        <f>IFERROR(__xludf.DUMMYFUNCTION("""COMPUTED_VALUE"""),6.0)</f>
        <v>6</v>
      </c>
      <c r="P400" s="33">
        <f>IFERROR(__xludf.DUMMYFUNCTION("""COMPUTED_VALUE"""),14.0)</f>
        <v>14</v>
      </c>
      <c r="Q400" s="33">
        <f>IFERROR(__xludf.DUMMYFUNCTION("""COMPUTED_VALUE"""),0.0)</f>
        <v>0</v>
      </c>
      <c r="R400" s="33">
        <f>IFERROR(__xludf.DUMMYFUNCTION("""COMPUTED_VALUE"""),41588.0)</f>
        <v>41588</v>
      </c>
      <c r="S400" s="33">
        <f>IFERROR(__xludf.DUMMYFUNCTION("""COMPUTED_VALUE"""),23688.0)</f>
        <v>23688</v>
      </c>
      <c r="T400" s="33">
        <f>IFERROR(__xludf.DUMMYFUNCTION("""COMPUTED_VALUE"""),3.03249999999999)</f>
        <v>3.0325</v>
      </c>
      <c r="U400" s="33">
        <f>IFERROR(__xludf.DUMMYFUNCTION("""COMPUTED_VALUE"""),1.39694444444444)</f>
        <v>1.396944444</v>
      </c>
      <c r="V400" s="33">
        <f>IFERROR(__xludf.DUMMYFUNCTION("""COMPUTED_VALUE"""),0.209722222222222)</f>
        <v>0.2097222222</v>
      </c>
      <c r="W400" s="33">
        <f>IFERROR(__xludf.DUMMYFUNCTION("""COMPUTED_VALUE"""),3.4075)</f>
        <v>3.4075</v>
      </c>
      <c r="X400" s="33">
        <f>IFERROR(__xludf.DUMMYFUNCTION("""COMPUTED_VALUE"""),2.40638888888888)</f>
        <v>2.406388889</v>
      </c>
      <c r="Y400" s="33">
        <f>IFERROR(__xludf.DUMMYFUNCTION("""COMPUTED_VALUE"""),3.40194444444444)</f>
        <v>3.401944444</v>
      </c>
      <c r="Z400" s="33">
        <f>IFERROR(__xludf.DUMMYFUNCTION("""COMPUTED_VALUE"""),0.0)</f>
        <v>0</v>
      </c>
      <c r="AA400" s="33">
        <f>IFERROR(__xludf.DUMMYFUNCTION("""COMPUTED_VALUE"""),0.0)</f>
        <v>0</v>
      </c>
      <c r="AB400" s="33">
        <f>IFERROR(__xludf.DUMMYFUNCTION("""COMPUTED_VALUE"""),3.40194444444444)</f>
        <v>3.401944444</v>
      </c>
      <c r="AC400" s="33">
        <f>IFERROR(__xludf.DUMMYFUNCTION("""COMPUTED_VALUE"""),2.80333333333333)</f>
        <v>2.803333333</v>
      </c>
      <c r="AD400" s="33">
        <f>IFERROR(__xludf.DUMMYFUNCTION("""COMPUTED_VALUE"""),1.21055555555555)</f>
        <v>1.210555556</v>
      </c>
      <c r="AE400" s="33">
        <f>IFERROR(__xludf.DUMMYFUNCTION("""COMPUTED_VALUE"""),2.80333333333333)</f>
        <v>2.803333333</v>
      </c>
      <c r="AF400" s="33">
        <f>IFERROR(__xludf.DUMMYFUNCTION("""COMPUTED_VALUE"""),15.0)</f>
        <v>15</v>
      </c>
    </row>
    <row r="401">
      <c r="A401" s="49">
        <f>IFERROR(__xludf.DUMMYFUNCTION("""COMPUTED_VALUE"""),46041.0)</f>
        <v>46041</v>
      </c>
      <c r="B401" s="33" t="str">
        <f>IFERROR(__xludf.DUMMYFUNCTION("""COMPUTED_VALUE"""),"f43f4253dc3c596ff8f2e3cc9f3b677981a70310")</f>
        <v>f43f4253dc3c596ff8f2e3cc9f3b677981a70310</v>
      </c>
      <c r="C401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401" s="33">
        <f>IFERROR(__xludf.DUMMYFUNCTION("""COMPUTED_VALUE"""),16.0)</f>
        <v>16</v>
      </c>
      <c r="E401" s="33">
        <f>IFERROR(__xludf.DUMMYFUNCTION("""COMPUTED_VALUE"""),16.0)</f>
        <v>16</v>
      </c>
      <c r="F401" s="33">
        <f>IFERROR(__xludf.DUMMYFUNCTION("""COMPUTED_VALUE"""),0.0)</f>
        <v>0</v>
      </c>
      <c r="G401" s="33">
        <f>IFERROR(__xludf.DUMMYFUNCTION("""COMPUTED_VALUE"""),0.0)</f>
        <v>0</v>
      </c>
      <c r="H401" s="33">
        <f>IFERROR(__xludf.DUMMYFUNCTION("""COMPUTED_VALUE"""),0.0)</f>
        <v>0</v>
      </c>
      <c r="I401" s="33">
        <f>IFERROR(__xludf.DUMMYFUNCTION("""COMPUTED_VALUE"""),0.0)</f>
        <v>0</v>
      </c>
      <c r="J401" s="33">
        <f>IFERROR(__xludf.DUMMYFUNCTION("""COMPUTED_VALUE"""),0.0)</f>
        <v>0</v>
      </c>
      <c r="K401" s="33">
        <f>IFERROR(__xludf.DUMMYFUNCTION("""COMPUTED_VALUE"""),0.0)</f>
        <v>0</v>
      </c>
      <c r="L401" s="33">
        <f>IFERROR(__xludf.DUMMYFUNCTION("""COMPUTED_VALUE"""),0.0)</f>
        <v>0</v>
      </c>
      <c r="M401" s="33">
        <f>IFERROR(__xludf.DUMMYFUNCTION("""COMPUTED_VALUE"""),0.0)</f>
        <v>0</v>
      </c>
      <c r="N401" s="33">
        <f>IFERROR(__xludf.DUMMYFUNCTION("""COMPUTED_VALUE"""),0.0)</f>
        <v>0</v>
      </c>
      <c r="O401" s="33">
        <f>IFERROR(__xludf.DUMMYFUNCTION("""COMPUTED_VALUE"""),5.0)</f>
        <v>5</v>
      </c>
      <c r="P401" s="33">
        <f>IFERROR(__xludf.DUMMYFUNCTION("""COMPUTED_VALUE"""),16.0)</f>
        <v>16</v>
      </c>
      <c r="Q401" s="33">
        <f>IFERROR(__xludf.DUMMYFUNCTION("""COMPUTED_VALUE"""),0.0)</f>
        <v>0</v>
      </c>
      <c r="R401" s="33">
        <f>IFERROR(__xludf.DUMMYFUNCTION("""COMPUTED_VALUE"""),38057.0)</f>
        <v>38057</v>
      </c>
      <c r="S401" s="33">
        <f>IFERROR(__xludf.DUMMYFUNCTION("""COMPUTED_VALUE"""),37910.0)</f>
        <v>37910</v>
      </c>
      <c r="T401" s="33">
        <f>IFERROR(__xludf.DUMMYFUNCTION("""COMPUTED_VALUE"""),0.0)</f>
        <v>0</v>
      </c>
      <c r="U401" s="33">
        <f>IFERROR(__xludf.DUMMYFUNCTION("""COMPUTED_VALUE"""),0.0)</f>
        <v>0</v>
      </c>
      <c r="V401" s="33">
        <f>IFERROR(__xludf.DUMMYFUNCTION("""COMPUTED_VALUE"""),0.0)</f>
        <v>0</v>
      </c>
      <c r="W401" s="33">
        <f>IFERROR(__xludf.DUMMYFUNCTION("""COMPUTED_VALUE"""),0.0)</f>
        <v>0</v>
      </c>
      <c r="X401" s="33">
        <f>IFERROR(__xludf.DUMMYFUNCTION("""COMPUTED_VALUE"""),0.0)</f>
        <v>0</v>
      </c>
      <c r="Y401" s="33">
        <f>IFERROR(__xludf.DUMMYFUNCTION("""COMPUTED_VALUE"""),0.0)</f>
        <v>0</v>
      </c>
      <c r="Z401" s="33">
        <f>IFERROR(__xludf.DUMMYFUNCTION("""COMPUTED_VALUE"""),0.0)</f>
        <v>0</v>
      </c>
      <c r="AA401" s="33">
        <f>IFERROR(__xludf.DUMMYFUNCTION("""COMPUTED_VALUE"""),0.0)</f>
        <v>0</v>
      </c>
      <c r="AB401" s="33">
        <f>IFERROR(__xludf.DUMMYFUNCTION("""COMPUTED_VALUE"""),0.0)</f>
        <v>0</v>
      </c>
      <c r="AC401" s="33">
        <f>IFERROR(__xludf.DUMMYFUNCTION("""COMPUTED_VALUE"""),0.0)</f>
        <v>0</v>
      </c>
      <c r="AD401" s="33">
        <f>IFERROR(__xludf.DUMMYFUNCTION("""COMPUTED_VALUE"""),1.23666666666666)</f>
        <v>1.236666667</v>
      </c>
      <c r="AE401" s="33">
        <f>IFERROR(__xludf.DUMMYFUNCTION("""COMPUTED_VALUE"""),3.66916666666666)</f>
        <v>3.669166667</v>
      </c>
      <c r="AF401" s="33">
        <f>IFERROR(__xludf.DUMMYFUNCTION("""COMPUTED_VALUE"""),0.0)</f>
        <v>0</v>
      </c>
    </row>
    <row r="402">
      <c r="A402" s="49">
        <f>IFERROR(__xludf.DUMMYFUNCTION("""COMPUTED_VALUE"""),46034.0)</f>
        <v>46034</v>
      </c>
      <c r="B402" s="33" t="str">
        <f>IFERROR(__xludf.DUMMYFUNCTION("""COMPUTED_VALUE"""),"017fddbaa7617afdd8289be5c433df09dcde1da2")</f>
        <v>017fddbaa7617afdd8289be5c433df09dcde1da2</v>
      </c>
      <c r="C402" s="33" t="str">
        <f>IFERROR(__xludf.DUMMYFUNCTION("""COMPUTED_VALUE"""),"His Secret Fortune - Production Show_id")</f>
        <v>His Secret Fortune - Production Show_id</v>
      </c>
      <c r="D402" s="33">
        <f>IFERROR(__xludf.DUMMYFUNCTION("""COMPUTED_VALUE"""),7.0)</f>
        <v>7</v>
      </c>
      <c r="E402" s="33">
        <f>IFERROR(__xludf.DUMMYFUNCTION("""COMPUTED_VALUE"""),0.0)</f>
        <v>0</v>
      </c>
      <c r="F402" s="33">
        <f>IFERROR(__xludf.DUMMYFUNCTION("""COMPUTED_VALUE"""),0.0)</f>
        <v>0</v>
      </c>
      <c r="G402" s="33">
        <f>IFERROR(__xludf.DUMMYFUNCTION("""COMPUTED_VALUE"""),0.0)</f>
        <v>0</v>
      </c>
      <c r="H402" s="33">
        <f>IFERROR(__xludf.DUMMYFUNCTION("""COMPUTED_VALUE"""),0.0)</f>
        <v>0</v>
      </c>
      <c r="I402" s="33">
        <f>IFERROR(__xludf.DUMMYFUNCTION("""COMPUTED_VALUE"""),0.0)</f>
        <v>0</v>
      </c>
      <c r="J402" s="33">
        <f>IFERROR(__xludf.DUMMYFUNCTION("""COMPUTED_VALUE"""),0.0)</f>
        <v>0</v>
      </c>
      <c r="K402" s="33">
        <f>IFERROR(__xludf.DUMMYFUNCTION("""COMPUTED_VALUE"""),0.0)</f>
        <v>0</v>
      </c>
      <c r="L402" s="33">
        <f>IFERROR(__xludf.DUMMYFUNCTION("""COMPUTED_VALUE"""),0.0)</f>
        <v>0</v>
      </c>
      <c r="M402" s="33">
        <f>IFERROR(__xludf.DUMMYFUNCTION("""COMPUTED_VALUE"""),0.0)</f>
        <v>0</v>
      </c>
      <c r="N402" s="33">
        <f>IFERROR(__xludf.DUMMYFUNCTION("""COMPUTED_VALUE"""),0.0)</f>
        <v>0</v>
      </c>
      <c r="O402" s="33">
        <f>IFERROR(__xludf.DUMMYFUNCTION("""COMPUTED_VALUE"""),0.0)</f>
        <v>0</v>
      </c>
      <c r="P402" s="33">
        <f>IFERROR(__xludf.DUMMYFUNCTION("""COMPUTED_VALUE"""),0.0)</f>
        <v>0</v>
      </c>
      <c r="Q402" s="33">
        <f>IFERROR(__xludf.DUMMYFUNCTION("""COMPUTED_VALUE"""),0.0)</f>
        <v>0</v>
      </c>
      <c r="R402" s="33">
        <f>IFERROR(__xludf.DUMMYFUNCTION("""COMPUTED_VALUE"""),13569.0)</f>
        <v>13569</v>
      </c>
      <c r="S402" s="33">
        <f>IFERROR(__xludf.DUMMYFUNCTION("""COMPUTED_VALUE"""),0.0)</f>
        <v>0</v>
      </c>
      <c r="T402" s="33">
        <f>IFERROR(__xludf.DUMMYFUNCTION("""COMPUTED_VALUE"""),0.0)</f>
        <v>0</v>
      </c>
      <c r="U402" s="33">
        <f>IFERROR(__xludf.DUMMYFUNCTION("""COMPUTED_VALUE"""),0.0)</f>
        <v>0</v>
      </c>
      <c r="V402" s="33">
        <f>IFERROR(__xludf.DUMMYFUNCTION("""COMPUTED_VALUE"""),0.0)</f>
        <v>0</v>
      </c>
      <c r="W402" s="33">
        <f>IFERROR(__xludf.DUMMYFUNCTION("""COMPUTED_VALUE"""),0.0)</f>
        <v>0</v>
      </c>
      <c r="X402" s="33">
        <f>IFERROR(__xludf.DUMMYFUNCTION("""COMPUTED_VALUE"""),0.0)</f>
        <v>0</v>
      </c>
      <c r="Y402" s="33">
        <f>IFERROR(__xludf.DUMMYFUNCTION("""COMPUTED_VALUE"""),0.0)</f>
        <v>0</v>
      </c>
      <c r="Z402" s="33">
        <f>IFERROR(__xludf.DUMMYFUNCTION("""COMPUTED_VALUE"""),0.0)</f>
        <v>0</v>
      </c>
      <c r="AA402" s="33">
        <f>IFERROR(__xludf.DUMMYFUNCTION("""COMPUTED_VALUE"""),0.0)</f>
        <v>0</v>
      </c>
      <c r="AB402" s="33">
        <f>IFERROR(__xludf.DUMMYFUNCTION("""COMPUTED_VALUE"""),0.0)</f>
        <v>0</v>
      </c>
      <c r="AC402" s="33">
        <f>IFERROR(__xludf.DUMMYFUNCTION("""COMPUTED_VALUE"""),0.0)</f>
        <v>0</v>
      </c>
      <c r="AD402" s="33">
        <f>IFERROR(__xludf.DUMMYFUNCTION("""COMPUTED_VALUE"""),0.0)</f>
        <v>0</v>
      </c>
      <c r="AE402" s="33">
        <f>IFERROR(__xludf.DUMMYFUNCTION("""COMPUTED_VALUE"""),0.0)</f>
        <v>0</v>
      </c>
      <c r="AF402" s="33">
        <f>IFERROR(__xludf.DUMMYFUNCTION("""COMPUTED_VALUE"""),0.0)</f>
        <v>0</v>
      </c>
    </row>
    <row r="403">
      <c r="A403" s="49">
        <f>IFERROR(__xludf.DUMMYFUNCTION("""COMPUTED_VALUE"""),46034.0)</f>
        <v>46034</v>
      </c>
      <c r="B403" s="33" t="str">
        <f>IFERROR(__xludf.DUMMYFUNCTION("""COMPUTED_VALUE"""),"2549f1505a3739b3e90a0b63921ad55271440d40")</f>
        <v>2549f1505a3739b3e90a0b63921ad55271440d40</v>
      </c>
      <c r="C403" s="33" t="str">
        <f>IFERROR(__xludf.DUMMYFUNCTION("""COMPUTED_VALUE"""),"Reborn in Martial World ")</f>
        <v>Reborn in Martial World </v>
      </c>
      <c r="D403" s="33">
        <f>IFERROR(__xludf.DUMMYFUNCTION("""COMPUTED_VALUE"""),9.0)</f>
        <v>9</v>
      </c>
      <c r="E403" s="33">
        <f>IFERROR(__xludf.DUMMYFUNCTION("""COMPUTED_VALUE"""),1.0)</f>
        <v>1</v>
      </c>
      <c r="F403" s="33">
        <f>IFERROR(__xludf.DUMMYFUNCTION("""COMPUTED_VALUE"""),0.0)</f>
        <v>0</v>
      </c>
      <c r="G403" s="33">
        <f>IFERROR(__xludf.DUMMYFUNCTION("""COMPUTED_VALUE"""),0.0)</f>
        <v>0</v>
      </c>
      <c r="H403" s="33">
        <f>IFERROR(__xludf.DUMMYFUNCTION("""COMPUTED_VALUE"""),0.0)</f>
        <v>0</v>
      </c>
      <c r="I403" s="33">
        <f>IFERROR(__xludf.DUMMYFUNCTION("""COMPUTED_VALUE"""),0.0)</f>
        <v>0</v>
      </c>
      <c r="J403" s="33">
        <f>IFERROR(__xludf.DUMMYFUNCTION("""COMPUTED_VALUE"""),0.0)</f>
        <v>0</v>
      </c>
      <c r="K403" s="33">
        <f>IFERROR(__xludf.DUMMYFUNCTION("""COMPUTED_VALUE"""),0.0)</f>
        <v>0</v>
      </c>
      <c r="L403" s="33">
        <f>IFERROR(__xludf.DUMMYFUNCTION("""COMPUTED_VALUE"""),0.0)</f>
        <v>0</v>
      </c>
      <c r="M403" s="33">
        <f>IFERROR(__xludf.DUMMYFUNCTION("""COMPUTED_VALUE"""),61.0)</f>
        <v>61</v>
      </c>
      <c r="N403" s="33">
        <f>IFERROR(__xludf.DUMMYFUNCTION("""COMPUTED_VALUE"""),0.0)</f>
        <v>0</v>
      </c>
      <c r="O403" s="33">
        <f>IFERROR(__xludf.DUMMYFUNCTION("""COMPUTED_VALUE"""),2.0)</f>
        <v>2</v>
      </c>
      <c r="P403" s="33">
        <f>IFERROR(__xludf.DUMMYFUNCTION("""COMPUTED_VALUE"""),0.0)</f>
        <v>0</v>
      </c>
      <c r="Q403" s="33">
        <f>IFERROR(__xludf.DUMMYFUNCTION("""COMPUTED_VALUE"""),0.0)</f>
        <v>0</v>
      </c>
      <c r="R403" s="33">
        <f>IFERROR(__xludf.DUMMYFUNCTION("""COMPUTED_VALUE"""),22655.0)</f>
        <v>22655</v>
      </c>
      <c r="S403" s="33">
        <f>IFERROR(__xludf.DUMMYFUNCTION("""COMPUTED_VALUE"""),2280.0)</f>
        <v>2280</v>
      </c>
      <c r="T403" s="33">
        <f>IFERROR(__xludf.DUMMYFUNCTION("""COMPUTED_VALUE"""),0.0)</f>
        <v>0</v>
      </c>
      <c r="U403" s="33">
        <f>IFERROR(__xludf.DUMMYFUNCTION("""COMPUTED_VALUE"""),0.0)</f>
        <v>0</v>
      </c>
      <c r="V403" s="33">
        <f>IFERROR(__xludf.DUMMYFUNCTION("""COMPUTED_VALUE"""),0.0)</f>
        <v>0</v>
      </c>
      <c r="W403" s="33">
        <f>IFERROR(__xludf.DUMMYFUNCTION("""COMPUTED_VALUE"""),0.0)</f>
        <v>0</v>
      </c>
      <c r="X403" s="33">
        <f>IFERROR(__xludf.DUMMYFUNCTION("""COMPUTED_VALUE"""),0.0)</f>
        <v>0</v>
      </c>
      <c r="Y403" s="33">
        <f>IFERROR(__xludf.DUMMYFUNCTION("""COMPUTED_VALUE"""),0.0)</f>
        <v>0</v>
      </c>
      <c r="Z403" s="33">
        <f>IFERROR(__xludf.DUMMYFUNCTION("""COMPUTED_VALUE"""),0.0)</f>
        <v>0</v>
      </c>
      <c r="AA403" s="33">
        <f>IFERROR(__xludf.DUMMYFUNCTION("""COMPUTED_VALUE"""),0.0)</f>
        <v>0</v>
      </c>
      <c r="AB403" s="33">
        <f>IFERROR(__xludf.DUMMYFUNCTION("""COMPUTED_VALUE"""),13.9197222222222)</f>
        <v>13.91972222</v>
      </c>
      <c r="AC403" s="33">
        <f>IFERROR(__xludf.DUMMYFUNCTION("""COMPUTED_VALUE"""),0.0)</f>
        <v>0</v>
      </c>
      <c r="AD403" s="33">
        <f>IFERROR(__xludf.DUMMYFUNCTION("""COMPUTED_VALUE"""),0.395)</f>
        <v>0.395</v>
      </c>
      <c r="AE403" s="33">
        <f>IFERROR(__xludf.DUMMYFUNCTION("""COMPUTED_VALUE"""),0.0)</f>
        <v>0</v>
      </c>
      <c r="AF403" s="33">
        <f>IFERROR(__xludf.DUMMYFUNCTION("""COMPUTED_VALUE"""),0.0)</f>
        <v>0</v>
      </c>
    </row>
    <row r="404">
      <c r="A404" s="49">
        <f>IFERROR(__xludf.DUMMYFUNCTION("""COMPUTED_VALUE"""),46034.0)</f>
        <v>46034</v>
      </c>
      <c r="B404" s="33" t="str">
        <f>IFERROR(__xludf.DUMMYFUNCTION("""COMPUTED_VALUE"""),"37e68193f879e91ec362f75f4b46511110658e2b")</f>
        <v>37e68193f879e91ec362f75f4b46511110658e2b</v>
      </c>
      <c r="C404" s="33" t="str">
        <f>IFERROR(__xludf.DUMMYFUNCTION("""COMPUTED_VALUE"""),"Shiva : Ek Pretyodha")</f>
        <v>Shiva : Ek Pretyodha</v>
      </c>
      <c r="D404" s="33">
        <f>IFERROR(__xludf.DUMMYFUNCTION("""COMPUTED_VALUE"""),0.0)</f>
        <v>0</v>
      </c>
      <c r="E404" s="33">
        <f>IFERROR(__xludf.DUMMYFUNCTION("""COMPUTED_VALUE"""),0.0)</f>
        <v>0</v>
      </c>
      <c r="F404" s="33">
        <f>IFERROR(__xludf.DUMMYFUNCTION("""COMPUTED_VALUE"""),0.0)</f>
        <v>0</v>
      </c>
      <c r="G404" s="33">
        <f>IFERROR(__xludf.DUMMYFUNCTION("""COMPUTED_VALUE"""),0.0)</f>
        <v>0</v>
      </c>
      <c r="H404" s="33">
        <f>IFERROR(__xludf.DUMMYFUNCTION("""COMPUTED_VALUE"""),0.0)</f>
        <v>0</v>
      </c>
      <c r="I404" s="33">
        <f>IFERROR(__xludf.DUMMYFUNCTION("""COMPUTED_VALUE"""),0.0)</f>
        <v>0</v>
      </c>
      <c r="J404" s="33">
        <f>IFERROR(__xludf.DUMMYFUNCTION("""COMPUTED_VALUE"""),0.0)</f>
        <v>0</v>
      </c>
      <c r="K404" s="33">
        <f>IFERROR(__xludf.DUMMYFUNCTION("""COMPUTED_VALUE"""),0.0)</f>
        <v>0</v>
      </c>
      <c r="L404" s="33">
        <f>IFERROR(__xludf.DUMMYFUNCTION("""COMPUTED_VALUE"""),0.0)</f>
        <v>0</v>
      </c>
      <c r="M404" s="33">
        <f>IFERROR(__xludf.DUMMYFUNCTION("""COMPUTED_VALUE"""),0.0)</f>
        <v>0</v>
      </c>
      <c r="N404" s="33">
        <f>IFERROR(__xludf.DUMMYFUNCTION("""COMPUTED_VALUE"""),0.0)</f>
        <v>0</v>
      </c>
      <c r="O404" s="33">
        <f>IFERROR(__xludf.DUMMYFUNCTION("""COMPUTED_VALUE"""),13.0)</f>
        <v>13</v>
      </c>
      <c r="P404" s="33">
        <f>IFERROR(__xludf.DUMMYFUNCTION("""COMPUTED_VALUE"""),13.0)</f>
        <v>13</v>
      </c>
      <c r="Q404" s="33">
        <f>IFERROR(__xludf.DUMMYFUNCTION("""COMPUTED_VALUE"""),0.0)</f>
        <v>0</v>
      </c>
      <c r="R404" s="33">
        <f>IFERROR(__xludf.DUMMYFUNCTION("""COMPUTED_VALUE"""),0.0)</f>
        <v>0</v>
      </c>
      <c r="S404" s="33">
        <f>IFERROR(__xludf.DUMMYFUNCTION("""COMPUTED_VALUE"""),0.0)</f>
        <v>0</v>
      </c>
      <c r="T404" s="33">
        <f>IFERROR(__xludf.DUMMYFUNCTION("""COMPUTED_VALUE"""),0.0)</f>
        <v>0</v>
      </c>
      <c r="U404" s="33">
        <f>IFERROR(__xludf.DUMMYFUNCTION("""COMPUTED_VALUE"""),0.0)</f>
        <v>0</v>
      </c>
      <c r="V404" s="33">
        <f>IFERROR(__xludf.DUMMYFUNCTION("""COMPUTED_VALUE"""),0.0)</f>
        <v>0</v>
      </c>
      <c r="W404" s="33">
        <f>IFERROR(__xludf.DUMMYFUNCTION("""COMPUTED_VALUE"""),0.0)</f>
        <v>0</v>
      </c>
      <c r="X404" s="33">
        <f>IFERROR(__xludf.DUMMYFUNCTION("""COMPUTED_VALUE"""),0.0)</f>
        <v>0</v>
      </c>
      <c r="Y404" s="33">
        <f>IFERROR(__xludf.DUMMYFUNCTION("""COMPUTED_VALUE"""),0.0)</f>
        <v>0</v>
      </c>
      <c r="Z404" s="33">
        <f>IFERROR(__xludf.DUMMYFUNCTION("""COMPUTED_VALUE"""),0.0)</f>
        <v>0</v>
      </c>
      <c r="AA404" s="33">
        <f>IFERROR(__xludf.DUMMYFUNCTION("""COMPUTED_VALUE"""),0.0)</f>
        <v>0</v>
      </c>
      <c r="AB404" s="33">
        <f>IFERROR(__xludf.DUMMYFUNCTION("""COMPUTED_VALUE"""),0.0)</f>
        <v>0</v>
      </c>
      <c r="AC404" s="33">
        <f>IFERROR(__xludf.DUMMYFUNCTION("""COMPUTED_VALUE"""),0.0)</f>
        <v>0</v>
      </c>
      <c r="AD404" s="33">
        <f>IFERROR(__xludf.DUMMYFUNCTION("""COMPUTED_VALUE"""),2.82555555555555)</f>
        <v>2.825555556</v>
      </c>
      <c r="AE404" s="33">
        <f>IFERROR(__xludf.DUMMYFUNCTION("""COMPUTED_VALUE"""),2.65111111111111)</f>
        <v>2.651111111</v>
      </c>
      <c r="AF404" s="33">
        <f>IFERROR(__xludf.DUMMYFUNCTION("""COMPUTED_VALUE"""),0.0)</f>
        <v>0</v>
      </c>
    </row>
    <row r="405">
      <c r="A405" s="49">
        <f>IFERROR(__xludf.DUMMYFUNCTION("""COMPUTED_VALUE"""),46034.0)</f>
        <v>46034</v>
      </c>
      <c r="B405" s="33" t="str">
        <f>IFERROR(__xludf.DUMMYFUNCTION("""COMPUTED_VALUE"""),"394d109f7b50d9a46fb591dbaaba2d0aac90a696")</f>
        <v>394d109f7b50d9a46fb591dbaaba2d0aac90a696</v>
      </c>
      <c r="C405" s="33" t="str">
        <f>IFERROR(__xludf.DUMMYFUNCTION("""COMPUTED_VALUE"""),"Empire of Hidden King (SRGJ) - Production Show_id")</f>
        <v>Empire of Hidden King (SRGJ) - Production Show_id</v>
      </c>
      <c r="D405" s="33">
        <f>IFERROR(__xludf.DUMMYFUNCTION("""COMPUTED_VALUE"""),25.0)</f>
        <v>25</v>
      </c>
      <c r="E405" s="33">
        <f>IFERROR(__xludf.DUMMYFUNCTION("""COMPUTED_VALUE"""),9.0)</f>
        <v>9</v>
      </c>
      <c r="F405" s="33">
        <f>IFERROR(__xludf.DUMMYFUNCTION("""COMPUTED_VALUE"""),14.0)</f>
        <v>14</v>
      </c>
      <c r="G405" s="33">
        <f>IFERROR(__xludf.DUMMYFUNCTION("""COMPUTED_VALUE"""),17.0)</f>
        <v>17</v>
      </c>
      <c r="H405" s="33">
        <f>IFERROR(__xludf.DUMMYFUNCTION("""COMPUTED_VALUE"""),18.0)</f>
        <v>18</v>
      </c>
      <c r="I405" s="33">
        <f>IFERROR(__xludf.DUMMYFUNCTION("""COMPUTED_VALUE"""),1.0)</f>
        <v>1</v>
      </c>
      <c r="J405" s="33">
        <f>IFERROR(__xludf.DUMMYFUNCTION("""COMPUTED_VALUE"""),18.0)</f>
        <v>18</v>
      </c>
      <c r="K405" s="33">
        <f>IFERROR(__xludf.DUMMYFUNCTION("""COMPUTED_VALUE"""),6.0)</f>
        <v>6</v>
      </c>
      <c r="L405" s="33">
        <f>IFERROR(__xludf.DUMMYFUNCTION("""COMPUTED_VALUE"""),5.0)</f>
        <v>5</v>
      </c>
      <c r="M405" s="33">
        <f>IFERROR(__xludf.DUMMYFUNCTION("""COMPUTED_VALUE"""),17.0)</f>
        <v>17</v>
      </c>
      <c r="N405" s="33">
        <f>IFERROR(__xludf.DUMMYFUNCTION("""COMPUTED_VALUE"""),14.0)</f>
        <v>14</v>
      </c>
      <c r="O405" s="33">
        <f>IFERROR(__xludf.DUMMYFUNCTION("""COMPUTED_VALUE"""),7.0)</f>
        <v>7</v>
      </c>
      <c r="P405" s="33">
        <f>IFERROR(__xludf.DUMMYFUNCTION("""COMPUTED_VALUE"""),14.0)</f>
        <v>14</v>
      </c>
      <c r="Q405" s="33">
        <f>IFERROR(__xludf.DUMMYFUNCTION("""COMPUTED_VALUE"""),0.0)</f>
        <v>0</v>
      </c>
      <c r="R405" s="33">
        <f>IFERROR(__xludf.DUMMYFUNCTION("""COMPUTED_VALUE"""),78898.0)</f>
        <v>78898</v>
      </c>
      <c r="S405" s="33">
        <f>IFERROR(__xludf.DUMMYFUNCTION("""COMPUTED_VALUE"""),28635.0)</f>
        <v>28635</v>
      </c>
      <c r="T405" s="33">
        <f>IFERROR(__xludf.DUMMYFUNCTION("""COMPUTED_VALUE"""),4.19638888888888)</f>
        <v>4.196388889</v>
      </c>
      <c r="U405" s="33">
        <f>IFERROR(__xludf.DUMMYFUNCTION("""COMPUTED_VALUE"""),3.93916666666666)</f>
        <v>3.939166667</v>
      </c>
      <c r="V405" s="33">
        <f>IFERROR(__xludf.DUMMYFUNCTION("""COMPUTED_VALUE"""),4.73222222222222)</f>
        <v>4.732222222</v>
      </c>
      <c r="W405" s="33">
        <f>IFERROR(__xludf.DUMMYFUNCTION("""COMPUTED_VALUE"""),4.98944444444444)</f>
        <v>4.989444444</v>
      </c>
      <c r="X405" s="33">
        <f>IFERROR(__xludf.DUMMYFUNCTION("""COMPUTED_VALUE"""),0.257222222222222)</f>
        <v>0.2572222222</v>
      </c>
      <c r="Y405" s="33">
        <f>IFERROR(__xludf.DUMMYFUNCTION("""COMPUTED_VALUE"""),4.99)</f>
        <v>4.99</v>
      </c>
      <c r="Z405" s="33">
        <f>IFERROR(__xludf.DUMMYFUNCTION("""COMPUTED_VALUE"""),1.69694444444444)</f>
        <v>1.696944444</v>
      </c>
      <c r="AA405" s="33">
        <f>IFERROR(__xludf.DUMMYFUNCTION("""COMPUTED_VALUE"""),1.40972222222222)</f>
        <v>1.409722222</v>
      </c>
      <c r="AB405" s="33">
        <f>IFERROR(__xludf.DUMMYFUNCTION("""COMPUTED_VALUE"""),4.70277777777777)</f>
        <v>4.702777778</v>
      </c>
      <c r="AC405" s="33">
        <f>IFERROR(__xludf.DUMMYFUNCTION("""COMPUTED_VALUE"""),3.80833333333333)</f>
        <v>3.808333333</v>
      </c>
      <c r="AD405" s="33">
        <f>IFERROR(__xludf.DUMMYFUNCTION("""COMPUTED_VALUE"""),1.79472222222222)</f>
        <v>1.794722222</v>
      </c>
      <c r="AE405" s="33">
        <f>IFERROR(__xludf.DUMMYFUNCTION("""COMPUTED_VALUE"""),3.80833333333333)</f>
        <v>3.808333333</v>
      </c>
      <c r="AF405" s="33">
        <f>IFERROR(__xludf.DUMMYFUNCTION("""COMPUTED_VALUE"""),15.0)</f>
        <v>15</v>
      </c>
    </row>
    <row r="406">
      <c r="A406" s="49">
        <f>IFERROR(__xludf.DUMMYFUNCTION("""COMPUTED_VALUE"""),46034.0)</f>
        <v>46034</v>
      </c>
      <c r="B406" s="33" t="str">
        <f>IFERROR(__xludf.DUMMYFUNCTION("""COMPUTED_VALUE"""),"5066c0736f9e9444f2b4da840d6860b1f7f47d11")</f>
        <v>5066c0736f9e9444f2b4da840d6860b1f7f47d11</v>
      </c>
      <c r="C406" s="33" t="str">
        <f>IFERROR(__xludf.DUMMYFUNCTION("""COMPUTED_VALUE"""),"The Warrior | Author - Dayaram Prajapati - Replica (For Production Only)")</f>
        <v>The Warrior | Author - Dayaram Prajapati - Replica (For Production Only)</v>
      </c>
      <c r="D406" s="33">
        <f>IFERROR(__xludf.DUMMYFUNCTION("""COMPUTED_VALUE"""),19.0)</f>
        <v>19</v>
      </c>
      <c r="E406" s="33">
        <f>IFERROR(__xludf.DUMMYFUNCTION("""COMPUTED_VALUE"""),20.0)</f>
        <v>20</v>
      </c>
      <c r="F406" s="33">
        <f>IFERROR(__xludf.DUMMYFUNCTION("""COMPUTED_VALUE"""),14.0)</f>
        <v>14</v>
      </c>
      <c r="G406" s="33">
        <f>IFERROR(__xludf.DUMMYFUNCTION("""COMPUTED_VALUE"""),12.0)</f>
        <v>12</v>
      </c>
      <c r="H406" s="33">
        <f>IFERROR(__xludf.DUMMYFUNCTION("""COMPUTED_VALUE"""),21.0)</f>
        <v>21</v>
      </c>
      <c r="I406" s="33">
        <f>IFERROR(__xludf.DUMMYFUNCTION("""COMPUTED_VALUE"""),9.0)</f>
        <v>9</v>
      </c>
      <c r="J406" s="33">
        <f>IFERROR(__xludf.DUMMYFUNCTION("""COMPUTED_VALUE"""),22.0)</f>
        <v>22</v>
      </c>
      <c r="K406" s="33">
        <f>IFERROR(__xludf.DUMMYFUNCTION("""COMPUTED_VALUE"""),1.0)</f>
        <v>1</v>
      </c>
      <c r="L406" s="33">
        <f>IFERROR(__xludf.DUMMYFUNCTION("""COMPUTED_VALUE"""),1.0)</f>
        <v>1</v>
      </c>
      <c r="M406" s="33">
        <f>IFERROR(__xludf.DUMMYFUNCTION("""COMPUTED_VALUE"""),22.0)</f>
        <v>22</v>
      </c>
      <c r="N406" s="33">
        <f>IFERROR(__xludf.DUMMYFUNCTION("""COMPUTED_VALUE"""),22.0)</f>
        <v>22</v>
      </c>
      <c r="O406" s="33">
        <f>IFERROR(__xludf.DUMMYFUNCTION("""COMPUTED_VALUE"""),5.0)</f>
        <v>5</v>
      </c>
      <c r="P406" s="33">
        <f>IFERROR(__xludf.DUMMYFUNCTION("""COMPUTED_VALUE"""),22.0)</f>
        <v>22</v>
      </c>
      <c r="Q406" s="33">
        <f>IFERROR(__xludf.DUMMYFUNCTION("""COMPUTED_VALUE"""),0.0)</f>
        <v>0</v>
      </c>
      <c r="R406" s="33">
        <f>IFERROR(__xludf.DUMMYFUNCTION("""COMPUTED_VALUE"""),56265.0)</f>
        <v>56265</v>
      </c>
      <c r="S406" s="33">
        <f>IFERROR(__xludf.DUMMYFUNCTION("""COMPUTED_VALUE"""),49973.0)</f>
        <v>49973</v>
      </c>
      <c r="T406" s="33">
        <f>IFERROR(__xludf.DUMMYFUNCTION("""COMPUTED_VALUE"""),4.34055555555555)</f>
        <v>4.340555556</v>
      </c>
      <c r="U406" s="33">
        <f>IFERROR(__xludf.DUMMYFUNCTION("""COMPUTED_VALUE"""),3.375)</f>
        <v>3.375</v>
      </c>
      <c r="V406" s="33">
        <f>IFERROR(__xludf.DUMMYFUNCTION("""COMPUTED_VALUE"""),2.91583333333333)</f>
        <v>2.915833333</v>
      </c>
      <c r="W406" s="33">
        <f>IFERROR(__xludf.DUMMYFUNCTION("""COMPUTED_VALUE"""),5.10777777777777)</f>
        <v>5.107777778</v>
      </c>
      <c r="X406" s="33">
        <f>IFERROR(__xludf.DUMMYFUNCTION("""COMPUTED_VALUE"""),2.19194444444444)</f>
        <v>2.191944444</v>
      </c>
      <c r="Y406" s="33">
        <f>IFERROR(__xludf.DUMMYFUNCTION("""COMPUTED_VALUE"""),5.36888888888888)</f>
        <v>5.368888889</v>
      </c>
      <c r="Z406" s="33">
        <f>IFERROR(__xludf.DUMMYFUNCTION("""COMPUTED_VALUE"""),0.2525)</f>
        <v>0.2525</v>
      </c>
      <c r="AA406" s="33">
        <f>IFERROR(__xludf.DUMMYFUNCTION("""COMPUTED_VALUE"""),0.2525)</f>
        <v>0.2525</v>
      </c>
      <c r="AB406" s="33">
        <f>IFERROR(__xludf.DUMMYFUNCTION("""COMPUTED_VALUE"""),5.36888888888888)</f>
        <v>5.368888889</v>
      </c>
      <c r="AC406" s="33">
        <f>IFERROR(__xludf.DUMMYFUNCTION("""COMPUTED_VALUE"""),5.36888888888888)</f>
        <v>5.368888889</v>
      </c>
      <c r="AD406" s="33">
        <f>IFERROR(__xludf.DUMMYFUNCTION("""COMPUTED_VALUE"""),1.19527777777777)</f>
        <v>1.195277778</v>
      </c>
      <c r="AE406" s="33">
        <f>IFERROR(__xludf.DUMMYFUNCTION("""COMPUTED_VALUE"""),5.36888888888888)</f>
        <v>5.368888889</v>
      </c>
      <c r="AF406" s="33">
        <f>IFERROR(__xludf.DUMMYFUNCTION("""COMPUTED_VALUE"""),18.0)</f>
        <v>18</v>
      </c>
    </row>
    <row r="407">
      <c r="A407" s="49">
        <f>IFERROR(__xludf.DUMMYFUNCTION("""COMPUTED_VALUE"""),46034.0)</f>
        <v>46034</v>
      </c>
      <c r="B407" s="33" t="str">
        <f>IFERROR(__xludf.DUMMYFUNCTION("""COMPUTED_VALUE"""),"5baf4c80faf4b2d4eb9401a1d0081872e0158e89")</f>
        <v>5baf4c80faf4b2d4eb9401a1d0081872e0158e89</v>
      </c>
      <c r="C407" s="33" t="str">
        <f>IFERROR(__xludf.DUMMYFUNCTION("""COMPUTED_VALUE"""),"Brahmyodha : The Destroyer - Production showId")</f>
        <v>Brahmyodha : The Destroyer - Production showId</v>
      </c>
      <c r="D407" s="33">
        <f>IFERROR(__xludf.DUMMYFUNCTION("""COMPUTED_VALUE"""),3.0)</f>
        <v>3</v>
      </c>
      <c r="E407" s="33">
        <f>IFERROR(__xludf.DUMMYFUNCTION("""COMPUTED_VALUE"""),24.0)</f>
        <v>24</v>
      </c>
      <c r="F407" s="33">
        <f>IFERROR(__xludf.DUMMYFUNCTION("""COMPUTED_VALUE"""),3.0)</f>
        <v>3</v>
      </c>
      <c r="G407" s="33">
        <f>IFERROR(__xludf.DUMMYFUNCTION("""COMPUTED_VALUE"""),0.0)</f>
        <v>0</v>
      </c>
      <c r="H407" s="33">
        <f>IFERROR(__xludf.DUMMYFUNCTION("""COMPUTED_VALUE"""),21.0)</f>
        <v>21</v>
      </c>
      <c r="I407" s="33">
        <f>IFERROR(__xludf.DUMMYFUNCTION("""COMPUTED_VALUE"""),18.0)</f>
        <v>18</v>
      </c>
      <c r="J407" s="33">
        <f>IFERROR(__xludf.DUMMYFUNCTION("""COMPUTED_VALUE"""),22.0)</f>
        <v>22</v>
      </c>
      <c r="K407" s="33">
        <f>IFERROR(__xludf.DUMMYFUNCTION("""COMPUTED_VALUE"""),6.0)</f>
        <v>6</v>
      </c>
      <c r="L407" s="33">
        <f>IFERROR(__xludf.DUMMYFUNCTION("""COMPUTED_VALUE"""),0.0)</f>
        <v>0</v>
      </c>
      <c r="M407" s="33">
        <f>IFERROR(__xludf.DUMMYFUNCTION("""COMPUTED_VALUE"""),20.0)</f>
        <v>20</v>
      </c>
      <c r="N407" s="33">
        <f>IFERROR(__xludf.DUMMYFUNCTION("""COMPUTED_VALUE"""),20.0)</f>
        <v>20</v>
      </c>
      <c r="O407" s="33">
        <f>IFERROR(__xludf.DUMMYFUNCTION("""COMPUTED_VALUE"""),7.0)</f>
        <v>7</v>
      </c>
      <c r="P407" s="33">
        <f>IFERROR(__xludf.DUMMYFUNCTION("""COMPUTED_VALUE"""),20.0)</f>
        <v>20</v>
      </c>
      <c r="Q407" s="33">
        <f>IFERROR(__xludf.DUMMYFUNCTION("""COMPUTED_VALUE"""),0.0)</f>
        <v>0</v>
      </c>
      <c r="R407" s="33">
        <f>IFERROR(__xludf.DUMMYFUNCTION("""COMPUTED_VALUE"""),7648.0)</f>
        <v>7648</v>
      </c>
      <c r="S407" s="33">
        <f>IFERROR(__xludf.DUMMYFUNCTION("""COMPUTED_VALUE"""),61884.0)</f>
        <v>61884</v>
      </c>
      <c r="T407" s="33">
        <f>IFERROR(__xludf.DUMMYFUNCTION("""COMPUTED_VALUE"""),5.17555555555555)</f>
        <v>5.175555556</v>
      </c>
      <c r="U407" s="33">
        <f>IFERROR(__xludf.DUMMYFUNCTION("""COMPUTED_VALUE"""),0.791111111111111)</f>
        <v>0.7911111111</v>
      </c>
      <c r="V407" s="33">
        <f>IFERROR(__xludf.DUMMYFUNCTION("""COMPUTED_VALUE"""),0.0)</f>
        <v>0</v>
      </c>
      <c r="W407" s="33">
        <f>IFERROR(__xludf.DUMMYFUNCTION("""COMPUTED_VALUE"""),5.4375)</f>
        <v>5.4375</v>
      </c>
      <c r="X407" s="33">
        <f>IFERROR(__xludf.DUMMYFUNCTION("""COMPUTED_VALUE"""),4.645)</f>
        <v>4.645</v>
      </c>
      <c r="Y407" s="33">
        <f>IFERROR(__xludf.DUMMYFUNCTION("""COMPUTED_VALUE"""),5.72083333333333)</f>
        <v>5.720833333</v>
      </c>
      <c r="Z407" s="33">
        <f>IFERROR(__xludf.DUMMYFUNCTION("""COMPUTED_VALUE"""),1.57972222222222)</f>
        <v>1.579722222</v>
      </c>
      <c r="AA407" s="33">
        <f>IFERROR(__xludf.DUMMYFUNCTION("""COMPUTED_VALUE"""),0.0)</f>
        <v>0</v>
      </c>
      <c r="AB407" s="33">
        <f>IFERROR(__xludf.DUMMYFUNCTION("""COMPUTED_VALUE"""),5.26111111111111)</f>
        <v>5.261111111</v>
      </c>
      <c r="AC407" s="33">
        <f>IFERROR(__xludf.DUMMYFUNCTION("""COMPUTED_VALUE"""),5.26111111111111)</f>
        <v>5.261111111</v>
      </c>
      <c r="AD407" s="33">
        <f>IFERROR(__xludf.DUMMYFUNCTION("""COMPUTED_VALUE"""),1.38916666666666)</f>
        <v>1.389166667</v>
      </c>
      <c r="AE407" s="33">
        <f>IFERROR(__xludf.DUMMYFUNCTION("""COMPUTED_VALUE"""),5.26111111111111)</f>
        <v>5.261111111</v>
      </c>
      <c r="AF407" s="33">
        <f>IFERROR(__xludf.DUMMYFUNCTION("""COMPUTED_VALUE"""),20.0)</f>
        <v>20</v>
      </c>
    </row>
    <row r="408">
      <c r="A408" s="49">
        <f>IFERROR(__xludf.DUMMYFUNCTION("""COMPUTED_VALUE"""),46034.0)</f>
        <v>46034</v>
      </c>
      <c r="B408" s="33" t="str">
        <f>IFERROR(__xludf.DUMMYFUNCTION("""COMPUTED_VALUE"""),"641b6f77fd211e92df35a3bcbab67e6879e19a66")</f>
        <v>641b6f77fd211e92df35a3bcbab67e6879e19a66</v>
      </c>
      <c r="C408" s="33" t="str">
        <f>IFERROR(__xludf.DUMMYFUNCTION("""COMPUTED_VALUE"""),"Mahagatha | महागाथा | Author - S. Mauryavanshi")</f>
        <v>Mahagatha | महागाथा | Author - S. Mauryavanshi</v>
      </c>
      <c r="D408" s="33">
        <f>IFERROR(__xludf.DUMMYFUNCTION("""COMPUTED_VALUE"""),25.0)</f>
        <v>25</v>
      </c>
      <c r="E408" s="33">
        <f>IFERROR(__xludf.DUMMYFUNCTION("""COMPUTED_VALUE"""),20.0)</f>
        <v>20</v>
      </c>
      <c r="F408" s="33">
        <f>IFERROR(__xludf.DUMMYFUNCTION("""COMPUTED_VALUE"""),2.0)</f>
        <v>2</v>
      </c>
      <c r="G408" s="33">
        <f>IFERROR(__xludf.DUMMYFUNCTION("""COMPUTED_VALUE"""),0.0)</f>
        <v>0</v>
      </c>
      <c r="H408" s="33">
        <f>IFERROR(__xludf.DUMMYFUNCTION("""COMPUTED_VALUE"""),18.0)</f>
        <v>18</v>
      </c>
      <c r="I408" s="33">
        <f>IFERROR(__xludf.DUMMYFUNCTION("""COMPUTED_VALUE"""),16.0)</f>
        <v>16</v>
      </c>
      <c r="J408" s="33">
        <f>IFERROR(__xludf.DUMMYFUNCTION("""COMPUTED_VALUE"""),18.0)</f>
        <v>18</v>
      </c>
      <c r="K408" s="33">
        <f>IFERROR(__xludf.DUMMYFUNCTION("""COMPUTED_VALUE"""),1.0)</f>
        <v>1</v>
      </c>
      <c r="L408" s="33">
        <f>IFERROR(__xludf.DUMMYFUNCTION("""COMPUTED_VALUE"""),0.0)</f>
        <v>0</v>
      </c>
      <c r="M408" s="33">
        <f>IFERROR(__xludf.DUMMYFUNCTION("""COMPUTED_VALUE"""),20.0)</f>
        <v>20</v>
      </c>
      <c r="N408" s="33">
        <f>IFERROR(__xludf.DUMMYFUNCTION("""COMPUTED_VALUE"""),20.0)</f>
        <v>20</v>
      </c>
      <c r="O408" s="33">
        <f>IFERROR(__xludf.DUMMYFUNCTION("""COMPUTED_VALUE"""),13.0)</f>
        <v>13</v>
      </c>
      <c r="P408" s="33">
        <f>IFERROR(__xludf.DUMMYFUNCTION("""COMPUTED_VALUE"""),20.0)</f>
        <v>20</v>
      </c>
      <c r="Q408" s="33">
        <f>IFERROR(__xludf.DUMMYFUNCTION("""COMPUTED_VALUE"""),0.0)</f>
        <v>0</v>
      </c>
      <c r="R408" s="33">
        <f>IFERROR(__xludf.DUMMYFUNCTION("""COMPUTED_VALUE"""),58616.0)</f>
        <v>58616</v>
      </c>
      <c r="S408" s="33">
        <f>IFERROR(__xludf.DUMMYFUNCTION("""COMPUTED_VALUE"""),46821.0)</f>
        <v>46821</v>
      </c>
      <c r="T408" s="33">
        <f>IFERROR(__xludf.DUMMYFUNCTION("""COMPUTED_VALUE"""),4.33888888888888)</f>
        <v>4.338888889</v>
      </c>
      <c r="U408" s="33">
        <f>IFERROR(__xludf.DUMMYFUNCTION("""COMPUTED_VALUE"""),0.484444444444444)</f>
        <v>0.4844444444</v>
      </c>
      <c r="V408" s="33">
        <f>IFERROR(__xludf.DUMMYFUNCTION("""COMPUTED_VALUE"""),0.0)</f>
        <v>0</v>
      </c>
      <c r="W408" s="33">
        <f>IFERROR(__xludf.DUMMYFUNCTION("""COMPUTED_VALUE"""),4.33861111111111)</f>
        <v>4.338611111</v>
      </c>
      <c r="X408" s="33">
        <f>IFERROR(__xludf.DUMMYFUNCTION("""COMPUTED_VALUE"""),3.85444444444444)</f>
        <v>3.854444444</v>
      </c>
      <c r="Y408" s="33">
        <f>IFERROR(__xludf.DUMMYFUNCTION("""COMPUTED_VALUE"""),4.34194444444444)</f>
        <v>4.341944444</v>
      </c>
      <c r="Z408" s="33">
        <f>IFERROR(__xludf.DUMMYFUNCTION("""COMPUTED_VALUE"""),0.261388888888888)</f>
        <v>0.2613888889</v>
      </c>
      <c r="AA408" s="33">
        <f>IFERROR(__xludf.DUMMYFUNCTION("""COMPUTED_VALUE"""),0.0)</f>
        <v>0</v>
      </c>
      <c r="AB408" s="33">
        <f>IFERROR(__xludf.DUMMYFUNCTION("""COMPUTED_VALUE"""),4.82777777777777)</f>
        <v>4.827777778</v>
      </c>
      <c r="AC408" s="33">
        <f>IFERROR(__xludf.DUMMYFUNCTION("""COMPUTED_VALUE"""),4.82777777777777)</f>
        <v>4.827777778</v>
      </c>
      <c r="AD408" s="33">
        <f>IFERROR(__xludf.DUMMYFUNCTION("""COMPUTED_VALUE"""),2.90888888888888)</f>
        <v>2.908888889</v>
      </c>
      <c r="AE408" s="33">
        <f>IFERROR(__xludf.DUMMYFUNCTION("""COMPUTED_VALUE"""),4.82777777777777)</f>
        <v>4.827777778</v>
      </c>
      <c r="AF408" s="33">
        <f>IFERROR(__xludf.DUMMYFUNCTION("""COMPUTED_VALUE"""),18.0)</f>
        <v>18</v>
      </c>
    </row>
    <row r="409">
      <c r="A409" s="49">
        <f>IFERROR(__xludf.DUMMYFUNCTION("""COMPUTED_VALUE"""),46034.0)</f>
        <v>46034</v>
      </c>
      <c r="B409" s="33" t="str">
        <f>IFERROR(__xludf.DUMMYFUNCTION("""COMPUTED_VALUE"""),"81de0bc81be63a15ef7b7f2a301e23b4f3d49745")</f>
        <v>81de0bc81be63a15ef7b7f2a301e23b4f3d49745</v>
      </c>
      <c r="C409" s="33" t="str">
        <f>IFERROR(__xludf.DUMMYFUNCTION("""COMPUTED_VALUE"""),"Married to a Hard Hearted")</f>
        <v>Married to a Hard Hearted</v>
      </c>
      <c r="D409" s="33">
        <f>IFERROR(__xludf.DUMMYFUNCTION("""COMPUTED_VALUE"""),17.0)</f>
        <v>17</v>
      </c>
      <c r="E409" s="33">
        <f>IFERROR(__xludf.DUMMYFUNCTION("""COMPUTED_VALUE"""),22.0)</f>
        <v>22</v>
      </c>
      <c r="F409" s="33">
        <f>IFERROR(__xludf.DUMMYFUNCTION("""COMPUTED_VALUE"""),8.0)</f>
        <v>8</v>
      </c>
      <c r="G409" s="33">
        <f>IFERROR(__xludf.DUMMYFUNCTION("""COMPUTED_VALUE"""),0.0)</f>
        <v>0</v>
      </c>
      <c r="H409" s="33">
        <f>IFERROR(__xludf.DUMMYFUNCTION("""COMPUTED_VALUE"""),15.0)</f>
        <v>15</v>
      </c>
      <c r="I409" s="33">
        <f>IFERROR(__xludf.DUMMYFUNCTION("""COMPUTED_VALUE"""),12.0)</f>
        <v>12</v>
      </c>
      <c r="J409" s="33">
        <f>IFERROR(__xludf.DUMMYFUNCTION("""COMPUTED_VALUE"""),15.0)</f>
        <v>15</v>
      </c>
      <c r="K409" s="33">
        <f>IFERROR(__xludf.DUMMYFUNCTION("""COMPUTED_VALUE"""),0.0)</f>
        <v>0</v>
      </c>
      <c r="L409" s="33">
        <f>IFERROR(__xludf.DUMMYFUNCTION("""COMPUTED_VALUE"""),0.0)</f>
        <v>0</v>
      </c>
      <c r="M409" s="33">
        <f>IFERROR(__xludf.DUMMYFUNCTION("""COMPUTED_VALUE"""),15.0)</f>
        <v>15</v>
      </c>
      <c r="N409" s="33">
        <f>IFERROR(__xludf.DUMMYFUNCTION("""COMPUTED_VALUE"""),15.0)</f>
        <v>15</v>
      </c>
      <c r="O409" s="33">
        <f>IFERROR(__xludf.DUMMYFUNCTION("""COMPUTED_VALUE"""),5.0)</f>
        <v>5</v>
      </c>
      <c r="P409" s="33">
        <f>IFERROR(__xludf.DUMMYFUNCTION("""COMPUTED_VALUE"""),15.0)</f>
        <v>15</v>
      </c>
      <c r="Q409" s="33">
        <f>IFERROR(__xludf.DUMMYFUNCTION("""COMPUTED_VALUE"""),0.0)</f>
        <v>0</v>
      </c>
      <c r="R409" s="33">
        <f>IFERROR(__xludf.DUMMYFUNCTION("""COMPUTED_VALUE"""),35725.0)</f>
        <v>35725</v>
      </c>
      <c r="S409" s="33">
        <f>IFERROR(__xludf.DUMMYFUNCTION("""COMPUTED_VALUE"""),46571.0)</f>
        <v>46571</v>
      </c>
      <c r="T409" s="33">
        <f>IFERROR(__xludf.DUMMYFUNCTION("""COMPUTED_VALUE"""),2.47638888888888)</f>
        <v>2.476388889</v>
      </c>
      <c r="U409" s="33">
        <f>IFERROR(__xludf.DUMMYFUNCTION("""COMPUTED_VALUE"""),1.53583333333333)</f>
        <v>1.535833333</v>
      </c>
      <c r="V409" s="33">
        <f>IFERROR(__xludf.DUMMYFUNCTION("""COMPUTED_VALUE"""),0.0)</f>
        <v>0</v>
      </c>
      <c r="W409" s="33">
        <f>IFERROR(__xludf.DUMMYFUNCTION("""COMPUTED_VALUE"""),2.85666666666666)</f>
        <v>2.856666667</v>
      </c>
      <c r="X409" s="33">
        <f>IFERROR(__xludf.DUMMYFUNCTION("""COMPUTED_VALUE"""),2.28416666666666)</f>
        <v>2.284166667</v>
      </c>
      <c r="Y409" s="33">
        <f>IFERROR(__xludf.DUMMYFUNCTION("""COMPUTED_VALUE"""),2.84888888888888)</f>
        <v>2.848888889</v>
      </c>
      <c r="Z409" s="33">
        <f>IFERROR(__xludf.DUMMYFUNCTION("""COMPUTED_VALUE"""),0.0)</f>
        <v>0</v>
      </c>
      <c r="AA409" s="33">
        <f>IFERROR(__xludf.DUMMYFUNCTION("""COMPUTED_VALUE"""),0.0)</f>
        <v>0</v>
      </c>
      <c r="AB409" s="33">
        <f>IFERROR(__xludf.DUMMYFUNCTION("""COMPUTED_VALUE"""),2.84888888888888)</f>
        <v>2.848888889</v>
      </c>
      <c r="AC409" s="33">
        <f>IFERROR(__xludf.DUMMYFUNCTION("""COMPUTED_VALUE"""),2.84888888888888)</f>
        <v>2.848888889</v>
      </c>
      <c r="AD409" s="33">
        <f>IFERROR(__xludf.DUMMYFUNCTION("""COMPUTED_VALUE"""),0.943333333333333)</f>
        <v>0.9433333333</v>
      </c>
      <c r="AE409" s="33">
        <f>IFERROR(__xludf.DUMMYFUNCTION("""COMPUTED_VALUE"""),2.84888888888888)</f>
        <v>2.848888889</v>
      </c>
      <c r="AF409" s="33">
        <f>IFERROR(__xludf.DUMMYFUNCTION("""COMPUTED_VALUE"""),13.0)</f>
        <v>13</v>
      </c>
    </row>
    <row r="410">
      <c r="A410" s="49">
        <f>IFERROR(__xludf.DUMMYFUNCTION("""COMPUTED_VALUE"""),46034.0)</f>
        <v>46034</v>
      </c>
      <c r="B410" s="33" t="str">
        <f>IFERROR(__xludf.DUMMYFUNCTION("""COMPUTED_VALUE"""),"859785ba4869b28dddcfcb0e75295d1e1ad9b5a9")</f>
        <v>859785ba4869b28dddcfcb0e75295d1e1ad9b5a9</v>
      </c>
      <c r="C410" s="33" t="str">
        <f>IFERROR(__xludf.DUMMYFUNCTION("""COMPUTED_VALUE"""),"King of Dragon | किंग ऑफ ड्रैगन | Author - Nitesh")</f>
        <v>King of Dragon | किंग ऑफ ड्रैगन | Author - Nitesh</v>
      </c>
      <c r="D410" s="33">
        <f>IFERROR(__xludf.DUMMYFUNCTION("""COMPUTED_VALUE"""),0.0)</f>
        <v>0</v>
      </c>
      <c r="E410" s="33">
        <f>IFERROR(__xludf.DUMMYFUNCTION("""COMPUTED_VALUE"""),0.0)</f>
        <v>0</v>
      </c>
      <c r="F410" s="33">
        <f>IFERROR(__xludf.DUMMYFUNCTION("""COMPUTED_VALUE"""),0.0)</f>
        <v>0</v>
      </c>
      <c r="G410" s="33">
        <f>IFERROR(__xludf.DUMMYFUNCTION("""COMPUTED_VALUE"""),0.0)</f>
        <v>0</v>
      </c>
      <c r="H410" s="33">
        <f>IFERROR(__xludf.DUMMYFUNCTION("""COMPUTED_VALUE"""),0.0)</f>
        <v>0</v>
      </c>
      <c r="I410" s="33">
        <f>IFERROR(__xludf.DUMMYFUNCTION("""COMPUTED_VALUE"""),0.0)</f>
        <v>0</v>
      </c>
      <c r="J410" s="33">
        <f>IFERROR(__xludf.DUMMYFUNCTION("""COMPUTED_VALUE"""),0.0)</f>
        <v>0</v>
      </c>
      <c r="K410" s="33">
        <f>IFERROR(__xludf.DUMMYFUNCTION("""COMPUTED_VALUE"""),0.0)</f>
        <v>0</v>
      </c>
      <c r="L410" s="33">
        <f>IFERROR(__xludf.DUMMYFUNCTION("""COMPUTED_VALUE"""),0.0)</f>
        <v>0</v>
      </c>
      <c r="M410" s="33">
        <f>IFERROR(__xludf.DUMMYFUNCTION("""COMPUTED_VALUE"""),0.0)</f>
        <v>0</v>
      </c>
      <c r="N410" s="33">
        <f>IFERROR(__xludf.DUMMYFUNCTION("""COMPUTED_VALUE"""),3.0)</f>
        <v>3</v>
      </c>
      <c r="O410" s="33">
        <f>IFERROR(__xludf.DUMMYFUNCTION("""COMPUTED_VALUE"""),0.0)</f>
        <v>0</v>
      </c>
      <c r="P410" s="33">
        <f>IFERROR(__xludf.DUMMYFUNCTION("""COMPUTED_VALUE"""),3.0)</f>
        <v>3</v>
      </c>
      <c r="Q410" s="33">
        <f>IFERROR(__xludf.DUMMYFUNCTION("""COMPUTED_VALUE"""),0.0)</f>
        <v>0</v>
      </c>
      <c r="R410" s="33">
        <f>IFERROR(__xludf.DUMMYFUNCTION("""COMPUTED_VALUE"""),0.0)</f>
        <v>0</v>
      </c>
      <c r="S410" s="33">
        <f>IFERROR(__xludf.DUMMYFUNCTION("""COMPUTED_VALUE"""),0.0)</f>
        <v>0</v>
      </c>
      <c r="T410" s="33">
        <f>IFERROR(__xludf.DUMMYFUNCTION("""COMPUTED_VALUE"""),0.0)</f>
        <v>0</v>
      </c>
      <c r="U410" s="33">
        <f>IFERROR(__xludf.DUMMYFUNCTION("""COMPUTED_VALUE"""),0.0)</f>
        <v>0</v>
      </c>
      <c r="V410" s="33">
        <f>IFERROR(__xludf.DUMMYFUNCTION("""COMPUTED_VALUE"""),0.0)</f>
        <v>0</v>
      </c>
      <c r="W410" s="33">
        <f>IFERROR(__xludf.DUMMYFUNCTION("""COMPUTED_VALUE"""),0.0)</f>
        <v>0</v>
      </c>
      <c r="X410" s="33">
        <f>IFERROR(__xludf.DUMMYFUNCTION("""COMPUTED_VALUE"""),0.0)</f>
        <v>0</v>
      </c>
      <c r="Y410" s="33">
        <f>IFERROR(__xludf.DUMMYFUNCTION("""COMPUTED_VALUE"""),0.0)</f>
        <v>0</v>
      </c>
      <c r="Z410" s="33">
        <f>IFERROR(__xludf.DUMMYFUNCTION("""COMPUTED_VALUE"""),0.0)</f>
        <v>0</v>
      </c>
      <c r="AA410" s="33">
        <f>IFERROR(__xludf.DUMMYFUNCTION("""COMPUTED_VALUE"""),0.0)</f>
        <v>0</v>
      </c>
      <c r="AB410" s="33">
        <f>IFERROR(__xludf.DUMMYFUNCTION("""COMPUTED_VALUE"""),0.0)</f>
        <v>0</v>
      </c>
      <c r="AC410" s="33">
        <f>IFERROR(__xludf.DUMMYFUNCTION("""COMPUTED_VALUE"""),0.863611111111111)</f>
        <v>0.8636111111</v>
      </c>
      <c r="AD410" s="33">
        <f>IFERROR(__xludf.DUMMYFUNCTION("""COMPUTED_VALUE"""),0.0)</f>
        <v>0</v>
      </c>
      <c r="AE410" s="33">
        <f>IFERROR(__xludf.DUMMYFUNCTION("""COMPUTED_VALUE"""),0.863611111111111)</f>
        <v>0.8636111111</v>
      </c>
      <c r="AF410" s="33">
        <f>IFERROR(__xludf.DUMMYFUNCTION("""COMPUTED_VALUE"""),0.0)</f>
        <v>0</v>
      </c>
    </row>
    <row r="411">
      <c r="A411" s="49">
        <f>IFERROR(__xludf.DUMMYFUNCTION("""COMPUTED_VALUE"""),46034.0)</f>
        <v>46034</v>
      </c>
      <c r="B411" s="33" t="str">
        <f>IFERROR(__xludf.DUMMYFUNCTION("""COMPUTED_VALUE"""),"96f1f89e4494e06fb7f9e3c4645563fa62ef9320")</f>
        <v>96f1f89e4494e06fb7f9e3c4645563fa62ef9320</v>
      </c>
      <c r="C411" s="33" t="str">
        <f>IFERROR(__xludf.DUMMYFUNCTION("""COMPUTED_VALUE"""),"King of Dragon - Production Show_id")</f>
        <v>King of Dragon - Production Show_id</v>
      </c>
      <c r="D411" s="33">
        <f>IFERROR(__xludf.DUMMYFUNCTION("""COMPUTED_VALUE"""),2.0)</f>
        <v>2</v>
      </c>
      <c r="E411" s="33">
        <f>IFERROR(__xludf.DUMMYFUNCTION("""COMPUTED_VALUE"""),7.0)</f>
        <v>7</v>
      </c>
      <c r="F411" s="33">
        <f>IFERROR(__xludf.DUMMYFUNCTION("""COMPUTED_VALUE"""),0.0)</f>
        <v>0</v>
      </c>
      <c r="G411" s="33">
        <f>IFERROR(__xludf.DUMMYFUNCTION("""COMPUTED_VALUE"""),0.0)</f>
        <v>0</v>
      </c>
      <c r="H411" s="33">
        <f>IFERROR(__xludf.DUMMYFUNCTION("""COMPUTED_VALUE"""),0.0)</f>
        <v>0</v>
      </c>
      <c r="I411" s="33">
        <f>IFERROR(__xludf.DUMMYFUNCTION("""COMPUTED_VALUE"""),0.0)</f>
        <v>0</v>
      </c>
      <c r="J411" s="33">
        <f>IFERROR(__xludf.DUMMYFUNCTION("""COMPUTED_VALUE"""),0.0)</f>
        <v>0</v>
      </c>
      <c r="K411" s="33">
        <f>IFERROR(__xludf.DUMMYFUNCTION("""COMPUTED_VALUE"""),0.0)</f>
        <v>0</v>
      </c>
      <c r="L411" s="33">
        <f>IFERROR(__xludf.DUMMYFUNCTION("""COMPUTED_VALUE"""),0.0)</f>
        <v>0</v>
      </c>
      <c r="M411" s="33">
        <f>IFERROR(__xludf.DUMMYFUNCTION("""COMPUTED_VALUE"""),0.0)</f>
        <v>0</v>
      </c>
      <c r="N411" s="33">
        <f>IFERROR(__xludf.DUMMYFUNCTION("""COMPUTED_VALUE"""),0.0)</f>
        <v>0</v>
      </c>
      <c r="O411" s="33">
        <f>IFERROR(__xludf.DUMMYFUNCTION("""COMPUTED_VALUE"""),0.0)</f>
        <v>0</v>
      </c>
      <c r="P411" s="33">
        <f>IFERROR(__xludf.DUMMYFUNCTION("""COMPUTED_VALUE"""),0.0)</f>
        <v>0</v>
      </c>
      <c r="Q411" s="33">
        <f>IFERROR(__xludf.DUMMYFUNCTION("""COMPUTED_VALUE"""),0.0)</f>
        <v>0</v>
      </c>
      <c r="R411" s="33">
        <f>IFERROR(__xludf.DUMMYFUNCTION("""COMPUTED_VALUE"""),4947.0)</f>
        <v>4947</v>
      </c>
      <c r="S411" s="33">
        <f>IFERROR(__xludf.DUMMYFUNCTION("""COMPUTED_VALUE"""),17847.0)</f>
        <v>17847</v>
      </c>
      <c r="T411" s="33">
        <f>IFERROR(__xludf.DUMMYFUNCTION("""COMPUTED_VALUE"""),0.2975)</f>
        <v>0.2975</v>
      </c>
      <c r="U411" s="33">
        <f>IFERROR(__xludf.DUMMYFUNCTION("""COMPUTED_VALUE"""),0.0)</f>
        <v>0</v>
      </c>
      <c r="V411" s="33">
        <f>IFERROR(__xludf.DUMMYFUNCTION("""COMPUTED_VALUE"""),0.0)</f>
        <v>0</v>
      </c>
      <c r="W411" s="33">
        <f>IFERROR(__xludf.DUMMYFUNCTION("""COMPUTED_VALUE"""),0.0)</f>
        <v>0</v>
      </c>
      <c r="X411" s="33">
        <f>IFERROR(__xludf.DUMMYFUNCTION("""COMPUTED_VALUE"""),0.0)</f>
        <v>0</v>
      </c>
      <c r="Y411" s="33">
        <f>IFERROR(__xludf.DUMMYFUNCTION("""COMPUTED_VALUE"""),0.0)</f>
        <v>0</v>
      </c>
      <c r="Z411" s="33">
        <f>IFERROR(__xludf.DUMMYFUNCTION("""COMPUTED_VALUE"""),0.0)</f>
        <v>0</v>
      </c>
      <c r="AA411" s="33">
        <f>IFERROR(__xludf.DUMMYFUNCTION("""COMPUTED_VALUE"""),0.0)</f>
        <v>0</v>
      </c>
      <c r="AB411" s="33">
        <f>IFERROR(__xludf.DUMMYFUNCTION("""COMPUTED_VALUE"""),0.0)</f>
        <v>0</v>
      </c>
      <c r="AC411" s="33">
        <f>IFERROR(__xludf.DUMMYFUNCTION("""COMPUTED_VALUE"""),0.0)</f>
        <v>0</v>
      </c>
      <c r="AD411" s="33">
        <f>IFERROR(__xludf.DUMMYFUNCTION("""COMPUTED_VALUE"""),0.0)</f>
        <v>0</v>
      </c>
      <c r="AE411" s="33">
        <f>IFERROR(__xludf.DUMMYFUNCTION("""COMPUTED_VALUE"""),0.0)</f>
        <v>0</v>
      </c>
      <c r="AF411" s="33">
        <f>IFERROR(__xludf.DUMMYFUNCTION("""COMPUTED_VALUE"""),1.0)</f>
        <v>1</v>
      </c>
    </row>
    <row r="412">
      <c r="A412" s="49">
        <f>IFERROR(__xludf.DUMMYFUNCTION("""COMPUTED_VALUE"""),46034.0)</f>
        <v>46034</v>
      </c>
      <c r="B412" s="33" t="str">
        <f>IFERROR(__xludf.DUMMYFUNCTION("""COMPUTED_VALUE"""),"a3ba65aa427077188e1ad7dbcbcafae266683ca9")</f>
        <v>a3ba65aa427077188e1ad7dbcbcafae266683ca9</v>
      </c>
      <c r="C412" s="33" t="str">
        <f>IFERROR(__xludf.DUMMYFUNCTION("""COMPUTED_VALUE"""),"The Warrior | Author - Dayaram Prajapati")</f>
        <v>The Warrior | Author - Dayaram Prajapati</v>
      </c>
      <c r="D412" s="33">
        <f>IFERROR(__xludf.DUMMYFUNCTION("""COMPUTED_VALUE"""),12.0)</f>
        <v>12</v>
      </c>
      <c r="E412" s="33">
        <f>IFERROR(__xludf.DUMMYFUNCTION("""COMPUTED_VALUE"""),14.0)</f>
        <v>14</v>
      </c>
      <c r="F412" s="33">
        <f>IFERROR(__xludf.DUMMYFUNCTION("""COMPUTED_VALUE"""),0.0)</f>
        <v>0</v>
      </c>
      <c r="G412" s="33">
        <f>IFERROR(__xludf.DUMMYFUNCTION("""COMPUTED_VALUE"""),0.0)</f>
        <v>0</v>
      </c>
      <c r="H412" s="33">
        <f>IFERROR(__xludf.DUMMYFUNCTION("""COMPUTED_VALUE"""),0.0)</f>
        <v>0</v>
      </c>
      <c r="I412" s="33">
        <f>IFERROR(__xludf.DUMMYFUNCTION("""COMPUTED_VALUE"""),0.0)</f>
        <v>0</v>
      </c>
      <c r="J412" s="33">
        <f>IFERROR(__xludf.DUMMYFUNCTION("""COMPUTED_VALUE"""),0.0)</f>
        <v>0</v>
      </c>
      <c r="K412" s="33">
        <f>IFERROR(__xludf.DUMMYFUNCTION("""COMPUTED_VALUE"""),0.0)</f>
        <v>0</v>
      </c>
      <c r="L412" s="33">
        <f>IFERROR(__xludf.DUMMYFUNCTION("""COMPUTED_VALUE"""),0.0)</f>
        <v>0</v>
      </c>
      <c r="M412" s="33">
        <f>IFERROR(__xludf.DUMMYFUNCTION("""COMPUTED_VALUE"""),12.0)</f>
        <v>12</v>
      </c>
      <c r="N412" s="33">
        <f>IFERROR(__xludf.DUMMYFUNCTION("""COMPUTED_VALUE"""),14.0)</f>
        <v>14</v>
      </c>
      <c r="O412" s="33">
        <f>IFERROR(__xludf.DUMMYFUNCTION("""COMPUTED_VALUE"""),4.0)</f>
        <v>4</v>
      </c>
      <c r="P412" s="33">
        <f>IFERROR(__xludf.DUMMYFUNCTION("""COMPUTED_VALUE"""),14.0)</f>
        <v>14</v>
      </c>
      <c r="Q412" s="33">
        <f>IFERROR(__xludf.DUMMYFUNCTION("""COMPUTED_VALUE"""),0.0)</f>
        <v>0</v>
      </c>
      <c r="R412" s="33">
        <f>IFERROR(__xludf.DUMMYFUNCTION("""COMPUTED_VALUE"""),33311.0)</f>
        <v>33311</v>
      </c>
      <c r="S412" s="33">
        <f>IFERROR(__xludf.DUMMYFUNCTION("""COMPUTED_VALUE"""),41944.0)</f>
        <v>41944</v>
      </c>
      <c r="T412" s="33">
        <f>IFERROR(__xludf.DUMMYFUNCTION("""COMPUTED_VALUE"""),0.0)</f>
        <v>0</v>
      </c>
      <c r="U412" s="33">
        <f>IFERROR(__xludf.DUMMYFUNCTION("""COMPUTED_VALUE"""),0.0)</f>
        <v>0</v>
      </c>
      <c r="V412" s="33">
        <f>IFERROR(__xludf.DUMMYFUNCTION("""COMPUTED_VALUE"""),0.0)</f>
        <v>0</v>
      </c>
      <c r="W412" s="33">
        <f>IFERROR(__xludf.DUMMYFUNCTION("""COMPUTED_VALUE"""),0.0)</f>
        <v>0</v>
      </c>
      <c r="X412" s="33">
        <f>IFERROR(__xludf.DUMMYFUNCTION("""COMPUTED_VALUE"""),0.0)</f>
        <v>0</v>
      </c>
      <c r="Y412" s="33">
        <f>IFERROR(__xludf.DUMMYFUNCTION("""COMPUTED_VALUE"""),0.0)</f>
        <v>0</v>
      </c>
      <c r="Z412" s="33">
        <f>IFERROR(__xludf.DUMMYFUNCTION("""COMPUTED_VALUE"""),0.0)</f>
        <v>0</v>
      </c>
      <c r="AA412" s="33">
        <f>IFERROR(__xludf.DUMMYFUNCTION("""COMPUTED_VALUE"""),0.0)</f>
        <v>0</v>
      </c>
      <c r="AB412" s="33">
        <f>IFERROR(__xludf.DUMMYFUNCTION("""COMPUTED_VALUE"""),3.735)</f>
        <v>3.735</v>
      </c>
      <c r="AC412" s="33">
        <f>IFERROR(__xludf.DUMMYFUNCTION("""COMPUTED_VALUE"""),4.36888888888889)</f>
        <v>4.368888889</v>
      </c>
      <c r="AD412" s="33">
        <f>IFERROR(__xludf.DUMMYFUNCTION("""COMPUTED_VALUE"""),0.932499999999999)</f>
        <v>0.9325</v>
      </c>
      <c r="AE412" s="33">
        <f>IFERROR(__xludf.DUMMYFUNCTION("""COMPUTED_VALUE"""),4.36888888888888)</f>
        <v>4.368888889</v>
      </c>
      <c r="AF412" s="33">
        <f>IFERROR(__xludf.DUMMYFUNCTION("""COMPUTED_VALUE"""),0.0)</f>
        <v>0</v>
      </c>
    </row>
    <row r="413">
      <c r="A413" s="49">
        <f>IFERROR(__xludf.DUMMYFUNCTION("""COMPUTED_VALUE"""),46034.0)</f>
        <v>46034</v>
      </c>
      <c r="B413" s="33" t="str">
        <f>IFERROR(__xludf.DUMMYFUNCTION("""COMPUTED_VALUE"""),"aa81f1feb820ed6f22bd7b22b55890db740929cb")</f>
        <v>aa81f1feb820ed6f22bd7b22b55890db740929cb</v>
      </c>
      <c r="C413" s="33" t="str">
        <f>IFERROR(__xludf.DUMMYFUNCTION("""COMPUTED_VALUE"""),"Shunya Samrat")</f>
        <v>Shunya Samrat</v>
      </c>
      <c r="D413" s="33">
        <f>IFERROR(__xludf.DUMMYFUNCTION("""COMPUTED_VALUE"""),72.0)</f>
        <v>72</v>
      </c>
      <c r="E413" s="33">
        <f>IFERROR(__xludf.DUMMYFUNCTION("""COMPUTED_VALUE"""),76.0)</f>
        <v>76</v>
      </c>
      <c r="F413" s="33">
        <f>IFERROR(__xludf.DUMMYFUNCTION("""COMPUTED_VALUE"""),1.0)</f>
        <v>1</v>
      </c>
      <c r="G413" s="33">
        <f>IFERROR(__xludf.DUMMYFUNCTION("""COMPUTED_VALUE"""),0.0)</f>
        <v>0</v>
      </c>
      <c r="H413" s="33">
        <f>IFERROR(__xludf.DUMMYFUNCTION("""COMPUTED_VALUE"""),4.0)</f>
        <v>4</v>
      </c>
      <c r="I413" s="33">
        <f>IFERROR(__xludf.DUMMYFUNCTION("""COMPUTED_VALUE"""),1.0)</f>
        <v>1</v>
      </c>
      <c r="J413" s="33">
        <f>IFERROR(__xludf.DUMMYFUNCTION("""COMPUTED_VALUE"""),5.0)</f>
        <v>5</v>
      </c>
      <c r="K413" s="33">
        <f>IFERROR(__xludf.DUMMYFUNCTION("""COMPUTED_VALUE"""),3.0)</f>
        <v>3</v>
      </c>
      <c r="L413" s="33">
        <f>IFERROR(__xludf.DUMMYFUNCTION("""COMPUTED_VALUE"""),0.0)</f>
        <v>0</v>
      </c>
      <c r="M413" s="33">
        <f>IFERROR(__xludf.DUMMYFUNCTION("""COMPUTED_VALUE"""),6.0)</f>
        <v>6</v>
      </c>
      <c r="N413" s="33">
        <f>IFERROR(__xludf.DUMMYFUNCTION("""COMPUTED_VALUE"""),62.0)</f>
        <v>62</v>
      </c>
      <c r="O413" s="33">
        <f>IFERROR(__xludf.DUMMYFUNCTION("""COMPUTED_VALUE"""),5.0)</f>
        <v>5</v>
      </c>
      <c r="P413" s="33">
        <f>IFERROR(__xludf.DUMMYFUNCTION("""COMPUTED_VALUE"""),62.0)</f>
        <v>62</v>
      </c>
      <c r="Q413" s="33">
        <f>IFERROR(__xludf.DUMMYFUNCTION("""COMPUTED_VALUE"""),0.0)</f>
        <v>0</v>
      </c>
      <c r="R413" s="33">
        <f>IFERROR(__xludf.DUMMYFUNCTION("""COMPUTED_VALUE"""),154022.0)</f>
        <v>154022</v>
      </c>
      <c r="S413" s="33">
        <f>IFERROR(__xludf.DUMMYFUNCTION("""COMPUTED_VALUE"""),165482.0)</f>
        <v>165482</v>
      </c>
      <c r="T413" s="33">
        <f>IFERROR(__xludf.DUMMYFUNCTION("""COMPUTED_VALUE"""),0.401944444444444)</f>
        <v>0.4019444444</v>
      </c>
      <c r="U413" s="33">
        <f>IFERROR(__xludf.DUMMYFUNCTION("""COMPUTED_VALUE"""),0.199166666666666)</f>
        <v>0.1991666667</v>
      </c>
      <c r="V413" s="33">
        <f>IFERROR(__xludf.DUMMYFUNCTION("""COMPUTED_VALUE"""),0.0)</f>
        <v>0</v>
      </c>
      <c r="W413" s="33">
        <f>IFERROR(__xludf.DUMMYFUNCTION("""COMPUTED_VALUE"""),0.795277777777777)</f>
        <v>0.7952777778</v>
      </c>
      <c r="X413" s="33">
        <f>IFERROR(__xludf.DUMMYFUNCTION("""COMPUTED_VALUE"""),0.202777777777777)</f>
        <v>0.2027777778</v>
      </c>
      <c r="Y413" s="33">
        <f>IFERROR(__xludf.DUMMYFUNCTION("""COMPUTED_VALUE"""),0.994444444444444)</f>
        <v>0.9944444444</v>
      </c>
      <c r="Z413" s="33">
        <f>IFERROR(__xludf.DUMMYFUNCTION("""COMPUTED_VALUE"""),0.599444444444444)</f>
        <v>0.5994444444</v>
      </c>
      <c r="AA413" s="33">
        <f>IFERROR(__xludf.DUMMYFUNCTION("""COMPUTED_VALUE"""),0.0)</f>
        <v>0</v>
      </c>
      <c r="AB413" s="33">
        <f>IFERROR(__xludf.DUMMYFUNCTION("""COMPUTED_VALUE"""),1.18916666666666)</f>
        <v>1.189166667</v>
      </c>
      <c r="AC413" s="33">
        <f>IFERROR(__xludf.DUMMYFUNCTION("""COMPUTED_VALUE"""),14.41)</f>
        <v>14.41</v>
      </c>
      <c r="AD413" s="33">
        <f>IFERROR(__xludf.DUMMYFUNCTION("""COMPUTED_VALUE"""),1.07611111111111)</f>
        <v>1.076111111</v>
      </c>
      <c r="AE413" s="33">
        <f>IFERROR(__xludf.DUMMYFUNCTION("""COMPUTED_VALUE"""),14.41)</f>
        <v>14.41</v>
      </c>
      <c r="AF413" s="33">
        <f>IFERROR(__xludf.DUMMYFUNCTION("""COMPUTED_VALUE"""),2.0)</f>
        <v>2</v>
      </c>
    </row>
    <row r="414">
      <c r="A414" s="49">
        <f>IFERROR(__xludf.DUMMYFUNCTION("""COMPUTED_VALUE"""),46034.0)</f>
        <v>46034</v>
      </c>
      <c r="B414" s="33" t="str">
        <f>IFERROR(__xludf.DUMMYFUNCTION("""COMPUTED_VALUE"""),"b9727274f880f47671ad54caad4904a491fad9c7")</f>
        <v>b9727274f880f47671ad54caad4904a491fad9c7</v>
      </c>
      <c r="C414" s="33" t="str">
        <f>IFERROR(__xludf.DUMMYFUNCTION("""COMPUTED_VALUE"""),"Brahmand Ka Rakshak - Production Show")</f>
        <v>Brahmand Ka Rakshak - Production Show</v>
      </c>
      <c r="D414" s="33">
        <f>IFERROR(__xludf.DUMMYFUNCTION("""COMPUTED_VALUE"""),21.0)</f>
        <v>21</v>
      </c>
      <c r="E414" s="33">
        <f>IFERROR(__xludf.DUMMYFUNCTION("""COMPUTED_VALUE"""),23.0)</f>
        <v>23</v>
      </c>
      <c r="F414" s="33">
        <f>IFERROR(__xludf.DUMMYFUNCTION("""COMPUTED_VALUE"""),6.0)</f>
        <v>6</v>
      </c>
      <c r="G414" s="33">
        <f>IFERROR(__xludf.DUMMYFUNCTION("""COMPUTED_VALUE"""),5.0)</f>
        <v>5</v>
      </c>
      <c r="H414" s="33">
        <f>IFERROR(__xludf.DUMMYFUNCTION("""COMPUTED_VALUE"""),20.0)</f>
        <v>20</v>
      </c>
      <c r="I414" s="33">
        <f>IFERROR(__xludf.DUMMYFUNCTION("""COMPUTED_VALUE"""),15.0)</f>
        <v>15</v>
      </c>
      <c r="J414" s="33">
        <f>IFERROR(__xludf.DUMMYFUNCTION("""COMPUTED_VALUE"""),20.0)</f>
        <v>20</v>
      </c>
      <c r="K414" s="33">
        <f>IFERROR(__xludf.DUMMYFUNCTION("""COMPUTED_VALUE"""),4.0)</f>
        <v>4</v>
      </c>
      <c r="L414" s="33">
        <f>IFERROR(__xludf.DUMMYFUNCTION("""COMPUTED_VALUE"""),4.0)</f>
        <v>4</v>
      </c>
      <c r="M414" s="33">
        <f>IFERROR(__xludf.DUMMYFUNCTION("""COMPUTED_VALUE"""),19.0)</f>
        <v>19</v>
      </c>
      <c r="N414" s="33">
        <f>IFERROR(__xludf.DUMMYFUNCTION("""COMPUTED_VALUE"""),21.0)</f>
        <v>21</v>
      </c>
      <c r="O414" s="33">
        <f>IFERROR(__xludf.DUMMYFUNCTION("""COMPUTED_VALUE"""),7.0)</f>
        <v>7</v>
      </c>
      <c r="P414" s="33">
        <f>IFERROR(__xludf.DUMMYFUNCTION("""COMPUTED_VALUE"""),21.0)</f>
        <v>21</v>
      </c>
      <c r="Q414" s="33">
        <f>IFERROR(__xludf.DUMMYFUNCTION("""COMPUTED_VALUE"""),0.0)</f>
        <v>0</v>
      </c>
      <c r="R414" s="33">
        <f>IFERROR(__xludf.DUMMYFUNCTION("""COMPUTED_VALUE"""),52701.0)</f>
        <v>52701</v>
      </c>
      <c r="S414" s="33">
        <f>IFERROR(__xludf.DUMMYFUNCTION("""COMPUTED_VALUE"""),55078.0)</f>
        <v>55078</v>
      </c>
      <c r="T414" s="33">
        <f>IFERROR(__xludf.DUMMYFUNCTION("""COMPUTED_VALUE"""),3.86861111111111)</f>
        <v>3.868611111</v>
      </c>
      <c r="U414" s="33">
        <f>IFERROR(__xludf.DUMMYFUNCTION("""COMPUTED_VALUE"""),1.19861111111111)</f>
        <v>1.198611111</v>
      </c>
      <c r="V414" s="33">
        <f>IFERROR(__xludf.DUMMYFUNCTION("""COMPUTED_VALUE"""),0.988055555555555)</f>
        <v>0.9880555556</v>
      </c>
      <c r="W414" s="33">
        <f>IFERROR(__xludf.DUMMYFUNCTION("""COMPUTED_VALUE"""),3.87361111111111)</f>
        <v>3.873611111</v>
      </c>
      <c r="X414" s="33">
        <f>IFERROR(__xludf.DUMMYFUNCTION("""COMPUTED_VALUE"""),2.88555555555555)</f>
        <v>2.885555556</v>
      </c>
      <c r="Y414" s="33">
        <f>IFERROR(__xludf.DUMMYFUNCTION("""COMPUTED_VALUE"""),3.88555555555555)</f>
        <v>3.885555556</v>
      </c>
      <c r="Z414" s="33">
        <f>IFERROR(__xludf.DUMMYFUNCTION("""COMPUTED_VALUE"""),0.761944444444444)</f>
        <v>0.7619444444</v>
      </c>
      <c r="AA414" s="33">
        <f>IFERROR(__xludf.DUMMYFUNCTION("""COMPUTED_VALUE"""),0.761944444444444)</f>
        <v>0.7619444444</v>
      </c>
      <c r="AB414" s="33">
        <f>IFERROR(__xludf.DUMMYFUNCTION("""COMPUTED_VALUE"""),3.70583333333333)</f>
        <v>3.705833333</v>
      </c>
      <c r="AC414" s="33">
        <f>IFERROR(__xludf.DUMMYFUNCTION("""COMPUTED_VALUE"""),4.08749999999999)</f>
        <v>4.0875</v>
      </c>
      <c r="AD414" s="33">
        <f>IFERROR(__xludf.DUMMYFUNCTION("""COMPUTED_VALUE"""),1.45166666666666)</f>
        <v>1.451666667</v>
      </c>
      <c r="AE414" s="33">
        <f>IFERROR(__xludf.DUMMYFUNCTION("""COMPUTED_VALUE"""),4.0875)</f>
        <v>4.0875</v>
      </c>
      <c r="AF414" s="33">
        <f>IFERROR(__xludf.DUMMYFUNCTION("""COMPUTED_VALUE"""),20.0)</f>
        <v>20</v>
      </c>
    </row>
    <row r="415">
      <c r="A415" s="49">
        <f>IFERROR(__xludf.DUMMYFUNCTION("""COMPUTED_VALUE"""),46034.0)</f>
        <v>46034</v>
      </c>
      <c r="B415" s="33" t="str">
        <f>IFERROR(__xludf.DUMMYFUNCTION("""COMPUTED_VALUE"""),"bb6f447c782519839d8793fda0d35f90bad4421a")</f>
        <v>bb6f447c782519839d8793fda0d35f90bad4421a</v>
      </c>
      <c r="C415" s="33" t="str">
        <f>IFERROR(__xludf.DUMMYFUNCTION("""COMPUTED_VALUE"""),"Ruthless")</f>
        <v>Ruthless</v>
      </c>
      <c r="D415" s="33">
        <f>IFERROR(__xludf.DUMMYFUNCTION("""COMPUTED_VALUE"""),8.0)</f>
        <v>8</v>
      </c>
      <c r="E415" s="33">
        <f>IFERROR(__xludf.DUMMYFUNCTION("""COMPUTED_VALUE"""),5.0)</f>
        <v>5</v>
      </c>
      <c r="F415" s="33">
        <f>IFERROR(__xludf.DUMMYFUNCTION("""COMPUTED_VALUE"""),0.0)</f>
        <v>0</v>
      </c>
      <c r="G415" s="33">
        <f>IFERROR(__xludf.DUMMYFUNCTION("""COMPUTED_VALUE"""),0.0)</f>
        <v>0</v>
      </c>
      <c r="H415" s="33">
        <f>IFERROR(__xludf.DUMMYFUNCTION("""COMPUTED_VALUE"""),0.0)</f>
        <v>0</v>
      </c>
      <c r="I415" s="33">
        <f>IFERROR(__xludf.DUMMYFUNCTION("""COMPUTED_VALUE"""),0.0)</f>
        <v>0</v>
      </c>
      <c r="J415" s="33">
        <f>IFERROR(__xludf.DUMMYFUNCTION("""COMPUTED_VALUE"""),0.0)</f>
        <v>0</v>
      </c>
      <c r="K415" s="33">
        <f>IFERROR(__xludf.DUMMYFUNCTION("""COMPUTED_VALUE"""),0.0)</f>
        <v>0</v>
      </c>
      <c r="L415" s="33">
        <f>IFERROR(__xludf.DUMMYFUNCTION("""COMPUTED_VALUE"""),0.0)</f>
        <v>0</v>
      </c>
      <c r="M415" s="33">
        <f>IFERROR(__xludf.DUMMYFUNCTION("""COMPUTED_VALUE"""),0.0)</f>
        <v>0</v>
      </c>
      <c r="N415" s="33">
        <f>IFERROR(__xludf.DUMMYFUNCTION("""COMPUTED_VALUE"""),0.0)</f>
        <v>0</v>
      </c>
      <c r="O415" s="33">
        <f>IFERROR(__xludf.DUMMYFUNCTION("""COMPUTED_VALUE"""),0.0)</f>
        <v>0</v>
      </c>
      <c r="P415" s="33">
        <f>IFERROR(__xludf.DUMMYFUNCTION("""COMPUTED_VALUE"""),0.0)</f>
        <v>0</v>
      </c>
      <c r="Q415" s="33">
        <f>IFERROR(__xludf.DUMMYFUNCTION("""COMPUTED_VALUE"""),0.0)</f>
        <v>0</v>
      </c>
      <c r="R415" s="33">
        <f>IFERROR(__xludf.DUMMYFUNCTION("""COMPUTED_VALUE"""),19830.0)</f>
        <v>19830</v>
      </c>
      <c r="S415" s="33">
        <f>IFERROR(__xludf.DUMMYFUNCTION("""COMPUTED_VALUE"""),13230.0)</f>
        <v>13230</v>
      </c>
      <c r="T415" s="33">
        <f>IFERROR(__xludf.DUMMYFUNCTION("""COMPUTED_VALUE"""),0.0)</f>
        <v>0</v>
      </c>
      <c r="U415" s="33">
        <f>IFERROR(__xludf.DUMMYFUNCTION("""COMPUTED_VALUE"""),0.0)</f>
        <v>0</v>
      </c>
      <c r="V415" s="33">
        <f>IFERROR(__xludf.DUMMYFUNCTION("""COMPUTED_VALUE"""),0.0)</f>
        <v>0</v>
      </c>
      <c r="W415" s="33">
        <f>IFERROR(__xludf.DUMMYFUNCTION("""COMPUTED_VALUE"""),0.0)</f>
        <v>0</v>
      </c>
      <c r="X415" s="33">
        <f>IFERROR(__xludf.DUMMYFUNCTION("""COMPUTED_VALUE"""),0.0)</f>
        <v>0</v>
      </c>
      <c r="Y415" s="33">
        <f>IFERROR(__xludf.DUMMYFUNCTION("""COMPUTED_VALUE"""),0.0)</f>
        <v>0</v>
      </c>
      <c r="Z415" s="33">
        <f>IFERROR(__xludf.DUMMYFUNCTION("""COMPUTED_VALUE"""),0.0)</f>
        <v>0</v>
      </c>
      <c r="AA415" s="33">
        <f>IFERROR(__xludf.DUMMYFUNCTION("""COMPUTED_VALUE"""),0.0)</f>
        <v>0</v>
      </c>
      <c r="AB415" s="33">
        <f>IFERROR(__xludf.DUMMYFUNCTION("""COMPUTED_VALUE"""),0.0)</f>
        <v>0</v>
      </c>
      <c r="AC415" s="33">
        <f>IFERROR(__xludf.DUMMYFUNCTION("""COMPUTED_VALUE"""),0.0)</f>
        <v>0</v>
      </c>
      <c r="AD415" s="33">
        <f>IFERROR(__xludf.DUMMYFUNCTION("""COMPUTED_VALUE"""),0.0)</f>
        <v>0</v>
      </c>
      <c r="AE415" s="33">
        <f>IFERROR(__xludf.DUMMYFUNCTION("""COMPUTED_VALUE"""),0.0)</f>
        <v>0</v>
      </c>
      <c r="AF415" s="33">
        <f>IFERROR(__xludf.DUMMYFUNCTION("""COMPUTED_VALUE"""),0.0)</f>
        <v>0</v>
      </c>
    </row>
    <row r="416">
      <c r="A416" s="49">
        <f>IFERROR(__xludf.DUMMYFUNCTION("""COMPUTED_VALUE"""),46034.0)</f>
        <v>46034</v>
      </c>
      <c r="B416" s="33" t="str">
        <f>IFERROR(__xludf.DUMMYFUNCTION("""COMPUTED_VALUE"""),"ca6c466ebfcd2658a9f1641045f468c15417a1e7")</f>
        <v>ca6c466ebfcd2658a9f1641045f468c15417a1e7</v>
      </c>
      <c r="C416" s="33" t="str">
        <f>IFERROR(__xludf.DUMMYFUNCTION("""COMPUTED_VALUE"""),"My Mysterious Princess")</f>
        <v>My Mysterious Princess</v>
      </c>
      <c r="D416" s="33">
        <f>IFERROR(__xludf.DUMMYFUNCTION("""COMPUTED_VALUE"""),14.0)</f>
        <v>14</v>
      </c>
      <c r="E416" s="33">
        <f>IFERROR(__xludf.DUMMYFUNCTION("""COMPUTED_VALUE"""),14.0)</f>
        <v>14</v>
      </c>
      <c r="F416" s="33">
        <f>IFERROR(__xludf.DUMMYFUNCTION("""COMPUTED_VALUE"""),6.0)</f>
        <v>6</v>
      </c>
      <c r="G416" s="33">
        <f>IFERROR(__xludf.DUMMYFUNCTION("""COMPUTED_VALUE"""),0.0)</f>
        <v>0</v>
      </c>
      <c r="H416" s="33">
        <f>IFERROR(__xludf.DUMMYFUNCTION("""COMPUTED_VALUE"""),17.0)</f>
        <v>17</v>
      </c>
      <c r="I416" s="33">
        <f>IFERROR(__xludf.DUMMYFUNCTION("""COMPUTED_VALUE"""),12.0)</f>
        <v>12</v>
      </c>
      <c r="J416" s="33">
        <f>IFERROR(__xludf.DUMMYFUNCTION("""COMPUTED_VALUE"""),16.0)</f>
        <v>16</v>
      </c>
      <c r="K416" s="33">
        <f>IFERROR(__xludf.DUMMYFUNCTION("""COMPUTED_VALUE"""),0.0)</f>
        <v>0</v>
      </c>
      <c r="L416" s="33">
        <f>IFERROR(__xludf.DUMMYFUNCTION("""COMPUTED_VALUE"""),0.0)</f>
        <v>0</v>
      </c>
      <c r="M416" s="33">
        <f>IFERROR(__xludf.DUMMYFUNCTION("""COMPUTED_VALUE"""),14.0)</f>
        <v>14</v>
      </c>
      <c r="N416" s="33">
        <f>IFERROR(__xludf.DUMMYFUNCTION("""COMPUTED_VALUE"""),14.0)</f>
        <v>14</v>
      </c>
      <c r="O416" s="33">
        <f>IFERROR(__xludf.DUMMYFUNCTION("""COMPUTED_VALUE"""),7.0)</f>
        <v>7</v>
      </c>
      <c r="P416" s="33">
        <f>IFERROR(__xludf.DUMMYFUNCTION("""COMPUTED_VALUE"""),14.0)</f>
        <v>14</v>
      </c>
      <c r="Q416" s="33">
        <f>IFERROR(__xludf.DUMMYFUNCTION("""COMPUTED_VALUE"""),0.0)</f>
        <v>0</v>
      </c>
      <c r="R416" s="33">
        <f>IFERROR(__xludf.DUMMYFUNCTION("""COMPUTED_VALUE"""),32817.0)</f>
        <v>32817</v>
      </c>
      <c r="S416" s="33">
        <f>IFERROR(__xludf.DUMMYFUNCTION("""COMPUTED_VALUE"""),33608.0)</f>
        <v>33608</v>
      </c>
      <c r="T416" s="33">
        <f>IFERROR(__xludf.DUMMYFUNCTION("""COMPUTED_VALUE"""),3.59777777777777)</f>
        <v>3.597777778</v>
      </c>
      <c r="U416" s="33">
        <f>IFERROR(__xludf.DUMMYFUNCTION("""COMPUTED_VALUE"""),1.44472222222222)</f>
        <v>1.444722222</v>
      </c>
      <c r="V416" s="33">
        <f>IFERROR(__xludf.DUMMYFUNCTION("""COMPUTED_VALUE"""),0.0)</f>
        <v>0</v>
      </c>
      <c r="W416" s="33">
        <f>IFERROR(__xludf.DUMMYFUNCTION("""COMPUTED_VALUE"""),4.13583333333333)</f>
        <v>4.135833333</v>
      </c>
      <c r="X416" s="33">
        <f>IFERROR(__xludf.DUMMYFUNCTION("""COMPUTED_VALUE"""),2.89777777777777)</f>
        <v>2.897777778</v>
      </c>
      <c r="Y416" s="33">
        <f>IFERROR(__xludf.DUMMYFUNCTION("""COMPUTED_VALUE"""),3.95111111111111)</f>
        <v>3.951111111</v>
      </c>
      <c r="Z416" s="33">
        <f>IFERROR(__xludf.DUMMYFUNCTION("""COMPUTED_VALUE"""),0.0)</f>
        <v>0</v>
      </c>
      <c r="AA416" s="33">
        <f>IFERROR(__xludf.DUMMYFUNCTION("""COMPUTED_VALUE"""),0.0)</f>
        <v>0</v>
      </c>
      <c r="AB416" s="33">
        <f>IFERROR(__xludf.DUMMYFUNCTION("""COMPUTED_VALUE"""),3.52194444444444)</f>
        <v>3.521944444</v>
      </c>
      <c r="AC416" s="33">
        <f>IFERROR(__xludf.DUMMYFUNCTION("""COMPUTED_VALUE"""),3.51444444444444)</f>
        <v>3.514444444</v>
      </c>
      <c r="AD416" s="33">
        <f>IFERROR(__xludf.DUMMYFUNCTION("""COMPUTED_VALUE"""),1.78083333333333)</f>
        <v>1.780833333</v>
      </c>
      <c r="AE416" s="33">
        <f>IFERROR(__xludf.DUMMYFUNCTION("""COMPUTED_VALUE"""),3.51444444444444)</f>
        <v>3.514444444</v>
      </c>
      <c r="AF416" s="33">
        <f>IFERROR(__xludf.DUMMYFUNCTION("""COMPUTED_VALUE"""),15.0)</f>
        <v>15</v>
      </c>
    </row>
    <row r="417">
      <c r="A417" s="49">
        <f>IFERROR(__xludf.DUMMYFUNCTION("""COMPUTED_VALUE"""),46034.0)</f>
        <v>46034</v>
      </c>
      <c r="B417" s="33" t="str">
        <f>IFERROR(__xludf.DUMMYFUNCTION("""COMPUTED_VALUE"""),"dbbc7f35e9eb33b7562f0fd82896e827101bf13c")</f>
        <v>dbbc7f35e9eb33b7562f0fd82896e827101bf13c</v>
      </c>
      <c r="C417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417" s="33">
        <f>IFERROR(__xludf.DUMMYFUNCTION("""COMPUTED_VALUE"""),0.0)</f>
        <v>0</v>
      </c>
      <c r="E417" s="33">
        <f>IFERROR(__xludf.DUMMYFUNCTION("""COMPUTED_VALUE"""),0.0)</f>
        <v>0</v>
      </c>
      <c r="F417" s="33">
        <f>IFERROR(__xludf.DUMMYFUNCTION("""COMPUTED_VALUE"""),0.0)</f>
        <v>0</v>
      </c>
      <c r="G417" s="33">
        <f>IFERROR(__xludf.DUMMYFUNCTION("""COMPUTED_VALUE"""),0.0)</f>
        <v>0</v>
      </c>
      <c r="H417" s="33">
        <f>IFERROR(__xludf.DUMMYFUNCTION("""COMPUTED_VALUE"""),0.0)</f>
        <v>0</v>
      </c>
      <c r="I417" s="33">
        <f>IFERROR(__xludf.DUMMYFUNCTION("""COMPUTED_VALUE"""),0.0)</f>
        <v>0</v>
      </c>
      <c r="J417" s="33">
        <f>IFERROR(__xludf.DUMMYFUNCTION("""COMPUTED_VALUE"""),0.0)</f>
        <v>0</v>
      </c>
      <c r="K417" s="33">
        <f>IFERROR(__xludf.DUMMYFUNCTION("""COMPUTED_VALUE"""),0.0)</f>
        <v>0</v>
      </c>
      <c r="L417" s="33">
        <f>IFERROR(__xludf.DUMMYFUNCTION("""COMPUTED_VALUE"""),0.0)</f>
        <v>0</v>
      </c>
      <c r="M417" s="33">
        <f>IFERROR(__xludf.DUMMYFUNCTION("""COMPUTED_VALUE"""),0.0)</f>
        <v>0</v>
      </c>
      <c r="N417" s="33">
        <f>IFERROR(__xludf.DUMMYFUNCTION("""COMPUTED_VALUE"""),40.0)</f>
        <v>40</v>
      </c>
      <c r="O417" s="33">
        <f>IFERROR(__xludf.DUMMYFUNCTION("""COMPUTED_VALUE"""),3.0)</f>
        <v>3</v>
      </c>
      <c r="P417" s="33">
        <f>IFERROR(__xludf.DUMMYFUNCTION("""COMPUTED_VALUE"""),40.0)</f>
        <v>40</v>
      </c>
      <c r="Q417" s="33">
        <f>IFERROR(__xludf.DUMMYFUNCTION("""COMPUTED_VALUE"""),0.0)</f>
        <v>0</v>
      </c>
      <c r="R417" s="33">
        <f>IFERROR(__xludf.DUMMYFUNCTION("""COMPUTED_VALUE"""),0.0)</f>
        <v>0</v>
      </c>
      <c r="S417" s="33">
        <f>IFERROR(__xludf.DUMMYFUNCTION("""COMPUTED_VALUE"""),0.0)</f>
        <v>0</v>
      </c>
      <c r="T417" s="33">
        <f>IFERROR(__xludf.DUMMYFUNCTION("""COMPUTED_VALUE"""),0.0)</f>
        <v>0</v>
      </c>
      <c r="U417" s="33">
        <f>IFERROR(__xludf.DUMMYFUNCTION("""COMPUTED_VALUE"""),0.0)</f>
        <v>0</v>
      </c>
      <c r="V417" s="33">
        <f>IFERROR(__xludf.DUMMYFUNCTION("""COMPUTED_VALUE"""),0.0)</f>
        <v>0</v>
      </c>
      <c r="W417" s="33">
        <f>IFERROR(__xludf.DUMMYFUNCTION("""COMPUTED_VALUE"""),0.0)</f>
        <v>0</v>
      </c>
      <c r="X417" s="33">
        <f>IFERROR(__xludf.DUMMYFUNCTION("""COMPUTED_VALUE"""),0.0)</f>
        <v>0</v>
      </c>
      <c r="Y417" s="33">
        <f>IFERROR(__xludf.DUMMYFUNCTION("""COMPUTED_VALUE"""),0.0)</f>
        <v>0</v>
      </c>
      <c r="Z417" s="33">
        <f>IFERROR(__xludf.DUMMYFUNCTION("""COMPUTED_VALUE"""),0.0)</f>
        <v>0</v>
      </c>
      <c r="AA417" s="33">
        <f>IFERROR(__xludf.DUMMYFUNCTION("""COMPUTED_VALUE"""),0.0)</f>
        <v>0</v>
      </c>
      <c r="AB417" s="33">
        <f>IFERROR(__xludf.DUMMYFUNCTION("""COMPUTED_VALUE"""),0.0)</f>
        <v>0</v>
      </c>
      <c r="AC417" s="33">
        <f>IFERROR(__xludf.DUMMYFUNCTION("""COMPUTED_VALUE"""),10.5116666666666)</f>
        <v>10.51166667</v>
      </c>
      <c r="AD417" s="33">
        <f>IFERROR(__xludf.DUMMYFUNCTION("""COMPUTED_VALUE"""),0.540555555555555)</f>
        <v>0.5405555556</v>
      </c>
      <c r="AE417" s="33">
        <f>IFERROR(__xludf.DUMMYFUNCTION("""COMPUTED_VALUE"""),10.5116666666666)</f>
        <v>10.51166667</v>
      </c>
      <c r="AF417" s="33">
        <f>IFERROR(__xludf.DUMMYFUNCTION("""COMPUTED_VALUE"""),0.0)</f>
        <v>0</v>
      </c>
    </row>
    <row r="418">
      <c r="A418" s="49">
        <f>IFERROR(__xludf.DUMMYFUNCTION("""COMPUTED_VALUE"""),46034.0)</f>
        <v>46034</v>
      </c>
      <c r="B418" s="33" t="str">
        <f>IFERROR(__xludf.DUMMYFUNCTION("""COMPUTED_VALUE"""),"e493cee863483a057af12de782cd20043a19ed05")</f>
        <v>e493cee863483a057af12de782cd20043a19ed05</v>
      </c>
      <c r="C418" s="33" t="str">
        <f>IFERROR(__xludf.DUMMYFUNCTION("""COMPUTED_VALUE"""),"Malang")</f>
        <v>Malang</v>
      </c>
      <c r="D418" s="33">
        <f>IFERROR(__xludf.DUMMYFUNCTION("""COMPUTED_VALUE"""),0.0)</f>
        <v>0</v>
      </c>
      <c r="E418" s="33">
        <f>IFERROR(__xludf.DUMMYFUNCTION("""COMPUTED_VALUE"""),28.0)</f>
        <v>28</v>
      </c>
      <c r="F418" s="33">
        <f>IFERROR(__xludf.DUMMYFUNCTION("""COMPUTED_VALUE"""),8.0)</f>
        <v>8</v>
      </c>
      <c r="G418" s="33">
        <f>IFERROR(__xludf.DUMMYFUNCTION("""COMPUTED_VALUE"""),0.0)</f>
        <v>0</v>
      </c>
      <c r="H418" s="33">
        <f>IFERROR(__xludf.DUMMYFUNCTION("""COMPUTED_VALUE"""),17.0)</f>
        <v>17</v>
      </c>
      <c r="I418" s="33">
        <f>IFERROR(__xludf.DUMMYFUNCTION("""COMPUTED_VALUE"""),12.0)</f>
        <v>12</v>
      </c>
      <c r="J418" s="33">
        <f>IFERROR(__xludf.DUMMYFUNCTION("""COMPUTED_VALUE"""),18.0)</f>
        <v>18</v>
      </c>
      <c r="K418" s="33">
        <f>IFERROR(__xludf.DUMMYFUNCTION("""COMPUTED_VALUE"""),2.0)</f>
        <v>2</v>
      </c>
      <c r="L418" s="33">
        <f>IFERROR(__xludf.DUMMYFUNCTION("""COMPUTED_VALUE"""),0.0)</f>
        <v>0</v>
      </c>
      <c r="M418" s="33">
        <f>IFERROR(__xludf.DUMMYFUNCTION("""COMPUTED_VALUE"""),20.0)</f>
        <v>20</v>
      </c>
      <c r="N418" s="33">
        <f>IFERROR(__xludf.DUMMYFUNCTION("""COMPUTED_VALUE"""),20.0)</f>
        <v>20</v>
      </c>
      <c r="O418" s="33">
        <f>IFERROR(__xludf.DUMMYFUNCTION("""COMPUTED_VALUE"""),6.0)</f>
        <v>6</v>
      </c>
      <c r="P418" s="33">
        <f>IFERROR(__xludf.DUMMYFUNCTION("""COMPUTED_VALUE"""),20.0)</f>
        <v>20</v>
      </c>
      <c r="Q418" s="33">
        <f>IFERROR(__xludf.DUMMYFUNCTION("""COMPUTED_VALUE"""),0.0)</f>
        <v>0</v>
      </c>
      <c r="R418" s="33">
        <f>IFERROR(__xludf.DUMMYFUNCTION("""COMPUTED_VALUE"""),0.0)</f>
        <v>0</v>
      </c>
      <c r="S418" s="33">
        <f>IFERROR(__xludf.DUMMYFUNCTION("""COMPUTED_VALUE"""),65152.0)</f>
        <v>65152</v>
      </c>
      <c r="T418" s="33">
        <f>IFERROR(__xludf.DUMMYFUNCTION("""COMPUTED_VALUE"""),4.09888888888888)</f>
        <v>4.098888889</v>
      </c>
      <c r="U418" s="33">
        <f>IFERROR(__xludf.DUMMYFUNCTION("""COMPUTED_VALUE"""),1.63194444444444)</f>
        <v>1.631944444</v>
      </c>
      <c r="V418" s="33">
        <f>IFERROR(__xludf.DUMMYFUNCTION("""COMPUTED_VALUE"""),0.0)</f>
        <v>0</v>
      </c>
      <c r="W418" s="33">
        <f>IFERROR(__xludf.DUMMYFUNCTION("""COMPUTED_VALUE"""),3.47888888888888)</f>
        <v>3.478888889</v>
      </c>
      <c r="X418" s="33">
        <f>IFERROR(__xludf.DUMMYFUNCTION("""COMPUTED_VALUE"""),2.45694444444444)</f>
        <v>2.456944444</v>
      </c>
      <c r="Y418" s="33">
        <f>IFERROR(__xludf.DUMMYFUNCTION("""COMPUTED_VALUE"""),3.68138888888888)</f>
        <v>3.681388889</v>
      </c>
      <c r="Z418" s="33">
        <f>IFERROR(__xludf.DUMMYFUNCTION("""COMPUTED_VALUE"""),0.418333333333333)</f>
        <v>0.4183333333</v>
      </c>
      <c r="AA418" s="33">
        <f>IFERROR(__xludf.DUMMYFUNCTION("""COMPUTED_VALUE"""),0.0)</f>
        <v>0</v>
      </c>
      <c r="AB418" s="33">
        <f>IFERROR(__xludf.DUMMYFUNCTION("""COMPUTED_VALUE"""),4.09722222222222)</f>
        <v>4.097222222</v>
      </c>
      <c r="AC418" s="33">
        <f>IFERROR(__xludf.DUMMYFUNCTION("""COMPUTED_VALUE"""),4.09722222222222)</f>
        <v>4.097222222</v>
      </c>
      <c r="AD418" s="33">
        <f>IFERROR(__xludf.DUMMYFUNCTION("""COMPUTED_VALUE"""),1.18388888888888)</f>
        <v>1.183888889</v>
      </c>
      <c r="AE418" s="33">
        <f>IFERROR(__xludf.DUMMYFUNCTION("""COMPUTED_VALUE"""),4.09722222222222)</f>
        <v>4.097222222</v>
      </c>
      <c r="AF418" s="33">
        <f>IFERROR(__xludf.DUMMYFUNCTION("""COMPUTED_VALUE"""),20.0)</f>
        <v>20</v>
      </c>
    </row>
    <row r="419">
      <c r="A419" s="49">
        <f>IFERROR(__xludf.DUMMYFUNCTION("""COMPUTED_VALUE"""),46034.0)</f>
        <v>46034</v>
      </c>
      <c r="B419" s="33" t="str">
        <f>IFERROR(__xludf.DUMMYFUNCTION("""COMPUTED_VALUE"""),"f43f4253dc3c596ff8f2e3cc9f3b677981a70310")</f>
        <v>f43f4253dc3c596ff8f2e3cc9f3b677981a70310</v>
      </c>
      <c r="C419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419" s="33">
        <f>IFERROR(__xludf.DUMMYFUNCTION("""COMPUTED_VALUE"""),19.0)</f>
        <v>19</v>
      </c>
      <c r="E419" s="33">
        <f>IFERROR(__xludf.DUMMYFUNCTION("""COMPUTED_VALUE"""),20.0)</f>
        <v>20</v>
      </c>
      <c r="F419" s="33">
        <f>IFERROR(__xludf.DUMMYFUNCTION("""COMPUTED_VALUE"""),0.0)</f>
        <v>0</v>
      </c>
      <c r="G419" s="33">
        <f>IFERROR(__xludf.DUMMYFUNCTION("""COMPUTED_VALUE"""),0.0)</f>
        <v>0</v>
      </c>
      <c r="H419" s="33">
        <f>IFERROR(__xludf.DUMMYFUNCTION("""COMPUTED_VALUE"""),0.0)</f>
        <v>0</v>
      </c>
      <c r="I419" s="33">
        <f>IFERROR(__xludf.DUMMYFUNCTION("""COMPUTED_VALUE"""),0.0)</f>
        <v>0</v>
      </c>
      <c r="J419" s="33">
        <f>IFERROR(__xludf.DUMMYFUNCTION("""COMPUTED_VALUE"""),0.0)</f>
        <v>0</v>
      </c>
      <c r="K419" s="33">
        <f>IFERROR(__xludf.DUMMYFUNCTION("""COMPUTED_VALUE"""),0.0)</f>
        <v>0</v>
      </c>
      <c r="L419" s="33">
        <f>IFERROR(__xludf.DUMMYFUNCTION("""COMPUTED_VALUE"""),0.0)</f>
        <v>0</v>
      </c>
      <c r="M419" s="33">
        <f>IFERROR(__xludf.DUMMYFUNCTION("""COMPUTED_VALUE"""),0.0)</f>
        <v>0</v>
      </c>
      <c r="N419" s="33">
        <f>IFERROR(__xludf.DUMMYFUNCTION("""COMPUTED_VALUE"""),1.0)</f>
        <v>1</v>
      </c>
      <c r="O419" s="33">
        <f>IFERROR(__xludf.DUMMYFUNCTION("""COMPUTED_VALUE"""),4.0)</f>
        <v>4</v>
      </c>
      <c r="P419" s="33">
        <f>IFERROR(__xludf.DUMMYFUNCTION("""COMPUTED_VALUE"""),20.0)</f>
        <v>20</v>
      </c>
      <c r="Q419" s="33">
        <f>IFERROR(__xludf.DUMMYFUNCTION("""COMPUTED_VALUE"""),0.0)</f>
        <v>0</v>
      </c>
      <c r="R419" s="33">
        <f>IFERROR(__xludf.DUMMYFUNCTION("""COMPUTED_VALUE"""),49128.0)</f>
        <v>49128</v>
      </c>
      <c r="S419" s="33">
        <f>IFERROR(__xludf.DUMMYFUNCTION("""COMPUTED_VALUE"""),51058.0)</f>
        <v>51058</v>
      </c>
      <c r="T419" s="33">
        <f>IFERROR(__xludf.DUMMYFUNCTION("""COMPUTED_VALUE"""),0.0)</f>
        <v>0</v>
      </c>
      <c r="U419" s="33">
        <f>IFERROR(__xludf.DUMMYFUNCTION("""COMPUTED_VALUE"""),0.0)</f>
        <v>0</v>
      </c>
      <c r="V419" s="33">
        <f>IFERROR(__xludf.DUMMYFUNCTION("""COMPUTED_VALUE"""),0.0)</f>
        <v>0</v>
      </c>
      <c r="W419" s="33">
        <f>IFERROR(__xludf.DUMMYFUNCTION("""COMPUTED_VALUE"""),0.0)</f>
        <v>0</v>
      </c>
      <c r="X419" s="33">
        <f>IFERROR(__xludf.DUMMYFUNCTION("""COMPUTED_VALUE"""),0.0)</f>
        <v>0</v>
      </c>
      <c r="Y419" s="33">
        <f>IFERROR(__xludf.DUMMYFUNCTION("""COMPUTED_VALUE"""),0.0)</f>
        <v>0</v>
      </c>
      <c r="Z419" s="33">
        <f>IFERROR(__xludf.DUMMYFUNCTION("""COMPUTED_VALUE"""),0.0)</f>
        <v>0</v>
      </c>
      <c r="AA419" s="33">
        <f>IFERROR(__xludf.DUMMYFUNCTION("""COMPUTED_VALUE"""),0.0)</f>
        <v>0</v>
      </c>
      <c r="AB419" s="33">
        <f>IFERROR(__xludf.DUMMYFUNCTION("""COMPUTED_VALUE"""),0.0)</f>
        <v>0</v>
      </c>
      <c r="AC419" s="33">
        <f>IFERROR(__xludf.DUMMYFUNCTION("""COMPUTED_VALUE"""),0.223055555555555)</f>
        <v>0.2230555556</v>
      </c>
      <c r="AD419" s="33">
        <f>IFERROR(__xludf.DUMMYFUNCTION("""COMPUTED_VALUE"""),0.94)</f>
        <v>0.94</v>
      </c>
      <c r="AE419" s="33">
        <f>IFERROR(__xludf.DUMMYFUNCTION("""COMPUTED_VALUE"""),4.70944444444444)</f>
        <v>4.709444444</v>
      </c>
      <c r="AF419" s="33">
        <f>IFERROR(__xludf.DUMMYFUNCTION("""COMPUTED_VALUE"""),0.0)</f>
        <v>0</v>
      </c>
    </row>
    <row r="420">
      <c r="A420" s="49">
        <f>IFERROR(__xludf.DUMMYFUNCTION("""COMPUTED_VALUE"""),46027.0)</f>
        <v>46027</v>
      </c>
      <c r="B420" s="33" t="str">
        <f>IFERROR(__xludf.DUMMYFUNCTION("""COMPUTED_VALUE"""),"2549f1505a3739b3e90a0b63921ad55271440d40")</f>
        <v>2549f1505a3739b3e90a0b63921ad55271440d40</v>
      </c>
      <c r="C420" s="33" t="str">
        <f>IFERROR(__xludf.DUMMYFUNCTION("""COMPUTED_VALUE"""),"Reborn in Martial World ")</f>
        <v>Reborn in Martial World </v>
      </c>
      <c r="D420" s="33">
        <f>IFERROR(__xludf.DUMMYFUNCTION("""COMPUTED_VALUE"""),0.0)</f>
        <v>0</v>
      </c>
      <c r="E420" s="33">
        <f>IFERROR(__xludf.DUMMYFUNCTION("""COMPUTED_VALUE"""),18.0)</f>
        <v>18</v>
      </c>
      <c r="F420" s="33">
        <f>IFERROR(__xludf.DUMMYFUNCTION("""COMPUTED_VALUE"""),2.0)</f>
        <v>2</v>
      </c>
      <c r="G420" s="33">
        <f>IFERROR(__xludf.DUMMYFUNCTION("""COMPUTED_VALUE"""),3.0)</f>
        <v>3</v>
      </c>
      <c r="H420" s="33">
        <f>IFERROR(__xludf.DUMMYFUNCTION("""COMPUTED_VALUE"""),3.0)</f>
        <v>3</v>
      </c>
      <c r="I420" s="33">
        <f>IFERROR(__xludf.DUMMYFUNCTION("""COMPUTED_VALUE"""),0.0)</f>
        <v>0</v>
      </c>
      <c r="J420" s="33">
        <f>IFERROR(__xludf.DUMMYFUNCTION("""COMPUTED_VALUE"""),5.0)</f>
        <v>5</v>
      </c>
      <c r="K420" s="33">
        <f>IFERROR(__xludf.DUMMYFUNCTION("""COMPUTED_VALUE"""),0.0)</f>
        <v>0</v>
      </c>
      <c r="L420" s="33">
        <f>IFERROR(__xludf.DUMMYFUNCTION("""COMPUTED_VALUE"""),0.0)</f>
        <v>0</v>
      </c>
      <c r="M420" s="33">
        <f>IFERROR(__xludf.DUMMYFUNCTION("""COMPUTED_VALUE"""),5.0)</f>
        <v>5</v>
      </c>
      <c r="N420" s="33">
        <f>IFERROR(__xludf.DUMMYFUNCTION("""COMPUTED_VALUE"""),6.0)</f>
        <v>6</v>
      </c>
      <c r="O420" s="33">
        <f>IFERROR(__xludf.DUMMYFUNCTION("""COMPUTED_VALUE"""),6.0)</f>
        <v>6</v>
      </c>
      <c r="P420" s="33">
        <f>IFERROR(__xludf.DUMMYFUNCTION("""COMPUTED_VALUE"""),6.0)</f>
        <v>6</v>
      </c>
      <c r="Q420" s="33">
        <f>IFERROR(__xludf.DUMMYFUNCTION("""COMPUTED_VALUE"""),0.0)</f>
        <v>0</v>
      </c>
      <c r="R420" s="33">
        <f>IFERROR(__xludf.DUMMYFUNCTION("""COMPUTED_VALUE"""),0.0)</f>
        <v>0</v>
      </c>
      <c r="S420" s="33">
        <f>IFERROR(__xludf.DUMMYFUNCTION("""COMPUTED_VALUE"""),41263.0)</f>
        <v>41263</v>
      </c>
      <c r="T420" s="33">
        <f>IFERROR(__xludf.DUMMYFUNCTION("""COMPUTED_VALUE"""),0.378611111111111)</f>
        <v>0.3786111111</v>
      </c>
      <c r="U420" s="33">
        <f>IFERROR(__xludf.DUMMYFUNCTION("""COMPUTED_VALUE"""),0.378611111111111)</f>
        <v>0.3786111111</v>
      </c>
      <c r="V420" s="33">
        <f>IFERROR(__xludf.DUMMYFUNCTION("""COMPUTED_VALUE"""),0.568611111111111)</f>
        <v>0.5686111111</v>
      </c>
      <c r="W420" s="33">
        <f>IFERROR(__xludf.DUMMYFUNCTION("""COMPUTED_VALUE"""),0.568611111111111)</f>
        <v>0.5686111111</v>
      </c>
      <c r="X420" s="33">
        <f>IFERROR(__xludf.DUMMYFUNCTION("""COMPUTED_VALUE"""),0.0)</f>
        <v>0</v>
      </c>
      <c r="Y420" s="33">
        <f>IFERROR(__xludf.DUMMYFUNCTION("""COMPUTED_VALUE"""),0.990555555555555)</f>
        <v>0.9905555556</v>
      </c>
      <c r="Z420" s="33">
        <f>IFERROR(__xludf.DUMMYFUNCTION("""COMPUTED_VALUE"""),0.0)</f>
        <v>0</v>
      </c>
      <c r="AA420" s="33">
        <f>IFERROR(__xludf.DUMMYFUNCTION("""COMPUTED_VALUE"""),0.0)</f>
        <v>0</v>
      </c>
      <c r="AB420" s="33">
        <f>IFERROR(__xludf.DUMMYFUNCTION("""COMPUTED_VALUE"""),0.990555555555555)</f>
        <v>0.9905555556</v>
      </c>
      <c r="AC420" s="33">
        <f>IFERROR(__xludf.DUMMYFUNCTION("""COMPUTED_VALUE"""),1.1925)</f>
        <v>1.1925</v>
      </c>
      <c r="AD420" s="33">
        <f>IFERROR(__xludf.DUMMYFUNCTION("""COMPUTED_VALUE"""),1.14444444444444)</f>
        <v>1.144444444</v>
      </c>
      <c r="AE420" s="33">
        <f>IFERROR(__xludf.DUMMYFUNCTION("""COMPUTED_VALUE"""),1.1925)</f>
        <v>1.1925</v>
      </c>
      <c r="AF420" s="33">
        <f>IFERROR(__xludf.DUMMYFUNCTION("""COMPUTED_VALUE"""),2.0)</f>
        <v>2</v>
      </c>
    </row>
    <row r="421">
      <c r="A421" s="49">
        <f>IFERROR(__xludf.DUMMYFUNCTION("""COMPUTED_VALUE"""),46027.0)</f>
        <v>46027</v>
      </c>
      <c r="B421" s="33" t="str">
        <f>IFERROR(__xludf.DUMMYFUNCTION("""COMPUTED_VALUE"""),"37e68193f879e91ec362f75f4b46511110658e2b")</f>
        <v>37e68193f879e91ec362f75f4b46511110658e2b</v>
      </c>
      <c r="C421" s="33" t="str">
        <f>IFERROR(__xludf.DUMMYFUNCTION("""COMPUTED_VALUE"""),"Shiva : Ek Pretyodha")</f>
        <v>Shiva : Ek Pretyodha</v>
      </c>
      <c r="D421" s="33">
        <f>IFERROR(__xludf.DUMMYFUNCTION("""COMPUTED_VALUE"""),0.0)</f>
        <v>0</v>
      </c>
      <c r="E421" s="33">
        <f>IFERROR(__xludf.DUMMYFUNCTION("""COMPUTED_VALUE"""),0.0)</f>
        <v>0</v>
      </c>
      <c r="F421" s="33">
        <f>IFERROR(__xludf.DUMMYFUNCTION("""COMPUTED_VALUE"""),0.0)</f>
        <v>0</v>
      </c>
      <c r="G421" s="33">
        <f>IFERROR(__xludf.DUMMYFUNCTION("""COMPUTED_VALUE"""),0.0)</f>
        <v>0</v>
      </c>
      <c r="H421" s="33">
        <f>IFERROR(__xludf.DUMMYFUNCTION("""COMPUTED_VALUE"""),0.0)</f>
        <v>0</v>
      </c>
      <c r="I421" s="33">
        <f>IFERROR(__xludf.DUMMYFUNCTION("""COMPUTED_VALUE"""),0.0)</f>
        <v>0</v>
      </c>
      <c r="J421" s="33">
        <f>IFERROR(__xludf.DUMMYFUNCTION("""COMPUTED_VALUE"""),0.0)</f>
        <v>0</v>
      </c>
      <c r="K421" s="33">
        <f>IFERROR(__xludf.DUMMYFUNCTION("""COMPUTED_VALUE"""),0.0)</f>
        <v>0</v>
      </c>
      <c r="L421" s="33">
        <f>IFERROR(__xludf.DUMMYFUNCTION("""COMPUTED_VALUE"""),0.0)</f>
        <v>0</v>
      </c>
      <c r="M421" s="33">
        <f>IFERROR(__xludf.DUMMYFUNCTION("""COMPUTED_VALUE"""),0.0)</f>
        <v>0</v>
      </c>
      <c r="N421" s="33">
        <f>IFERROR(__xludf.DUMMYFUNCTION("""COMPUTED_VALUE"""),4.0)</f>
        <v>4</v>
      </c>
      <c r="O421" s="33">
        <f>IFERROR(__xludf.DUMMYFUNCTION("""COMPUTED_VALUE"""),14.0)</f>
        <v>14</v>
      </c>
      <c r="P421" s="33">
        <f>IFERROR(__xludf.DUMMYFUNCTION("""COMPUTED_VALUE"""),14.0)</f>
        <v>14</v>
      </c>
      <c r="Q421" s="33">
        <f>IFERROR(__xludf.DUMMYFUNCTION("""COMPUTED_VALUE"""),0.0)</f>
        <v>0</v>
      </c>
      <c r="R421" s="33">
        <f>IFERROR(__xludf.DUMMYFUNCTION("""COMPUTED_VALUE"""),0.0)</f>
        <v>0</v>
      </c>
      <c r="S421" s="33">
        <f>IFERROR(__xludf.DUMMYFUNCTION("""COMPUTED_VALUE"""),0.0)</f>
        <v>0</v>
      </c>
      <c r="T421" s="33">
        <f>IFERROR(__xludf.DUMMYFUNCTION("""COMPUTED_VALUE"""),0.0)</f>
        <v>0</v>
      </c>
      <c r="U421" s="33">
        <f>IFERROR(__xludf.DUMMYFUNCTION("""COMPUTED_VALUE"""),0.0)</f>
        <v>0</v>
      </c>
      <c r="V421" s="33">
        <f>IFERROR(__xludf.DUMMYFUNCTION("""COMPUTED_VALUE"""),0.0)</f>
        <v>0</v>
      </c>
      <c r="W421" s="33">
        <f>IFERROR(__xludf.DUMMYFUNCTION("""COMPUTED_VALUE"""),0.0)</f>
        <v>0</v>
      </c>
      <c r="X421" s="33">
        <f>IFERROR(__xludf.DUMMYFUNCTION("""COMPUTED_VALUE"""),0.0)</f>
        <v>0</v>
      </c>
      <c r="Y421" s="33">
        <f>IFERROR(__xludf.DUMMYFUNCTION("""COMPUTED_VALUE"""),0.0)</f>
        <v>0</v>
      </c>
      <c r="Z421" s="33">
        <f>IFERROR(__xludf.DUMMYFUNCTION("""COMPUTED_VALUE"""),0.0)</f>
        <v>0</v>
      </c>
      <c r="AA421" s="33">
        <f>IFERROR(__xludf.DUMMYFUNCTION("""COMPUTED_VALUE"""),0.0)</f>
        <v>0</v>
      </c>
      <c r="AB421" s="33">
        <f>IFERROR(__xludf.DUMMYFUNCTION("""COMPUTED_VALUE"""),0.0)</f>
        <v>0</v>
      </c>
      <c r="AC421" s="33">
        <f>IFERROR(__xludf.DUMMYFUNCTION("""COMPUTED_VALUE"""),1.04055555555555)</f>
        <v>1.040555556</v>
      </c>
      <c r="AD421" s="33">
        <f>IFERROR(__xludf.DUMMYFUNCTION("""COMPUTED_VALUE"""),2.93527777777777)</f>
        <v>2.935277778</v>
      </c>
      <c r="AE421" s="33">
        <f>IFERROR(__xludf.DUMMYFUNCTION("""COMPUTED_VALUE"""),3.02111111111111)</f>
        <v>3.021111111</v>
      </c>
      <c r="AF421" s="33">
        <f>IFERROR(__xludf.DUMMYFUNCTION("""COMPUTED_VALUE"""),0.0)</f>
        <v>0</v>
      </c>
    </row>
    <row r="422">
      <c r="A422" s="49">
        <f>IFERROR(__xludf.DUMMYFUNCTION("""COMPUTED_VALUE"""),46027.0)</f>
        <v>46027</v>
      </c>
      <c r="B422" s="33" t="str">
        <f>IFERROR(__xludf.DUMMYFUNCTION("""COMPUTED_VALUE"""),"394d109f7b50d9a46fb591dbaaba2d0aac90a696")</f>
        <v>394d109f7b50d9a46fb591dbaaba2d0aac90a696</v>
      </c>
      <c r="C422" s="33" t="str">
        <f>IFERROR(__xludf.DUMMYFUNCTION("""COMPUTED_VALUE"""),"Empire of Hidden King (SRGJ) - Production Show_id")</f>
        <v>Empire of Hidden King (SRGJ) - Production Show_id</v>
      </c>
      <c r="D422" s="33">
        <f>IFERROR(__xludf.DUMMYFUNCTION("""COMPUTED_VALUE"""),20.0)</f>
        <v>20</v>
      </c>
      <c r="E422" s="33">
        <f>IFERROR(__xludf.DUMMYFUNCTION("""COMPUTED_VALUE"""),14.0)</f>
        <v>14</v>
      </c>
      <c r="F422" s="33">
        <f>IFERROR(__xludf.DUMMYFUNCTION("""COMPUTED_VALUE"""),15.0)</f>
        <v>15</v>
      </c>
      <c r="G422" s="33">
        <f>IFERROR(__xludf.DUMMYFUNCTION("""COMPUTED_VALUE"""),11.0)</f>
        <v>11</v>
      </c>
      <c r="H422" s="33">
        <f>IFERROR(__xludf.DUMMYFUNCTION("""COMPUTED_VALUE"""),12.0)</f>
        <v>12</v>
      </c>
      <c r="I422" s="33">
        <f>IFERROR(__xludf.DUMMYFUNCTION("""COMPUTED_VALUE"""),1.0)</f>
        <v>1</v>
      </c>
      <c r="J422" s="33">
        <f>IFERROR(__xludf.DUMMYFUNCTION("""COMPUTED_VALUE"""),13.0)</f>
        <v>13</v>
      </c>
      <c r="K422" s="33">
        <f>IFERROR(__xludf.DUMMYFUNCTION("""COMPUTED_VALUE"""),1.0)</f>
        <v>1</v>
      </c>
      <c r="L422" s="33">
        <f>IFERROR(__xludf.DUMMYFUNCTION("""COMPUTED_VALUE"""),1.0)</f>
        <v>1</v>
      </c>
      <c r="M422" s="33">
        <f>IFERROR(__xludf.DUMMYFUNCTION("""COMPUTED_VALUE"""),14.0)</f>
        <v>14</v>
      </c>
      <c r="N422" s="33">
        <f>IFERROR(__xludf.DUMMYFUNCTION("""COMPUTED_VALUE"""),14.0)</f>
        <v>14</v>
      </c>
      <c r="O422" s="33">
        <f>IFERROR(__xludf.DUMMYFUNCTION("""COMPUTED_VALUE"""),5.0)</f>
        <v>5</v>
      </c>
      <c r="P422" s="33">
        <f>IFERROR(__xludf.DUMMYFUNCTION("""COMPUTED_VALUE"""),14.0)</f>
        <v>14</v>
      </c>
      <c r="Q422" s="33">
        <f>IFERROR(__xludf.DUMMYFUNCTION("""COMPUTED_VALUE"""),0.0)</f>
        <v>0</v>
      </c>
      <c r="R422" s="33">
        <f>IFERROR(__xludf.DUMMYFUNCTION("""COMPUTED_VALUE"""),62412.0)</f>
        <v>62412</v>
      </c>
      <c r="S422" s="33">
        <f>IFERROR(__xludf.DUMMYFUNCTION("""COMPUTED_VALUE"""),42827.0)</f>
        <v>42827</v>
      </c>
      <c r="T422" s="33">
        <f>IFERROR(__xludf.DUMMYFUNCTION("""COMPUTED_VALUE"""),4.09083333333333)</f>
        <v>4.090833333</v>
      </c>
      <c r="U422" s="33">
        <f>IFERROR(__xludf.DUMMYFUNCTION("""COMPUTED_VALUE"""),3.84472222222222)</f>
        <v>3.844722222</v>
      </c>
      <c r="V422" s="33">
        <f>IFERROR(__xludf.DUMMYFUNCTION("""COMPUTED_VALUE"""),2.75055555555555)</f>
        <v>2.750555556</v>
      </c>
      <c r="W422" s="33">
        <f>IFERROR(__xludf.DUMMYFUNCTION("""COMPUTED_VALUE"""),2.99666666666666)</f>
        <v>2.996666667</v>
      </c>
      <c r="X422" s="33">
        <f>IFERROR(__xludf.DUMMYFUNCTION("""COMPUTED_VALUE"""),0.246111111111111)</f>
        <v>0.2461111111</v>
      </c>
      <c r="Y422" s="33">
        <f>IFERROR(__xludf.DUMMYFUNCTION("""COMPUTED_VALUE"""),3.25777777777777)</f>
        <v>3.257777778</v>
      </c>
      <c r="Z422" s="33">
        <f>IFERROR(__xludf.DUMMYFUNCTION("""COMPUTED_VALUE"""),0.261666666666666)</f>
        <v>0.2616666667</v>
      </c>
      <c r="AA422" s="33">
        <f>IFERROR(__xludf.DUMMYFUNCTION("""COMPUTED_VALUE"""),0.261666666666666)</f>
        <v>0.2616666667</v>
      </c>
      <c r="AB422" s="33">
        <f>IFERROR(__xludf.DUMMYFUNCTION("""COMPUTED_VALUE"""),3.51944444444444)</f>
        <v>3.519444444</v>
      </c>
      <c r="AC422" s="33">
        <f>IFERROR(__xludf.DUMMYFUNCTION("""COMPUTED_VALUE"""),3.51944444444444)</f>
        <v>3.519444444</v>
      </c>
      <c r="AD422" s="33">
        <f>IFERROR(__xludf.DUMMYFUNCTION("""COMPUTED_VALUE"""),1.27833333333333)</f>
        <v>1.278333333</v>
      </c>
      <c r="AE422" s="33">
        <f>IFERROR(__xludf.DUMMYFUNCTION("""COMPUTED_VALUE"""),3.51944444444444)</f>
        <v>3.519444444</v>
      </c>
      <c r="AF422" s="33">
        <f>IFERROR(__xludf.DUMMYFUNCTION("""COMPUTED_VALUE"""),16.0)</f>
        <v>16</v>
      </c>
    </row>
    <row r="423">
      <c r="A423" s="49">
        <f>IFERROR(__xludf.DUMMYFUNCTION("""COMPUTED_VALUE"""),46027.0)</f>
        <v>46027</v>
      </c>
      <c r="B423" s="33" t="str">
        <f>IFERROR(__xludf.DUMMYFUNCTION("""COMPUTED_VALUE"""),"5066c0736f9e9444f2b4da840d6860b1f7f47d11")</f>
        <v>5066c0736f9e9444f2b4da840d6860b1f7f47d11</v>
      </c>
      <c r="C423" s="33" t="str">
        <f>IFERROR(__xludf.DUMMYFUNCTION("""COMPUTED_VALUE"""),"The Warrior | Author - Dayaram Prajapati - Replica (For Production Only)")</f>
        <v>The Warrior | Author - Dayaram Prajapati - Replica (For Production Only)</v>
      </c>
      <c r="D423" s="33">
        <f>IFERROR(__xludf.DUMMYFUNCTION("""COMPUTED_VALUE"""),19.0)</f>
        <v>19</v>
      </c>
      <c r="E423" s="33">
        <f>IFERROR(__xludf.DUMMYFUNCTION("""COMPUTED_VALUE"""),28.0)</f>
        <v>28</v>
      </c>
      <c r="F423" s="33">
        <f>IFERROR(__xludf.DUMMYFUNCTION("""COMPUTED_VALUE"""),11.0)</f>
        <v>11</v>
      </c>
      <c r="G423" s="33">
        <f>IFERROR(__xludf.DUMMYFUNCTION("""COMPUTED_VALUE"""),14.0)</f>
        <v>14</v>
      </c>
      <c r="H423" s="33">
        <f>IFERROR(__xludf.DUMMYFUNCTION("""COMPUTED_VALUE"""),18.0)</f>
        <v>18</v>
      </c>
      <c r="I423" s="33">
        <f>IFERROR(__xludf.DUMMYFUNCTION("""COMPUTED_VALUE"""),4.0)</f>
        <v>4</v>
      </c>
      <c r="J423" s="33">
        <f>IFERROR(__xludf.DUMMYFUNCTION("""COMPUTED_VALUE"""),17.0)</f>
        <v>17</v>
      </c>
      <c r="K423" s="33">
        <f>IFERROR(__xludf.DUMMYFUNCTION("""COMPUTED_VALUE"""),3.0)</f>
        <v>3</v>
      </c>
      <c r="L423" s="33">
        <f>IFERROR(__xludf.DUMMYFUNCTION("""COMPUTED_VALUE"""),3.0)</f>
        <v>3</v>
      </c>
      <c r="M423" s="33">
        <f>IFERROR(__xludf.DUMMYFUNCTION("""COMPUTED_VALUE"""),17.0)</f>
        <v>17</v>
      </c>
      <c r="N423" s="33">
        <f>IFERROR(__xludf.DUMMYFUNCTION("""COMPUTED_VALUE"""),17.0)</f>
        <v>17</v>
      </c>
      <c r="O423" s="33">
        <f>IFERROR(__xludf.DUMMYFUNCTION("""COMPUTED_VALUE"""),6.0)</f>
        <v>6</v>
      </c>
      <c r="P423" s="33">
        <f>IFERROR(__xludf.DUMMYFUNCTION("""COMPUTED_VALUE"""),17.0)</f>
        <v>17</v>
      </c>
      <c r="Q423" s="33">
        <f>IFERROR(__xludf.DUMMYFUNCTION("""COMPUTED_VALUE"""),0.0)</f>
        <v>0</v>
      </c>
      <c r="R423" s="33">
        <f>IFERROR(__xludf.DUMMYFUNCTION("""COMPUTED_VALUE"""),58795.0)</f>
        <v>58795</v>
      </c>
      <c r="S423" s="33">
        <f>IFERROR(__xludf.DUMMYFUNCTION("""COMPUTED_VALUE"""),70037.0)</f>
        <v>70037</v>
      </c>
      <c r="T423" s="33">
        <f>IFERROR(__xludf.DUMMYFUNCTION("""COMPUTED_VALUE"""),4.67333333333333)</f>
        <v>4.673333333</v>
      </c>
      <c r="U423" s="33">
        <f>IFERROR(__xludf.DUMMYFUNCTION("""COMPUTED_VALUE"""),2.735)</f>
        <v>2.735</v>
      </c>
      <c r="V423" s="33">
        <f>IFERROR(__xludf.DUMMYFUNCTION("""COMPUTED_VALUE"""),3.42361111111111)</f>
        <v>3.423611111</v>
      </c>
      <c r="W423" s="33">
        <f>IFERROR(__xludf.DUMMYFUNCTION("""COMPUTED_VALUE"""),4.39333333333333)</f>
        <v>4.393333333</v>
      </c>
      <c r="X423" s="33">
        <f>IFERROR(__xludf.DUMMYFUNCTION("""COMPUTED_VALUE"""),0.969722222222222)</f>
        <v>0.9697222222</v>
      </c>
      <c r="Y423" s="33">
        <f>IFERROR(__xludf.DUMMYFUNCTION("""COMPUTED_VALUE"""),4.14444444444444)</f>
        <v>4.144444444</v>
      </c>
      <c r="Z423" s="33">
        <f>IFERROR(__xludf.DUMMYFUNCTION("""COMPUTED_VALUE"""),0.748055555555555)</f>
        <v>0.7480555556</v>
      </c>
      <c r="AA423" s="33">
        <f>IFERROR(__xludf.DUMMYFUNCTION("""COMPUTED_VALUE"""),0.748055555555555)</f>
        <v>0.7480555556</v>
      </c>
      <c r="AB423" s="33">
        <f>IFERROR(__xludf.DUMMYFUNCTION("""COMPUTED_VALUE"""),4.14444444444444)</f>
        <v>4.144444444</v>
      </c>
      <c r="AC423" s="33">
        <f>IFERROR(__xludf.DUMMYFUNCTION("""COMPUTED_VALUE"""),4.14444444444444)</f>
        <v>4.144444444</v>
      </c>
      <c r="AD423" s="33">
        <f>IFERROR(__xludf.DUMMYFUNCTION("""COMPUTED_VALUE"""),1.41888888888888)</f>
        <v>1.418888889</v>
      </c>
      <c r="AE423" s="33">
        <f>IFERROR(__xludf.DUMMYFUNCTION("""COMPUTED_VALUE"""),4.14444444444444)</f>
        <v>4.144444444</v>
      </c>
      <c r="AF423" s="33">
        <f>IFERROR(__xludf.DUMMYFUNCTION("""COMPUTED_VALUE"""),19.0)</f>
        <v>19</v>
      </c>
    </row>
    <row r="424">
      <c r="A424" s="49">
        <f>IFERROR(__xludf.DUMMYFUNCTION("""COMPUTED_VALUE"""),46027.0)</f>
        <v>46027</v>
      </c>
      <c r="B424" s="33" t="str">
        <f>IFERROR(__xludf.DUMMYFUNCTION("""COMPUTED_VALUE"""),"5baf4c80faf4b2d4eb9401a1d0081872e0158e89")</f>
        <v>5baf4c80faf4b2d4eb9401a1d0081872e0158e89</v>
      </c>
      <c r="C424" s="33" t="str">
        <f>IFERROR(__xludf.DUMMYFUNCTION("""COMPUTED_VALUE"""),"Brahmyodha : The Destroyer - Production showId")</f>
        <v>Brahmyodha : The Destroyer - Production showId</v>
      </c>
      <c r="D424" s="33">
        <f>IFERROR(__xludf.DUMMYFUNCTION("""COMPUTED_VALUE"""),2.0)</f>
        <v>2</v>
      </c>
      <c r="E424" s="33">
        <f>IFERROR(__xludf.DUMMYFUNCTION("""COMPUTED_VALUE"""),16.0)</f>
        <v>16</v>
      </c>
      <c r="F424" s="33">
        <f>IFERROR(__xludf.DUMMYFUNCTION("""COMPUTED_VALUE"""),4.0)</f>
        <v>4</v>
      </c>
      <c r="G424" s="33">
        <f>IFERROR(__xludf.DUMMYFUNCTION("""COMPUTED_VALUE"""),0.0)</f>
        <v>0</v>
      </c>
      <c r="H424" s="33">
        <f>IFERROR(__xludf.DUMMYFUNCTION("""COMPUTED_VALUE"""),18.0)</f>
        <v>18</v>
      </c>
      <c r="I424" s="33">
        <f>IFERROR(__xludf.DUMMYFUNCTION("""COMPUTED_VALUE"""),15.0)</f>
        <v>15</v>
      </c>
      <c r="J424" s="33">
        <f>IFERROR(__xludf.DUMMYFUNCTION("""COMPUTED_VALUE"""),18.0)</f>
        <v>18</v>
      </c>
      <c r="K424" s="33">
        <f>IFERROR(__xludf.DUMMYFUNCTION("""COMPUTED_VALUE"""),1.0)</f>
        <v>1</v>
      </c>
      <c r="L424" s="33">
        <f>IFERROR(__xludf.DUMMYFUNCTION("""COMPUTED_VALUE"""),0.0)</f>
        <v>0</v>
      </c>
      <c r="M424" s="33">
        <f>IFERROR(__xludf.DUMMYFUNCTION("""COMPUTED_VALUE"""),18.0)</f>
        <v>18</v>
      </c>
      <c r="N424" s="33">
        <f>IFERROR(__xludf.DUMMYFUNCTION("""COMPUTED_VALUE"""),19.0)</f>
        <v>19</v>
      </c>
      <c r="O424" s="33">
        <f>IFERROR(__xludf.DUMMYFUNCTION("""COMPUTED_VALUE"""),5.0)</f>
        <v>5</v>
      </c>
      <c r="P424" s="33">
        <f>IFERROR(__xludf.DUMMYFUNCTION("""COMPUTED_VALUE"""),19.0)</f>
        <v>19</v>
      </c>
      <c r="Q424" s="33">
        <f>IFERROR(__xludf.DUMMYFUNCTION("""COMPUTED_VALUE"""),0.0)</f>
        <v>0</v>
      </c>
      <c r="R424" s="33">
        <f>IFERROR(__xludf.DUMMYFUNCTION("""COMPUTED_VALUE"""),5031.0)</f>
        <v>5031</v>
      </c>
      <c r="S424" s="33">
        <f>IFERROR(__xludf.DUMMYFUNCTION("""COMPUTED_VALUE"""),43112.0)</f>
        <v>43112</v>
      </c>
      <c r="T424" s="33">
        <f>IFERROR(__xludf.DUMMYFUNCTION("""COMPUTED_VALUE"""),5.04333333333333)</f>
        <v>5.043333333</v>
      </c>
      <c r="U424" s="33">
        <f>IFERROR(__xludf.DUMMYFUNCTION("""COMPUTED_VALUE"""),1.05666666666666)</f>
        <v>1.056666667</v>
      </c>
      <c r="V424" s="33">
        <f>IFERROR(__xludf.DUMMYFUNCTION("""COMPUTED_VALUE"""),0.0)</f>
        <v>0</v>
      </c>
      <c r="W424" s="33">
        <f>IFERROR(__xludf.DUMMYFUNCTION("""COMPUTED_VALUE"""),4.77638888888888)</f>
        <v>4.776388889</v>
      </c>
      <c r="X424" s="33">
        <f>IFERROR(__xludf.DUMMYFUNCTION("""COMPUTED_VALUE"""),3.98666666666666)</f>
        <v>3.986666667</v>
      </c>
      <c r="Y424" s="33">
        <f>IFERROR(__xludf.DUMMYFUNCTION("""COMPUTED_VALUE"""),4.74083333333333)</f>
        <v>4.740833333</v>
      </c>
      <c r="Z424" s="33">
        <f>IFERROR(__xludf.DUMMYFUNCTION("""COMPUTED_VALUE"""),0.276111111111111)</f>
        <v>0.2761111111</v>
      </c>
      <c r="AA424" s="33">
        <f>IFERROR(__xludf.DUMMYFUNCTION("""COMPUTED_VALUE"""),0.0)</f>
        <v>0</v>
      </c>
      <c r="AB424" s="33">
        <f>IFERROR(__xludf.DUMMYFUNCTION("""COMPUTED_VALUE"""),4.74083333333333)</f>
        <v>4.740833333</v>
      </c>
      <c r="AC424" s="33">
        <f>IFERROR(__xludf.DUMMYFUNCTION("""COMPUTED_VALUE"""),4.99777777777777)</f>
        <v>4.997777778</v>
      </c>
      <c r="AD424" s="33">
        <f>IFERROR(__xludf.DUMMYFUNCTION("""COMPUTED_VALUE"""),1.14194444444444)</f>
        <v>1.141944444</v>
      </c>
      <c r="AE424" s="33">
        <f>IFERROR(__xludf.DUMMYFUNCTION("""COMPUTED_VALUE"""),4.99777777777777)</f>
        <v>4.997777778</v>
      </c>
      <c r="AF424" s="33">
        <f>IFERROR(__xludf.DUMMYFUNCTION("""COMPUTED_VALUE"""),19.0)</f>
        <v>19</v>
      </c>
    </row>
    <row r="425">
      <c r="A425" s="49">
        <f>IFERROR(__xludf.DUMMYFUNCTION("""COMPUTED_VALUE"""),46027.0)</f>
        <v>46027</v>
      </c>
      <c r="B425" s="33" t="str">
        <f>IFERROR(__xludf.DUMMYFUNCTION("""COMPUTED_VALUE"""),"641b6f77fd211e92df35a3bcbab67e6879e19a66")</f>
        <v>641b6f77fd211e92df35a3bcbab67e6879e19a66</v>
      </c>
      <c r="C425" s="33" t="str">
        <f>IFERROR(__xludf.DUMMYFUNCTION("""COMPUTED_VALUE"""),"Mahagatha | महागाथा | Author - S. Mauryavanshi")</f>
        <v>Mahagatha | महागाथा | Author - S. Mauryavanshi</v>
      </c>
      <c r="D425" s="33">
        <f>IFERROR(__xludf.DUMMYFUNCTION("""COMPUTED_VALUE"""),11.0)</f>
        <v>11</v>
      </c>
      <c r="E425" s="33">
        <f>IFERROR(__xludf.DUMMYFUNCTION("""COMPUTED_VALUE"""),18.0)</f>
        <v>18</v>
      </c>
      <c r="F425" s="33">
        <f>IFERROR(__xludf.DUMMYFUNCTION("""COMPUTED_VALUE"""),3.0)</f>
        <v>3</v>
      </c>
      <c r="G425" s="33">
        <f>IFERROR(__xludf.DUMMYFUNCTION("""COMPUTED_VALUE"""),0.0)</f>
        <v>0</v>
      </c>
      <c r="H425" s="33">
        <f>IFERROR(__xludf.DUMMYFUNCTION("""COMPUTED_VALUE"""),18.0)</f>
        <v>18</v>
      </c>
      <c r="I425" s="33">
        <f>IFERROR(__xludf.DUMMYFUNCTION("""COMPUTED_VALUE"""),14.0)</f>
        <v>14</v>
      </c>
      <c r="J425" s="33">
        <f>IFERROR(__xludf.DUMMYFUNCTION("""COMPUTED_VALUE"""),22.0)</f>
        <v>22</v>
      </c>
      <c r="K425" s="33">
        <f>IFERROR(__xludf.DUMMYFUNCTION("""COMPUTED_VALUE"""),0.0)</f>
        <v>0</v>
      </c>
      <c r="L425" s="33">
        <f>IFERROR(__xludf.DUMMYFUNCTION("""COMPUTED_VALUE"""),0.0)</f>
        <v>0</v>
      </c>
      <c r="M425" s="33">
        <f>IFERROR(__xludf.DUMMYFUNCTION("""COMPUTED_VALUE"""),19.0)</f>
        <v>19</v>
      </c>
      <c r="N425" s="33">
        <f>IFERROR(__xludf.DUMMYFUNCTION("""COMPUTED_VALUE"""),19.0)</f>
        <v>19</v>
      </c>
      <c r="O425" s="33">
        <f>IFERROR(__xludf.DUMMYFUNCTION("""COMPUTED_VALUE"""),18.0)</f>
        <v>18</v>
      </c>
      <c r="P425" s="33">
        <f>IFERROR(__xludf.DUMMYFUNCTION("""COMPUTED_VALUE"""),19.0)</f>
        <v>19</v>
      </c>
      <c r="Q425" s="33">
        <f>IFERROR(__xludf.DUMMYFUNCTION("""COMPUTED_VALUE"""),0.0)</f>
        <v>0</v>
      </c>
      <c r="R425" s="33">
        <f>IFERROR(__xludf.DUMMYFUNCTION("""COMPUTED_VALUE"""),25815.0)</f>
        <v>25815</v>
      </c>
      <c r="S425" s="33">
        <f>IFERROR(__xludf.DUMMYFUNCTION("""COMPUTED_VALUE"""),41978.0)</f>
        <v>41978</v>
      </c>
      <c r="T425" s="33">
        <f>IFERROR(__xludf.DUMMYFUNCTION("""COMPUTED_VALUE"""),4.01833333333333)</f>
        <v>4.018333333</v>
      </c>
      <c r="U425" s="33">
        <f>IFERROR(__xludf.DUMMYFUNCTION("""COMPUTED_VALUE"""),0.704444444444444)</f>
        <v>0.7044444444</v>
      </c>
      <c r="V425" s="33">
        <f>IFERROR(__xludf.DUMMYFUNCTION("""COMPUTED_VALUE"""),0.0)</f>
        <v>0</v>
      </c>
      <c r="W425" s="33">
        <f>IFERROR(__xludf.DUMMYFUNCTION("""COMPUTED_VALUE"""),4.25555555555555)</f>
        <v>4.255555556</v>
      </c>
      <c r="X425" s="33">
        <f>IFERROR(__xludf.DUMMYFUNCTION("""COMPUTED_VALUE"""),3.31388888888888)</f>
        <v>3.313888889</v>
      </c>
      <c r="Y425" s="33">
        <f>IFERROR(__xludf.DUMMYFUNCTION("""COMPUTED_VALUE"""),5.22222222222222)</f>
        <v>5.222222222</v>
      </c>
      <c r="Z425" s="33">
        <f>IFERROR(__xludf.DUMMYFUNCTION("""COMPUTED_VALUE"""),0.0)</f>
        <v>0</v>
      </c>
      <c r="AA425" s="33">
        <f>IFERROR(__xludf.DUMMYFUNCTION("""COMPUTED_VALUE"""),0.0)</f>
        <v>0</v>
      </c>
      <c r="AB425" s="33">
        <f>IFERROR(__xludf.DUMMYFUNCTION("""COMPUTED_VALUE"""),4.47944444444444)</f>
        <v>4.479444444</v>
      </c>
      <c r="AC425" s="33">
        <f>IFERROR(__xludf.DUMMYFUNCTION("""COMPUTED_VALUE"""),4.47944444444444)</f>
        <v>4.479444444</v>
      </c>
      <c r="AD425" s="33">
        <f>IFERROR(__xludf.DUMMYFUNCTION("""COMPUTED_VALUE"""),4.26916666666666)</f>
        <v>4.269166667</v>
      </c>
      <c r="AE425" s="33">
        <f>IFERROR(__xludf.DUMMYFUNCTION("""COMPUTED_VALUE"""),4.47944444444444)</f>
        <v>4.479444444</v>
      </c>
      <c r="AF425" s="33">
        <f>IFERROR(__xludf.DUMMYFUNCTION("""COMPUTED_VALUE"""),17.0)</f>
        <v>17</v>
      </c>
    </row>
    <row r="426">
      <c r="A426" s="49">
        <f>IFERROR(__xludf.DUMMYFUNCTION("""COMPUTED_VALUE"""),46027.0)</f>
        <v>46027</v>
      </c>
      <c r="B426" s="33" t="str">
        <f>IFERROR(__xludf.DUMMYFUNCTION("""COMPUTED_VALUE"""),"81de0bc81be63a15ef7b7f2a301e23b4f3d49745")</f>
        <v>81de0bc81be63a15ef7b7f2a301e23b4f3d49745</v>
      </c>
      <c r="C426" s="33" t="str">
        <f>IFERROR(__xludf.DUMMYFUNCTION("""COMPUTED_VALUE"""),"Married to a Hard Hearted")</f>
        <v>Married to a Hard Hearted</v>
      </c>
      <c r="D426" s="33">
        <f>IFERROR(__xludf.DUMMYFUNCTION("""COMPUTED_VALUE"""),10.0)</f>
        <v>10</v>
      </c>
      <c r="E426" s="33">
        <f>IFERROR(__xludf.DUMMYFUNCTION("""COMPUTED_VALUE"""),19.0)</f>
        <v>19</v>
      </c>
      <c r="F426" s="33">
        <f>IFERROR(__xludf.DUMMYFUNCTION("""COMPUTED_VALUE"""),6.0)</f>
        <v>6</v>
      </c>
      <c r="G426" s="33">
        <f>IFERROR(__xludf.DUMMYFUNCTION("""COMPUTED_VALUE"""),0.0)</f>
        <v>0</v>
      </c>
      <c r="H426" s="33">
        <f>IFERROR(__xludf.DUMMYFUNCTION("""COMPUTED_VALUE"""),13.0)</f>
        <v>13</v>
      </c>
      <c r="I426" s="33">
        <f>IFERROR(__xludf.DUMMYFUNCTION("""COMPUTED_VALUE"""),9.0)</f>
        <v>9</v>
      </c>
      <c r="J426" s="33">
        <f>IFERROR(__xludf.DUMMYFUNCTION("""COMPUTED_VALUE"""),13.0)</f>
        <v>13</v>
      </c>
      <c r="K426" s="33">
        <f>IFERROR(__xludf.DUMMYFUNCTION("""COMPUTED_VALUE"""),1.0)</f>
        <v>1</v>
      </c>
      <c r="L426" s="33">
        <f>IFERROR(__xludf.DUMMYFUNCTION("""COMPUTED_VALUE"""),0.0)</f>
        <v>0</v>
      </c>
      <c r="M426" s="33">
        <f>IFERROR(__xludf.DUMMYFUNCTION("""COMPUTED_VALUE"""),12.0)</f>
        <v>12</v>
      </c>
      <c r="N426" s="33">
        <f>IFERROR(__xludf.DUMMYFUNCTION("""COMPUTED_VALUE"""),15.0)</f>
        <v>15</v>
      </c>
      <c r="O426" s="33">
        <f>IFERROR(__xludf.DUMMYFUNCTION("""COMPUTED_VALUE"""),7.0)</f>
        <v>7</v>
      </c>
      <c r="P426" s="33">
        <f>IFERROR(__xludf.DUMMYFUNCTION("""COMPUTED_VALUE"""),15.0)</f>
        <v>15</v>
      </c>
      <c r="Q426" s="33">
        <f>IFERROR(__xludf.DUMMYFUNCTION("""COMPUTED_VALUE"""),0.0)</f>
        <v>0</v>
      </c>
      <c r="R426" s="33">
        <f>IFERROR(__xludf.DUMMYFUNCTION("""COMPUTED_VALUE"""),22477.0)</f>
        <v>22477</v>
      </c>
      <c r="S426" s="33">
        <f>IFERROR(__xludf.DUMMYFUNCTION("""COMPUTED_VALUE"""),42042.0)</f>
        <v>42042</v>
      </c>
      <c r="T426" s="33">
        <f>IFERROR(__xludf.DUMMYFUNCTION("""COMPUTED_VALUE"""),2.91166666666666)</f>
        <v>2.911666667</v>
      </c>
      <c r="U426" s="33">
        <f>IFERROR(__xludf.DUMMYFUNCTION("""COMPUTED_VALUE"""),1.18861111111111)</f>
        <v>1.188611111</v>
      </c>
      <c r="V426" s="33">
        <f>IFERROR(__xludf.DUMMYFUNCTION("""COMPUTED_VALUE"""),0.0)</f>
        <v>0</v>
      </c>
      <c r="W426" s="33">
        <f>IFERROR(__xludf.DUMMYFUNCTION("""COMPUTED_VALUE"""),2.52194444444444)</f>
        <v>2.521944444</v>
      </c>
      <c r="X426" s="33">
        <f>IFERROR(__xludf.DUMMYFUNCTION("""COMPUTED_VALUE"""),1.73805555555555)</f>
        <v>1.738055556</v>
      </c>
      <c r="Y426" s="33">
        <f>IFERROR(__xludf.DUMMYFUNCTION("""COMPUTED_VALUE"""),2.515)</f>
        <v>2.515</v>
      </c>
      <c r="Z426" s="33">
        <f>IFERROR(__xludf.DUMMYFUNCTION("""COMPUTED_VALUE"""),0.198055555555555)</f>
        <v>0.1980555556</v>
      </c>
      <c r="AA426" s="33">
        <f>IFERROR(__xludf.DUMMYFUNCTION("""COMPUTED_VALUE"""),0.0)</f>
        <v>0</v>
      </c>
      <c r="AB426" s="33">
        <f>IFERROR(__xludf.DUMMYFUNCTION("""COMPUTED_VALUE"""),2.31694444444444)</f>
        <v>2.316944444</v>
      </c>
      <c r="AC426" s="33">
        <f>IFERROR(__xludf.DUMMYFUNCTION("""COMPUTED_VALUE"""),2.88805555555555)</f>
        <v>2.888055556</v>
      </c>
      <c r="AD426" s="33">
        <f>IFERROR(__xludf.DUMMYFUNCTION("""COMPUTED_VALUE"""),1.30972222222222)</f>
        <v>1.309722222</v>
      </c>
      <c r="AE426" s="33">
        <f>IFERROR(__xludf.DUMMYFUNCTION("""COMPUTED_VALUE"""),2.88805555555555)</f>
        <v>2.888055556</v>
      </c>
      <c r="AF426" s="33">
        <f>IFERROR(__xludf.DUMMYFUNCTION("""COMPUTED_VALUE"""),15.0)</f>
        <v>15</v>
      </c>
    </row>
    <row r="427">
      <c r="A427" s="49">
        <f>IFERROR(__xludf.DUMMYFUNCTION("""COMPUTED_VALUE"""),46027.0)</f>
        <v>46027</v>
      </c>
      <c r="B427" s="33" t="str">
        <f>IFERROR(__xludf.DUMMYFUNCTION("""COMPUTED_VALUE"""),"a3ba65aa427077188e1ad7dbcbcafae266683ca9")</f>
        <v>a3ba65aa427077188e1ad7dbcbcafae266683ca9</v>
      </c>
      <c r="C427" s="33" t="str">
        <f>IFERROR(__xludf.DUMMYFUNCTION("""COMPUTED_VALUE"""),"The Warrior | Author - Dayaram Prajapati")</f>
        <v>The Warrior | Author - Dayaram Prajapati</v>
      </c>
      <c r="D427" s="33">
        <f>IFERROR(__xludf.DUMMYFUNCTION("""COMPUTED_VALUE"""),18.0)</f>
        <v>18</v>
      </c>
      <c r="E427" s="33">
        <f>IFERROR(__xludf.DUMMYFUNCTION("""COMPUTED_VALUE"""),23.0)</f>
        <v>23</v>
      </c>
      <c r="F427" s="33">
        <f>IFERROR(__xludf.DUMMYFUNCTION("""COMPUTED_VALUE"""),0.0)</f>
        <v>0</v>
      </c>
      <c r="G427" s="33">
        <f>IFERROR(__xludf.DUMMYFUNCTION("""COMPUTED_VALUE"""),0.0)</f>
        <v>0</v>
      </c>
      <c r="H427" s="33">
        <f>IFERROR(__xludf.DUMMYFUNCTION("""COMPUTED_VALUE"""),0.0)</f>
        <v>0</v>
      </c>
      <c r="I427" s="33">
        <f>IFERROR(__xludf.DUMMYFUNCTION("""COMPUTED_VALUE"""),0.0)</f>
        <v>0</v>
      </c>
      <c r="J427" s="33">
        <f>IFERROR(__xludf.DUMMYFUNCTION("""COMPUTED_VALUE"""),0.0)</f>
        <v>0</v>
      </c>
      <c r="K427" s="33">
        <f>IFERROR(__xludf.DUMMYFUNCTION("""COMPUTED_VALUE"""),0.0)</f>
        <v>0</v>
      </c>
      <c r="L427" s="33">
        <f>IFERROR(__xludf.DUMMYFUNCTION("""COMPUTED_VALUE"""),0.0)</f>
        <v>0</v>
      </c>
      <c r="M427" s="33">
        <f>IFERROR(__xludf.DUMMYFUNCTION("""COMPUTED_VALUE"""),16.0)</f>
        <v>16</v>
      </c>
      <c r="N427" s="33">
        <f>IFERROR(__xludf.DUMMYFUNCTION("""COMPUTED_VALUE"""),21.0)</f>
        <v>21</v>
      </c>
      <c r="O427" s="33">
        <f>IFERROR(__xludf.DUMMYFUNCTION("""COMPUTED_VALUE"""),5.0)</f>
        <v>5</v>
      </c>
      <c r="P427" s="33">
        <f>IFERROR(__xludf.DUMMYFUNCTION("""COMPUTED_VALUE"""),21.0)</f>
        <v>21</v>
      </c>
      <c r="Q427" s="33">
        <f>IFERROR(__xludf.DUMMYFUNCTION("""COMPUTED_VALUE"""),0.0)</f>
        <v>0</v>
      </c>
      <c r="R427" s="33">
        <f>IFERROR(__xludf.DUMMYFUNCTION("""COMPUTED_VALUE"""),50078.0)</f>
        <v>50078</v>
      </c>
      <c r="S427" s="33">
        <f>IFERROR(__xludf.DUMMYFUNCTION("""COMPUTED_VALUE"""),62557.0)</f>
        <v>62557</v>
      </c>
      <c r="T427" s="33">
        <f>IFERROR(__xludf.DUMMYFUNCTION("""COMPUTED_VALUE"""),0.0)</f>
        <v>0</v>
      </c>
      <c r="U427" s="33">
        <f>IFERROR(__xludf.DUMMYFUNCTION("""COMPUTED_VALUE"""),0.0)</f>
        <v>0</v>
      </c>
      <c r="V427" s="33">
        <f>IFERROR(__xludf.DUMMYFUNCTION("""COMPUTED_VALUE"""),0.0)</f>
        <v>0</v>
      </c>
      <c r="W427" s="33">
        <f>IFERROR(__xludf.DUMMYFUNCTION("""COMPUTED_VALUE"""),0.0)</f>
        <v>0</v>
      </c>
      <c r="X427" s="33">
        <f>IFERROR(__xludf.DUMMYFUNCTION("""COMPUTED_VALUE"""),0.0)</f>
        <v>0</v>
      </c>
      <c r="Y427" s="33">
        <f>IFERROR(__xludf.DUMMYFUNCTION("""COMPUTED_VALUE"""),0.0)</f>
        <v>0</v>
      </c>
      <c r="Z427" s="33">
        <f>IFERROR(__xludf.DUMMYFUNCTION("""COMPUTED_VALUE"""),0.0)</f>
        <v>0</v>
      </c>
      <c r="AA427" s="33">
        <f>IFERROR(__xludf.DUMMYFUNCTION("""COMPUTED_VALUE"""),0.0)</f>
        <v>0</v>
      </c>
      <c r="AB427" s="33">
        <f>IFERROR(__xludf.DUMMYFUNCTION("""COMPUTED_VALUE"""),4.66111111111111)</f>
        <v>4.661111111</v>
      </c>
      <c r="AC427" s="33">
        <f>IFERROR(__xludf.DUMMYFUNCTION("""COMPUTED_VALUE"""),5.98916666666666)</f>
        <v>5.989166667</v>
      </c>
      <c r="AD427" s="33">
        <f>IFERROR(__xludf.DUMMYFUNCTION("""COMPUTED_VALUE"""),1.15388888888888)</f>
        <v>1.153888889</v>
      </c>
      <c r="AE427" s="33">
        <f>IFERROR(__xludf.DUMMYFUNCTION("""COMPUTED_VALUE"""),5.98916666666666)</f>
        <v>5.989166667</v>
      </c>
      <c r="AF427" s="33">
        <f>IFERROR(__xludf.DUMMYFUNCTION("""COMPUTED_VALUE"""),0.0)</f>
        <v>0</v>
      </c>
    </row>
    <row r="428">
      <c r="A428" s="49">
        <f>IFERROR(__xludf.DUMMYFUNCTION("""COMPUTED_VALUE"""),46027.0)</f>
        <v>46027</v>
      </c>
      <c r="B428" s="33" t="str">
        <f>IFERROR(__xludf.DUMMYFUNCTION("""COMPUTED_VALUE"""),"aa81f1feb820ed6f22bd7b22b55890db740929cb")</f>
        <v>aa81f1feb820ed6f22bd7b22b55890db740929cb</v>
      </c>
      <c r="C428" s="33" t="str">
        <f>IFERROR(__xludf.DUMMYFUNCTION("""COMPUTED_VALUE"""),"Shunya Samrat")</f>
        <v>Shunya Samrat</v>
      </c>
      <c r="D428" s="33">
        <f>IFERROR(__xludf.DUMMYFUNCTION("""COMPUTED_VALUE"""),15.0)</f>
        <v>15</v>
      </c>
      <c r="E428" s="33">
        <f>IFERROR(__xludf.DUMMYFUNCTION("""COMPUTED_VALUE"""),20.0)</f>
        <v>20</v>
      </c>
      <c r="F428" s="33">
        <f>IFERROR(__xludf.DUMMYFUNCTION("""COMPUTED_VALUE"""),6.0)</f>
        <v>6</v>
      </c>
      <c r="G428" s="33">
        <f>IFERROR(__xludf.DUMMYFUNCTION("""COMPUTED_VALUE"""),0.0)</f>
        <v>0</v>
      </c>
      <c r="H428" s="33">
        <f>IFERROR(__xludf.DUMMYFUNCTION("""COMPUTED_VALUE"""),8.0)</f>
        <v>8</v>
      </c>
      <c r="I428" s="33">
        <f>IFERROR(__xludf.DUMMYFUNCTION("""COMPUTED_VALUE"""),4.0)</f>
        <v>4</v>
      </c>
      <c r="J428" s="33">
        <f>IFERROR(__xludf.DUMMYFUNCTION("""COMPUTED_VALUE"""),7.0)</f>
        <v>7</v>
      </c>
      <c r="K428" s="33">
        <f>IFERROR(__xludf.DUMMYFUNCTION("""COMPUTED_VALUE"""),4.0)</f>
        <v>4</v>
      </c>
      <c r="L428" s="33">
        <f>IFERROR(__xludf.DUMMYFUNCTION("""COMPUTED_VALUE"""),0.0)</f>
        <v>0</v>
      </c>
      <c r="M428" s="33">
        <f>IFERROR(__xludf.DUMMYFUNCTION("""COMPUTED_VALUE"""),6.0)</f>
        <v>6</v>
      </c>
      <c r="N428" s="33">
        <f>IFERROR(__xludf.DUMMYFUNCTION("""COMPUTED_VALUE"""),6.0)</f>
        <v>6</v>
      </c>
      <c r="O428" s="33">
        <f>IFERROR(__xludf.DUMMYFUNCTION("""COMPUTED_VALUE"""),6.0)</f>
        <v>6</v>
      </c>
      <c r="P428" s="33">
        <f>IFERROR(__xludf.DUMMYFUNCTION("""COMPUTED_VALUE"""),6.0)</f>
        <v>6</v>
      </c>
      <c r="Q428" s="33">
        <f>IFERROR(__xludf.DUMMYFUNCTION("""COMPUTED_VALUE"""),0.0)</f>
        <v>0</v>
      </c>
      <c r="R428" s="33">
        <f>IFERROR(__xludf.DUMMYFUNCTION("""COMPUTED_VALUE"""),33438.0)</f>
        <v>33438</v>
      </c>
      <c r="S428" s="33">
        <f>IFERROR(__xludf.DUMMYFUNCTION("""COMPUTED_VALUE"""),40323.0)</f>
        <v>40323</v>
      </c>
      <c r="T428" s="33">
        <f>IFERROR(__xludf.DUMMYFUNCTION("""COMPUTED_VALUE"""),0.7825)</f>
        <v>0.7825</v>
      </c>
      <c r="U428" s="33">
        <f>IFERROR(__xludf.DUMMYFUNCTION("""COMPUTED_VALUE"""),1.19027777777777)</f>
        <v>1.190277778</v>
      </c>
      <c r="V428" s="33">
        <f>IFERROR(__xludf.DUMMYFUNCTION("""COMPUTED_VALUE"""),0.0)</f>
        <v>0</v>
      </c>
      <c r="W428" s="33">
        <f>IFERROR(__xludf.DUMMYFUNCTION("""COMPUTED_VALUE"""),1.61194444444444)</f>
        <v>1.611944444</v>
      </c>
      <c r="X428" s="33">
        <f>IFERROR(__xludf.DUMMYFUNCTION("""COMPUTED_VALUE"""),0.810833333333333)</f>
        <v>0.8108333333</v>
      </c>
      <c r="Y428" s="33">
        <f>IFERROR(__xludf.DUMMYFUNCTION("""COMPUTED_VALUE"""),1.41611111111111)</f>
        <v>1.416111111</v>
      </c>
      <c r="Z428" s="33">
        <f>IFERROR(__xludf.DUMMYFUNCTION("""COMPUTED_VALUE"""),0.809444444444444)</f>
        <v>0.8094444444</v>
      </c>
      <c r="AA428" s="33">
        <f>IFERROR(__xludf.DUMMYFUNCTION("""COMPUTED_VALUE"""),0.0)</f>
        <v>0</v>
      </c>
      <c r="AB428" s="33">
        <f>IFERROR(__xludf.DUMMYFUNCTION("""COMPUTED_VALUE"""),1.22138888888888)</f>
        <v>1.221388889</v>
      </c>
      <c r="AC428" s="33">
        <f>IFERROR(__xludf.DUMMYFUNCTION("""COMPUTED_VALUE"""),1.22138888888888)</f>
        <v>1.221388889</v>
      </c>
      <c r="AD428" s="33">
        <f>IFERROR(__xludf.DUMMYFUNCTION("""COMPUTED_VALUE"""),1.27972222222222)</f>
        <v>1.279722222</v>
      </c>
      <c r="AE428" s="33">
        <f>IFERROR(__xludf.DUMMYFUNCTION("""COMPUTED_VALUE"""),1.22138888888888)</f>
        <v>1.221388889</v>
      </c>
      <c r="AF428" s="33">
        <f>IFERROR(__xludf.DUMMYFUNCTION("""COMPUTED_VALUE"""),4.0)</f>
        <v>4</v>
      </c>
    </row>
    <row r="429">
      <c r="A429" s="49">
        <f>IFERROR(__xludf.DUMMYFUNCTION("""COMPUTED_VALUE"""),46027.0)</f>
        <v>46027</v>
      </c>
      <c r="B429" s="33" t="str">
        <f>IFERROR(__xludf.DUMMYFUNCTION("""COMPUTED_VALUE"""),"b9727274f880f47671ad54caad4904a491fad9c7")</f>
        <v>b9727274f880f47671ad54caad4904a491fad9c7</v>
      </c>
      <c r="C429" s="33" t="str">
        <f>IFERROR(__xludf.DUMMYFUNCTION("""COMPUTED_VALUE"""),"Brahmand Ka Rakshak - Production Show")</f>
        <v>Brahmand Ka Rakshak - Production Show</v>
      </c>
      <c r="D429" s="33">
        <f>IFERROR(__xludf.DUMMYFUNCTION("""COMPUTED_VALUE"""),20.0)</f>
        <v>20</v>
      </c>
      <c r="E429" s="33">
        <f>IFERROR(__xludf.DUMMYFUNCTION("""COMPUTED_VALUE"""),17.0)</f>
        <v>17</v>
      </c>
      <c r="F429" s="33">
        <f>IFERROR(__xludf.DUMMYFUNCTION("""COMPUTED_VALUE"""),4.0)</f>
        <v>4</v>
      </c>
      <c r="G429" s="33">
        <f>IFERROR(__xludf.DUMMYFUNCTION("""COMPUTED_VALUE"""),4.0)</f>
        <v>4</v>
      </c>
      <c r="H429" s="33">
        <f>IFERROR(__xludf.DUMMYFUNCTION("""COMPUTED_VALUE"""),12.0)</f>
        <v>12</v>
      </c>
      <c r="I429" s="33">
        <f>IFERROR(__xludf.DUMMYFUNCTION("""COMPUTED_VALUE"""),8.0)</f>
        <v>8</v>
      </c>
      <c r="J429" s="33">
        <f>IFERROR(__xludf.DUMMYFUNCTION("""COMPUTED_VALUE"""),14.0)</f>
        <v>14</v>
      </c>
      <c r="K429" s="33">
        <f>IFERROR(__xludf.DUMMYFUNCTION("""COMPUTED_VALUE"""),3.0)</f>
        <v>3</v>
      </c>
      <c r="L429" s="33">
        <f>IFERROR(__xludf.DUMMYFUNCTION("""COMPUTED_VALUE"""),3.0)</f>
        <v>3</v>
      </c>
      <c r="M429" s="33">
        <f>IFERROR(__xludf.DUMMYFUNCTION("""COMPUTED_VALUE"""),14.0)</f>
        <v>14</v>
      </c>
      <c r="N429" s="33">
        <f>IFERROR(__xludf.DUMMYFUNCTION("""COMPUTED_VALUE"""),15.0)</f>
        <v>15</v>
      </c>
      <c r="O429" s="33">
        <f>IFERROR(__xludf.DUMMYFUNCTION("""COMPUTED_VALUE"""),5.0)</f>
        <v>5</v>
      </c>
      <c r="P429" s="33">
        <f>IFERROR(__xludf.DUMMYFUNCTION("""COMPUTED_VALUE"""),15.0)</f>
        <v>15</v>
      </c>
      <c r="Q429" s="33">
        <f>IFERROR(__xludf.DUMMYFUNCTION("""COMPUTED_VALUE"""),0.0)</f>
        <v>0</v>
      </c>
      <c r="R429" s="33">
        <f>IFERROR(__xludf.DUMMYFUNCTION("""COMPUTED_VALUE"""),48018.0)</f>
        <v>48018</v>
      </c>
      <c r="S429" s="33">
        <f>IFERROR(__xludf.DUMMYFUNCTION("""COMPUTED_VALUE"""),33725.0)</f>
        <v>33725</v>
      </c>
      <c r="T429" s="33">
        <f>IFERROR(__xludf.DUMMYFUNCTION("""COMPUTED_VALUE"""),2.40388888888888)</f>
        <v>2.403888889</v>
      </c>
      <c r="U429" s="33">
        <f>IFERROR(__xludf.DUMMYFUNCTION("""COMPUTED_VALUE"""),0.820555555555555)</f>
        <v>0.8205555556</v>
      </c>
      <c r="V429" s="33">
        <f>IFERROR(__xludf.DUMMYFUNCTION("""COMPUTED_VALUE"""),0.825555555555555)</f>
        <v>0.8255555556</v>
      </c>
      <c r="W429" s="33">
        <f>IFERROR(__xludf.DUMMYFUNCTION("""COMPUTED_VALUE"""),2.40888888888888)</f>
        <v>2.408888889</v>
      </c>
      <c r="X429" s="33">
        <f>IFERROR(__xludf.DUMMYFUNCTION("""COMPUTED_VALUE"""),1.58333333333333)</f>
        <v>1.583333333</v>
      </c>
      <c r="Y429" s="33">
        <f>IFERROR(__xludf.DUMMYFUNCTION("""COMPUTED_VALUE"""),2.82027777777777)</f>
        <v>2.820277778</v>
      </c>
      <c r="Z429" s="33">
        <f>IFERROR(__xludf.DUMMYFUNCTION("""COMPUTED_VALUE"""),0.603888888888888)</f>
        <v>0.6038888889</v>
      </c>
      <c r="AA429" s="33">
        <f>IFERROR(__xludf.DUMMYFUNCTION("""COMPUTED_VALUE"""),0.604166666666666)</f>
        <v>0.6041666667</v>
      </c>
      <c r="AB429" s="33">
        <f>IFERROR(__xludf.DUMMYFUNCTION("""COMPUTED_VALUE"""),2.82055555555555)</f>
        <v>2.820555556</v>
      </c>
      <c r="AC429" s="33">
        <f>IFERROR(__xludf.DUMMYFUNCTION("""COMPUTED_VALUE"""),3.03777777777777)</f>
        <v>3.037777778</v>
      </c>
      <c r="AD429" s="33">
        <f>IFERROR(__xludf.DUMMYFUNCTION("""COMPUTED_VALUE"""),1.01527777777777)</f>
        <v>1.015277778</v>
      </c>
      <c r="AE429" s="33">
        <f>IFERROR(__xludf.DUMMYFUNCTION("""COMPUTED_VALUE"""),3.03777777777777)</f>
        <v>3.037777778</v>
      </c>
      <c r="AF429" s="33">
        <f>IFERROR(__xludf.DUMMYFUNCTION("""COMPUTED_VALUE"""),12.0)</f>
        <v>12</v>
      </c>
    </row>
    <row r="430">
      <c r="A430" s="49">
        <f>IFERROR(__xludf.DUMMYFUNCTION("""COMPUTED_VALUE"""),46027.0)</f>
        <v>46027</v>
      </c>
      <c r="B430" s="33" t="str">
        <f>IFERROR(__xludf.DUMMYFUNCTION("""COMPUTED_VALUE"""),"bb6f447c782519839d8793fda0d35f90bad4421a")</f>
        <v>bb6f447c782519839d8793fda0d35f90bad4421a</v>
      </c>
      <c r="C430" s="33" t="str">
        <f>IFERROR(__xludf.DUMMYFUNCTION("""COMPUTED_VALUE"""),"Ruthless")</f>
        <v>Ruthless</v>
      </c>
      <c r="D430" s="33">
        <f>IFERROR(__xludf.DUMMYFUNCTION("""COMPUTED_VALUE"""),1.0)</f>
        <v>1</v>
      </c>
      <c r="E430" s="33">
        <f>IFERROR(__xludf.DUMMYFUNCTION("""COMPUTED_VALUE"""),0.0)</f>
        <v>0</v>
      </c>
      <c r="F430" s="33">
        <f>IFERROR(__xludf.DUMMYFUNCTION("""COMPUTED_VALUE"""),0.0)</f>
        <v>0</v>
      </c>
      <c r="G430" s="33">
        <f>IFERROR(__xludf.DUMMYFUNCTION("""COMPUTED_VALUE"""),0.0)</f>
        <v>0</v>
      </c>
      <c r="H430" s="33">
        <f>IFERROR(__xludf.DUMMYFUNCTION("""COMPUTED_VALUE"""),0.0)</f>
        <v>0</v>
      </c>
      <c r="I430" s="33">
        <f>IFERROR(__xludf.DUMMYFUNCTION("""COMPUTED_VALUE"""),0.0)</f>
        <v>0</v>
      </c>
      <c r="J430" s="33">
        <f>IFERROR(__xludf.DUMMYFUNCTION("""COMPUTED_VALUE"""),0.0)</f>
        <v>0</v>
      </c>
      <c r="K430" s="33">
        <f>IFERROR(__xludf.DUMMYFUNCTION("""COMPUTED_VALUE"""),0.0)</f>
        <v>0</v>
      </c>
      <c r="L430" s="33">
        <f>IFERROR(__xludf.DUMMYFUNCTION("""COMPUTED_VALUE"""),0.0)</f>
        <v>0</v>
      </c>
      <c r="M430" s="33">
        <f>IFERROR(__xludf.DUMMYFUNCTION("""COMPUTED_VALUE"""),0.0)</f>
        <v>0</v>
      </c>
      <c r="N430" s="33">
        <f>IFERROR(__xludf.DUMMYFUNCTION("""COMPUTED_VALUE"""),0.0)</f>
        <v>0</v>
      </c>
      <c r="O430" s="33">
        <f>IFERROR(__xludf.DUMMYFUNCTION("""COMPUTED_VALUE"""),0.0)</f>
        <v>0</v>
      </c>
      <c r="P430" s="33">
        <f>IFERROR(__xludf.DUMMYFUNCTION("""COMPUTED_VALUE"""),0.0)</f>
        <v>0</v>
      </c>
      <c r="Q430" s="33">
        <f>IFERROR(__xludf.DUMMYFUNCTION("""COMPUTED_VALUE"""),0.0)</f>
        <v>0</v>
      </c>
      <c r="R430" s="33">
        <f>IFERROR(__xludf.DUMMYFUNCTION("""COMPUTED_VALUE"""),2615.0)</f>
        <v>2615</v>
      </c>
      <c r="S430" s="33">
        <f>IFERROR(__xludf.DUMMYFUNCTION("""COMPUTED_VALUE"""),0.0)</f>
        <v>0</v>
      </c>
      <c r="T430" s="33">
        <f>IFERROR(__xludf.DUMMYFUNCTION("""COMPUTED_VALUE"""),0.0)</f>
        <v>0</v>
      </c>
      <c r="U430" s="33">
        <f>IFERROR(__xludf.DUMMYFUNCTION("""COMPUTED_VALUE"""),0.0)</f>
        <v>0</v>
      </c>
      <c r="V430" s="33">
        <f>IFERROR(__xludf.DUMMYFUNCTION("""COMPUTED_VALUE"""),0.0)</f>
        <v>0</v>
      </c>
      <c r="W430" s="33">
        <f>IFERROR(__xludf.DUMMYFUNCTION("""COMPUTED_VALUE"""),0.0)</f>
        <v>0</v>
      </c>
      <c r="X430" s="33">
        <f>IFERROR(__xludf.DUMMYFUNCTION("""COMPUTED_VALUE"""),0.0)</f>
        <v>0</v>
      </c>
      <c r="Y430" s="33">
        <f>IFERROR(__xludf.DUMMYFUNCTION("""COMPUTED_VALUE"""),0.0)</f>
        <v>0</v>
      </c>
      <c r="Z430" s="33">
        <f>IFERROR(__xludf.DUMMYFUNCTION("""COMPUTED_VALUE"""),0.0)</f>
        <v>0</v>
      </c>
      <c r="AA430" s="33">
        <f>IFERROR(__xludf.DUMMYFUNCTION("""COMPUTED_VALUE"""),0.0)</f>
        <v>0</v>
      </c>
      <c r="AB430" s="33">
        <f>IFERROR(__xludf.DUMMYFUNCTION("""COMPUTED_VALUE"""),0.0)</f>
        <v>0</v>
      </c>
      <c r="AC430" s="33">
        <f>IFERROR(__xludf.DUMMYFUNCTION("""COMPUTED_VALUE"""),0.0)</f>
        <v>0</v>
      </c>
      <c r="AD430" s="33">
        <f>IFERROR(__xludf.DUMMYFUNCTION("""COMPUTED_VALUE"""),0.0)</f>
        <v>0</v>
      </c>
      <c r="AE430" s="33">
        <f>IFERROR(__xludf.DUMMYFUNCTION("""COMPUTED_VALUE"""),0.0)</f>
        <v>0</v>
      </c>
      <c r="AF430" s="33">
        <f>IFERROR(__xludf.DUMMYFUNCTION("""COMPUTED_VALUE"""),0.0)</f>
        <v>0</v>
      </c>
    </row>
    <row r="431">
      <c r="A431" s="49">
        <f>IFERROR(__xludf.DUMMYFUNCTION("""COMPUTED_VALUE"""),46027.0)</f>
        <v>46027</v>
      </c>
      <c r="B431" s="33" t="str">
        <f>IFERROR(__xludf.DUMMYFUNCTION("""COMPUTED_VALUE"""),"ca6c466ebfcd2658a9f1641045f468c15417a1e7")</f>
        <v>ca6c466ebfcd2658a9f1641045f468c15417a1e7</v>
      </c>
      <c r="C431" s="33" t="str">
        <f>IFERROR(__xludf.DUMMYFUNCTION("""COMPUTED_VALUE"""),"My Mysterious Princess")</f>
        <v>My Mysterious Princess</v>
      </c>
      <c r="D431" s="33">
        <f>IFERROR(__xludf.DUMMYFUNCTION("""COMPUTED_VALUE"""),14.0)</f>
        <v>14</v>
      </c>
      <c r="E431" s="33">
        <f>IFERROR(__xludf.DUMMYFUNCTION("""COMPUTED_VALUE"""),19.0)</f>
        <v>19</v>
      </c>
      <c r="F431" s="33">
        <f>IFERROR(__xludf.DUMMYFUNCTION("""COMPUTED_VALUE"""),8.0)</f>
        <v>8</v>
      </c>
      <c r="G431" s="33">
        <f>IFERROR(__xludf.DUMMYFUNCTION("""COMPUTED_VALUE"""),0.0)</f>
        <v>0</v>
      </c>
      <c r="H431" s="33">
        <f>IFERROR(__xludf.DUMMYFUNCTION("""COMPUTED_VALUE"""),15.0)</f>
        <v>15</v>
      </c>
      <c r="I431" s="33">
        <f>IFERROR(__xludf.DUMMYFUNCTION("""COMPUTED_VALUE"""),6.0)</f>
        <v>6</v>
      </c>
      <c r="J431" s="33">
        <f>IFERROR(__xludf.DUMMYFUNCTION("""COMPUTED_VALUE"""),16.0)</f>
        <v>16</v>
      </c>
      <c r="K431" s="33">
        <f>IFERROR(__xludf.DUMMYFUNCTION("""COMPUTED_VALUE"""),0.0)</f>
        <v>0</v>
      </c>
      <c r="L431" s="33">
        <f>IFERROR(__xludf.DUMMYFUNCTION("""COMPUTED_VALUE"""),0.0)</f>
        <v>0</v>
      </c>
      <c r="M431" s="33">
        <f>IFERROR(__xludf.DUMMYFUNCTION("""COMPUTED_VALUE"""),14.0)</f>
        <v>14</v>
      </c>
      <c r="N431" s="33">
        <f>IFERROR(__xludf.DUMMYFUNCTION("""COMPUTED_VALUE"""),14.0)</f>
        <v>14</v>
      </c>
      <c r="O431" s="33">
        <f>IFERROR(__xludf.DUMMYFUNCTION("""COMPUTED_VALUE"""),7.0)</f>
        <v>7</v>
      </c>
      <c r="P431" s="33">
        <f>IFERROR(__xludf.DUMMYFUNCTION("""COMPUTED_VALUE"""),14.0)</f>
        <v>14</v>
      </c>
      <c r="Q431" s="33">
        <f>IFERROR(__xludf.DUMMYFUNCTION("""COMPUTED_VALUE"""),0.0)</f>
        <v>0</v>
      </c>
      <c r="R431" s="33">
        <f>IFERROR(__xludf.DUMMYFUNCTION("""COMPUTED_VALUE"""),33022.0)</f>
        <v>33022</v>
      </c>
      <c r="S431" s="33">
        <f>IFERROR(__xludf.DUMMYFUNCTION("""COMPUTED_VALUE"""),45493.0)</f>
        <v>45493</v>
      </c>
      <c r="T431" s="33">
        <f>IFERROR(__xludf.DUMMYFUNCTION("""COMPUTED_VALUE"""),3.72138888888888)</f>
        <v>3.721388889</v>
      </c>
      <c r="U431" s="33">
        <f>IFERROR(__xludf.DUMMYFUNCTION("""COMPUTED_VALUE"""),1.82694444444444)</f>
        <v>1.826944444</v>
      </c>
      <c r="V431" s="33">
        <f>IFERROR(__xludf.DUMMYFUNCTION("""COMPUTED_VALUE"""),0.0)</f>
        <v>0</v>
      </c>
      <c r="W431" s="33">
        <f>IFERROR(__xludf.DUMMYFUNCTION("""COMPUTED_VALUE"""),3.48222222222222)</f>
        <v>3.482222222</v>
      </c>
      <c r="X431" s="33">
        <f>IFERROR(__xludf.DUMMYFUNCTION("""COMPUTED_VALUE"""),1.36222222222222)</f>
        <v>1.362222222</v>
      </c>
      <c r="Y431" s="33">
        <f>IFERROR(__xludf.DUMMYFUNCTION("""COMPUTED_VALUE"""),3.72611111111111)</f>
        <v>3.726111111</v>
      </c>
      <c r="Z431" s="33">
        <f>IFERROR(__xludf.DUMMYFUNCTION("""COMPUTED_VALUE"""),0.0)</f>
        <v>0</v>
      </c>
      <c r="AA431" s="33">
        <f>IFERROR(__xludf.DUMMYFUNCTION("""COMPUTED_VALUE"""),0.0)</f>
        <v>0</v>
      </c>
      <c r="AB431" s="33">
        <f>IFERROR(__xludf.DUMMYFUNCTION("""COMPUTED_VALUE"""),3.24666666666666)</f>
        <v>3.246666667</v>
      </c>
      <c r="AC431" s="33">
        <f>IFERROR(__xludf.DUMMYFUNCTION("""COMPUTED_VALUE"""),3.24388888888888)</f>
        <v>3.243888889</v>
      </c>
      <c r="AD431" s="33">
        <f>IFERROR(__xludf.DUMMYFUNCTION("""COMPUTED_VALUE"""),1.80805555555555)</f>
        <v>1.808055556</v>
      </c>
      <c r="AE431" s="33">
        <f>IFERROR(__xludf.DUMMYFUNCTION("""COMPUTED_VALUE"""),3.24388888888888)</f>
        <v>3.243888889</v>
      </c>
      <c r="AF431" s="33">
        <f>IFERROR(__xludf.DUMMYFUNCTION("""COMPUTED_VALUE"""),16.0)</f>
        <v>16</v>
      </c>
    </row>
    <row r="432">
      <c r="A432" s="49">
        <f>IFERROR(__xludf.DUMMYFUNCTION("""COMPUTED_VALUE"""),46027.0)</f>
        <v>46027</v>
      </c>
      <c r="B432" s="33" t="str">
        <f>IFERROR(__xludf.DUMMYFUNCTION("""COMPUTED_VALUE"""),"dbbc7f35e9eb33b7562f0fd82896e827101bf13c")</f>
        <v>dbbc7f35e9eb33b7562f0fd82896e827101bf13c</v>
      </c>
      <c r="C432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432" s="33">
        <f>IFERROR(__xludf.DUMMYFUNCTION("""COMPUTED_VALUE"""),0.0)</f>
        <v>0</v>
      </c>
      <c r="E432" s="33">
        <f>IFERROR(__xludf.DUMMYFUNCTION("""COMPUTED_VALUE"""),0.0)</f>
        <v>0</v>
      </c>
      <c r="F432" s="33">
        <f>IFERROR(__xludf.DUMMYFUNCTION("""COMPUTED_VALUE"""),0.0)</f>
        <v>0</v>
      </c>
      <c r="G432" s="33">
        <f>IFERROR(__xludf.DUMMYFUNCTION("""COMPUTED_VALUE"""),0.0)</f>
        <v>0</v>
      </c>
      <c r="H432" s="33">
        <f>IFERROR(__xludf.DUMMYFUNCTION("""COMPUTED_VALUE"""),0.0)</f>
        <v>0</v>
      </c>
      <c r="I432" s="33">
        <f>IFERROR(__xludf.DUMMYFUNCTION("""COMPUTED_VALUE"""),0.0)</f>
        <v>0</v>
      </c>
      <c r="J432" s="33">
        <f>IFERROR(__xludf.DUMMYFUNCTION("""COMPUTED_VALUE"""),0.0)</f>
        <v>0</v>
      </c>
      <c r="K432" s="33">
        <f>IFERROR(__xludf.DUMMYFUNCTION("""COMPUTED_VALUE"""),0.0)</f>
        <v>0</v>
      </c>
      <c r="L432" s="33">
        <f>IFERROR(__xludf.DUMMYFUNCTION("""COMPUTED_VALUE"""),0.0)</f>
        <v>0</v>
      </c>
      <c r="M432" s="33">
        <f>IFERROR(__xludf.DUMMYFUNCTION("""COMPUTED_VALUE"""),0.0)</f>
        <v>0</v>
      </c>
      <c r="N432" s="33">
        <f>IFERROR(__xludf.DUMMYFUNCTION("""COMPUTED_VALUE"""),602.0)</f>
        <v>602</v>
      </c>
      <c r="O432" s="33">
        <f>IFERROR(__xludf.DUMMYFUNCTION("""COMPUTED_VALUE"""),7.0)</f>
        <v>7</v>
      </c>
      <c r="P432" s="33">
        <f>IFERROR(__xludf.DUMMYFUNCTION("""COMPUTED_VALUE"""),125.0)</f>
        <v>125</v>
      </c>
      <c r="Q432" s="33">
        <f>IFERROR(__xludf.DUMMYFUNCTION("""COMPUTED_VALUE"""),0.0)</f>
        <v>0</v>
      </c>
      <c r="R432" s="33">
        <f>IFERROR(__xludf.DUMMYFUNCTION("""COMPUTED_VALUE"""),0.0)</f>
        <v>0</v>
      </c>
      <c r="S432" s="33">
        <f>IFERROR(__xludf.DUMMYFUNCTION("""COMPUTED_VALUE"""),0.0)</f>
        <v>0</v>
      </c>
      <c r="T432" s="33">
        <f>IFERROR(__xludf.DUMMYFUNCTION("""COMPUTED_VALUE"""),0.0)</f>
        <v>0</v>
      </c>
      <c r="U432" s="33">
        <f>IFERROR(__xludf.DUMMYFUNCTION("""COMPUTED_VALUE"""),0.0)</f>
        <v>0</v>
      </c>
      <c r="V432" s="33">
        <f>IFERROR(__xludf.DUMMYFUNCTION("""COMPUTED_VALUE"""),0.0)</f>
        <v>0</v>
      </c>
      <c r="W432" s="33">
        <f>IFERROR(__xludf.DUMMYFUNCTION("""COMPUTED_VALUE"""),0.0)</f>
        <v>0</v>
      </c>
      <c r="X432" s="33">
        <f>IFERROR(__xludf.DUMMYFUNCTION("""COMPUTED_VALUE"""),0.0)</f>
        <v>0</v>
      </c>
      <c r="Y432" s="33">
        <f>IFERROR(__xludf.DUMMYFUNCTION("""COMPUTED_VALUE"""),0.0)</f>
        <v>0</v>
      </c>
      <c r="Z432" s="33">
        <f>IFERROR(__xludf.DUMMYFUNCTION("""COMPUTED_VALUE"""),0.0)</f>
        <v>0</v>
      </c>
      <c r="AA432" s="33">
        <f>IFERROR(__xludf.DUMMYFUNCTION("""COMPUTED_VALUE"""),0.0)</f>
        <v>0</v>
      </c>
      <c r="AB432" s="33">
        <f>IFERROR(__xludf.DUMMYFUNCTION("""COMPUTED_VALUE"""),0.0)</f>
        <v>0</v>
      </c>
      <c r="AC432" s="33">
        <f>IFERROR(__xludf.DUMMYFUNCTION("""COMPUTED_VALUE"""),162.830555555555)</f>
        <v>162.8305556</v>
      </c>
      <c r="AD432" s="33">
        <f>IFERROR(__xludf.DUMMYFUNCTION("""COMPUTED_VALUE"""),1.39527777777777)</f>
        <v>1.395277778</v>
      </c>
      <c r="AE432" s="33">
        <f>IFERROR(__xludf.DUMMYFUNCTION("""COMPUTED_VALUE"""),33.3602777777777)</f>
        <v>33.36027778</v>
      </c>
      <c r="AF432" s="33">
        <f>IFERROR(__xludf.DUMMYFUNCTION("""COMPUTED_VALUE"""),0.0)</f>
        <v>0</v>
      </c>
    </row>
    <row r="433">
      <c r="A433" s="49">
        <f>IFERROR(__xludf.DUMMYFUNCTION("""COMPUTED_VALUE"""),46027.0)</f>
        <v>46027</v>
      </c>
      <c r="B433" s="33" t="str">
        <f>IFERROR(__xludf.DUMMYFUNCTION("""COMPUTED_VALUE"""),"e493cee863483a057af12de782cd20043a19ed05")</f>
        <v>e493cee863483a057af12de782cd20043a19ed05</v>
      </c>
      <c r="C433" s="33" t="str">
        <f>IFERROR(__xludf.DUMMYFUNCTION("""COMPUTED_VALUE"""),"Malang")</f>
        <v>Malang</v>
      </c>
      <c r="D433" s="33">
        <f>IFERROR(__xludf.DUMMYFUNCTION("""COMPUTED_VALUE"""),9.0)</f>
        <v>9</v>
      </c>
      <c r="E433" s="33">
        <f>IFERROR(__xludf.DUMMYFUNCTION("""COMPUTED_VALUE"""),26.0)</f>
        <v>26</v>
      </c>
      <c r="F433" s="33">
        <f>IFERROR(__xludf.DUMMYFUNCTION("""COMPUTED_VALUE"""),8.0)</f>
        <v>8</v>
      </c>
      <c r="G433" s="33">
        <f>IFERROR(__xludf.DUMMYFUNCTION("""COMPUTED_VALUE"""),0.0)</f>
        <v>0</v>
      </c>
      <c r="H433" s="33">
        <f>IFERROR(__xludf.DUMMYFUNCTION("""COMPUTED_VALUE"""),13.0)</f>
        <v>13</v>
      </c>
      <c r="I433" s="33">
        <f>IFERROR(__xludf.DUMMYFUNCTION("""COMPUTED_VALUE"""),7.0)</f>
        <v>7</v>
      </c>
      <c r="J433" s="33">
        <f>IFERROR(__xludf.DUMMYFUNCTION("""COMPUTED_VALUE"""),12.0)</f>
        <v>12</v>
      </c>
      <c r="K433" s="33">
        <f>IFERROR(__xludf.DUMMYFUNCTION("""COMPUTED_VALUE"""),3.0)</f>
        <v>3</v>
      </c>
      <c r="L433" s="33">
        <f>IFERROR(__xludf.DUMMYFUNCTION("""COMPUTED_VALUE"""),0.0)</f>
        <v>0</v>
      </c>
      <c r="M433" s="33">
        <f>IFERROR(__xludf.DUMMYFUNCTION("""COMPUTED_VALUE"""),10.0)</f>
        <v>10</v>
      </c>
      <c r="N433" s="33">
        <f>IFERROR(__xludf.DUMMYFUNCTION("""COMPUTED_VALUE"""),10.0)</f>
        <v>10</v>
      </c>
      <c r="O433" s="33">
        <f>IFERROR(__xludf.DUMMYFUNCTION("""COMPUTED_VALUE"""),7.0)</f>
        <v>7</v>
      </c>
      <c r="P433" s="33">
        <f>IFERROR(__xludf.DUMMYFUNCTION("""COMPUTED_VALUE"""),10.0)</f>
        <v>10</v>
      </c>
      <c r="Q433" s="33">
        <f>IFERROR(__xludf.DUMMYFUNCTION("""COMPUTED_VALUE"""),0.0)</f>
        <v>0</v>
      </c>
      <c r="R433" s="33">
        <f>IFERROR(__xludf.DUMMYFUNCTION("""COMPUTED_VALUE"""),21257.0)</f>
        <v>21257</v>
      </c>
      <c r="S433" s="33">
        <f>IFERROR(__xludf.DUMMYFUNCTION("""COMPUTED_VALUE"""),60095.0)</f>
        <v>60095</v>
      </c>
      <c r="T433" s="33">
        <f>IFERROR(__xludf.DUMMYFUNCTION("""COMPUTED_VALUE"""),2.79277777777777)</f>
        <v>2.792777778</v>
      </c>
      <c r="U433" s="33">
        <f>IFERROR(__xludf.DUMMYFUNCTION("""COMPUTED_VALUE"""),1.57694444444444)</f>
        <v>1.576944444</v>
      </c>
      <c r="V433" s="33">
        <f>IFERROR(__xludf.DUMMYFUNCTION("""COMPUTED_VALUE"""),0.0)</f>
        <v>0</v>
      </c>
      <c r="W433" s="33">
        <f>IFERROR(__xludf.DUMMYFUNCTION("""COMPUTED_VALUE"""),2.59194444444444)</f>
        <v>2.591944444</v>
      </c>
      <c r="X433" s="33">
        <f>IFERROR(__xludf.DUMMYFUNCTION("""COMPUTED_VALUE"""),1.40888888888888)</f>
        <v>1.408888889</v>
      </c>
      <c r="Y433" s="33">
        <f>IFERROR(__xludf.DUMMYFUNCTION("""COMPUTED_VALUE"""),2.38777777777777)</f>
        <v>2.387777778</v>
      </c>
      <c r="Z433" s="33">
        <f>IFERROR(__xludf.DUMMYFUNCTION("""COMPUTED_VALUE"""),0.601944444444444)</f>
        <v>0.6019444444</v>
      </c>
      <c r="AA433" s="33">
        <f>IFERROR(__xludf.DUMMYFUNCTION("""COMPUTED_VALUE"""),0.0)</f>
        <v>0</v>
      </c>
      <c r="AB433" s="33">
        <f>IFERROR(__xludf.DUMMYFUNCTION("""COMPUTED_VALUE"""),1.97166666666666)</f>
        <v>1.971666667</v>
      </c>
      <c r="AC433" s="33">
        <f>IFERROR(__xludf.DUMMYFUNCTION("""COMPUTED_VALUE"""),1.97166666666666)</f>
        <v>1.971666667</v>
      </c>
      <c r="AD433" s="33">
        <f>IFERROR(__xludf.DUMMYFUNCTION("""COMPUTED_VALUE"""),1.38833333333333)</f>
        <v>1.388333333</v>
      </c>
      <c r="AE433" s="33">
        <f>IFERROR(__xludf.DUMMYFUNCTION("""COMPUTED_VALUE"""),1.97166666666666)</f>
        <v>1.971666667</v>
      </c>
      <c r="AF433" s="33">
        <f>IFERROR(__xludf.DUMMYFUNCTION("""COMPUTED_VALUE"""),14.0)</f>
        <v>14</v>
      </c>
    </row>
    <row r="434">
      <c r="A434" s="49">
        <f>IFERROR(__xludf.DUMMYFUNCTION("""COMPUTED_VALUE"""),46027.0)</f>
        <v>46027</v>
      </c>
      <c r="B434" s="33" t="str">
        <f>IFERROR(__xludf.DUMMYFUNCTION("""COMPUTED_VALUE"""),"f43f4253dc3c596ff8f2e3cc9f3b677981a70310")</f>
        <v>f43f4253dc3c596ff8f2e3cc9f3b677981a70310</v>
      </c>
      <c r="C434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434" s="33">
        <f>IFERROR(__xludf.DUMMYFUNCTION("""COMPUTED_VALUE"""),25.0)</f>
        <v>25</v>
      </c>
      <c r="E434" s="33">
        <f>IFERROR(__xludf.DUMMYFUNCTION("""COMPUTED_VALUE"""),26.0)</f>
        <v>26</v>
      </c>
      <c r="F434" s="33">
        <f>IFERROR(__xludf.DUMMYFUNCTION("""COMPUTED_VALUE"""),0.0)</f>
        <v>0</v>
      </c>
      <c r="G434" s="33">
        <f>IFERROR(__xludf.DUMMYFUNCTION("""COMPUTED_VALUE"""),0.0)</f>
        <v>0</v>
      </c>
      <c r="H434" s="33">
        <f>IFERROR(__xludf.DUMMYFUNCTION("""COMPUTED_VALUE"""),0.0)</f>
        <v>0</v>
      </c>
      <c r="I434" s="33">
        <f>IFERROR(__xludf.DUMMYFUNCTION("""COMPUTED_VALUE"""),0.0)</f>
        <v>0</v>
      </c>
      <c r="J434" s="33">
        <f>IFERROR(__xludf.DUMMYFUNCTION("""COMPUTED_VALUE"""),0.0)</f>
        <v>0</v>
      </c>
      <c r="K434" s="33">
        <f>IFERROR(__xludf.DUMMYFUNCTION("""COMPUTED_VALUE"""),0.0)</f>
        <v>0</v>
      </c>
      <c r="L434" s="33">
        <f>IFERROR(__xludf.DUMMYFUNCTION("""COMPUTED_VALUE"""),0.0)</f>
        <v>0</v>
      </c>
      <c r="M434" s="33">
        <f>IFERROR(__xludf.DUMMYFUNCTION("""COMPUTED_VALUE"""),0.0)</f>
        <v>0</v>
      </c>
      <c r="N434" s="33">
        <f>IFERROR(__xludf.DUMMYFUNCTION("""COMPUTED_VALUE"""),8.0)</f>
        <v>8</v>
      </c>
      <c r="O434" s="33">
        <f>IFERROR(__xludf.DUMMYFUNCTION("""COMPUTED_VALUE"""),5.0)</f>
        <v>5</v>
      </c>
      <c r="P434" s="33">
        <f>IFERROR(__xludf.DUMMYFUNCTION("""COMPUTED_VALUE"""),25.0)</f>
        <v>25</v>
      </c>
      <c r="Q434" s="33">
        <f>IFERROR(__xludf.DUMMYFUNCTION("""COMPUTED_VALUE"""),0.0)</f>
        <v>0</v>
      </c>
      <c r="R434" s="33">
        <f>IFERROR(__xludf.DUMMYFUNCTION("""COMPUTED_VALUE"""),67095.0)</f>
        <v>67095</v>
      </c>
      <c r="S434" s="33">
        <f>IFERROR(__xludf.DUMMYFUNCTION("""COMPUTED_VALUE"""),67342.0)</f>
        <v>67342</v>
      </c>
      <c r="T434" s="33">
        <f>IFERROR(__xludf.DUMMYFUNCTION("""COMPUTED_VALUE"""),0.0)</f>
        <v>0</v>
      </c>
      <c r="U434" s="33">
        <f>IFERROR(__xludf.DUMMYFUNCTION("""COMPUTED_VALUE"""),0.0)</f>
        <v>0</v>
      </c>
      <c r="V434" s="33">
        <f>IFERROR(__xludf.DUMMYFUNCTION("""COMPUTED_VALUE"""),0.0)</f>
        <v>0</v>
      </c>
      <c r="W434" s="33">
        <f>IFERROR(__xludf.DUMMYFUNCTION("""COMPUTED_VALUE"""),0.0)</f>
        <v>0</v>
      </c>
      <c r="X434" s="33">
        <f>IFERROR(__xludf.DUMMYFUNCTION("""COMPUTED_VALUE"""),0.0)</f>
        <v>0</v>
      </c>
      <c r="Y434" s="33">
        <f>IFERROR(__xludf.DUMMYFUNCTION("""COMPUTED_VALUE"""),0.0)</f>
        <v>0</v>
      </c>
      <c r="Z434" s="33">
        <f>IFERROR(__xludf.DUMMYFUNCTION("""COMPUTED_VALUE"""),0.0)</f>
        <v>0</v>
      </c>
      <c r="AA434" s="33">
        <f>IFERROR(__xludf.DUMMYFUNCTION("""COMPUTED_VALUE"""),0.0)</f>
        <v>0</v>
      </c>
      <c r="AB434" s="33">
        <f>IFERROR(__xludf.DUMMYFUNCTION("""COMPUTED_VALUE"""),0.0)</f>
        <v>0</v>
      </c>
      <c r="AC434" s="33">
        <f>IFERROR(__xludf.DUMMYFUNCTION("""COMPUTED_VALUE"""),2.10694444444444)</f>
        <v>2.106944444</v>
      </c>
      <c r="AD434" s="33">
        <f>IFERROR(__xludf.DUMMYFUNCTION("""COMPUTED_VALUE"""),1.21916666666666)</f>
        <v>1.219166667</v>
      </c>
      <c r="AE434" s="33">
        <f>IFERROR(__xludf.DUMMYFUNCTION("""COMPUTED_VALUE"""),6.17722222222222)</f>
        <v>6.177222222</v>
      </c>
      <c r="AF434" s="33">
        <f>IFERROR(__xludf.DUMMYFUNCTION("""COMPUTED_VALUE"""),0.0)</f>
        <v>0</v>
      </c>
    </row>
    <row r="435">
      <c r="A435" s="49">
        <f>IFERROR(__xludf.DUMMYFUNCTION("""COMPUTED_VALUE"""),46020.0)</f>
        <v>46020</v>
      </c>
      <c r="B435" s="33" t="str">
        <f>IFERROR(__xludf.DUMMYFUNCTION("""COMPUTED_VALUE"""),"2549f1505a3739b3e90a0b63921ad55271440d40")</f>
        <v>2549f1505a3739b3e90a0b63921ad55271440d40</v>
      </c>
      <c r="C435" s="33" t="str">
        <f>IFERROR(__xludf.DUMMYFUNCTION("""COMPUTED_VALUE"""),"Reborn in Martial World ")</f>
        <v>Reborn in Martial World </v>
      </c>
      <c r="D435" s="33">
        <f>IFERROR(__xludf.DUMMYFUNCTION("""COMPUTED_VALUE"""),10.0)</f>
        <v>10</v>
      </c>
      <c r="E435" s="33">
        <f>IFERROR(__xludf.DUMMYFUNCTION("""COMPUTED_VALUE"""),3.0)</f>
        <v>3</v>
      </c>
      <c r="F435" s="33">
        <f>IFERROR(__xludf.DUMMYFUNCTION("""COMPUTED_VALUE"""),0.0)</f>
        <v>0</v>
      </c>
      <c r="G435" s="33">
        <f>IFERROR(__xludf.DUMMYFUNCTION("""COMPUTED_VALUE"""),3.0)</f>
        <v>3</v>
      </c>
      <c r="H435" s="33">
        <f>IFERROR(__xludf.DUMMYFUNCTION("""COMPUTED_VALUE"""),4.0)</f>
        <v>4</v>
      </c>
      <c r="I435" s="33">
        <f>IFERROR(__xludf.DUMMYFUNCTION("""COMPUTED_VALUE"""),1.0)</f>
        <v>1</v>
      </c>
      <c r="J435" s="33">
        <f>IFERROR(__xludf.DUMMYFUNCTION("""COMPUTED_VALUE"""),4.0)</f>
        <v>4</v>
      </c>
      <c r="K435" s="33">
        <f>IFERROR(__xludf.DUMMYFUNCTION("""COMPUTED_VALUE"""),0.0)</f>
        <v>0</v>
      </c>
      <c r="L435" s="33">
        <f>IFERROR(__xludf.DUMMYFUNCTION("""COMPUTED_VALUE"""),0.0)</f>
        <v>0</v>
      </c>
      <c r="M435" s="33">
        <f>IFERROR(__xludf.DUMMYFUNCTION("""COMPUTED_VALUE"""),4.0)</f>
        <v>4</v>
      </c>
      <c r="N435" s="33">
        <f>IFERROR(__xludf.DUMMYFUNCTION("""COMPUTED_VALUE"""),4.0)</f>
        <v>4</v>
      </c>
      <c r="O435" s="33">
        <f>IFERROR(__xludf.DUMMYFUNCTION("""COMPUTED_VALUE"""),4.0)</f>
        <v>4</v>
      </c>
      <c r="P435" s="33">
        <f>IFERROR(__xludf.DUMMYFUNCTION("""COMPUTED_VALUE"""),4.0)</f>
        <v>4</v>
      </c>
      <c r="Q435" s="33">
        <f>IFERROR(__xludf.DUMMYFUNCTION("""COMPUTED_VALUE"""),0.0)</f>
        <v>0</v>
      </c>
      <c r="R435" s="33">
        <f>IFERROR(__xludf.DUMMYFUNCTION("""COMPUTED_VALUE"""),23241.0)</f>
        <v>23241</v>
      </c>
      <c r="S435" s="33">
        <f>IFERROR(__xludf.DUMMYFUNCTION("""COMPUTED_VALUE"""),6670.0)</f>
        <v>6670</v>
      </c>
      <c r="T435" s="33">
        <f>IFERROR(__xludf.DUMMYFUNCTION("""COMPUTED_VALUE"""),0.0)</f>
        <v>0</v>
      </c>
      <c r="U435" s="33">
        <f>IFERROR(__xludf.DUMMYFUNCTION("""COMPUTED_VALUE"""),0.0)</f>
        <v>0</v>
      </c>
      <c r="V435" s="33">
        <f>IFERROR(__xludf.DUMMYFUNCTION("""COMPUTED_VALUE"""),0.605833333333333)</f>
        <v>0.6058333333</v>
      </c>
      <c r="W435" s="33">
        <f>IFERROR(__xludf.DUMMYFUNCTION("""COMPUTED_VALUE"""),0.8125)</f>
        <v>0.8125</v>
      </c>
      <c r="X435" s="33">
        <f>IFERROR(__xludf.DUMMYFUNCTION("""COMPUTED_VALUE"""),0.206666666666666)</f>
        <v>0.2066666667</v>
      </c>
      <c r="Y435" s="33">
        <f>IFERROR(__xludf.DUMMYFUNCTION("""COMPUTED_VALUE"""),0.791388888888888)</f>
        <v>0.7913888889</v>
      </c>
      <c r="Z435" s="33">
        <f>IFERROR(__xludf.DUMMYFUNCTION("""COMPUTED_VALUE"""),0.0)</f>
        <v>0</v>
      </c>
      <c r="AA435" s="33">
        <f>IFERROR(__xludf.DUMMYFUNCTION("""COMPUTED_VALUE"""),0.0)</f>
        <v>0</v>
      </c>
      <c r="AB435" s="33">
        <f>IFERROR(__xludf.DUMMYFUNCTION("""COMPUTED_VALUE"""),0.791388888888888)</f>
        <v>0.7913888889</v>
      </c>
      <c r="AC435" s="33">
        <f>IFERROR(__xludf.DUMMYFUNCTION("""COMPUTED_VALUE"""),0.787222222222222)</f>
        <v>0.7872222222</v>
      </c>
      <c r="AD435" s="33">
        <f>IFERROR(__xludf.DUMMYFUNCTION("""COMPUTED_VALUE"""),0.773055555555555)</f>
        <v>0.7730555556</v>
      </c>
      <c r="AE435" s="33">
        <f>IFERROR(__xludf.DUMMYFUNCTION("""COMPUTED_VALUE"""),0.787222222222222)</f>
        <v>0.7872222222</v>
      </c>
      <c r="AF435" s="33">
        <f>IFERROR(__xludf.DUMMYFUNCTION("""COMPUTED_VALUE"""),0.0)</f>
        <v>0</v>
      </c>
    </row>
    <row r="436">
      <c r="A436" s="49">
        <f>IFERROR(__xludf.DUMMYFUNCTION("""COMPUTED_VALUE"""),46020.0)</f>
        <v>46020</v>
      </c>
      <c r="B436" s="33" t="str">
        <f>IFERROR(__xludf.DUMMYFUNCTION("""COMPUTED_VALUE"""),"37e68193f879e91ec362f75f4b46511110658e2b")</f>
        <v>37e68193f879e91ec362f75f4b46511110658e2b</v>
      </c>
      <c r="C436" s="33" t="str">
        <f>IFERROR(__xludf.DUMMYFUNCTION("""COMPUTED_VALUE"""),"Shiva : Ek Pretyodha")</f>
        <v>Shiva : Ek Pretyodha</v>
      </c>
      <c r="D436" s="33">
        <f>IFERROR(__xludf.DUMMYFUNCTION("""COMPUTED_VALUE"""),0.0)</f>
        <v>0</v>
      </c>
      <c r="E436" s="33">
        <f>IFERROR(__xludf.DUMMYFUNCTION("""COMPUTED_VALUE"""),0.0)</f>
        <v>0</v>
      </c>
      <c r="F436" s="33">
        <f>IFERROR(__xludf.DUMMYFUNCTION("""COMPUTED_VALUE"""),0.0)</f>
        <v>0</v>
      </c>
      <c r="G436" s="33">
        <f>IFERROR(__xludf.DUMMYFUNCTION("""COMPUTED_VALUE"""),0.0)</f>
        <v>0</v>
      </c>
      <c r="H436" s="33">
        <f>IFERROR(__xludf.DUMMYFUNCTION("""COMPUTED_VALUE"""),0.0)</f>
        <v>0</v>
      </c>
      <c r="I436" s="33">
        <f>IFERROR(__xludf.DUMMYFUNCTION("""COMPUTED_VALUE"""),0.0)</f>
        <v>0</v>
      </c>
      <c r="J436" s="33">
        <f>IFERROR(__xludf.DUMMYFUNCTION("""COMPUTED_VALUE"""),0.0)</f>
        <v>0</v>
      </c>
      <c r="K436" s="33">
        <f>IFERROR(__xludf.DUMMYFUNCTION("""COMPUTED_VALUE"""),0.0)</f>
        <v>0</v>
      </c>
      <c r="L436" s="33">
        <f>IFERROR(__xludf.DUMMYFUNCTION("""COMPUTED_VALUE"""),0.0)</f>
        <v>0</v>
      </c>
      <c r="M436" s="33">
        <f>IFERROR(__xludf.DUMMYFUNCTION("""COMPUTED_VALUE"""),0.0)</f>
        <v>0</v>
      </c>
      <c r="N436" s="33">
        <f>IFERROR(__xludf.DUMMYFUNCTION("""COMPUTED_VALUE"""),0.0)</f>
        <v>0</v>
      </c>
      <c r="O436" s="33">
        <f>IFERROR(__xludf.DUMMYFUNCTION("""COMPUTED_VALUE"""),6.0)</f>
        <v>6</v>
      </c>
      <c r="P436" s="33">
        <f>IFERROR(__xludf.DUMMYFUNCTION("""COMPUTED_VALUE"""),5.0)</f>
        <v>5</v>
      </c>
      <c r="Q436" s="33">
        <f>IFERROR(__xludf.DUMMYFUNCTION("""COMPUTED_VALUE"""),0.0)</f>
        <v>0</v>
      </c>
      <c r="R436" s="33">
        <f>IFERROR(__xludf.DUMMYFUNCTION("""COMPUTED_VALUE"""),0.0)</f>
        <v>0</v>
      </c>
      <c r="S436" s="33">
        <f>IFERROR(__xludf.DUMMYFUNCTION("""COMPUTED_VALUE"""),0.0)</f>
        <v>0</v>
      </c>
      <c r="T436" s="33">
        <f>IFERROR(__xludf.DUMMYFUNCTION("""COMPUTED_VALUE"""),0.0)</f>
        <v>0</v>
      </c>
      <c r="U436" s="33">
        <f>IFERROR(__xludf.DUMMYFUNCTION("""COMPUTED_VALUE"""),0.0)</f>
        <v>0</v>
      </c>
      <c r="V436" s="33">
        <f>IFERROR(__xludf.DUMMYFUNCTION("""COMPUTED_VALUE"""),0.0)</f>
        <v>0</v>
      </c>
      <c r="W436" s="33">
        <f>IFERROR(__xludf.DUMMYFUNCTION("""COMPUTED_VALUE"""),0.0)</f>
        <v>0</v>
      </c>
      <c r="X436" s="33">
        <f>IFERROR(__xludf.DUMMYFUNCTION("""COMPUTED_VALUE"""),0.0)</f>
        <v>0</v>
      </c>
      <c r="Y436" s="33">
        <f>IFERROR(__xludf.DUMMYFUNCTION("""COMPUTED_VALUE"""),0.0)</f>
        <v>0</v>
      </c>
      <c r="Z436" s="33">
        <f>IFERROR(__xludf.DUMMYFUNCTION("""COMPUTED_VALUE"""),0.0)</f>
        <v>0</v>
      </c>
      <c r="AA436" s="33">
        <f>IFERROR(__xludf.DUMMYFUNCTION("""COMPUTED_VALUE"""),0.0)</f>
        <v>0</v>
      </c>
      <c r="AB436" s="33">
        <f>IFERROR(__xludf.DUMMYFUNCTION("""COMPUTED_VALUE"""),0.0)</f>
        <v>0</v>
      </c>
      <c r="AC436" s="33">
        <f>IFERROR(__xludf.DUMMYFUNCTION("""COMPUTED_VALUE"""),0.0)</f>
        <v>0</v>
      </c>
      <c r="AD436" s="33">
        <f>IFERROR(__xludf.DUMMYFUNCTION("""COMPUTED_VALUE"""),1.39888888888888)</f>
        <v>1.398888889</v>
      </c>
      <c r="AE436" s="33">
        <f>IFERROR(__xludf.DUMMYFUNCTION("""COMPUTED_VALUE"""),1.16333333333333)</f>
        <v>1.163333333</v>
      </c>
      <c r="AF436" s="33">
        <f>IFERROR(__xludf.DUMMYFUNCTION("""COMPUTED_VALUE"""),0.0)</f>
        <v>0</v>
      </c>
    </row>
    <row r="437">
      <c r="A437" s="49">
        <f>IFERROR(__xludf.DUMMYFUNCTION("""COMPUTED_VALUE"""),46020.0)</f>
        <v>46020</v>
      </c>
      <c r="B437" s="33" t="str">
        <f>IFERROR(__xludf.DUMMYFUNCTION("""COMPUTED_VALUE"""),"394d109f7b50d9a46fb591dbaaba2d0aac90a696")</f>
        <v>394d109f7b50d9a46fb591dbaaba2d0aac90a696</v>
      </c>
      <c r="C437" s="33" t="str">
        <f>IFERROR(__xludf.DUMMYFUNCTION("""COMPUTED_VALUE"""),"Empire of Hidden King (SRGJ) - Production Show_id")</f>
        <v>Empire of Hidden King (SRGJ) - Production Show_id</v>
      </c>
      <c r="D437" s="33">
        <f>IFERROR(__xludf.DUMMYFUNCTION("""COMPUTED_VALUE"""),1.0)</f>
        <v>1</v>
      </c>
      <c r="E437" s="33">
        <f>IFERROR(__xludf.DUMMYFUNCTION("""COMPUTED_VALUE"""),4.0)</f>
        <v>4</v>
      </c>
      <c r="F437" s="33">
        <f>IFERROR(__xludf.DUMMYFUNCTION("""COMPUTED_VALUE"""),1.0)</f>
        <v>1</v>
      </c>
      <c r="G437" s="33">
        <f>IFERROR(__xludf.DUMMYFUNCTION("""COMPUTED_VALUE"""),2.0)</f>
        <v>2</v>
      </c>
      <c r="H437" s="33">
        <f>IFERROR(__xludf.DUMMYFUNCTION("""COMPUTED_VALUE"""),3.0)</f>
        <v>3</v>
      </c>
      <c r="I437" s="33">
        <f>IFERROR(__xludf.DUMMYFUNCTION("""COMPUTED_VALUE"""),1.0)</f>
        <v>1</v>
      </c>
      <c r="J437" s="33">
        <f>IFERROR(__xludf.DUMMYFUNCTION("""COMPUTED_VALUE"""),2.0)</f>
        <v>2</v>
      </c>
      <c r="K437" s="33">
        <f>IFERROR(__xludf.DUMMYFUNCTION("""COMPUTED_VALUE"""),0.0)</f>
        <v>0</v>
      </c>
      <c r="L437" s="33">
        <f>IFERROR(__xludf.DUMMYFUNCTION("""COMPUTED_VALUE"""),0.0)</f>
        <v>0</v>
      </c>
      <c r="M437" s="33">
        <f>IFERROR(__xludf.DUMMYFUNCTION("""COMPUTED_VALUE"""),1.0)</f>
        <v>1</v>
      </c>
      <c r="N437" s="33">
        <f>IFERROR(__xludf.DUMMYFUNCTION("""COMPUTED_VALUE"""),1.0)</f>
        <v>1</v>
      </c>
      <c r="O437" s="33">
        <f>IFERROR(__xludf.DUMMYFUNCTION("""COMPUTED_VALUE"""),1.0)</f>
        <v>1</v>
      </c>
      <c r="P437" s="33">
        <f>IFERROR(__xludf.DUMMYFUNCTION("""COMPUTED_VALUE"""),1.0)</f>
        <v>1</v>
      </c>
      <c r="Q437" s="33">
        <f>IFERROR(__xludf.DUMMYFUNCTION("""COMPUTED_VALUE"""),0.0)</f>
        <v>0</v>
      </c>
      <c r="R437" s="33">
        <f>IFERROR(__xludf.DUMMYFUNCTION("""COMPUTED_VALUE"""),2840.0)</f>
        <v>2840</v>
      </c>
      <c r="S437" s="33">
        <f>IFERROR(__xludf.DUMMYFUNCTION("""COMPUTED_VALUE"""),11937.0)</f>
        <v>11937</v>
      </c>
      <c r="T437" s="33">
        <f>IFERROR(__xludf.DUMMYFUNCTION("""COMPUTED_VALUE"""),0.0)</f>
        <v>0</v>
      </c>
      <c r="U437" s="33">
        <f>IFERROR(__xludf.DUMMYFUNCTION("""COMPUTED_VALUE"""),0.251388888888888)</f>
        <v>0.2513888889</v>
      </c>
      <c r="V437" s="33">
        <f>IFERROR(__xludf.DUMMYFUNCTION("""COMPUTED_VALUE"""),0.511388888888888)</f>
        <v>0.5113888889</v>
      </c>
      <c r="W437" s="33">
        <f>IFERROR(__xludf.DUMMYFUNCTION("""COMPUTED_VALUE"""),0.772222222222222)</f>
        <v>0.7722222222</v>
      </c>
      <c r="X437" s="33">
        <f>IFERROR(__xludf.DUMMYFUNCTION("""COMPUTED_VALUE"""),0.260833333333333)</f>
        <v>0.2608333333</v>
      </c>
      <c r="Y437" s="33">
        <f>IFERROR(__xludf.DUMMYFUNCTION("""COMPUTED_VALUE"""),0.511388888888888)</f>
        <v>0.5113888889</v>
      </c>
      <c r="Z437" s="33">
        <f>IFERROR(__xludf.DUMMYFUNCTION("""COMPUTED_VALUE"""),0.0)</f>
        <v>0</v>
      </c>
      <c r="AA437" s="33">
        <f>IFERROR(__xludf.DUMMYFUNCTION("""COMPUTED_VALUE"""),0.0)</f>
        <v>0</v>
      </c>
      <c r="AB437" s="33">
        <f>IFERROR(__xludf.DUMMYFUNCTION("""COMPUTED_VALUE"""),0.249722222222222)</f>
        <v>0.2497222222</v>
      </c>
      <c r="AC437" s="33">
        <f>IFERROR(__xludf.DUMMYFUNCTION("""COMPUTED_VALUE"""),0.249722222222222)</f>
        <v>0.2497222222</v>
      </c>
      <c r="AD437" s="33">
        <f>IFERROR(__xludf.DUMMYFUNCTION("""COMPUTED_VALUE"""),0.259444444444444)</f>
        <v>0.2594444444</v>
      </c>
      <c r="AE437" s="33">
        <f>IFERROR(__xludf.DUMMYFUNCTION("""COMPUTED_VALUE"""),0.249722222222222)</f>
        <v>0.2497222222</v>
      </c>
      <c r="AF437" s="33">
        <f>IFERROR(__xludf.DUMMYFUNCTION("""COMPUTED_VALUE"""),0.0)</f>
        <v>0</v>
      </c>
    </row>
    <row r="438">
      <c r="A438" s="49">
        <f>IFERROR(__xludf.DUMMYFUNCTION("""COMPUTED_VALUE"""),46020.0)</f>
        <v>46020</v>
      </c>
      <c r="B438" s="33" t="str">
        <f>IFERROR(__xludf.DUMMYFUNCTION("""COMPUTED_VALUE"""),"5066c0736f9e9444f2b4da840d6860b1f7f47d11")</f>
        <v>5066c0736f9e9444f2b4da840d6860b1f7f47d11</v>
      </c>
      <c r="C438" s="33" t="str">
        <f>IFERROR(__xludf.DUMMYFUNCTION("""COMPUTED_VALUE"""),"The Warrior | Author - Dayaram Prajapati - Replica (For Production Only)")</f>
        <v>The Warrior | Author - Dayaram Prajapati - Replica (For Production Only)</v>
      </c>
      <c r="D438" s="33">
        <f>IFERROR(__xludf.DUMMYFUNCTION("""COMPUTED_VALUE"""),17.0)</f>
        <v>17</v>
      </c>
      <c r="E438" s="33">
        <f>IFERROR(__xludf.DUMMYFUNCTION("""COMPUTED_VALUE"""),3.0)</f>
        <v>3</v>
      </c>
      <c r="F438" s="33">
        <f>IFERROR(__xludf.DUMMYFUNCTION("""COMPUTED_VALUE"""),2.0)</f>
        <v>2</v>
      </c>
      <c r="G438" s="33">
        <f>IFERROR(__xludf.DUMMYFUNCTION("""COMPUTED_VALUE"""),1.0)</f>
        <v>1</v>
      </c>
      <c r="H438" s="33">
        <f>IFERROR(__xludf.DUMMYFUNCTION("""COMPUTED_VALUE"""),1.0)</f>
        <v>1</v>
      </c>
      <c r="I438" s="33">
        <f>IFERROR(__xludf.DUMMYFUNCTION("""COMPUTED_VALUE"""),0.0)</f>
        <v>0</v>
      </c>
      <c r="J438" s="33">
        <f>IFERROR(__xludf.DUMMYFUNCTION("""COMPUTED_VALUE"""),2.0)</f>
        <v>2</v>
      </c>
      <c r="K438" s="33">
        <f>IFERROR(__xludf.DUMMYFUNCTION("""COMPUTED_VALUE"""),1.0)</f>
        <v>1</v>
      </c>
      <c r="L438" s="33">
        <f>IFERROR(__xludf.DUMMYFUNCTION("""COMPUTED_VALUE"""),1.0)</f>
        <v>1</v>
      </c>
      <c r="M438" s="33">
        <f>IFERROR(__xludf.DUMMYFUNCTION("""COMPUTED_VALUE"""),6.0)</f>
        <v>6</v>
      </c>
      <c r="N438" s="33">
        <f>IFERROR(__xludf.DUMMYFUNCTION("""COMPUTED_VALUE"""),6.0)</f>
        <v>6</v>
      </c>
      <c r="O438" s="33">
        <f>IFERROR(__xludf.DUMMYFUNCTION("""COMPUTED_VALUE"""),1.0)</f>
        <v>1</v>
      </c>
      <c r="P438" s="33">
        <f>IFERROR(__xludf.DUMMYFUNCTION("""COMPUTED_VALUE"""),6.0)</f>
        <v>6</v>
      </c>
      <c r="Q438" s="33">
        <f>IFERROR(__xludf.DUMMYFUNCTION("""COMPUTED_VALUE"""),0.0)</f>
        <v>0</v>
      </c>
      <c r="R438" s="33">
        <f>IFERROR(__xludf.DUMMYFUNCTION("""COMPUTED_VALUE"""),46935.0)</f>
        <v>46935</v>
      </c>
      <c r="S438" s="33">
        <f>IFERROR(__xludf.DUMMYFUNCTION("""COMPUTED_VALUE"""),7398.0)</f>
        <v>7398</v>
      </c>
      <c r="T438" s="33">
        <f>IFERROR(__xludf.DUMMYFUNCTION("""COMPUTED_VALUE"""),0.0)</f>
        <v>0</v>
      </c>
      <c r="U438" s="33">
        <f>IFERROR(__xludf.DUMMYFUNCTION("""COMPUTED_VALUE"""),0.476111111111111)</f>
        <v>0.4761111111</v>
      </c>
      <c r="V438" s="33">
        <f>IFERROR(__xludf.DUMMYFUNCTION("""COMPUTED_VALUE"""),0.235555555555555)</f>
        <v>0.2355555556</v>
      </c>
      <c r="W438" s="33">
        <f>IFERROR(__xludf.DUMMYFUNCTION("""COMPUTED_VALUE"""),0.235555555555555)</f>
        <v>0.2355555556</v>
      </c>
      <c r="X438" s="33">
        <f>IFERROR(__xludf.DUMMYFUNCTION("""COMPUTED_VALUE"""),0.0)</f>
        <v>0</v>
      </c>
      <c r="Y438" s="33">
        <f>IFERROR(__xludf.DUMMYFUNCTION("""COMPUTED_VALUE"""),0.4475)</f>
        <v>0.4475</v>
      </c>
      <c r="Z438" s="33">
        <f>IFERROR(__xludf.DUMMYFUNCTION("""COMPUTED_VALUE"""),0.242777777777777)</f>
        <v>0.2427777778</v>
      </c>
      <c r="AA438" s="33">
        <f>IFERROR(__xludf.DUMMYFUNCTION("""COMPUTED_VALUE"""),0.242777777777777)</f>
        <v>0.2427777778</v>
      </c>
      <c r="AB438" s="33">
        <f>IFERROR(__xludf.DUMMYFUNCTION("""COMPUTED_VALUE"""),1.40333333333333)</f>
        <v>1.403333333</v>
      </c>
      <c r="AC438" s="33">
        <f>IFERROR(__xludf.DUMMYFUNCTION("""COMPUTED_VALUE"""),1.40333333333333)</f>
        <v>1.403333333</v>
      </c>
      <c r="AD438" s="33">
        <f>IFERROR(__xludf.DUMMYFUNCTION("""COMPUTED_VALUE"""),0.239444444444444)</f>
        <v>0.2394444444</v>
      </c>
      <c r="AE438" s="33">
        <f>IFERROR(__xludf.DUMMYFUNCTION("""COMPUTED_VALUE"""),1.40333333333333)</f>
        <v>1.403333333</v>
      </c>
      <c r="AF438" s="33">
        <f>IFERROR(__xludf.DUMMYFUNCTION("""COMPUTED_VALUE"""),0.0)</f>
        <v>0</v>
      </c>
    </row>
    <row r="439">
      <c r="A439" s="49">
        <f>IFERROR(__xludf.DUMMYFUNCTION("""COMPUTED_VALUE"""),46020.0)</f>
        <v>46020</v>
      </c>
      <c r="B439" s="33" t="str">
        <f>IFERROR(__xludf.DUMMYFUNCTION("""COMPUTED_VALUE"""),"5baf4c80faf4b2d4eb9401a1d0081872e0158e89")</f>
        <v>5baf4c80faf4b2d4eb9401a1d0081872e0158e89</v>
      </c>
      <c r="C439" s="33" t="str">
        <f>IFERROR(__xludf.DUMMYFUNCTION("""COMPUTED_VALUE"""),"Brahmyodha : The Destroyer - Production showId")</f>
        <v>Brahmyodha : The Destroyer - Production showId</v>
      </c>
      <c r="D439" s="33">
        <f>IFERROR(__xludf.DUMMYFUNCTION("""COMPUTED_VALUE"""),0.0)</f>
        <v>0</v>
      </c>
      <c r="E439" s="33">
        <f>IFERROR(__xludf.DUMMYFUNCTION("""COMPUTED_VALUE"""),3.0)</f>
        <v>3</v>
      </c>
      <c r="F439" s="33">
        <f>IFERROR(__xludf.DUMMYFUNCTION("""COMPUTED_VALUE"""),1.0)</f>
        <v>1</v>
      </c>
      <c r="G439" s="33">
        <f>IFERROR(__xludf.DUMMYFUNCTION("""COMPUTED_VALUE"""),0.0)</f>
        <v>0</v>
      </c>
      <c r="H439" s="33">
        <f>IFERROR(__xludf.DUMMYFUNCTION("""COMPUTED_VALUE"""),3.0)</f>
        <v>3</v>
      </c>
      <c r="I439" s="33">
        <f>IFERROR(__xludf.DUMMYFUNCTION("""COMPUTED_VALUE"""),2.0)</f>
        <v>2</v>
      </c>
      <c r="J439" s="33">
        <f>IFERROR(__xludf.DUMMYFUNCTION("""COMPUTED_VALUE"""),3.0)</f>
        <v>3</v>
      </c>
      <c r="K439" s="33">
        <f>IFERROR(__xludf.DUMMYFUNCTION("""COMPUTED_VALUE"""),0.0)</f>
        <v>0</v>
      </c>
      <c r="L439" s="33">
        <f>IFERROR(__xludf.DUMMYFUNCTION("""COMPUTED_VALUE"""),0.0)</f>
        <v>0</v>
      </c>
      <c r="M439" s="33">
        <f>IFERROR(__xludf.DUMMYFUNCTION("""COMPUTED_VALUE"""),5.0)</f>
        <v>5</v>
      </c>
      <c r="N439" s="33">
        <f>IFERROR(__xludf.DUMMYFUNCTION("""COMPUTED_VALUE"""),4.0)</f>
        <v>4</v>
      </c>
      <c r="O439" s="33">
        <f>IFERROR(__xludf.DUMMYFUNCTION("""COMPUTED_VALUE"""),1.0)</f>
        <v>1</v>
      </c>
      <c r="P439" s="33">
        <f>IFERROR(__xludf.DUMMYFUNCTION("""COMPUTED_VALUE"""),4.0)</f>
        <v>4</v>
      </c>
      <c r="Q439" s="33">
        <f>IFERROR(__xludf.DUMMYFUNCTION("""COMPUTED_VALUE"""),0.0)</f>
        <v>0</v>
      </c>
      <c r="R439" s="33">
        <f>IFERROR(__xludf.DUMMYFUNCTION("""COMPUTED_VALUE"""),0.0)</f>
        <v>0</v>
      </c>
      <c r="S439" s="33">
        <f>IFERROR(__xludf.DUMMYFUNCTION("""COMPUTED_VALUE"""),8096.0)</f>
        <v>8096</v>
      </c>
      <c r="T439" s="33">
        <f>IFERROR(__xludf.DUMMYFUNCTION("""COMPUTED_VALUE"""),0.788333333333333)</f>
        <v>0.7883333333</v>
      </c>
      <c r="U439" s="33">
        <f>IFERROR(__xludf.DUMMYFUNCTION("""COMPUTED_VALUE"""),0.280277777777777)</f>
        <v>0.2802777778</v>
      </c>
      <c r="V439" s="33">
        <f>IFERROR(__xludf.DUMMYFUNCTION("""COMPUTED_VALUE"""),0.0)</f>
        <v>0</v>
      </c>
      <c r="W439" s="33">
        <f>IFERROR(__xludf.DUMMYFUNCTION("""COMPUTED_VALUE"""),0.786388888888888)</f>
        <v>0.7863888889</v>
      </c>
      <c r="X439" s="33">
        <f>IFERROR(__xludf.DUMMYFUNCTION("""COMPUTED_VALUE"""),0.508055555555555)</f>
        <v>0.5080555556</v>
      </c>
      <c r="Y439" s="33">
        <f>IFERROR(__xludf.DUMMYFUNCTION("""COMPUTED_VALUE"""),0.774166666666666)</f>
        <v>0.7741666667</v>
      </c>
      <c r="Z439" s="33">
        <f>IFERROR(__xludf.DUMMYFUNCTION("""COMPUTED_VALUE"""),0.0)</f>
        <v>0</v>
      </c>
      <c r="AA439" s="33">
        <f>IFERROR(__xludf.DUMMYFUNCTION("""COMPUTED_VALUE"""),0.0)</f>
        <v>0</v>
      </c>
      <c r="AB439" s="33">
        <f>IFERROR(__xludf.DUMMYFUNCTION("""COMPUTED_VALUE"""),1.27305555555555)</f>
        <v>1.273055556</v>
      </c>
      <c r="AC439" s="33">
        <f>IFERROR(__xludf.DUMMYFUNCTION("""COMPUTED_VALUE"""),1.01611111111111)</f>
        <v>1.016111111</v>
      </c>
      <c r="AD439" s="33">
        <f>IFERROR(__xludf.DUMMYFUNCTION("""COMPUTED_VALUE"""),0.216944444444444)</f>
        <v>0.2169444444</v>
      </c>
      <c r="AE439" s="33">
        <f>IFERROR(__xludf.DUMMYFUNCTION("""COMPUTED_VALUE"""),1.01611111111111)</f>
        <v>1.016111111</v>
      </c>
      <c r="AF439" s="33">
        <f>IFERROR(__xludf.DUMMYFUNCTION("""COMPUTED_VALUE"""),3.0)</f>
        <v>3</v>
      </c>
    </row>
    <row r="440">
      <c r="A440" s="49">
        <f>IFERROR(__xludf.DUMMYFUNCTION("""COMPUTED_VALUE"""),46020.0)</f>
        <v>46020</v>
      </c>
      <c r="B440" s="33" t="str">
        <f>IFERROR(__xludf.DUMMYFUNCTION("""COMPUTED_VALUE"""),"641b6f77fd211e92df35a3bcbab67e6879e19a66")</f>
        <v>641b6f77fd211e92df35a3bcbab67e6879e19a66</v>
      </c>
      <c r="C440" s="33" t="str">
        <f>IFERROR(__xludf.DUMMYFUNCTION("""COMPUTED_VALUE"""),"Mahagatha | महागाथा | Author - S. Mauryavanshi")</f>
        <v>Mahagatha | महागाथा | Author - S. Mauryavanshi</v>
      </c>
      <c r="D440" s="33">
        <f>IFERROR(__xludf.DUMMYFUNCTION("""COMPUTED_VALUE"""),10.0)</f>
        <v>10</v>
      </c>
      <c r="E440" s="33">
        <f>IFERROR(__xludf.DUMMYFUNCTION("""COMPUTED_VALUE"""),7.0)</f>
        <v>7</v>
      </c>
      <c r="F440" s="33">
        <f>IFERROR(__xludf.DUMMYFUNCTION("""COMPUTED_VALUE"""),1.0)</f>
        <v>1</v>
      </c>
      <c r="G440" s="33">
        <f>IFERROR(__xludf.DUMMYFUNCTION("""COMPUTED_VALUE"""),0.0)</f>
        <v>0</v>
      </c>
      <c r="H440" s="33">
        <f>IFERROR(__xludf.DUMMYFUNCTION("""COMPUTED_VALUE"""),4.0)</f>
        <v>4</v>
      </c>
      <c r="I440" s="33">
        <f>IFERROR(__xludf.DUMMYFUNCTION("""COMPUTED_VALUE"""),4.0)</f>
        <v>4</v>
      </c>
      <c r="J440" s="33">
        <f>IFERROR(__xludf.DUMMYFUNCTION("""COMPUTED_VALUE"""),3.0)</f>
        <v>3</v>
      </c>
      <c r="K440" s="33">
        <f>IFERROR(__xludf.DUMMYFUNCTION("""COMPUTED_VALUE"""),0.0)</f>
        <v>0</v>
      </c>
      <c r="L440" s="33">
        <f>IFERROR(__xludf.DUMMYFUNCTION("""COMPUTED_VALUE"""),0.0)</f>
        <v>0</v>
      </c>
      <c r="M440" s="33">
        <f>IFERROR(__xludf.DUMMYFUNCTION("""COMPUTED_VALUE"""),4.0)</f>
        <v>4</v>
      </c>
      <c r="N440" s="33">
        <f>IFERROR(__xludf.DUMMYFUNCTION("""COMPUTED_VALUE"""),5.0)</f>
        <v>5</v>
      </c>
      <c r="O440" s="33">
        <f>IFERROR(__xludf.DUMMYFUNCTION("""COMPUTED_VALUE"""),8.0)</f>
        <v>8</v>
      </c>
      <c r="P440" s="33">
        <f>IFERROR(__xludf.DUMMYFUNCTION("""COMPUTED_VALUE"""),5.0)</f>
        <v>5</v>
      </c>
      <c r="Q440" s="33">
        <f>IFERROR(__xludf.DUMMYFUNCTION("""COMPUTED_VALUE"""),0.0)</f>
        <v>0</v>
      </c>
      <c r="R440" s="33">
        <f>IFERROR(__xludf.DUMMYFUNCTION("""COMPUTED_VALUE"""),23302.0)</f>
        <v>23302</v>
      </c>
      <c r="S440" s="33">
        <f>IFERROR(__xludf.DUMMYFUNCTION("""COMPUTED_VALUE"""),16019.0)</f>
        <v>16019</v>
      </c>
      <c r="T440" s="33">
        <f>IFERROR(__xludf.DUMMYFUNCTION("""COMPUTED_VALUE"""),1.1925)</f>
        <v>1.1925</v>
      </c>
      <c r="U440" s="33">
        <f>IFERROR(__xludf.DUMMYFUNCTION("""COMPUTED_VALUE"""),0.234166666666666)</f>
        <v>0.2341666667</v>
      </c>
      <c r="V440" s="33">
        <f>IFERROR(__xludf.DUMMYFUNCTION("""COMPUTED_VALUE"""),0.0)</f>
        <v>0</v>
      </c>
      <c r="W440" s="33">
        <f>IFERROR(__xludf.DUMMYFUNCTION("""COMPUTED_VALUE"""),0.958333333333333)</f>
        <v>0.9583333333</v>
      </c>
      <c r="X440" s="33">
        <f>IFERROR(__xludf.DUMMYFUNCTION("""COMPUTED_VALUE"""),0.958333333333333)</f>
        <v>0.9583333333</v>
      </c>
      <c r="Y440" s="33">
        <f>IFERROR(__xludf.DUMMYFUNCTION("""COMPUTED_VALUE"""),0.646944444444444)</f>
        <v>0.6469444444</v>
      </c>
      <c r="Z440" s="33">
        <f>IFERROR(__xludf.DUMMYFUNCTION("""COMPUTED_VALUE"""),0.0)</f>
        <v>0</v>
      </c>
      <c r="AA440" s="33">
        <f>IFERROR(__xludf.DUMMYFUNCTION("""COMPUTED_VALUE"""),0.0)</f>
        <v>0</v>
      </c>
      <c r="AB440" s="33">
        <f>IFERROR(__xludf.DUMMYFUNCTION("""COMPUTED_VALUE"""),0.867499999999999)</f>
        <v>0.8675</v>
      </c>
      <c r="AC440" s="33">
        <f>IFERROR(__xludf.DUMMYFUNCTION("""COMPUTED_VALUE"""),1.09666666666666)</f>
        <v>1.096666667</v>
      </c>
      <c r="AD440" s="33">
        <f>IFERROR(__xludf.DUMMYFUNCTION("""COMPUTED_VALUE"""),1.91111111111111)</f>
        <v>1.911111111</v>
      </c>
      <c r="AE440" s="33">
        <f>IFERROR(__xludf.DUMMYFUNCTION("""COMPUTED_VALUE"""),1.09666666666666)</f>
        <v>1.096666667</v>
      </c>
      <c r="AF440" s="33">
        <f>IFERROR(__xludf.DUMMYFUNCTION("""COMPUTED_VALUE"""),5.0)</f>
        <v>5</v>
      </c>
    </row>
    <row r="441">
      <c r="A441" s="49">
        <f>IFERROR(__xludf.DUMMYFUNCTION("""COMPUTED_VALUE"""),46020.0)</f>
        <v>46020</v>
      </c>
      <c r="B441" s="33" t="str">
        <f>IFERROR(__xludf.DUMMYFUNCTION("""COMPUTED_VALUE"""),"81de0bc81be63a15ef7b7f2a301e23b4f3d49745")</f>
        <v>81de0bc81be63a15ef7b7f2a301e23b4f3d49745</v>
      </c>
      <c r="C441" s="33" t="str">
        <f>IFERROR(__xludf.DUMMYFUNCTION("""COMPUTED_VALUE"""),"Married to a Hard Hearted")</f>
        <v>Married to a Hard Hearted</v>
      </c>
      <c r="D441" s="33">
        <f>IFERROR(__xludf.DUMMYFUNCTION("""COMPUTED_VALUE"""),10.0)</f>
        <v>10</v>
      </c>
      <c r="E441" s="33">
        <f>IFERROR(__xludf.DUMMYFUNCTION("""COMPUTED_VALUE"""),6.0)</f>
        <v>6</v>
      </c>
      <c r="F441" s="33">
        <f>IFERROR(__xludf.DUMMYFUNCTION("""COMPUTED_VALUE"""),1.0)</f>
        <v>1</v>
      </c>
      <c r="G441" s="33">
        <f>IFERROR(__xludf.DUMMYFUNCTION("""COMPUTED_VALUE"""),0.0)</f>
        <v>0</v>
      </c>
      <c r="H441" s="33">
        <f>IFERROR(__xludf.DUMMYFUNCTION("""COMPUTED_VALUE"""),1.0)</f>
        <v>1</v>
      </c>
      <c r="I441" s="33">
        <f>IFERROR(__xludf.DUMMYFUNCTION("""COMPUTED_VALUE"""),0.0)</f>
        <v>0</v>
      </c>
      <c r="J441" s="33">
        <f>IFERROR(__xludf.DUMMYFUNCTION("""COMPUTED_VALUE"""),1.0)</f>
        <v>1</v>
      </c>
      <c r="K441" s="33">
        <f>IFERROR(__xludf.DUMMYFUNCTION("""COMPUTED_VALUE"""),1.0)</f>
        <v>1</v>
      </c>
      <c r="L441" s="33">
        <f>IFERROR(__xludf.DUMMYFUNCTION("""COMPUTED_VALUE"""),0.0)</f>
        <v>0</v>
      </c>
      <c r="M441" s="33">
        <f>IFERROR(__xludf.DUMMYFUNCTION("""COMPUTED_VALUE"""),5.0)</f>
        <v>5</v>
      </c>
      <c r="N441" s="33">
        <f>IFERROR(__xludf.DUMMYFUNCTION("""COMPUTED_VALUE"""),3.0)</f>
        <v>3</v>
      </c>
      <c r="O441" s="33">
        <f>IFERROR(__xludf.DUMMYFUNCTION("""COMPUTED_VALUE"""),2.0)</f>
        <v>2</v>
      </c>
      <c r="P441" s="33">
        <f>IFERROR(__xludf.DUMMYFUNCTION("""COMPUTED_VALUE"""),3.0)</f>
        <v>3</v>
      </c>
      <c r="Q441" s="33">
        <f>IFERROR(__xludf.DUMMYFUNCTION("""COMPUTED_VALUE"""),0.0)</f>
        <v>0</v>
      </c>
      <c r="R441" s="33">
        <f>IFERROR(__xludf.DUMMYFUNCTION("""COMPUTED_VALUE"""),20130.0)</f>
        <v>20130</v>
      </c>
      <c r="S441" s="33">
        <f>IFERROR(__xludf.DUMMYFUNCTION("""COMPUTED_VALUE"""),13501.0)</f>
        <v>13501</v>
      </c>
      <c r="T441" s="33">
        <f>IFERROR(__xludf.DUMMYFUNCTION("""COMPUTED_VALUE"""),0.0)</f>
        <v>0</v>
      </c>
      <c r="U441" s="33">
        <f>IFERROR(__xludf.DUMMYFUNCTION("""COMPUTED_VALUE"""),0.189722222222222)</f>
        <v>0.1897222222</v>
      </c>
      <c r="V441" s="33">
        <f>IFERROR(__xludf.DUMMYFUNCTION("""COMPUTED_VALUE"""),0.0)</f>
        <v>0</v>
      </c>
      <c r="W441" s="33">
        <f>IFERROR(__xludf.DUMMYFUNCTION("""COMPUTED_VALUE"""),0.186944444444444)</f>
        <v>0.1869444444</v>
      </c>
      <c r="X441" s="33">
        <f>IFERROR(__xludf.DUMMYFUNCTION("""COMPUTED_VALUE"""),0.0)</f>
        <v>0</v>
      </c>
      <c r="Y441" s="33">
        <f>IFERROR(__xludf.DUMMYFUNCTION("""COMPUTED_VALUE"""),0.186944444444444)</f>
        <v>0.1869444444</v>
      </c>
      <c r="Z441" s="33">
        <f>IFERROR(__xludf.DUMMYFUNCTION("""COMPUTED_VALUE"""),0.185277777777777)</f>
        <v>0.1852777778</v>
      </c>
      <c r="AA441" s="33">
        <f>IFERROR(__xludf.DUMMYFUNCTION("""COMPUTED_VALUE"""),0.0)</f>
        <v>0</v>
      </c>
      <c r="AB441" s="33">
        <f>IFERROR(__xludf.DUMMYFUNCTION("""COMPUTED_VALUE"""),0.911111111111111)</f>
        <v>0.9111111111</v>
      </c>
      <c r="AC441" s="33">
        <f>IFERROR(__xludf.DUMMYFUNCTION("""COMPUTED_VALUE"""),0.538055555555555)</f>
        <v>0.5380555556</v>
      </c>
      <c r="AD441" s="33">
        <f>IFERROR(__xludf.DUMMYFUNCTION("""COMPUTED_VALUE"""),0.375277777777777)</f>
        <v>0.3752777778</v>
      </c>
      <c r="AE441" s="33">
        <f>IFERROR(__xludf.DUMMYFUNCTION("""COMPUTED_VALUE"""),0.538055555555555)</f>
        <v>0.5380555556</v>
      </c>
      <c r="AF441" s="33">
        <f>IFERROR(__xludf.DUMMYFUNCTION("""COMPUTED_VALUE"""),0.0)</f>
        <v>0</v>
      </c>
    </row>
    <row r="442">
      <c r="A442" s="49">
        <f>IFERROR(__xludf.DUMMYFUNCTION("""COMPUTED_VALUE"""),46020.0)</f>
        <v>46020</v>
      </c>
      <c r="B442" s="33" t="str">
        <f>IFERROR(__xludf.DUMMYFUNCTION("""COMPUTED_VALUE"""),"a3ba65aa427077188e1ad7dbcbcafae266683ca9")</f>
        <v>a3ba65aa427077188e1ad7dbcbcafae266683ca9</v>
      </c>
      <c r="C442" s="33" t="str">
        <f>IFERROR(__xludf.DUMMYFUNCTION("""COMPUTED_VALUE"""),"The Warrior | Author - Dayaram Prajapati")</f>
        <v>The Warrior | Author - Dayaram Prajapati</v>
      </c>
      <c r="D442" s="33">
        <f>IFERROR(__xludf.DUMMYFUNCTION("""COMPUTED_VALUE"""),0.0)</f>
        <v>0</v>
      </c>
      <c r="E442" s="33">
        <f>IFERROR(__xludf.DUMMYFUNCTION("""COMPUTED_VALUE"""),9.0)</f>
        <v>9</v>
      </c>
      <c r="F442" s="33">
        <f>IFERROR(__xludf.DUMMYFUNCTION("""COMPUTED_VALUE"""),0.0)</f>
        <v>0</v>
      </c>
      <c r="G442" s="33">
        <f>IFERROR(__xludf.DUMMYFUNCTION("""COMPUTED_VALUE"""),0.0)</f>
        <v>0</v>
      </c>
      <c r="H442" s="33">
        <f>IFERROR(__xludf.DUMMYFUNCTION("""COMPUTED_VALUE"""),0.0)</f>
        <v>0</v>
      </c>
      <c r="I442" s="33">
        <f>IFERROR(__xludf.DUMMYFUNCTION("""COMPUTED_VALUE"""),0.0)</f>
        <v>0</v>
      </c>
      <c r="J442" s="33">
        <f>IFERROR(__xludf.DUMMYFUNCTION("""COMPUTED_VALUE"""),0.0)</f>
        <v>0</v>
      </c>
      <c r="K442" s="33">
        <f>IFERROR(__xludf.DUMMYFUNCTION("""COMPUTED_VALUE"""),0.0)</f>
        <v>0</v>
      </c>
      <c r="L442" s="33">
        <f>IFERROR(__xludf.DUMMYFUNCTION("""COMPUTED_VALUE"""),0.0)</f>
        <v>0</v>
      </c>
      <c r="M442" s="33">
        <f>IFERROR(__xludf.DUMMYFUNCTION("""COMPUTED_VALUE"""),0.0)</f>
        <v>0</v>
      </c>
      <c r="N442" s="33">
        <f>IFERROR(__xludf.DUMMYFUNCTION("""COMPUTED_VALUE"""),9.0)</f>
        <v>9</v>
      </c>
      <c r="O442" s="33">
        <f>IFERROR(__xludf.DUMMYFUNCTION("""COMPUTED_VALUE"""),1.0)</f>
        <v>1</v>
      </c>
      <c r="P442" s="33">
        <f>IFERROR(__xludf.DUMMYFUNCTION("""COMPUTED_VALUE"""),9.0)</f>
        <v>9</v>
      </c>
      <c r="Q442" s="33">
        <f>IFERROR(__xludf.DUMMYFUNCTION("""COMPUTED_VALUE"""),0.0)</f>
        <v>0</v>
      </c>
      <c r="R442" s="33">
        <f>IFERROR(__xludf.DUMMYFUNCTION("""COMPUTED_VALUE"""),0.0)</f>
        <v>0</v>
      </c>
      <c r="S442" s="33">
        <f>IFERROR(__xludf.DUMMYFUNCTION("""COMPUTED_VALUE"""),24439.0)</f>
        <v>24439</v>
      </c>
      <c r="T442" s="33">
        <f>IFERROR(__xludf.DUMMYFUNCTION("""COMPUTED_VALUE"""),0.0)</f>
        <v>0</v>
      </c>
      <c r="U442" s="33">
        <f>IFERROR(__xludf.DUMMYFUNCTION("""COMPUTED_VALUE"""),0.0)</f>
        <v>0</v>
      </c>
      <c r="V442" s="33">
        <f>IFERROR(__xludf.DUMMYFUNCTION("""COMPUTED_VALUE"""),0.0)</f>
        <v>0</v>
      </c>
      <c r="W442" s="33">
        <f>IFERROR(__xludf.DUMMYFUNCTION("""COMPUTED_VALUE"""),0.0)</f>
        <v>0</v>
      </c>
      <c r="X442" s="33">
        <f>IFERROR(__xludf.DUMMYFUNCTION("""COMPUTED_VALUE"""),0.0)</f>
        <v>0</v>
      </c>
      <c r="Y442" s="33">
        <f>IFERROR(__xludf.DUMMYFUNCTION("""COMPUTED_VALUE"""),0.0)</f>
        <v>0</v>
      </c>
      <c r="Z442" s="33">
        <f>IFERROR(__xludf.DUMMYFUNCTION("""COMPUTED_VALUE"""),0.0)</f>
        <v>0</v>
      </c>
      <c r="AA442" s="33">
        <f>IFERROR(__xludf.DUMMYFUNCTION("""COMPUTED_VALUE"""),0.0)</f>
        <v>0</v>
      </c>
      <c r="AB442" s="33">
        <f>IFERROR(__xludf.DUMMYFUNCTION("""COMPUTED_VALUE"""),0.0)</f>
        <v>0</v>
      </c>
      <c r="AC442" s="33">
        <f>IFERROR(__xludf.DUMMYFUNCTION("""COMPUTED_VALUE"""),2.54222222222222)</f>
        <v>2.542222222</v>
      </c>
      <c r="AD442" s="33">
        <f>IFERROR(__xludf.DUMMYFUNCTION("""COMPUTED_VALUE"""),0.221666666666666)</f>
        <v>0.2216666667</v>
      </c>
      <c r="AE442" s="33">
        <f>IFERROR(__xludf.DUMMYFUNCTION("""COMPUTED_VALUE"""),2.54222222222222)</f>
        <v>2.542222222</v>
      </c>
      <c r="AF442" s="33">
        <f>IFERROR(__xludf.DUMMYFUNCTION("""COMPUTED_VALUE"""),0.0)</f>
        <v>0</v>
      </c>
    </row>
    <row r="443">
      <c r="A443" s="49">
        <f>IFERROR(__xludf.DUMMYFUNCTION("""COMPUTED_VALUE"""),46020.0)</f>
        <v>46020</v>
      </c>
      <c r="B443" s="33" t="str">
        <f>IFERROR(__xludf.DUMMYFUNCTION("""COMPUTED_VALUE"""),"aa81f1feb820ed6f22bd7b22b55890db740929cb")</f>
        <v>aa81f1feb820ed6f22bd7b22b55890db740929cb</v>
      </c>
      <c r="C443" s="33" t="str">
        <f>IFERROR(__xludf.DUMMYFUNCTION("""COMPUTED_VALUE"""),"Shunya Samrat")</f>
        <v>Shunya Samrat</v>
      </c>
      <c r="D443" s="33">
        <f>IFERROR(__xludf.DUMMYFUNCTION("""COMPUTED_VALUE"""),0.0)</f>
        <v>0</v>
      </c>
      <c r="E443" s="33">
        <f>IFERROR(__xludf.DUMMYFUNCTION("""COMPUTED_VALUE"""),5.0)</f>
        <v>5</v>
      </c>
      <c r="F443" s="33">
        <f>IFERROR(__xludf.DUMMYFUNCTION("""COMPUTED_VALUE"""),0.0)</f>
        <v>0</v>
      </c>
      <c r="G443" s="33">
        <f>IFERROR(__xludf.DUMMYFUNCTION("""COMPUTED_VALUE"""),0.0)</f>
        <v>0</v>
      </c>
      <c r="H443" s="33">
        <f>IFERROR(__xludf.DUMMYFUNCTION("""COMPUTED_VALUE"""),2.0)</f>
        <v>2</v>
      </c>
      <c r="I443" s="33">
        <f>IFERROR(__xludf.DUMMYFUNCTION("""COMPUTED_VALUE"""),0.0)</f>
        <v>0</v>
      </c>
      <c r="J443" s="33">
        <f>IFERROR(__xludf.DUMMYFUNCTION("""COMPUTED_VALUE"""),2.0)</f>
        <v>2</v>
      </c>
      <c r="K443" s="33">
        <f>IFERROR(__xludf.DUMMYFUNCTION("""COMPUTED_VALUE"""),1.0)</f>
        <v>1</v>
      </c>
      <c r="L443" s="33">
        <f>IFERROR(__xludf.DUMMYFUNCTION("""COMPUTED_VALUE"""),0.0)</f>
        <v>0</v>
      </c>
      <c r="M443" s="33">
        <f>IFERROR(__xludf.DUMMYFUNCTION("""COMPUTED_VALUE"""),2.0)</f>
        <v>2</v>
      </c>
      <c r="N443" s="33">
        <f>IFERROR(__xludf.DUMMYFUNCTION("""COMPUTED_VALUE"""),2.0)</f>
        <v>2</v>
      </c>
      <c r="O443" s="33">
        <f>IFERROR(__xludf.DUMMYFUNCTION("""COMPUTED_VALUE"""),3.0)</f>
        <v>3</v>
      </c>
      <c r="P443" s="33">
        <f>IFERROR(__xludf.DUMMYFUNCTION("""COMPUTED_VALUE"""),2.0)</f>
        <v>2</v>
      </c>
      <c r="Q443" s="33">
        <f>IFERROR(__xludf.DUMMYFUNCTION("""COMPUTED_VALUE"""),0.0)</f>
        <v>0</v>
      </c>
      <c r="R443" s="33">
        <f>IFERROR(__xludf.DUMMYFUNCTION("""COMPUTED_VALUE"""),0.0)</f>
        <v>0</v>
      </c>
      <c r="S443" s="33">
        <f>IFERROR(__xludf.DUMMYFUNCTION("""COMPUTED_VALUE"""),11122.0)</f>
        <v>11122</v>
      </c>
      <c r="T443" s="33">
        <f>IFERROR(__xludf.DUMMYFUNCTION("""COMPUTED_VALUE"""),1.21861111111111)</f>
        <v>1.218611111</v>
      </c>
      <c r="U443" s="33">
        <f>IFERROR(__xludf.DUMMYFUNCTION("""COMPUTED_VALUE"""),0.0)</f>
        <v>0</v>
      </c>
      <c r="V443" s="33">
        <f>IFERROR(__xludf.DUMMYFUNCTION("""COMPUTED_VALUE"""),0.0)</f>
        <v>0</v>
      </c>
      <c r="W443" s="33">
        <f>IFERROR(__xludf.DUMMYFUNCTION("""COMPUTED_VALUE"""),0.415833333333333)</f>
        <v>0.4158333333</v>
      </c>
      <c r="X443" s="33">
        <f>IFERROR(__xludf.DUMMYFUNCTION("""COMPUTED_VALUE"""),0.0)</f>
        <v>0</v>
      </c>
      <c r="Y443" s="33">
        <f>IFERROR(__xludf.DUMMYFUNCTION("""COMPUTED_VALUE"""),0.415833333333333)</f>
        <v>0.4158333333</v>
      </c>
      <c r="Z443" s="33">
        <f>IFERROR(__xludf.DUMMYFUNCTION("""COMPUTED_VALUE"""),0.213611111111111)</f>
        <v>0.2136111111</v>
      </c>
      <c r="AA443" s="33">
        <f>IFERROR(__xludf.DUMMYFUNCTION("""COMPUTED_VALUE"""),0.0)</f>
        <v>0</v>
      </c>
      <c r="AB443" s="33">
        <f>IFERROR(__xludf.DUMMYFUNCTION("""COMPUTED_VALUE"""),0.415833333333333)</f>
        <v>0.4158333333</v>
      </c>
      <c r="AC443" s="33">
        <f>IFERROR(__xludf.DUMMYFUNCTION("""COMPUTED_VALUE"""),0.415833333333333)</f>
        <v>0.4158333333</v>
      </c>
      <c r="AD443" s="33">
        <f>IFERROR(__xludf.DUMMYFUNCTION("""COMPUTED_VALUE"""),0.643333333333333)</f>
        <v>0.6433333333</v>
      </c>
      <c r="AE443" s="33">
        <f>IFERROR(__xludf.DUMMYFUNCTION("""COMPUTED_VALUE"""),0.415833333333333)</f>
        <v>0.4158333333</v>
      </c>
      <c r="AF443" s="33">
        <f>IFERROR(__xludf.DUMMYFUNCTION("""COMPUTED_VALUE"""),6.0)</f>
        <v>6</v>
      </c>
    </row>
    <row r="444">
      <c r="A444" s="49">
        <f>IFERROR(__xludf.DUMMYFUNCTION("""COMPUTED_VALUE"""),46020.0)</f>
        <v>46020</v>
      </c>
      <c r="B444" s="33" t="str">
        <f>IFERROR(__xludf.DUMMYFUNCTION("""COMPUTED_VALUE"""),"b9727274f880f47671ad54caad4904a491fad9c7")</f>
        <v>b9727274f880f47671ad54caad4904a491fad9c7</v>
      </c>
      <c r="C444" s="33" t="str">
        <f>IFERROR(__xludf.DUMMYFUNCTION("""COMPUTED_VALUE"""),"Brahmand Ka Rakshak - Production Show")</f>
        <v>Brahmand Ka Rakshak - Production Show</v>
      </c>
      <c r="D444" s="33">
        <f>IFERROR(__xludf.DUMMYFUNCTION("""COMPUTED_VALUE"""),12.0)</f>
        <v>12</v>
      </c>
      <c r="E444" s="33">
        <f>IFERROR(__xludf.DUMMYFUNCTION("""COMPUTED_VALUE"""),6.0)</f>
        <v>6</v>
      </c>
      <c r="F444" s="33">
        <f>IFERROR(__xludf.DUMMYFUNCTION("""COMPUTED_VALUE"""),0.0)</f>
        <v>0</v>
      </c>
      <c r="G444" s="33">
        <f>IFERROR(__xludf.DUMMYFUNCTION("""COMPUTED_VALUE"""),2.0)</f>
        <v>2</v>
      </c>
      <c r="H444" s="33">
        <f>IFERROR(__xludf.DUMMYFUNCTION("""COMPUTED_VALUE"""),2.0)</f>
        <v>2</v>
      </c>
      <c r="I444" s="33">
        <f>IFERROR(__xludf.DUMMYFUNCTION("""COMPUTED_VALUE"""),0.0)</f>
        <v>0</v>
      </c>
      <c r="J444" s="33">
        <f>IFERROR(__xludf.DUMMYFUNCTION("""COMPUTED_VALUE"""),1.0)</f>
        <v>1</v>
      </c>
      <c r="K444" s="33">
        <f>IFERROR(__xludf.DUMMYFUNCTION("""COMPUTED_VALUE"""),1.0)</f>
        <v>1</v>
      </c>
      <c r="L444" s="33">
        <f>IFERROR(__xludf.DUMMYFUNCTION("""COMPUTED_VALUE"""),1.0)</f>
        <v>1</v>
      </c>
      <c r="M444" s="33">
        <f>IFERROR(__xludf.DUMMYFUNCTION("""COMPUTED_VALUE"""),5.0)</f>
        <v>5</v>
      </c>
      <c r="N444" s="33">
        <f>IFERROR(__xludf.DUMMYFUNCTION("""COMPUTED_VALUE"""),3.0)</f>
        <v>3</v>
      </c>
      <c r="O444" s="33">
        <f>IFERROR(__xludf.DUMMYFUNCTION("""COMPUTED_VALUE"""),3.0)</f>
        <v>3</v>
      </c>
      <c r="P444" s="33">
        <f>IFERROR(__xludf.DUMMYFUNCTION("""COMPUTED_VALUE"""),3.0)</f>
        <v>3</v>
      </c>
      <c r="Q444" s="33">
        <f>IFERROR(__xludf.DUMMYFUNCTION("""COMPUTED_VALUE"""),0.0)</f>
        <v>0</v>
      </c>
      <c r="R444" s="33">
        <f>IFERROR(__xludf.DUMMYFUNCTION("""COMPUTED_VALUE"""),28726.0)</f>
        <v>28726</v>
      </c>
      <c r="S444" s="33">
        <f>IFERROR(__xludf.DUMMYFUNCTION("""COMPUTED_VALUE"""),12956.0)</f>
        <v>12956</v>
      </c>
      <c r="T444" s="33">
        <f>IFERROR(__xludf.DUMMYFUNCTION("""COMPUTED_VALUE"""),0.0)</f>
        <v>0</v>
      </c>
      <c r="U444" s="33">
        <f>IFERROR(__xludf.DUMMYFUNCTION("""COMPUTED_VALUE"""),0.0)</f>
        <v>0</v>
      </c>
      <c r="V444" s="33">
        <f>IFERROR(__xludf.DUMMYFUNCTION("""COMPUTED_VALUE"""),0.401666666666666)</f>
        <v>0.4016666667</v>
      </c>
      <c r="W444" s="33">
        <f>IFERROR(__xludf.DUMMYFUNCTION("""COMPUTED_VALUE"""),0.401666666666666)</f>
        <v>0.4016666667</v>
      </c>
      <c r="X444" s="33">
        <f>IFERROR(__xludf.DUMMYFUNCTION("""COMPUTED_VALUE"""),0.0)</f>
        <v>0</v>
      </c>
      <c r="Y444" s="33">
        <f>IFERROR(__xludf.DUMMYFUNCTION("""COMPUTED_VALUE"""),0.207777777777777)</f>
        <v>0.2077777778</v>
      </c>
      <c r="Z444" s="33">
        <f>IFERROR(__xludf.DUMMYFUNCTION("""COMPUTED_VALUE"""),0.184166666666666)</f>
        <v>0.1841666667</v>
      </c>
      <c r="AA444" s="33">
        <f>IFERROR(__xludf.DUMMYFUNCTION("""COMPUTED_VALUE"""),0.184166666666666)</f>
        <v>0.1841666667</v>
      </c>
      <c r="AB444" s="33">
        <f>IFERROR(__xludf.DUMMYFUNCTION("""COMPUTED_VALUE"""),1.01277777777777)</f>
        <v>1.012777778</v>
      </c>
      <c r="AC444" s="33">
        <f>IFERROR(__xludf.DUMMYFUNCTION("""COMPUTED_VALUE"""),0.593888888888888)</f>
        <v>0.5938888889</v>
      </c>
      <c r="AD444" s="33">
        <f>IFERROR(__xludf.DUMMYFUNCTION("""COMPUTED_VALUE"""),0.636666666666666)</f>
        <v>0.6366666667</v>
      </c>
      <c r="AE444" s="33">
        <f>IFERROR(__xludf.DUMMYFUNCTION("""COMPUTED_VALUE"""),0.593888888888888)</f>
        <v>0.5938888889</v>
      </c>
      <c r="AF444" s="33">
        <f>IFERROR(__xludf.DUMMYFUNCTION("""COMPUTED_VALUE"""),0.0)</f>
        <v>0</v>
      </c>
    </row>
    <row r="445">
      <c r="A445" s="49">
        <f>IFERROR(__xludf.DUMMYFUNCTION("""COMPUTED_VALUE"""),46020.0)</f>
        <v>46020</v>
      </c>
      <c r="B445" s="33" t="str">
        <f>IFERROR(__xludf.DUMMYFUNCTION("""COMPUTED_VALUE"""),"ca6c466ebfcd2658a9f1641045f468c15417a1e7")</f>
        <v>ca6c466ebfcd2658a9f1641045f468c15417a1e7</v>
      </c>
      <c r="C445" s="33" t="str">
        <f>IFERROR(__xludf.DUMMYFUNCTION("""COMPUTED_VALUE"""),"My Mysterious Princess")</f>
        <v>My Mysterious Princess</v>
      </c>
      <c r="D445" s="33">
        <f>IFERROR(__xludf.DUMMYFUNCTION("""COMPUTED_VALUE"""),10.0)</f>
        <v>10</v>
      </c>
      <c r="E445" s="33">
        <f>IFERROR(__xludf.DUMMYFUNCTION("""COMPUTED_VALUE"""),3.0)</f>
        <v>3</v>
      </c>
      <c r="F445" s="33">
        <f>IFERROR(__xludf.DUMMYFUNCTION("""COMPUTED_VALUE"""),2.0)</f>
        <v>2</v>
      </c>
      <c r="G445" s="33">
        <f>IFERROR(__xludf.DUMMYFUNCTION("""COMPUTED_VALUE"""),0.0)</f>
        <v>0</v>
      </c>
      <c r="H445" s="33">
        <f>IFERROR(__xludf.DUMMYFUNCTION("""COMPUTED_VALUE"""),2.0)</f>
        <v>2</v>
      </c>
      <c r="I445" s="33">
        <f>IFERROR(__xludf.DUMMYFUNCTION("""COMPUTED_VALUE"""),1.0)</f>
        <v>1</v>
      </c>
      <c r="J445" s="33">
        <f>IFERROR(__xludf.DUMMYFUNCTION("""COMPUTED_VALUE"""),2.0)</f>
        <v>2</v>
      </c>
      <c r="K445" s="33">
        <f>IFERROR(__xludf.DUMMYFUNCTION("""COMPUTED_VALUE"""),0.0)</f>
        <v>0</v>
      </c>
      <c r="L445" s="33">
        <f>IFERROR(__xludf.DUMMYFUNCTION("""COMPUTED_VALUE"""),0.0)</f>
        <v>0</v>
      </c>
      <c r="M445" s="33">
        <f>IFERROR(__xludf.DUMMYFUNCTION("""COMPUTED_VALUE"""),6.0)</f>
        <v>6</v>
      </c>
      <c r="N445" s="33">
        <f>IFERROR(__xludf.DUMMYFUNCTION("""COMPUTED_VALUE"""),6.0)</f>
        <v>6</v>
      </c>
      <c r="O445" s="33">
        <f>IFERROR(__xludf.DUMMYFUNCTION("""COMPUTED_VALUE"""),2.0)</f>
        <v>2</v>
      </c>
      <c r="P445" s="33">
        <f>IFERROR(__xludf.DUMMYFUNCTION("""COMPUTED_VALUE"""),6.0)</f>
        <v>6</v>
      </c>
      <c r="Q445" s="33">
        <f>IFERROR(__xludf.DUMMYFUNCTION("""COMPUTED_VALUE"""),0.0)</f>
        <v>0</v>
      </c>
      <c r="R445" s="33">
        <f>IFERROR(__xludf.DUMMYFUNCTION("""COMPUTED_VALUE"""),23833.0)</f>
        <v>23833</v>
      </c>
      <c r="S445" s="33">
        <f>IFERROR(__xludf.DUMMYFUNCTION("""COMPUTED_VALUE"""),6766.0)</f>
        <v>6766</v>
      </c>
      <c r="T445" s="33">
        <f>IFERROR(__xludf.DUMMYFUNCTION("""COMPUTED_VALUE"""),0.660555555555555)</f>
        <v>0.6605555556</v>
      </c>
      <c r="U445" s="33">
        <f>IFERROR(__xludf.DUMMYFUNCTION("""COMPUTED_VALUE"""),0.448055555555555)</f>
        <v>0.4480555556</v>
      </c>
      <c r="V445" s="33">
        <f>IFERROR(__xludf.DUMMYFUNCTION("""COMPUTED_VALUE"""),0.0)</f>
        <v>0</v>
      </c>
      <c r="W445" s="33">
        <f>IFERROR(__xludf.DUMMYFUNCTION("""COMPUTED_VALUE"""),0.441388888888888)</f>
        <v>0.4413888889</v>
      </c>
      <c r="X445" s="33">
        <f>IFERROR(__xludf.DUMMYFUNCTION("""COMPUTED_VALUE"""),0.2125)</f>
        <v>0.2125</v>
      </c>
      <c r="Y445" s="33">
        <f>IFERROR(__xludf.DUMMYFUNCTION("""COMPUTED_VALUE"""),0.429166666666666)</f>
        <v>0.4291666667</v>
      </c>
      <c r="Z445" s="33">
        <f>IFERROR(__xludf.DUMMYFUNCTION("""COMPUTED_VALUE"""),0.0)</f>
        <v>0</v>
      </c>
      <c r="AA445" s="33">
        <f>IFERROR(__xludf.DUMMYFUNCTION("""COMPUTED_VALUE"""),0.0)</f>
        <v>0</v>
      </c>
      <c r="AB445" s="33">
        <f>IFERROR(__xludf.DUMMYFUNCTION("""COMPUTED_VALUE"""),1.30972222222222)</f>
        <v>1.309722222</v>
      </c>
      <c r="AC445" s="33">
        <f>IFERROR(__xludf.DUMMYFUNCTION("""COMPUTED_VALUE"""),1.30972222222222)</f>
        <v>1.309722222</v>
      </c>
      <c r="AD445" s="33">
        <f>IFERROR(__xludf.DUMMYFUNCTION("""COMPUTED_VALUE"""),0.493333333333333)</f>
        <v>0.4933333333</v>
      </c>
      <c r="AE445" s="33">
        <f>IFERROR(__xludf.DUMMYFUNCTION("""COMPUTED_VALUE"""),1.30972222222222)</f>
        <v>1.309722222</v>
      </c>
      <c r="AF445" s="33">
        <f>IFERROR(__xludf.DUMMYFUNCTION("""COMPUTED_VALUE"""),3.0)</f>
        <v>3</v>
      </c>
    </row>
    <row r="446">
      <c r="A446" s="49">
        <f>IFERROR(__xludf.DUMMYFUNCTION("""COMPUTED_VALUE"""),46020.0)</f>
        <v>46020</v>
      </c>
      <c r="B446" s="33" t="str">
        <f>IFERROR(__xludf.DUMMYFUNCTION("""COMPUTED_VALUE"""),"dbbc7f35e9eb33b7562f0fd82896e827101bf13c")</f>
        <v>dbbc7f35e9eb33b7562f0fd82896e827101bf13c</v>
      </c>
      <c r="C446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446" s="33">
        <f>IFERROR(__xludf.DUMMYFUNCTION("""COMPUTED_VALUE"""),0.0)</f>
        <v>0</v>
      </c>
      <c r="E446" s="33">
        <f>IFERROR(__xludf.DUMMYFUNCTION("""COMPUTED_VALUE"""),0.0)</f>
        <v>0</v>
      </c>
      <c r="F446" s="33">
        <f>IFERROR(__xludf.DUMMYFUNCTION("""COMPUTED_VALUE"""),0.0)</f>
        <v>0</v>
      </c>
      <c r="G446" s="33">
        <f>IFERROR(__xludf.DUMMYFUNCTION("""COMPUTED_VALUE"""),0.0)</f>
        <v>0</v>
      </c>
      <c r="H446" s="33">
        <f>IFERROR(__xludf.DUMMYFUNCTION("""COMPUTED_VALUE"""),0.0)</f>
        <v>0</v>
      </c>
      <c r="I446" s="33">
        <f>IFERROR(__xludf.DUMMYFUNCTION("""COMPUTED_VALUE"""),0.0)</f>
        <v>0</v>
      </c>
      <c r="J446" s="33">
        <f>IFERROR(__xludf.DUMMYFUNCTION("""COMPUTED_VALUE"""),0.0)</f>
        <v>0</v>
      </c>
      <c r="K446" s="33">
        <f>IFERROR(__xludf.DUMMYFUNCTION("""COMPUTED_VALUE"""),0.0)</f>
        <v>0</v>
      </c>
      <c r="L446" s="33">
        <f>IFERROR(__xludf.DUMMYFUNCTION("""COMPUTED_VALUE"""),0.0)</f>
        <v>0</v>
      </c>
      <c r="M446" s="33">
        <f>IFERROR(__xludf.DUMMYFUNCTION("""COMPUTED_VALUE"""),0.0)</f>
        <v>0</v>
      </c>
      <c r="N446" s="33">
        <f>IFERROR(__xludf.DUMMYFUNCTION("""COMPUTED_VALUE"""),0.0)</f>
        <v>0</v>
      </c>
      <c r="O446" s="33">
        <f>IFERROR(__xludf.DUMMYFUNCTION("""COMPUTED_VALUE"""),1.0)</f>
        <v>1</v>
      </c>
      <c r="P446" s="33">
        <f>IFERROR(__xludf.DUMMYFUNCTION("""COMPUTED_VALUE"""),45.0)</f>
        <v>45</v>
      </c>
      <c r="Q446" s="33">
        <f>IFERROR(__xludf.DUMMYFUNCTION("""COMPUTED_VALUE"""),0.0)</f>
        <v>0</v>
      </c>
      <c r="R446" s="33">
        <f>IFERROR(__xludf.DUMMYFUNCTION("""COMPUTED_VALUE"""),0.0)</f>
        <v>0</v>
      </c>
      <c r="S446" s="33">
        <f>IFERROR(__xludf.DUMMYFUNCTION("""COMPUTED_VALUE"""),0.0)</f>
        <v>0</v>
      </c>
      <c r="T446" s="33">
        <f>IFERROR(__xludf.DUMMYFUNCTION("""COMPUTED_VALUE"""),0.0)</f>
        <v>0</v>
      </c>
      <c r="U446" s="33">
        <f>IFERROR(__xludf.DUMMYFUNCTION("""COMPUTED_VALUE"""),0.0)</f>
        <v>0</v>
      </c>
      <c r="V446" s="33">
        <f>IFERROR(__xludf.DUMMYFUNCTION("""COMPUTED_VALUE"""),0.0)</f>
        <v>0</v>
      </c>
      <c r="W446" s="33">
        <f>IFERROR(__xludf.DUMMYFUNCTION("""COMPUTED_VALUE"""),0.0)</f>
        <v>0</v>
      </c>
      <c r="X446" s="33">
        <f>IFERROR(__xludf.DUMMYFUNCTION("""COMPUTED_VALUE"""),0.0)</f>
        <v>0</v>
      </c>
      <c r="Y446" s="33">
        <f>IFERROR(__xludf.DUMMYFUNCTION("""COMPUTED_VALUE"""),0.0)</f>
        <v>0</v>
      </c>
      <c r="Z446" s="33">
        <f>IFERROR(__xludf.DUMMYFUNCTION("""COMPUTED_VALUE"""),0.0)</f>
        <v>0</v>
      </c>
      <c r="AA446" s="33">
        <f>IFERROR(__xludf.DUMMYFUNCTION("""COMPUTED_VALUE"""),0.0)</f>
        <v>0</v>
      </c>
      <c r="AB446" s="33">
        <f>IFERROR(__xludf.DUMMYFUNCTION("""COMPUTED_VALUE"""),0.0)</f>
        <v>0</v>
      </c>
      <c r="AC446" s="33">
        <f>IFERROR(__xludf.DUMMYFUNCTION("""COMPUTED_VALUE"""),0.0)</f>
        <v>0</v>
      </c>
      <c r="AD446" s="33">
        <f>IFERROR(__xludf.DUMMYFUNCTION("""COMPUTED_VALUE"""),0.198055555555555)</f>
        <v>0.1980555556</v>
      </c>
      <c r="AE446" s="33">
        <f>IFERROR(__xludf.DUMMYFUNCTION("""COMPUTED_VALUE"""),13.8311111111111)</f>
        <v>13.83111111</v>
      </c>
      <c r="AF446" s="33">
        <f>IFERROR(__xludf.DUMMYFUNCTION("""COMPUTED_VALUE"""),0.0)</f>
        <v>0</v>
      </c>
    </row>
    <row r="447">
      <c r="A447" s="49">
        <f>IFERROR(__xludf.DUMMYFUNCTION("""COMPUTED_VALUE"""),46020.0)</f>
        <v>46020</v>
      </c>
      <c r="B447" s="33" t="str">
        <f>IFERROR(__xludf.DUMMYFUNCTION("""COMPUTED_VALUE"""),"e493cee863483a057af12de782cd20043a19ed05")</f>
        <v>e493cee863483a057af12de782cd20043a19ed05</v>
      </c>
      <c r="C447" s="33" t="str">
        <f>IFERROR(__xludf.DUMMYFUNCTION("""COMPUTED_VALUE"""),"Malang")</f>
        <v>Malang</v>
      </c>
      <c r="D447" s="33">
        <f>IFERROR(__xludf.DUMMYFUNCTION("""COMPUTED_VALUE"""),6.0)</f>
        <v>6</v>
      </c>
      <c r="E447" s="33">
        <f>IFERROR(__xludf.DUMMYFUNCTION("""COMPUTED_VALUE"""),3.0)</f>
        <v>3</v>
      </c>
      <c r="F447" s="33">
        <f>IFERROR(__xludf.DUMMYFUNCTION("""COMPUTED_VALUE"""),3.0)</f>
        <v>3</v>
      </c>
      <c r="G447" s="33">
        <f>IFERROR(__xludf.DUMMYFUNCTION("""COMPUTED_VALUE"""),0.0)</f>
        <v>0</v>
      </c>
      <c r="H447" s="33">
        <f>IFERROR(__xludf.DUMMYFUNCTION("""COMPUTED_VALUE"""),3.0)</f>
        <v>3</v>
      </c>
      <c r="I447" s="33">
        <f>IFERROR(__xludf.DUMMYFUNCTION("""COMPUTED_VALUE"""),1.0)</f>
        <v>1</v>
      </c>
      <c r="J447" s="33">
        <f>IFERROR(__xludf.DUMMYFUNCTION("""COMPUTED_VALUE"""),3.0)</f>
        <v>3</v>
      </c>
      <c r="K447" s="33">
        <f>IFERROR(__xludf.DUMMYFUNCTION("""COMPUTED_VALUE"""),1.0)</f>
        <v>1</v>
      </c>
      <c r="L447" s="33">
        <f>IFERROR(__xludf.DUMMYFUNCTION("""COMPUTED_VALUE"""),0.0)</f>
        <v>0</v>
      </c>
      <c r="M447" s="33">
        <f>IFERROR(__xludf.DUMMYFUNCTION("""COMPUTED_VALUE"""),3.0)</f>
        <v>3</v>
      </c>
      <c r="N447" s="33">
        <f>IFERROR(__xludf.DUMMYFUNCTION("""COMPUTED_VALUE"""),3.0)</f>
        <v>3</v>
      </c>
      <c r="O447" s="33">
        <f>IFERROR(__xludf.DUMMYFUNCTION("""COMPUTED_VALUE"""),2.0)</f>
        <v>2</v>
      </c>
      <c r="P447" s="33">
        <f>IFERROR(__xludf.DUMMYFUNCTION("""COMPUTED_VALUE"""),3.0)</f>
        <v>3</v>
      </c>
      <c r="Q447" s="33">
        <f>IFERROR(__xludf.DUMMYFUNCTION("""COMPUTED_VALUE"""),0.0)</f>
        <v>0</v>
      </c>
      <c r="R447" s="33">
        <f>IFERROR(__xludf.DUMMYFUNCTION("""COMPUTED_VALUE"""),13694.0)</f>
        <v>13694</v>
      </c>
      <c r="S447" s="33">
        <f>IFERROR(__xludf.DUMMYFUNCTION("""COMPUTED_VALUE"""),6913.0)</f>
        <v>6913</v>
      </c>
      <c r="T447" s="33">
        <f>IFERROR(__xludf.DUMMYFUNCTION("""COMPUTED_VALUE"""),0.199444444444444)</f>
        <v>0.1994444444</v>
      </c>
      <c r="U447" s="33">
        <f>IFERROR(__xludf.DUMMYFUNCTION("""COMPUTED_VALUE"""),0.578888888888888)</f>
        <v>0.5788888889</v>
      </c>
      <c r="V447" s="33">
        <f>IFERROR(__xludf.DUMMYFUNCTION("""COMPUTED_VALUE"""),0.0)</f>
        <v>0</v>
      </c>
      <c r="W447" s="33">
        <f>IFERROR(__xludf.DUMMYFUNCTION("""COMPUTED_VALUE"""),0.579722222222222)</f>
        <v>0.5797222222</v>
      </c>
      <c r="X447" s="33">
        <f>IFERROR(__xludf.DUMMYFUNCTION("""COMPUTED_VALUE"""),0.199444444444444)</f>
        <v>0.1994444444</v>
      </c>
      <c r="Y447" s="33">
        <f>IFERROR(__xludf.DUMMYFUNCTION("""COMPUTED_VALUE"""),0.579166666666666)</f>
        <v>0.5791666667</v>
      </c>
      <c r="Z447" s="33">
        <f>IFERROR(__xludf.DUMMYFUNCTION("""COMPUTED_VALUE"""),0.194722222222222)</f>
        <v>0.1947222222</v>
      </c>
      <c r="AA447" s="33">
        <f>IFERROR(__xludf.DUMMYFUNCTION("""COMPUTED_VALUE"""),0.0)</f>
        <v>0</v>
      </c>
      <c r="AB447" s="33">
        <f>IFERROR(__xludf.DUMMYFUNCTION("""COMPUTED_VALUE"""),0.579166666666666)</f>
        <v>0.5791666667</v>
      </c>
      <c r="AC447" s="33">
        <f>IFERROR(__xludf.DUMMYFUNCTION("""COMPUTED_VALUE"""),0.579166666666666)</f>
        <v>0.5791666667</v>
      </c>
      <c r="AD447" s="33">
        <f>IFERROR(__xludf.DUMMYFUNCTION("""COMPUTED_VALUE"""),0.39)</f>
        <v>0.39</v>
      </c>
      <c r="AE447" s="33">
        <f>IFERROR(__xludf.DUMMYFUNCTION("""COMPUTED_VALUE"""),0.579166666666666)</f>
        <v>0.5791666667</v>
      </c>
      <c r="AF447" s="33">
        <f>IFERROR(__xludf.DUMMYFUNCTION("""COMPUTED_VALUE"""),1.0)</f>
        <v>1</v>
      </c>
    </row>
    <row r="448">
      <c r="A448" s="49">
        <f>IFERROR(__xludf.DUMMYFUNCTION("""COMPUTED_VALUE"""),46020.0)</f>
        <v>46020</v>
      </c>
      <c r="B448" s="33" t="str">
        <f>IFERROR(__xludf.DUMMYFUNCTION("""COMPUTED_VALUE"""),"f43f4253dc3c596ff8f2e3cc9f3b677981a70310")</f>
        <v>f43f4253dc3c596ff8f2e3cc9f3b677981a70310</v>
      </c>
      <c r="C448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448" s="33">
        <f>IFERROR(__xludf.DUMMYFUNCTION("""COMPUTED_VALUE"""),7.0)</f>
        <v>7</v>
      </c>
      <c r="E448" s="33">
        <f>IFERROR(__xludf.DUMMYFUNCTION("""COMPUTED_VALUE"""),8.0)</f>
        <v>8</v>
      </c>
      <c r="F448" s="33">
        <f>IFERROR(__xludf.DUMMYFUNCTION("""COMPUTED_VALUE"""),0.0)</f>
        <v>0</v>
      </c>
      <c r="G448" s="33">
        <f>IFERROR(__xludf.DUMMYFUNCTION("""COMPUTED_VALUE"""),0.0)</f>
        <v>0</v>
      </c>
      <c r="H448" s="33">
        <f>IFERROR(__xludf.DUMMYFUNCTION("""COMPUTED_VALUE"""),0.0)</f>
        <v>0</v>
      </c>
      <c r="I448" s="33">
        <f>IFERROR(__xludf.DUMMYFUNCTION("""COMPUTED_VALUE"""),0.0)</f>
        <v>0</v>
      </c>
      <c r="J448" s="33">
        <f>IFERROR(__xludf.DUMMYFUNCTION("""COMPUTED_VALUE"""),0.0)</f>
        <v>0</v>
      </c>
      <c r="K448" s="33">
        <f>IFERROR(__xludf.DUMMYFUNCTION("""COMPUTED_VALUE"""),0.0)</f>
        <v>0</v>
      </c>
      <c r="L448" s="33">
        <f>IFERROR(__xludf.DUMMYFUNCTION("""COMPUTED_VALUE"""),0.0)</f>
        <v>0</v>
      </c>
      <c r="M448" s="33">
        <f>IFERROR(__xludf.DUMMYFUNCTION("""COMPUTED_VALUE"""),0.0)</f>
        <v>0</v>
      </c>
      <c r="N448" s="33">
        <f>IFERROR(__xludf.DUMMYFUNCTION("""COMPUTED_VALUE"""),9.0)</f>
        <v>9</v>
      </c>
      <c r="O448" s="33">
        <f>IFERROR(__xludf.DUMMYFUNCTION("""COMPUTED_VALUE"""),1.0)</f>
        <v>1</v>
      </c>
      <c r="P448" s="33">
        <f>IFERROR(__xludf.DUMMYFUNCTION("""COMPUTED_VALUE"""),9.0)</f>
        <v>9</v>
      </c>
      <c r="Q448" s="33">
        <f>IFERROR(__xludf.DUMMYFUNCTION("""COMPUTED_VALUE"""),0.0)</f>
        <v>0</v>
      </c>
      <c r="R448" s="33">
        <f>IFERROR(__xludf.DUMMYFUNCTION("""COMPUTED_VALUE"""),16078.0)</f>
        <v>16078</v>
      </c>
      <c r="S448" s="33">
        <f>IFERROR(__xludf.DUMMYFUNCTION("""COMPUTED_VALUE"""),18810.0)</f>
        <v>18810</v>
      </c>
      <c r="T448" s="33">
        <f>IFERROR(__xludf.DUMMYFUNCTION("""COMPUTED_VALUE"""),0.0)</f>
        <v>0</v>
      </c>
      <c r="U448" s="33">
        <f>IFERROR(__xludf.DUMMYFUNCTION("""COMPUTED_VALUE"""),0.0)</f>
        <v>0</v>
      </c>
      <c r="V448" s="33">
        <f>IFERROR(__xludf.DUMMYFUNCTION("""COMPUTED_VALUE"""),0.0)</f>
        <v>0</v>
      </c>
      <c r="W448" s="33">
        <f>IFERROR(__xludf.DUMMYFUNCTION("""COMPUTED_VALUE"""),0.0)</f>
        <v>0</v>
      </c>
      <c r="X448" s="33">
        <f>IFERROR(__xludf.DUMMYFUNCTION("""COMPUTED_VALUE"""),0.0)</f>
        <v>0</v>
      </c>
      <c r="Y448" s="33">
        <f>IFERROR(__xludf.DUMMYFUNCTION("""COMPUTED_VALUE"""),0.0)</f>
        <v>0</v>
      </c>
      <c r="Z448" s="33">
        <f>IFERROR(__xludf.DUMMYFUNCTION("""COMPUTED_VALUE"""),0.0)</f>
        <v>0</v>
      </c>
      <c r="AA448" s="33">
        <f>IFERROR(__xludf.DUMMYFUNCTION("""COMPUTED_VALUE"""),0.0)</f>
        <v>0</v>
      </c>
      <c r="AB448" s="33">
        <f>IFERROR(__xludf.DUMMYFUNCTION("""COMPUTED_VALUE"""),0.0)</f>
        <v>0</v>
      </c>
      <c r="AC448" s="33">
        <f>IFERROR(__xludf.DUMMYFUNCTION("""COMPUTED_VALUE"""),2.40583333333333)</f>
        <v>2.405833333</v>
      </c>
      <c r="AD448" s="33">
        <f>IFERROR(__xludf.DUMMYFUNCTION("""COMPUTED_VALUE"""),0.235277777777777)</f>
        <v>0.2352777778</v>
      </c>
      <c r="AE448" s="33">
        <f>IFERROR(__xludf.DUMMYFUNCTION("""COMPUTED_VALUE"""),2.31222222222222)</f>
        <v>2.312222222</v>
      </c>
      <c r="AF448" s="33">
        <f>IFERROR(__xludf.DUMMYFUNCTION("""COMPUTED_VALUE"""),0.0)</f>
        <v>0</v>
      </c>
    </row>
    <row r="449">
      <c r="A449" s="49">
        <f>IFERROR(__xludf.DUMMYFUNCTION("""COMPUTED_VALUE"""),46020.0)</f>
        <v>46020</v>
      </c>
      <c r="B449" s="33" t="str">
        <f>IFERROR(__xludf.DUMMYFUNCTION("""COMPUTED_VALUE"""),"f8fbcb9a13d17d5888164fffc1bbb7cd5c6608b2")</f>
        <v>f8fbcb9a13d17d5888164fffc1bbb7cd5c6608b2</v>
      </c>
      <c r="C449" s="33" t="str">
        <f>IFERROR(__xludf.DUMMYFUNCTION("""COMPUTED_VALUE"""),"Empire of Hidden King | Author - Nitesh")</f>
        <v>Empire of Hidden King | Author - Nitesh</v>
      </c>
      <c r="D449" s="33">
        <f>IFERROR(__xludf.DUMMYFUNCTION("""COMPUTED_VALUE"""),0.0)</f>
        <v>0</v>
      </c>
      <c r="E449" s="33">
        <f>IFERROR(__xludf.DUMMYFUNCTION("""COMPUTED_VALUE"""),0.0)</f>
        <v>0</v>
      </c>
      <c r="F449" s="33">
        <f>IFERROR(__xludf.DUMMYFUNCTION("""COMPUTED_VALUE"""),0.0)</f>
        <v>0</v>
      </c>
      <c r="G449" s="33">
        <f>IFERROR(__xludf.DUMMYFUNCTION("""COMPUTED_VALUE"""),0.0)</f>
        <v>0</v>
      </c>
      <c r="H449" s="33">
        <f>IFERROR(__xludf.DUMMYFUNCTION("""COMPUTED_VALUE"""),0.0)</f>
        <v>0</v>
      </c>
      <c r="I449" s="33">
        <f>IFERROR(__xludf.DUMMYFUNCTION("""COMPUTED_VALUE"""),0.0)</f>
        <v>0</v>
      </c>
      <c r="J449" s="33">
        <f>IFERROR(__xludf.DUMMYFUNCTION("""COMPUTED_VALUE"""),0.0)</f>
        <v>0</v>
      </c>
      <c r="K449" s="33">
        <f>IFERROR(__xludf.DUMMYFUNCTION("""COMPUTED_VALUE"""),0.0)</f>
        <v>0</v>
      </c>
      <c r="L449" s="33">
        <f>IFERROR(__xludf.DUMMYFUNCTION("""COMPUTED_VALUE"""),0.0)</f>
        <v>0</v>
      </c>
      <c r="M449" s="33">
        <f>IFERROR(__xludf.DUMMYFUNCTION("""COMPUTED_VALUE"""),0.0)</f>
        <v>0</v>
      </c>
      <c r="N449" s="33">
        <f>IFERROR(__xludf.DUMMYFUNCTION("""COMPUTED_VALUE"""),3.0)</f>
        <v>3</v>
      </c>
      <c r="O449" s="33">
        <f>IFERROR(__xludf.DUMMYFUNCTION("""COMPUTED_VALUE"""),0.0)</f>
        <v>0</v>
      </c>
      <c r="P449" s="33">
        <f>IFERROR(__xludf.DUMMYFUNCTION("""COMPUTED_VALUE"""),0.0)</f>
        <v>0</v>
      </c>
      <c r="Q449" s="33">
        <f>IFERROR(__xludf.DUMMYFUNCTION("""COMPUTED_VALUE"""),0.0)</f>
        <v>0</v>
      </c>
      <c r="R449" s="33">
        <f>IFERROR(__xludf.DUMMYFUNCTION("""COMPUTED_VALUE"""),0.0)</f>
        <v>0</v>
      </c>
      <c r="S449" s="33">
        <f>IFERROR(__xludf.DUMMYFUNCTION("""COMPUTED_VALUE"""),0.0)</f>
        <v>0</v>
      </c>
      <c r="T449" s="33">
        <f>IFERROR(__xludf.DUMMYFUNCTION("""COMPUTED_VALUE"""),0.0)</f>
        <v>0</v>
      </c>
      <c r="U449" s="33">
        <f>IFERROR(__xludf.DUMMYFUNCTION("""COMPUTED_VALUE"""),0.0)</f>
        <v>0</v>
      </c>
      <c r="V449" s="33">
        <f>IFERROR(__xludf.DUMMYFUNCTION("""COMPUTED_VALUE"""),0.0)</f>
        <v>0</v>
      </c>
      <c r="W449" s="33">
        <f>IFERROR(__xludf.DUMMYFUNCTION("""COMPUTED_VALUE"""),0.0)</f>
        <v>0</v>
      </c>
      <c r="X449" s="33">
        <f>IFERROR(__xludf.DUMMYFUNCTION("""COMPUTED_VALUE"""),0.0)</f>
        <v>0</v>
      </c>
      <c r="Y449" s="33">
        <f>IFERROR(__xludf.DUMMYFUNCTION("""COMPUTED_VALUE"""),0.0)</f>
        <v>0</v>
      </c>
      <c r="Z449" s="33">
        <f>IFERROR(__xludf.DUMMYFUNCTION("""COMPUTED_VALUE"""),0.0)</f>
        <v>0</v>
      </c>
      <c r="AA449" s="33">
        <f>IFERROR(__xludf.DUMMYFUNCTION("""COMPUTED_VALUE"""),0.0)</f>
        <v>0</v>
      </c>
      <c r="AB449" s="33">
        <f>IFERROR(__xludf.DUMMYFUNCTION("""COMPUTED_VALUE"""),0.0)</f>
        <v>0</v>
      </c>
      <c r="AC449" s="33">
        <f>IFERROR(__xludf.DUMMYFUNCTION("""COMPUTED_VALUE"""),1.00055555555555)</f>
        <v>1.000555556</v>
      </c>
      <c r="AD449" s="33">
        <f>IFERROR(__xludf.DUMMYFUNCTION("""COMPUTED_VALUE"""),0.0)</f>
        <v>0</v>
      </c>
      <c r="AE449" s="33">
        <f>IFERROR(__xludf.DUMMYFUNCTION("""COMPUTED_VALUE"""),0.0)</f>
        <v>0</v>
      </c>
      <c r="AF449" s="33">
        <f>IFERROR(__xludf.DUMMYFUNCTION("""COMPUTED_VALUE"""),0.0)</f>
        <v>0</v>
      </c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</row>
    <row r="1001">
      <c r="A1001" s="48" t="str">
        <f>IFERROR(__xludf.DUMMYFUNCTION("""COMPUTED_VALUE"""),"Period")</f>
        <v>Period</v>
      </c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